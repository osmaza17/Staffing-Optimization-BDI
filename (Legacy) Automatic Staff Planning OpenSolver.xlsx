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13_ncr:1_{77592FDB-EE00-489D-9472-C2EA59724F6B}" xr6:coauthVersionLast="47" xr6:coauthVersionMax="47" xr10:uidLastSave="{00000000-0000-0000-0000-000000000000}"/>
  <bookViews>
    <workbookView xWindow="-96" yWindow="-96" windowWidth="23232" windowHeight="12432" xr2:uid="{E7346AA2-F9C1-4204-A683-88F2CC4B4F5C}"/>
  </bookViews>
  <sheets>
    <sheet name="PER" sheetId="7" r:id="rId1"/>
    <sheet name="STAFF PLANNING FINAL" sheetId="6" r:id="rId2"/>
    <sheet name="PROTO FINAL" sheetId="5" r:id="rId3"/>
    <sheet name="PROTO NUEVO" sheetId="3" r:id="rId4"/>
    <sheet name="VINCENT (OBSOLETO)" sheetId="2" r:id="rId5"/>
    <sheet name="PROTO VINCENT" sheetId="1" r:id="rId6"/>
  </sheets>
  <definedNames>
    <definedName name="OpenSolver_ChosenSolver" localSheetId="0" hidden="1">CBC</definedName>
    <definedName name="OpenSolver_ChosenSolver" localSheetId="2" hidden="1">CBC</definedName>
    <definedName name="OpenSolver_ChosenSolver" localSheetId="3" hidden="1">CBC</definedName>
    <definedName name="OpenSolver_ChosenSolver" localSheetId="5" hidden="1">CBC</definedName>
    <definedName name="OpenSolver_ChosenSolver" localSheetId="4" hidden="1">CBC</definedName>
    <definedName name="OpenSolver_DualsNewSheet" localSheetId="0" hidden="1">0</definedName>
    <definedName name="OpenSolver_DualsNewSheet" localSheetId="2" hidden="1">0</definedName>
    <definedName name="OpenSolver_DualsNewSheet" localSheetId="3" hidden="1">0</definedName>
    <definedName name="OpenSolver_DualsNewSheet" localSheetId="5" hidden="1">0</definedName>
    <definedName name="OpenSolver_DualsNewSheet" localSheetId="4" hidden="1">0</definedName>
    <definedName name="OpenSolver_LinearityCheck" localSheetId="0" hidden="1">1</definedName>
    <definedName name="OpenSolver_LinearityCheck" localSheetId="2" hidden="1">1</definedName>
    <definedName name="OpenSolver_LinearityCheck" localSheetId="3" hidden="1">1</definedName>
    <definedName name="OpenSolver_LinearityCheck" localSheetId="4" hidden="1">1</definedName>
    <definedName name="OpenSolver_UpdateSensitivity" localSheetId="0" hidden="1">1</definedName>
    <definedName name="OpenSolver_UpdateSensitivity" localSheetId="2" hidden="1">1</definedName>
    <definedName name="OpenSolver_UpdateSensitivity" localSheetId="3" hidden="1">1</definedName>
    <definedName name="OpenSolver_UpdateSensitivity" localSheetId="5" hidden="1">1</definedName>
    <definedName name="OpenSolver_UpdateSensitivity" localSheetId="4" hidden="1">1</definedName>
    <definedName name="solver_adj" localSheetId="0" hidden="1">PER!$AR$34:$BH$633,PER!$D$53:$S$92,PER!$C$99:$S$138,PER!$S$34,PER!$S$35</definedName>
    <definedName name="solver_adj" localSheetId="2" hidden="1">'PROTO FINAL'!$C$3:$H$9,'PROTO FINAL'!$C$15:$H$21,'PROTO FINAL'!$C$26:$H$32,'PROTO FINAL'!$C$37:$G$43,'PROTO FINAL'!$C$48:$H$54,'PROTO FINAL'!$C$61:$H$67,'PROTO FINAL'!$C$70,'PROTO FINAL'!$C$71</definedName>
    <definedName name="solver_adj" localSheetId="3" hidden="1">'PROTO NUEVO'!$C$3:$H$9,'PROTO NUEVO'!$C$15:$H$21,'PROTO NUEVO'!$C$26:$H$32,'PROTO NUEVO'!$C$37:$H$43,'PROTO NUEVO'!$C$45,'PROTO NUEVO'!$C$46,'PROTO NUEVO'!$C$51:$G$57</definedName>
    <definedName name="solver_adj" localSheetId="5" hidden="1">'PROTO VINCENT'!$C$5:$E$7,'PROTO VINCENT'!$C$12:$E$14,'PROTO VINCENT'!$C$16</definedName>
    <definedName name="solver_adj" localSheetId="4" hidden="1">'VINCENT (OBSOLETO)'!$C$3:$O$26,'VINCENT (OBSOLETO)'!$C$30:$O$53,'VINCENT (OBSOLETO)'!$C$57:$O$80,'VINCENT (OBSOLETO)'!$C$84:$O$107,'VINCENT (OBSOLETO)'!$C$111:$O$134,'VINCENT (OBSOLETO)'!$C$138:$O$161,'VINCENT (OBSOLETO)'!$C$165:$O$188,'VINCENT (OBSOLETO)'!$C$192:$O$215,'VINCENT (OBSOLETO)'!$C$219:$O$242,'VINCENT (OBSOLETO)'!$C$246:$O$269,'VINCENT (OBSOLETO)'!$C$273:$O$296,'VINCENT (OBSOLETO)'!$C$300:$O$323,'VINCENT (OBSOLETO)'!$C$326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5" hidden="1">0.0001</definedName>
    <definedName name="solver_cvg" localSheetId="4" hidden="1">0.0001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drv" localSheetId="5" hidden="1">1</definedName>
    <definedName name="solver_drv" localSheetId="4" hidden="1">2</definedName>
    <definedName name="solver_eng" localSheetId="2" hidden="1">1</definedName>
    <definedName name="solver_eng" localSheetId="3" hidden="1">1</definedName>
    <definedName name="solver_eng" localSheetId="5" hidden="1">2</definedName>
    <definedName name="solver_eng" localSheetId="4" hidden="1">2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5" hidden="1">1</definedName>
    <definedName name="solver_est" localSheetId="4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5" hidden="1">2147483647</definedName>
    <definedName name="solver_itr" localSheetId="4" hidden="1">2147483647</definedName>
    <definedName name="solver_lhs1" localSheetId="0" hidden="1">PER!$AR$34:$BH$633</definedName>
    <definedName name="solver_lhs1" localSheetId="2" hidden="1">'PROTO FINAL'!$C$93:$H$99</definedName>
    <definedName name="solver_lhs1" localSheetId="3" hidden="1">'PROTO NUEVO'!$C$3:$H$9</definedName>
    <definedName name="solver_lhs1" localSheetId="5" hidden="1">'PROTO VINCENT'!$C$12:$E$14</definedName>
    <definedName name="solver_lhs1" localSheetId="4" hidden="1">'VINCENT (OBSOLETO)'!$C$3:$O$26</definedName>
    <definedName name="solver_lhs10" localSheetId="0" hidden="1">PER!$D$487:$S$526</definedName>
    <definedName name="solver_lhs10" localSheetId="2" hidden="1">'PROTO FINAL'!$C$3:$H$9</definedName>
    <definedName name="solver_lhs10" localSheetId="3" hidden="1">'PROTO NUEVO'!$C$74:$H$76</definedName>
    <definedName name="solver_lhs10" localSheetId="4" hidden="1">'VINCENT (OBSOLETO)'!$C$246:$O$269</definedName>
    <definedName name="solver_lhs11" localSheetId="0" hidden="1">PER!$D$531:$S$570</definedName>
    <definedName name="solver_lhs11" localSheetId="2" hidden="1">'PROTO FINAL'!$C$15:$H$21</definedName>
    <definedName name="solver_lhs11" localSheetId="3" hidden="1">'PROTO NUEVO'!$H$106:$H$112</definedName>
    <definedName name="solver_lhs11" localSheetId="4" hidden="1">'VINCENT (OBSOLETO)'!$C$273:$O$296</definedName>
    <definedName name="solver_lhs12" localSheetId="0" hidden="1">PER!$D$575:$S$614</definedName>
    <definedName name="solver_lhs12" localSheetId="2" hidden="1">'PROTO FINAL'!$C$26:$H$32</definedName>
    <definedName name="solver_lhs12" localSheetId="3" hidden="1">'PROTO NUEVO'!$E$82:$H$88</definedName>
    <definedName name="solver_lhs12" localSheetId="4" hidden="1">'VINCENT (OBSOLETO)'!$C$300:$O$323</definedName>
    <definedName name="solver_lhs13" localSheetId="0" hidden="1">PER!$D$619:$S$658</definedName>
    <definedName name="solver_lhs13" localSheetId="2" hidden="1">'PROTO FINAL'!$C$37:$G$43</definedName>
    <definedName name="solver_lhs13" localSheetId="3" hidden="1">'PROTO NUEVO'!$H$94:$H$100</definedName>
    <definedName name="solver_lhs13" localSheetId="4" hidden="1">'VINCENT (OBSOLETO)'!$C$332:$O$355</definedName>
    <definedName name="solver_lhs14" localSheetId="0" hidden="1">PER!$D$663:$S$702</definedName>
    <definedName name="solver_lhs14" localSheetId="2" hidden="1">'PROTO FINAL'!$C$48:$H$54</definedName>
    <definedName name="solver_lhs14" localSheetId="3" hidden="1">'PROTO NUEVO'!#REF!</definedName>
    <definedName name="solver_lhs14" localSheetId="4" hidden="1">'VINCENT (OBSOLETO)'!$C$363:$O$373</definedName>
    <definedName name="solver_lhs15" localSheetId="0" hidden="1">PER!$D$663:$S$702</definedName>
    <definedName name="solver_lhs15" localSheetId="2" hidden="1">'PROTO FINAL'!$C$79:$H$85</definedName>
    <definedName name="solver_lhs15" localSheetId="3" hidden="1">'PROTO NUEVO'!#REF!</definedName>
    <definedName name="solver_lhs15" localSheetId="4" hidden="1">'VINCENT (OBSOLETO)'!$D$380:$O$403</definedName>
    <definedName name="solver_lhs16" localSheetId="0" hidden="1">PER!$D$707:$S$746</definedName>
    <definedName name="solver_lhs16" localSheetId="2" hidden="1">'PROTO FINAL'!$C$61:$H$67</definedName>
    <definedName name="solver_lhs16" localSheetId="4" hidden="1">'VINCENT (OBSOLETO)'!$O$409:$O$432</definedName>
    <definedName name="solver_lhs17" localSheetId="0" hidden="1">PER!$D$751:$S$790</definedName>
    <definedName name="solver_lhs17" localSheetId="2" hidden="1">'PROTO FINAL'!$C$61:$H$67</definedName>
    <definedName name="solver_lhs17" localSheetId="4" hidden="1">'VINCENT (OBSOLETO)'!$O$437:$O$460</definedName>
    <definedName name="solver_lhs18" localSheetId="0" hidden="1">PER!$D$795:$S$834</definedName>
    <definedName name="solver_lhs18" localSheetId="4" hidden="1">'VINCENT (OBSOLETO)'!$D$493:$O$516</definedName>
    <definedName name="solver_lhs19" localSheetId="0" hidden="1">PER!$D$839:$S$878</definedName>
    <definedName name="solver_lhs19" localSheetId="4" hidden="1">'VINCENT (OBSOLETO)'!$D$493:$O$516</definedName>
    <definedName name="solver_lhs2" localSheetId="0" hidden="1">PER!$D$53:$S$92</definedName>
    <definedName name="solver_lhs2" localSheetId="2" hidden="1">'PROTO FINAL'!$D$173:$H$179</definedName>
    <definedName name="solver_lhs2" localSheetId="3" hidden="1">'PROTO NUEVO'!$C$15:$H$21</definedName>
    <definedName name="solver_lhs2" localSheetId="5" hidden="1">'PROTO VINCENT'!$C$28:$E$30</definedName>
    <definedName name="solver_lhs2" localSheetId="4" hidden="1">'VINCENT (OBSOLETO)'!$C$30:$O$53</definedName>
    <definedName name="solver_lhs20" localSheetId="0" hidden="1">PER!$D$883:$S$922</definedName>
    <definedName name="solver_lhs20" localSheetId="4" hidden="1">'VINCENT (OBSOLETO)'!$D$520:$O$543</definedName>
    <definedName name="solver_lhs21" localSheetId="0" hidden="1">PER!$D$927:$S$966</definedName>
    <definedName name="solver_lhs21" localSheetId="4" hidden="1">'VINCENT (OBSOLETO)'!$D$547:$O$570</definedName>
    <definedName name="solver_lhs22" localSheetId="0" hidden="1">PER!$D$971:$S$1010</definedName>
    <definedName name="solver_lhs22" localSheetId="4" hidden="1">'VINCENT (OBSOLETO)'!$D$574:$O$597</definedName>
    <definedName name="solver_lhs23" localSheetId="0" hidden="1">PER!$D$1015:$S$1054</definedName>
    <definedName name="solver_lhs23" localSheetId="4" hidden="1">'VINCENT (OBSOLETO)'!$D$601:$O$624</definedName>
    <definedName name="solver_lhs24" localSheetId="0" hidden="1">PER!$D$1059:$S$1098</definedName>
    <definedName name="solver_lhs24" localSheetId="4" hidden="1">'VINCENT (OBSOLETO)'!$D$628:$O$651</definedName>
    <definedName name="solver_lhs25" localSheetId="4" hidden="1">'VINCENT (OBSOLETO)'!$D$628:$O$651</definedName>
    <definedName name="solver_lhs26" localSheetId="4" hidden="1">'VINCENT (OBSOLETO)'!$D$655:$O$678</definedName>
    <definedName name="solver_lhs27" localSheetId="4" hidden="1">'VINCENT (OBSOLETO)'!$D$682:$O$705</definedName>
    <definedName name="solver_lhs28" localSheetId="4" hidden="1">'VINCENT (OBSOLETO)'!$D$709:$O$732</definedName>
    <definedName name="solver_lhs29" localSheetId="4" hidden="1">'VINCENT (OBSOLETO)'!$D$736:$O$759</definedName>
    <definedName name="solver_lhs3" localSheetId="0" hidden="1">PER!$C$99:$S$138</definedName>
    <definedName name="solver_lhs3" localSheetId="2" hidden="1">'PROTO FINAL'!$D$184:$H$190</definedName>
    <definedName name="solver_lhs3" localSheetId="3" hidden="1">'PROTO NUEVO'!$C$26:$H$32</definedName>
    <definedName name="solver_lhs3" localSheetId="5" hidden="1">'PROTO VINCENT'!$C$36:$E$36</definedName>
    <definedName name="solver_lhs3" localSheetId="4" hidden="1">'VINCENT (OBSOLETO)'!$C$57:$O$80</definedName>
    <definedName name="solver_lhs4" localSheetId="0" hidden="1">PER!$C$161:$S$200</definedName>
    <definedName name="solver_lhs4" localSheetId="2" hidden="1">'PROTO FINAL'!$D$195:$H$201</definedName>
    <definedName name="solver_lhs4" localSheetId="3" hidden="1">'PROTO NUEVO'!$C$51:$G$57</definedName>
    <definedName name="solver_lhs4" localSheetId="5" hidden="1">'PROTO VINCENT'!$C$43:$D$45</definedName>
    <definedName name="solver_lhs4" localSheetId="4" hidden="1">'VINCENT (OBSOLETO)'!$C$84:$O$107</definedName>
    <definedName name="solver_lhs5" localSheetId="0" hidden="1">PER!$C$205:$S$219</definedName>
    <definedName name="solver_lhs5" localSheetId="2" hidden="1">'PROTO FINAL'!$C$104:$H$106</definedName>
    <definedName name="solver_lhs5" localSheetId="3" hidden="1">'PROTO NUEVO'!$C$37:$H$43</definedName>
    <definedName name="solver_lhs5" localSheetId="5" hidden="1">'PROTO VINCENT'!$C$51:$C$53</definedName>
    <definedName name="solver_lhs5" localSheetId="4" hidden="1">'VINCENT (OBSOLETO)'!$C$111:$O$134</definedName>
    <definedName name="solver_lhs6" localSheetId="0" hidden="1">PER!$E$226:$S$265</definedName>
    <definedName name="solver_lhs6" localSheetId="2" hidden="1">'PROTO FINAL'!$H$138:$H$144</definedName>
    <definedName name="solver_lhs6" localSheetId="3" hidden="1">'PROTO NUEVO'!$C$63:$H$69</definedName>
    <definedName name="solver_lhs6" localSheetId="5" hidden="1">'PROTO VINCENT'!$C$5:$E$7</definedName>
    <definedName name="solver_lhs6" localSheetId="4" hidden="1">'VINCENT (OBSOLETO)'!$C$138:$O$161</definedName>
    <definedName name="solver_lhs7" localSheetId="0" hidden="1">PER!$S$269:$S$308</definedName>
    <definedName name="solver_lhs7" localSheetId="2" hidden="1">'PROTO FINAL'!$E$114:$G$120</definedName>
    <definedName name="solver_lhs7" localSheetId="3" hidden="1">'PROTO NUEVO'!$D$117:$H$123</definedName>
    <definedName name="solver_lhs7" localSheetId="5" hidden="1">'PROTO VINCENT'!$C$60:$C$62</definedName>
    <definedName name="solver_lhs7" localSheetId="4" hidden="1">'VINCENT (OBSOLETO)'!$C$165:$O$188</definedName>
    <definedName name="solver_lhs8" localSheetId="0" hidden="1">PER!$S$312:$S$351</definedName>
    <definedName name="solver_lhs8" localSheetId="2" hidden="1">'PROTO FINAL'!$H$126:$H$132</definedName>
    <definedName name="solver_lhs8" localSheetId="3" hidden="1">'PROTO NUEVO'!$D$128:$H$134</definedName>
    <definedName name="solver_lhs8" localSheetId="5" hidden="1">'PROTO VINCENT'!$C$69:$D$71</definedName>
    <definedName name="solver_lhs8" localSheetId="4" hidden="1">'VINCENT (OBSOLETO)'!$C$192:$O$215</definedName>
    <definedName name="solver_lhs9" localSheetId="0" hidden="1">PER!$D$444:$S$483</definedName>
    <definedName name="solver_lhs9" localSheetId="2" hidden="1">'PROTO FINAL'!$C$150:$H$156</definedName>
    <definedName name="solver_lhs9" localSheetId="3" hidden="1">'PROTO NUEVO'!$D$139:$H$145</definedName>
    <definedName name="solver_lhs9" localSheetId="4" hidden="1">'VINCENT (OBSOLETO)'!$C$219:$O$242</definedName>
    <definedName name="solver_mip" localSheetId="5" hidden="1">2147483647</definedName>
    <definedName name="solver_mip" localSheetId="4" hidden="1">2147483647</definedName>
    <definedName name="solver_mni" localSheetId="5" hidden="1">30</definedName>
    <definedName name="solver_mni" localSheetId="4" hidden="1">30</definedName>
    <definedName name="solver_mrt" localSheetId="5" hidden="1">0.075</definedName>
    <definedName name="solver_mrt" localSheetId="4" hidden="1">"0,075"</definedName>
    <definedName name="solver_msl" localSheetId="5" hidden="1">2</definedName>
    <definedName name="solver_msl" localSheetId="4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5" hidden="1">1</definedName>
    <definedName name="solver_neg" localSheetId="4" hidden="1">0</definedName>
    <definedName name="solver_nod" localSheetId="5" hidden="1">2147483647</definedName>
    <definedName name="solver_nod" localSheetId="4" hidden="1">2147483647</definedName>
    <definedName name="solver_num" localSheetId="0" hidden="1">24</definedName>
    <definedName name="solver_num" localSheetId="2" hidden="1">16</definedName>
    <definedName name="solver_num" localSheetId="3" hidden="1">13</definedName>
    <definedName name="solver_num" localSheetId="5" hidden="1">8</definedName>
    <definedName name="solver_num" localSheetId="4" hidden="1">17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5" hidden="1">1</definedName>
    <definedName name="solver_nwt" localSheetId="4" hidden="1">1</definedName>
    <definedName name="solver_opt" localSheetId="0" hidden="1">PER!$S$37</definedName>
    <definedName name="solver_opt" localSheetId="2" hidden="1">'PROTO FINAL'!$G$71</definedName>
    <definedName name="solver_opt" localSheetId="3" hidden="1">'PROTO NUEVO'!$M$46</definedName>
    <definedName name="solver_opt" localSheetId="5" hidden="1">'PROTO VINCENT'!$C$77</definedName>
    <definedName name="solver_opt" localSheetId="4" hidden="1">'VINCENT (OBSOLETO)'!$E$328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5" hidden="1">0.000001</definedName>
    <definedName name="solver_pre" localSheetId="4" hidden="1">0.000001</definedName>
    <definedName name="solver_rbv" localSheetId="5" hidden="1">1</definedName>
    <definedName name="solver_rbv" localSheetId="4" hidden="1">2</definedName>
    <definedName name="solver_rel1" localSheetId="0" hidden="1">5</definedName>
    <definedName name="solver_rel1" localSheetId="2" hidden="1">1</definedName>
    <definedName name="solver_rel1" localSheetId="3" hidden="1">5</definedName>
    <definedName name="solver_rel1" localSheetId="5" hidden="1">5</definedName>
    <definedName name="solver_rel1" localSheetId="4" hidden="1">5</definedName>
    <definedName name="solver_rel10" localSheetId="0" hidden="1">3</definedName>
    <definedName name="solver_rel10" localSheetId="2" hidden="1">5</definedName>
    <definedName name="solver_rel10" localSheetId="3" hidden="1">2</definedName>
    <definedName name="solver_rel10" localSheetId="4" hidden="1">5</definedName>
    <definedName name="solver_rel11" localSheetId="0" hidden="1">3</definedName>
    <definedName name="solver_rel11" localSheetId="2" hidden="1">5</definedName>
    <definedName name="solver_rel11" localSheetId="3" hidden="1">3</definedName>
    <definedName name="solver_rel11" localSheetId="4" hidden="1">5</definedName>
    <definedName name="solver_rel12" localSheetId="0" hidden="1">3</definedName>
    <definedName name="solver_rel12" localSheetId="2" hidden="1">5</definedName>
    <definedName name="solver_rel12" localSheetId="3" hidden="1">1</definedName>
    <definedName name="solver_rel12" localSheetId="4" hidden="1">5</definedName>
    <definedName name="solver_rel13" localSheetId="0" hidden="1">3</definedName>
    <definedName name="solver_rel13" localSheetId="2" hidden="1">5</definedName>
    <definedName name="solver_rel13" localSheetId="3" hidden="1">1</definedName>
    <definedName name="solver_rel13" localSheetId="4" hidden="1">2</definedName>
    <definedName name="solver_rel14" localSheetId="0" hidden="1">3</definedName>
    <definedName name="solver_rel14" localSheetId="2" hidden="1">5</definedName>
    <definedName name="solver_rel14" localSheetId="3" hidden="1">5</definedName>
    <definedName name="solver_rel14" localSheetId="4" hidden="1">2</definedName>
    <definedName name="solver_rel15" localSheetId="0" hidden="1">3</definedName>
    <definedName name="solver_rel15" localSheetId="2" hidden="1">3</definedName>
    <definedName name="solver_rel15" localSheetId="3" hidden="1">3</definedName>
    <definedName name="solver_rel15" localSheetId="4" hidden="1">1</definedName>
    <definedName name="solver_rel16" localSheetId="0" hidden="1">3</definedName>
    <definedName name="solver_rel16" localSheetId="2" hidden="1">5</definedName>
    <definedName name="solver_rel16" localSheetId="4" hidden="1">3</definedName>
    <definedName name="solver_rel17" localSheetId="0" hidden="1">3</definedName>
    <definedName name="solver_rel17" localSheetId="2" hidden="1">5</definedName>
    <definedName name="solver_rel17" localSheetId="4" hidden="1">1</definedName>
    <definedName name="solver_rel18" localSheetId="0" hidden="1">3</definedName>
    <definedName name="solver_rel18" localSheetId="4" hidden="1">2</definedName>
    <definedName name="solver_rel19" localSheetId="0" hidden="1">3</definedName>
    <definedName name="solver_rel19" localSheetId="4" hidden="1">1</definedName>
    <definedName name="solver_rel2" localSheetId="0" hidden="1">5</definedName>
    <definedName name="solver_rel2" localSheetId="2" hidden="1">3</definedName>
    <definedName name="solver_rel2" localSheetId="3" hidden="1">5</definedName>
    <definedName name="solver_rel2" localSheetId="5" hidden="1">2</definedName>
    <definedName name="solver_rel2" localSheetId="4" hidden="1">5</definedName>
    <definedName name="solver_rel20" localSheetId="0" hidden="1">3</definedName>
    <definedName name="solver_rel20" localSheetId="4" hidden="1">1</definedName>
    <definedName name="solver_rel21" localSheetId="0" hidden="1">3</definedName>
    <definedName name="solver_rel21" localSheetId="4" hidden="1">1</definedName>
    <definedName name="solver_rel22" localSheetId="0" hidden="1">3</definedName>
    <definedName name="solver_rel22" localSheetId="4" hidden="1">1</definedName>
    <definedName name="solver_rel23" localSheetId="0" hidden="1">3</definedName>
    <definedName name="solver_rel23" localSheetId="4" hidden="1">1</definedName>
    <definedName name="solver_rel24" localSheetId="0" hidden="1">3</definedName>
    <definedName name="solver_rel24" localSheetId="4" hidden="1">1</definedName>
    <definedName name="solver_rel25" localSheetId="4" hidden="1">1</definedName>
    <definedName name="solver_rel26" localSheetId="4" hidden="1">1</definedName>
    <definedName name="solver_rel27" localSheetId="4" hidden="1">1</definedName>
    <definedName name="solver_rel28" localSheetId="4" hidden="1">1</definedName>
    <definedName name="solver_rel29" localSheetId="4" hidden="1">1</definedName>
    <definedName name="solver_rel3" localSheetId="0" hidden="1">5</definedName>
    <definedName name="solver_rel3" localSheetId="2" hidden="1">3</definedName>
    <definedName name="solver_rel3" localSheetId="3" hidden="1">5</definedName>
    <definedName name="solver_rel3" localSheetId="5" hidden="1">2</definedName>
    <definedName name="solver_rel3" localSheetId="4" hidden="1">5</definedName>
    <definedName name="solver_rel4" localSheetId="0" hidden="1">2</definedName>
    <definedName name="solver_rel4" localSheetId="2" hidden="1">3</definedName>
    <definedName name="solver_rel4" localSheetId="3" hidden="1">5</definedName>
    <definedName name="solver_rel4" localSheetId="5" hidden="1">1</definedName>
    <definedName name="solver_rel4" localSheetId="4" hidden="1">5</definedName>
    <definedName name="solver_rel5" localSheetId="0" hidden="1">2</definedName>
    <definedName name="solver_rel5" localSheetId="2" hidden="1">2</definedName>
    <definedName name="solver_rel5" localSheetId="3" hidden="1">5</definedName>
    <definedName name="solver_rel5" localSheetId="5" hidden="1">3</definedName>
    <definedName name="solver_rel5" localSheetId="4" hidden="1">5</definedName>
    <definedName name="solver_rel6" localSheetId="0" hidden="1">1</definedName>
    <definedName name="solver_rel6" localSheetId="2" hidden="1">3</definedName>
    <definedName name="solver_rel6" localSheetId="3" hidden="1">2</definedName>
    <definedName name="solver_rel6" localSheetId="5" hidden="1">5</definedName>
    <definedName name="solver_rel6" localSheetId="4" hidden="1">5</definedName>
    <definedName name="solver_rel7" localSheetId="0" hidden="1">1</definedName>
    <definedName name="solver_rel7" localSheetId="2" hidden="1">1</definedName>
    <definedName name="solver_rel7" localSheetId="3" hidden="1">3</definedName>
    <definedName name="solver_rel7" localSheetId="5" hidden="1">1</definedName>
    <definedName name="solver_rel7" localSheetId="4" hidden="1">5</definedName>
    <definedName name="solver_rel8" localSheetId="0" hidden="1">3</definedName>
    <definedName name="solver_rel8" localSheetId="2" hidden="1">1</definedName>
    <definedName name="solver_rel8" localSheetId="3" hidden="1">3</definedName>
    <definedName name="solver_rel8" localSheetId="5" hidden="1">1</definedName>
    <definedName name="solver_rel8" localSheetId="4" hidden="1">5</definedName>
    <definedName name="solver_rel9" localSheetId="0" hidden="1">3</definedName>
    <definedName name="solver_rel9" localSheetId="2" hidden="1">3</definedName>
    <definedName name="solver_rel9" localSheetId="3" hidden="1">3</definedName>
    <definedName name="solver_rel9" localSheetId="4" hidden="1">5</definedName>
    <definedName name="solver_rhs1" localSheetId="0" hidden="1">binary</definedName>
    <definedName name="solver_rhs1" localSheetId="2" hidden="1">'PROTO FINAL'!$K$93:$P$99</definedName>
    <definedName name="solver_rhs1" localSheetId="3" hidden="1">binary</definedName>
    <definedName name="solver_rhs1" localSheetId="5" hidden="1">"binario"</definedName>
    <definedName name="solver_rhs1" localSheetId="4" hidden="1">binary</definedName>
    <definedName name="solver_rhs10" localSheetId="0" hidden="1">PER!$W$487:$AL$526</definedName>
    <definedName name="solver_rhs10" localSheetId="2" hidden="1">binary</definedName>
    <definedName name="solver_rhs10" localSheetId="3" hidden="1">'PROTO NUEVO'!$K$74:$P$76</definedName>
    <definedName name="solver_rhs10" localSheetId="4" hidden="1">binary</definedName>
    <definedName name="solver_rhs11" localSheetId="0" hidden="1">PER!$W$531:$AL$570</definedName>
    <definedName name="solver_rhs11" localSheetId="2" hidden="1">binary</definedName>
    <definedName name="solver_rhs11" localSheetId="3" hidden="1">'PROTO NUEVO'!$K$106:$K$112</definedName>
    <definedName name="solver_rhs11" localSheetId="4" hidden="1">binary</definedName>
    <definedName name="solver_rhs12" localSheetId="0" hidden="1">PER!$W$575:$AL$614</definedName>
    <definedName name="solver_rhs12" localSheetId="2" hidden="1">binary</definedName>
    <definedName name="solver_rhs12" localSheetId="3" hidden="1">'PROTO NUEVO'!$K$82:$N$88</definedName>
    <definedName name="solver_rhs12" localSheetId="4" hidden="1">binary</definedName>
    <definedName name="solver_rhs13" localSheetId="0" hidden="1">PER!$W$619:$AL$658</definedName>
    <definedName name="solver_rhs13" localSheetId="2" hidden="1">binary</definedName>
    <definedName name="solver_rhs13" localSheetId="3" hidden="1">'PROTO NUEVO'!$K$94:$K$100</definedName>
    <definedName name="solver_rhs13" localSheetId="4" hidden="1">'VINCENT (OBSOLETO)'!$R$332:$AD$355</definedName>
    <definedName name="solver_rhs14" localSheetId="0" hidden="1">PER!$W$663:$AL$702</definedName>
    <definedName name="solver_rhs14" localSheetId="2" hidden="1">binary</definedName>
    <definedName name="solver_rhs14" localSheetId="3" hidden="1">binary</definedName>
    <definedName name="solver_rhs14" localSheetId="4" hidden="1">'VINCENT (OBSOLETO)'!$R$363:$AD$373</definedName>
    <definedName name="solver_rhs15" localSheetId="0" hidden="1">PER!$W$663:$AL$702</definedName>
    <definedName name="solver_rhs15" localSheetId="2" hidden="1">'PROTO FINAL'!$K$79:$P$85</definedName>
    <definedName name="solver_rhs15" localSheetId="3" hidden="1">'PROTO NUEVO'!#REF!</definedName>
    <definedName name="solver_rhs15" localSheetId="4" hidden="1">'VINCENT (OBSOLETO)'!$R$380:$AC$403</definedName>
    <definedName name="solver_rhs16" localSheetId="0" hidden="1">PER!$W$707:$AL$746</definedName>
    <definedName name="solver_rhs16" localSheetId="2" hidden="1">binary</definedName>
    <definedName name="solver_rhs16" localSheetId="4" hidden="1">'VINCENT (OBSOLETO)'!$Q$409:$Q$432</definedName>
    <definedName name="solver_rhs17" localSheetId="0" hidden="1">PER!$W$751:$AL$790</definedName>
    <definedName name="solver_rhs17" localSheetId="2" hidden="1">binary</definedName>
    <definedName name="solver_rhs17" localSheetId="4" hidden="1">'VINCENT (OBSOLETO)'!$Q$437:$Q$460</definedName>
    <definedName name="solver_rhs18" localSheetId="0" hidden="1">PER!$W$795:$AL$834</definedName>
    <definedName name="solver_rhs18" localSheetId="4" hidden="1">'VINCENT (OBSOLETO)'!$R$493:$AC$516</definedName>
    <definedName name="solver_rhs19" localSheetId="0" hidden="1">PER!$W$839:$AL$878</definedName>
    <definedName name="solver_rhs19" localSheetId="4" hidden="1">'VINCENT (OBSOLETO)'!$R$493:$AC$516</definedName>
    <definedName name="solver_rhs2" localSheetId="0" hidden="1">binary</definedName>
    <definedName name="solver_rhs2" localSheetId="2" hidden="1">'PROTO FINAL'!$K$173:$O$179</definedName>
    <definedName name="solver_rhs2" localSheetId="3" hidden="1">binary</definedName>
    <definedName name="solver_rhs2" localSheetId="5" hidden="1">'PROTO VINCENT'!$H$28:$J$30</definedName>
    <definedName name="solver_rhs2" localSheetId="4" hidden="1">binary</definedName>
    <definedName name="solver_rhs20" localSheetId="0" hidden="1">PER!$W$883:$AL$922</definedName>
    <definedName name="solver_rhs20" localSheetId="4" hidden="1">'VINCENT (OBSOLETO)'!$R$520:$AC$543</definedName>
    <definedName name="solver_rhs21" localSheetId="0" hidden="1">PER!$W$927:$AL$966</definedName>
    <definedName name="solver_rhs21" localSheetId="4" hidden="1">'VINCENT (OBSOLETO)'!$R$547:$AC$570</definedName>
    <definedName name="solver_rhs22" localSheetId="0" hidden="1">PER!$W$971:$AL$1010</definedName>
    <definedName name="solver_rhs22" localSheetId="4" hidden="1">'VINCENT (OBSOLETO)'!$R$574:$AC$597</definedName>
    <definedName name="solver_rhs23" localSheetId="0" hidden="1">PER!$W$1015:$AL$1054</definedName>
    <definedName name="solver_rhs23" localSheetId="4" hidden="1">'VINCENT (OBSOLETO)'!$R$601:$AC$624</definedName>
    <definedName name="solver_rhs24" localSheetId="0" hidden="1">PER!$W$1059:$AL$1098</definedName>
    <definedName name="solver_rhs24" localSheetId="4" hidden="1">'VINCENT (OBSOLETO)'!$R$628:$AC$651</definedName>
    <definedName name="solver_rhs25" localSheetId="4" hidden="1">'VINCENT (OBSOLETO)'!$R$628:$AC$651</definedName>
    <definedName name="solver_rhs26" localSheetId="4" hidden="1">'VINCENT (OBSOLETO)'!$R$655:$AC$678</definedName>
    <definedName name="solver_rhs27" localSheetId="4" hidden="1">'VINCENT (OBSOLETO)'!$R$682:$AC$705</definedName>
    <definedName name="solver_rhs28" localSheetId="4" hidden="1">'VINCENT (OBSOLETO)'!$R$709:$AC$732</definedName>
    <definedName name="solver_rhs29" localSheetId="4" hidden="1">'VINCENT (OBSOLETO)'!$R$736:$AC$759</definedName>
    <definedName name="solver_rhs3" localSheetId="0" hidden="1">binary</definedName>
    <definedName name="solver_rhs3" localSheetId="2" hidden="1">'PROTO FINAL'!$K$184:$O$190</definedName>
    <definedName name="solver_rhs3" localSheetId="3" hidden="1">binary</definedName>
    <definedName name="solver_rhs3" localSheetId="5" hidden="1">'PROTO VINCENT'!$H$36:$J$36</definedName>
    <definedName name="solver_rhs3" localSheetId="4" hidden="1">binary</definedName>
    <definedName name="solver_rhs4" localSheetId="0" hidden="1">PER!$W$161:$AM$200</definedName>
    <definedName name="solver_rhs4" localSheetId="2" hidden="1">'PROTO FINAL'!$K$195:$O$201</definedName>
    <definedName name="solver_rhs4" localSheetId="3" hidden="1">binary</definedName>
    <definedName name="solver_rhs4" localSheetId="5" hidden="1">'PROTO VINCENT'!$G$43:$H$45</definedName>
    <definedName name="solver_rhs4" localSheetId="4" hidden="1">binary</definedName>
    <definedName name="solver_rhs5" localSheetId="0" hidden="1">PER!$W$205:$AM$219</definedName>
    <definedName name="solver_rhs5" localSheetId="2" hidden="1">'PROTO FINAL'!$K$104:$P$106</definedName>
    <definedName name="solver_rhs5" localSheetId="3" hidden="1">binary</definedName>
    <definedName name="solver_rhs5" localSheetId="5" hidden="1">'PROTO VINCENT'!$F$51:$F$53</definedName>
    <definedName name="solver_rhs5" localSheetId="4" hidden="1">binary</definedName>
    <definedName name="solver_rhs6" localSheetId="0" hidden="1">PER!$W$226:$AK$265</definedName>
    <definedName name="solver_rhs6" localSheetId="2" hidden="1">'PROTO FINAL'!$K$138:$K$144</definedName>
    <definedName name="solver_rhs6" localSheetId="3" hidden="1">'PROTO NUEVO'!$K$63:$P$69</definedName>
    <definedName name="solver_rhs6" localSheetId="5" hidden="1">"binario"</definedName>
    <definedName name="solver_rhs6" localSheetId="4" hidden="1">binary</definedName>
    <definedName name="solver_rhs7" localSheetId="0" hidden="1">PER!$W$269:$W$308</definedName>
    <definedName name="solver_rhs7" localSheetId="2" hidden="1">'PROTO FINAL'!$K$114:$M$120</definedName>
    <definedName name="solver_rhs7" localSheetId="3" hidden="1">'PROTO NUEVO'!$K$117:$O$123</definedName>
    <definedName name="solver_rhs7" localSheetId="5" hidden="1">'PROTO VINCENT'!$E$60:$E$62</definedName>
    <definedName name="solver_rhs7" localSheetId="4" hidden="1">binary</definedName>
    <definedName name="solver_rhs8" localSheetId="0" hidden="1">PER!$W$312:$W$351</definedName>
    <definedName name="solver_rhs8" localSheetId="2" hidden="1">'PROTO FINAL'!$K$126:$K$132</definedName>
    <definedName name="solver_rhs8" localSheetId="3" hidden="1">'PROTO NUEVO'!$K$128:$O$134</definedName>
    <definedName name="solver_rhs8" localSheetId="5" hidden="1">'PROTO VINCENT'!$G$69:$H$71</definedName>
    <definedName name="solver_rhs8" localSheetId="4" hidden="1">binary</definedName>
    <definedName name="solver_rhs9" localSheetId="0" hidden="1">PER!$W$444:$AL$483</definedName>
    <definedName name="solver_rhs9" localSheetId="2" hidden="1">'PROTO FINAL'!$K$150:$P$156</definedName>
    <definedName name="solver_rhs9" localSheetId="3" hidden="1">'PROTO NUEVO'!$K$139:$O$145</definedName>
    <definedName name="solver_rhs9" localSheetId="4" hidden="1">binary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5" hidden="1">2</definedName>
    <definedName name="solver_rlx" localSheetId="4" hidden="1">2</definedName>
    <definedName name="solver_rsd" localSheetId="5" hidden="1">0</definedName>
    <definedName name="solver_rsd" localSheetId="4" hidden="1">0</definedName>
    <definedName name="solver_scl" localSheetId="0" hidden="1">2</definedName>
    <definedName name="solver_scl" localSheetId="2" hidden="1">2</definedName>
    <definedName name="solver_scl" localSheetId="3" hidden="1">2</definedName>
    <definedName name="solver_scl" localSheetId="5" hidden="1">1</definedName>
    <definedName name="solver_scl" localSheetId="4" hidden="1">2</definedName>
    <definedName name="solver_sho" localSheetId="0" hidden="1">0</definedName>
    <definedName name="solver_sho" localSheetId="2" hidden="1">0</definedName>
    <definedName name="solver_sho" localSheetId="3" hidden="1">0</definedName>
    <definedName name="solver_sho" localSheetId="5" hidden="1">2</definedName>
    <definedName name="solver_sho" localSheetId="4" hidden="1">1</definedName>
    <definedName name="solver_ssz" localSheetId="5" hidden="1">100</definedName>
    <definedName name="solver_ssz" localSheetId="4" hidden="1">100</definedName>
    <definedName name="solver_tim" localSheetId="0" hidden="1">600</definedName>
    <definedName name="solver_tim" localSheetId="2" hidden="1">10</definedName>
    <definedName name="solver_tim" localSheetId="3" hidden="1">10</definedName>
    <definedName name="solver_tim" localSheetId="5" hidden="1">2147483647</definedName>
    <definedName name="solver_tim" localSheetId="4" hidden="1">60</definedName>
    <definedName name="solver_tol" localSheetId="0" hidden="1">0.05</definedName>
    <definedName name="solver_tol" localSheetId="2" hidden="1">0.01</definedName>
    <definedName name="solver_tol" localSheetId="3" hidden="1">0.01</definedName>
    <definedName name="solver_tol" localSheetId="5" hidden="1">0.01</definedName>
    <definedName name="solver_tol" localSheetId="4" hidden="1">0.01</definedName>
    <definedName name="solver_typ" localSheetId="0" hidden="1">2</definedName>
    <definedName name="solver_typ" localSheetId="2" hidden="1">2</definedName>
    <definedName name="solver_typ" localSheetId="3" hidden="1">2</definedName>
    <definedName name="solver_typ" localSheetId="5" hidden="1">2</definedName>
    <definedName name="solver_typ" localSheetId="4" hidden="1">2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5" hidden="1">0</definedName>
    <definedName name="solver_val" localSheetId="4" hidden="1">0</definedName>
    <definedName name="solver_ver" localSheetId="2" hidden="1">3</definedName>
    <definedName name="solver_ver" localSheetId="3" hidden="1">3</definedName>
    <definedName name="solver_ver" localSheetId="5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" l="1" a="1"/>
  <c r="C41" i="6"/>
  <c r="D41" i="6" a="1"/>
  <c r="D41" i="6"/>
  <c r="E41" i="6" a="1"/>
  <c r="E41" i="6"/>
  <c r="F41" i="6" a="1"/>
  <c r="F41" i="6"/>
  <c r="G41" i="6" a="1"/>
  <c r="G41" i="6"/>
  <c r="H41" i="6" a="1"/>
  <c r="H41" i="6"/>
  <c r="I41" i="6" a="1"/>
  <c r="I41" i="6"/>
  <c r="J41" i="6" a="1"/>
  <c r="J41" i="6"/>
  <c r="K41" i="6" a="1"/>
  <c r="K41" i="6"/>
  <c r="L41" i="6" a="1"/>
  <c r="L41" i="6"/>
  <c r="M41" i="6" a="1"/>
  <c r="M41" i="6"/>
  <c r="N41" i="6" a="1"/>
  <c r="N41" i="6"/>
  <c r="O41" i="6" a="1"/>
  <c r="O41" i="6"/>
  <c r="P41" i="6" a="1"/>
  <c r="P41" i="6"/>
  <c r="Q41" i="6" a="1"/>
  <c r="Q41" i="6"/>
  <c r="R41" i="6" a="1"/>
  <c r="R41" i="6"/>
  <c r="S41" i="6" a="1"/>
  <c r="S41" i="6"/>
  <c r="C42" i="6" a="1"/>
  <c r="C42" i="6"/>
  <c r="D42" i="6" a="1"/>
  <c r="D42" i="6"/>
  <c r="E42" i="6" a="1"/>
  <c r="E42" i="6"/>
  <c r="F42" i="6" a="1"/>
  <c r="F42" i="6"/>
  <c r="G42" i="6" a="1"/>
  <c r="G42" i="6"/>
  <c r="H42" i="6" a="1"/>
  <c r="H42" i="6"/>
  <c r="I42" i="6" a="1"/>
  <c r="I42" i="6"/>
  <c r="J42" i="6" a="1"/>
  <c r="J42" i="6"/>
  <c r="K42" i="6" a="1"/>
  <c r="K42" i="6"/>
  <c r="L42" i="6" a="1"/>
  <c r="L42" i="6"/>
  <c r="M42" i="6" a="1"/>
  <c r="M42" i="6"/>
  <c r="N42" i="6" a="1"/>
  <c r="N42" i="6" s="1"/>
  <c r="O42" i="6" a="1"/>
  <c r="O42" i="6" s="1"/>
  <c r="P42" i="6" a="1"/>
  <c r="P42" i="6" s="1"/>
  <c r="Q42" i="6" a="1"/>
  <c r="Q42" i="6" s="1"/>
  <c r="R42" i="6" a="1"/>
  <c r="R42" i="6" s="1"/>
  <c r="S42" i="6" a="1"/>
  <c r="S42" i="6" s="1"/>
  <c r="C4" i="6" a="1"/>
  <c r="C4" i="6" s="1"/>
  <c r="D4" i="6" a="1"/>
  <c r="D4" i="6" s="1"/>
  <c r="E4" i="6" a="1"/>
  <c r="E4" i="6" s="1"/>
  <c r="F4" i="6" a="1"/>
  <c r="F4" i="6" s="1"/>
  <c r="G4" i="6" a="1"/>
  <c r="G4" i="6" s="1"/>
  <c r="H4" i="6" a="1"/>
  <c r="H4" i="6" s="1"/>
  <c r="I4" i="6" a="1"/>
  <c r="I4" i="6" s="1"/>
  <c r="J4" i="6" a="1"/>
  <c r="J4" i="6" s="1"/>
  <c r="K4" i="6" a="1"/>
  <c r="K4" i="6" s="1"/>
  <c r="L4" i="6" a="1"/>
  <c r="L4" i="6" s="1"/>
  <c r="M4" i="6" a="1"/>
  <c r="M4" i="6" s="1"/>
  <c r="N4" i="6" a="1"/>
  <c r="N4" i="6" s="1"/>
  <c r="O4" i="6" a="1"/>
  <c r="O4" i="6" s="1"/>
  <c r="P4" i="6" a="1"/>
  <c r="P4" i="6" s="1"/>
  <c r="Q4" i="6" a="1"/>
  <c r="Q4" i="6" s="1"/>
  <c r="R4" i="6" a="1"/>
  <c r="R4" i="6" s="1"/>
  <c r="S4" i="6" a="1"/>
  <c r="S4" i="6" s="1"/>
  <c r="C5" i="6" a="1"/>
  <c r="C5" i="6" s="1"/>
  <c r="D5" i="6" a="1"/>
  <c r="D5" i="6" s="1"/>
  <c r="E5" i="6" a="1"/>
  <c r="E5" i="6" s="1"/>
  <c r="F5" i="6" a="1"/>
  <c r="F5" i="6" s="1"/>
  <c r="G5" i="6" a="1"/>
  <c r="G5" i="6" s="1"/>
  <c r="H5" i="6" a="1"/>
  <c r="H5" i="6" s="1"/>
  <c r="I5" i="6" a="1"/>
  <c r="I5" i="6" s="1"/>
  <c r="J5" i="6" a="1"/>
  <c r="J5" i="6" s="1"/>
  <c r="K5" i="6" a="1"/>
  <c r="K5" i="6" s="1"/>
  <c r="L5" i="6" a="1"/>
  <c r="L5" i="6" s="1"/>
  <c r="M5" i="6" a="1"/>
  <c r="M5" i="6" s="1"/>
  <c r="N5" i="6" a="1"/>
  <c r="N5" i="6" s="1"/>
  <c r="O5" i="6" a="1"/>
  <c r="O5" i="6" s="1"/>
  <c r="P5" i="6" a="1"/>
  <c r="P5" i="6" s="1"/>
  <c r="Q5" i="6" a="1"/>
  <c r="Q5" i="6" s="1"/>
  <c r="R5" i="6" a="1"/>
  <c r="R5" i="6" s="1"/>
  <c r="S5" i="6" a="1"/>
  <c r="S5" i="6" s="1"/>
  <c r="C6" i="6" a="1"/>
  <c r="C6" i="6" s="1"/>
  <c r="D6" i="6" a="1"/>
  <c r="D6" i="6" s="1"/>
  <c r="E6" i="6" a="1"/>
  <c r="E6" i="6" s="1"/>
  <c r="F6" i="6" a="1"/>
  <c r="F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S6" i="6" a="1"/>
  <c r="S6" i="6" s="1"/>
  <c r="C7" i="6" a="1"/>
  <c r="C7" i="6" s="1"/>
  <c r="D7" i="6" a="1"/>
  <c r="D7" i="6" s="1"/>
  <c r="E7" i="6" a="1"/>
  <c r="E7" i="6" s="1"/>
  <c r="F7" i="6" a="1"/>
  <c r="F7" i="6" s="1"/>
  <c r="G7" i="6" a="1"/>
  <c r="G7" i="6" s="1"/>
  <c r="H7" i="6" a="1"/>
  <c r="H7" i="6" s="1"/>
  <c r="I7" i="6" a="1"/>
  <c r="I7" i="6" s="1"/>
  <c r="J7" i="6" a="1"/>
  <c r="J7" i="6" s="1"/>
  <c r="K7" i="6" a="1"/>
  <c r="K7" i="6" s="1"/>
  <c r="L7" i="6" a="1"/>
  <c r="L7" i="6" s="1"/>
  <c r="M7" i="6" a="1"/>
  <c r="M7" i="6" s="1"/>
  <c r="N7" i="6" a="1"/>
  <c r="N7" i="6" s="1"/>
  <c r="O7" i="6" a="1"/>
  <c r="O7" i="6" s="1"/>
  <c r="P7" i="6" a="1"/>
  <c r="P7" i="6" s="1"/>
  <c r="Q7" i="6" a="1"/>
  <c r="Q7" i="6" s="1"/>
  <c r="R7" i="6" a="1"/>
  <c r="R7" i="6" s="1"/>
  <c r="S7" i="6" a="1"/>
  <c r="S7" i="6" s="1"/>
  <c r="C8" i="6" a="1"/>
  <c r="C8" i="6" s="1"/>
  <c r="D8" i="6" a="1"/>
  <c r="D8" i="6" s="1"/>
  <c r="E8" i="6" a="1"/>
  <c r="E8" i="6" s="1"/>
  <c r="F8" i="6" a="1"/>
  <c r="F8" i="6" s="1"/>
  <c r="G8" i="6" a="1"/>
  <c r="G8" i="6" s="1"/>
  <c r="H8" i="6" a="1"/>
  <c r="H8" i="6" s="1"/>
  <c r="I8" i="6" a="1"/>
  <c r="I8" i="6" s="1"/>
  <c r="J8" i="6" a="1"/>
  <c r="J8" i="6" s="1"/>
  <c r="K8" i="6" a="1"/>
  <c r="K8" i="6" s="1"/>
  <c r="L8" i="6" a="1"/>
  <c r="L8" i="6" s="1"/>
  <c r="M8" i="6" a="1"/>
  <c r="M8" i="6" s="1"/>
  <c r="N8" i="6" a="1"/>
  <c r="N8" i="6" s="1"/>
  <c r="O8" i="6" a="1"/>
  <c r="O8" i="6" s="1"/>
  <c r="P8" i="6" a="1"/>
  <c r="P8" i="6" s="1"/>
  <c r="Q8" i="6" a="1"/>
  <c r="Q8" i="6" s="1"/>
  <c r="R8" i="6" a="1"/>
  <c r="R8" i="6" s="1"/>
  <c r="S8" i="6" a="1"/>
  <c r="S8" i="6" s="1"/>
  <c r="C9" i="6" a="1"/>
  <c r="C9" i="6" s="1"/>
  <c r="D9" i="6" a="1"/>
  <c r="D9" i="6" s="1"/>
  <c r="E9" i="6" a="1"/>
  <c r="E9" i="6" s="1"/>
  <c r="F9" i="6" a="1"/>
  <c r="F9" i="6" s="1"/>
  <c r="G9" i="6" a="1"/>
  <c r="G9" i="6" s="1"/>
  <c r="H9" i="6" a="1"/>
  <c r="H9" i="6" s="1"/>
  <c r="I9" i="6" a="1"/>
  <c r="I9" i="6" s="1"/>
  <c r="J9" i="6" a="1"/>
  <c r="J9" i="6" s="1"/>
  <c r="K9" i="6" a="1"/>
  <c r="K9" i="6" s="1"/>
  <c r="L9" i="6" a="1"/>
  <c r="L9" i="6" s="1"/>
  <c r="M9" i="6" a="1"/>
  <c r="M9" i="6" s="1"/>
  <c r="N9" i="6" a="1"/>
  <c r="N9" i="6" s="1"/>
  <c r="O9" i="6" a="1"/>
  <c r="O9" i="6" s="1"/>
  <c r="P9" i="6" a="1"/>
  <c r="P9" i="6" s="1"/>
  <c r="Q9" i="6" a="1"/>
  <c r="Q9" i="6" s="1"/>
  <c r="R9" i="6" a="1"/>
  <c r="R9" i="6" s="1"/>
  <c r="S9" i="6" a="1"/>
  <c r="S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J10" i="6" a="1"/>
  <c r="J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C11" i="6" a="1"/>
  <c r="C11" i="6" s="1"/>
  <c r="D11" i="6" a="1"/>
  <c r="D11" i="6" s="1"/>
  <c r="E11" i="6" a="1"/>
  <c r="E11" i="6" s="1"/>
  <c r="F11" i="6" a="1"/>
  <c r="F11" i="6" s="1"/>
  <c r="G11" i="6" a="1"/>
  <c r="G11" i="6" s="1"/>
  <c r="H11" i="6" a="1"/>
  <c r="H11" i="6" s="1"/>
  <c r="I11" i="6" a="1"/>
  <c r="I11" i="6" s="1"/>
  <c r="J11" i="6" a="1"/>
  <c r="J11" i="6" s="1"/>
  <c r="K11" i="6" a="1"/>
  <c r="K11" i="6" s="1"/>
  <c r="L11" i="6" a="1"/>
  <c r="L11" i="6" s="1"/>
  <c r="M11" i="6" a="1"/>
  <c r="M11" i="6" s="1"/>
  <c r="N11" i="6" a="1"/>
  <c r="N11" i="6" s="1"/>
  <c r="O11" i="6" a="1"/>
  <c r="O11" i="6" s="1"/>
  <c r="P11" i="6" a="1"/>
  <c r="P11" i="6" s="1"/>
  <c r="Q11" i="6" a="1"/>
  <c r="Q11" i="6" s="1"/>
  <c r="R11" i="6" a="1"/>
  <c r="R11" i="6" s="1"/>
  <c r="S11" i="6" a="1"/>
  <c r="S11" i="6" s="1"/>
  <c r="C12" i="6" a="1"/>
  <c r="C12" i="6" s="1"/>
  <c r="D12" i="6" a="1"/>
  <c r="D12" i="6" s="1"/>
  <c r="E12" i="6" a="1"/>
  <c r="E12" i="6" s="1"/>
  <c r="F12" i="6" a="1"/>
  <c r="F12" i="6" s="1"/>
  <c r="G12" i="6" a="1"/>
  <c r="G12" i="6" s="1"/>
  <c r="H12" i="6" a="1"/>
  <c r="H12" i="6" s="1"/>
  <c r="I12" i="6" a="1"/>
  <c r="I12" i="6" s="1"/>
  <c r="J12" i="6" a="1"/>
  <c r="J12" i="6" s="1"/>
  <c r="K12" i="6" a="1"/>
  <c r="K12" i="6" s="1"/>
  <c r="L12" i="6" a="1"/>
  <c r="L12" i="6" s="1"/>
  <c r="M12" i="6" a="1"/>
  <c r="M12" i="6" s="1"/>
  <c r="N12" i="6" a="1"/>
  <c r="N12" i="6" s="1"/>
  <c r="O12" i="6" a="1"/>
  <c r="O12" i="6" s="1"/>
  <c r="P12" i="6" a="1"/>
  <c r="P12" i="6" s="1"/>
  <c r="Q12" i="6" a="1"/>
  <c r="Q12" i="6" s="1"/>
  <c r="R12" i="6" a="1"/>
  <c r="R12" i="6" s="1"/>
  <c r="S12" i="6" a="1"/>
  <c r="S12" i="6" s="1"/>
  <c r="C13" i="6" a="1"/>
  <c r="C13" i="6" s="1"/>
  <c r="D13" i="6" a="1"/>
  <c r="D13" i="6" s="1"/>
  <c r="E13" i="6" a="1"/>
  <c r="E13" i="6" s="1"/>
  <c r="F13" i="6" a="1"/>
  <c r="F13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M13" i="6" a="1"/>
  <c r="M13" i="6" s="1"/>
  <c r="N13" i="6" a="1"/>
  <c r="N13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C14" i="6" a="1"/>
  <c r="C14" i="6" s="1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M14" i="6" a="1"/>
  <c r="M14" i="6" s="1"/>
  <c r="N14" i="6" a="1"/>
  <c r="N14" i="6" s="1"/>
  <c r="O14" i="6" a="1"/>
  <c r="O14" i="6" s="1"/>
  <c r="P14" i="6" a="1"/>
  <c r="P14" i="6" s="1"/>
  <c r="Q14" i="6" a="1"/>
  <c r="Q14" i="6" s="1"/>
  <c r="R14" i="6" a="1"/>
  <c r="R14" i="6" s="1"/>
  <c r="S14" i="6" a="1"/>
  <c r="S14" i="6" s="1"/>
  <c r="C15" i="6" a="1"/>
  <c r="C15" i="6" s="1"/>
  <c r="D15" i="6" a="1"/>
  <c r="D15" i="6" s="1"/>
  <c r="E15" i="6" a="1"/>
  <c r="E15" i="6" s="1"/>
  <c r="F15" i="6" a="1"/>
  <c r="F15" i="6" s="1"/>
  <c r="G15" i="6" a="1"/>
  <c r="G15" i="6" s="1"/>
  <c r="H15" i="6" a="1"/>
  <c r="H15" i="6" s="1"/>
  <c r="I15" i="6" a="1"/>
  <c r="I15" i="6" s="1"/>
  <c r="J15" i="6" a="1"/>
  <c r="J15" i="6" s="1"/>
  <c r="K15" i="6" a="1"/>
  <c r="K15" i="6" s="1"/>
  <c r="L15" i="6" a="1"/>
  <c r="L15" i="6" s="1"/>
  <c r="M15" i="6" a="1"/>
  <c r="M15" i="6" s="1"/>
  <c r="N15" i="6" a="1"/>
  <c r="N15" i="6" s="1"/>
  <c r="O15" i="6" a="1"/>
  <c r="O15" i="6" s="1"/>
  <c r="P15" i="6" a="1"/>
  <c r="P15" i="6" s="1"/>
  <c r="Q15" i="6" a="1"/>
  <c r="Q15" i="6" s="1"/>
  <c r="R15" i="6" a="1"/>
  <c r="R15" i="6" s="1"/>
  <c r="S15" i="6" a="1"/>
  <c r="S15" i="6" s="1"/>
  <c r="C16" i="6" a="1"/>
  <c r="C16" i="6" s="1"/>
  <c r="D16" i="6" a="1"/>
  <c r="D16" i="6" s="1"/>
  <c r="E16" i="6" a="1"/>
  <c r="E16" i="6" s="1"/>
  <c r="F16" i="6" a="1"/>
  <c r="F16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M16" i="6" a="1"/>
  <c r="M16" i="6" s="1"/>
  <c r="N16" i="6" a="1"/>
  <c r="N16" i="6" s="1"/>
  <c r="O16" i="6" a="1"/>
  <c r="O16" i="6" s="1"/>
  <c r="P16" i="6" a="1"/>
  <c r="P16" i="6" s="1"/>
  <c r="Q16" i="6" a="1"/>
  <c r="Q16" i="6" s="1"/>
  <c r="R16" i="6" a="1"/>
  <c r="R16" i="6" s="1"/>
  <c r="S16" i="6" a="1"/>
  <c r="S16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M17" i="6" a="1"/>
  <c r="M17" i="6" s="1"/>
  <c r="N17" i="6" a="1"/>
  <c r="N17" i="6" s="1"/>
  <c r="O17" i="6" a="1"/>
  <c r="O17" i="6" s="1"/>
  <c r="P17" i="6" a="1"/>
  <c r="P17" i="6" s="1"/>
  <c r="Q17" i="6" a="1"/>
  <c r="Q17" i="6" s="1"/>
  <c r="R17" i="6" a="1"/>
  <c r="R17" i="6" s="1"/>
  <c r="S17" i="6" a="1"/>
  <c r="S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R18" i="6" a="1"/>
  <c r="R18" i="6" s="1"/>
  <c r="S18" i="6" a="1"/>
  <c r="S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S19" i="6" a="1"/>
  <c r="S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H20" i="6" a="1"/>
  <c r="H20" i="6" s="1"/>
  <c r="I20" i="6" a="1"/>
  <c r="I20" i="6" s="1"/>
  <c r="J20" i="6" a="1"/>
  <c r="J20" i="6" s="1"/>
  <c r="K20" i="6" a="1"/>
  <c r="K20" i="6" s="1"/>
  <c r="L20" i="6" a="1"/>
  <c r="L20" i="6" s="1"/>
  <c r="M20" i="6" a="1"/>
  <c r="M20" i="6" s="1"/>
  <c r="N20" i="6" a="1"/>
  <c r="N20" i="6" s="1"/>
  <c r="O20" i="6" a="1"/>
  <c r="O20" i="6" s="1"/>
  <c r="P20" i="6" a="1"/>
  <c r="P20" i="6" s="1"/>
  <c r="Q20" i="6" a="1"/>
  <c r="Q20" i="6" s="1"/>
  <c r="R20" i="6" a="1"/>
  <c r="R20" i="6" s="1"/>
  <c r="S20" i="6" a="1"/>
  <c r="S20" i="6" s="1"/>
  <c r="C21" i="6" a="1"/>
  <c r="C21" i="6" s="1"/>
  <c r="D21" i="6" a="1"/>
  <c r="D21" i="6" s="1"/>
  <c r="E21" i="6" a="1"/>
  <c r="E21" i="6" s="1"/>
  <c r="F21" i="6" a="1"/>
  <c r="F21" i="6" s="1"/>
  <c r="G21" i="6" a="1"/>
  <c r="G21" i="6" s="1"/>
  <c r="H21" i="6" a="1"/>
  <c r="H21" i="6" s="1"/>
  <c r="I21" i="6" a="1"/>
  <c r="I21" i="6" s="1"/>
  <c r="J21" i="6" a="1"/>
  <c r="J21" i="6" s="1"/>
  <c r="K21" i="6" a="1"/>
  <c r="K21" i="6" s="1"/>
  <c r="L21" i="6" a="1"/>
  <c r="L21" i="6" s="1"/>
  <c r="M21" i="6" a="1"/>
  <c r="M21" i="6" s="1"/>
  <c r="N21" i="6" a="1"/>
  <c r="N21" i="6" s="1"/>
  <c r="O21" i="6" a="1"/>
  <c r="O21" i="6" s="1"/>
  <c r="P21" i="6" a="1"/>
  <c r="P21" i="6" s="1"/>
  <c r="Q21" i="6" a="1"/>
  <c r="Q21" i="6" s="1"/>
  <c r="R21" i="6" a="1"/>
  <c r="R21" i="6" s="1"/>
  <c r="S21" i="6" a="1"/>
  <c r="S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C24" i="6" a="1"/>
  <c r="C24" i="6" s="1"/>
  <c r="D24" i="6" a="1"/>
  <c r="D24" i="6" s="1"/>
  <c r="E24" i="6" a="1"/>
  <c r="E24" i="6" s="1"/>
  <c r="F24" i="6" a="1"/>
  <c r="F24" i="6" s="1"/>
  <c r="G24" i="6" a="1"/>
  <c r="G24" i="6" s="1"/>
  <c r="H24" i="6" a="1"/>
  <c r="H24" i="6" s="1"/>
  <c r="I24" i="6" a="1"/>
  <c r="I24" i="6" s="1"/>
  <c r="J24" i="6" a="1"/>
  <c r="J24" i="6" s="1"/>
  <c r="K24" i="6" a="1"/>
  <c r="K24" i="6" s="1"/>
  <c r="L24" i="6" a="1"/>
  <c r="L24" i="6" s="1"/>
  <c r="M24" i="6" a="1"/>
  <c r="M24" i="6" s="1"/>
  <c r="N24" i="6" a="1"/>
  <c r="N24" i="6" s="1"/>
  <c r="O24" i="6" a="1"/>
  <c r="O24" i="6" s="1"/>
  <c r="P24" i="6" a="1"/>
  <c r="P24" i="6" s="1"/>
  <c r="Q24" i="6" a="1"/>
  <c r="Q24" i="6" s="1"/>
  <c r="R24" i="6" a="1"/>
  <c r="R24" i="6" s="1"/>
  <c r="S24" i="6" a="1"/>
  <c r="S24" i="6" s="1"/>
  <c r="C25" i="6" a="1"/>
  <c r="C25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L27" i="6" a="1"/>
  <c r="L27" i="6" s="1"/>
  <c r="M27" i="6" a="1"/>
  <c r="M27" i="6" s="1"/>
  <c r="N27" i="6" a="1"/>
  <c r="N27" i="6" s="1"/>
  <c r="O27" i="6" a="1"/>
  <c r="O27" i="6" s="1"/>
  <c r="P27" i="6" a="1"/>
  <c r="P27" i="6" s="1"/>
  <c r="Q27" i="6" a="1"/>
  <c r="Q27" i="6" s="1"/>
  <c r="R27" i="6" a="1"/>
  <c r="R27" i="6" s="1"/>
  <c r="S27" i="6" a="1"/>
  <c r="S27" i="6" s="1"/>
  <c r="C28" i="6" a="1"/>
  <c r="C28" i="6" s="1"/>
  <c r="D28" i="6" a="1"/>
  <c r="D28" i="6" s="1"/>
  <c r="E28" i="6" a="1"/>
  <c r="E28" i="6" s="1"/>
  <c r="F28" i="6" a="1"/>
  <c r="F28" i="6" s="1"/>
  <c r="G28" i="6" a="1"/>
  <c r="G28" i="6" s="1"/>
  <c r="H28" i="6" a="1"/>
  <c r="H28" i="6" s="1"/>
  <c r="I28" i="6" a="1"/>
  <c r="I28" i="6" s="1"/>
  <c r="J28" i="6" a="1"/>
  <c r="J28" i="6" s="1"/>
  <c r="K28" i="6" a="1"/>
  <c r="K28" i="6" s="1"/>
  <c r="L28" i="6" a="1"/>
  <c r="L28" i="6" s="1"/>
  <c r="M28" i="6" a="1"/>
  <c r="M28" i="6" s="1"/>
  <c r="N28" i="6" a="1"/>
  <c r="N28" i="6" s="1"/>
  <c r="O28" i="6" a="1"/>
  <c r="O28" i="6" s="1"/>
  <c r="P28" i="6" a="1"/>
  <c r="P28" i="6" s="1"/>
  <c r="Q28" i="6" a="1"/>
  <c r="Q28" i="6" s="1"/>
  <c r="R28" i="6" a="1"/>
  <c r="R28" i="6" s="1"/>
  <c r="S28" i="6" a="1"/>
  <c r="S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C31" i="6" a="1"/>
  <c r="C31" i="6" s="1"/>
  <c r="D31" i="6" a="1"/>
  <c r="D31" i="6" s="1"/>
  <c r="E31" i="6" a="1"/>
  <c r="E31" i="6" s="1"/>
  <c r="F31" i="6" a="1"/>
  <c r="F31" i="6" s="1"/>
  <c r="G31" i="6" a="1"/>
  <c r="G31" i="6" s="1"/>
  <c r="H31" i="6" a="1"/>
  <c r="H31" i="6" s="1"/>
  <c r="I31" i="6" a="1"/>
  <c r="I31" i="6" s="1"/>
  <c r="J31" i="6" a="1"/>
  <c r="J31" i="6" s="1"/>
  <c r="K31" i="6" a="1"/>
  <c r="K31" i="6" s="1"/>
  <c r="L31" i="6" a="1"/>
  <c r="L31" i="6" s="1"/>
  <c r="M31" i="6" a="1"/>
  <c r="M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C32" i="6" a="1"/>
  <c r="C32" i="6" s="1"/>
  <c r="D32" i="6" a="1"/>
  <c r="D32" i="6" s="1"/>
  <c r="E32" i="6" a="1"/>
  <c r="E32" i="6" s="1"/>
  <c r="F32" i="6" a="1"/>
  <c r="F32" i="6" s="1"/>
  <c r="G32" i="6" a="1"/>
  <c r="G32" i="6" s="1"/>
  <c r="H32" i="6" a="1"/>
  <c r="H32" i="6" s="1"/>
  <c r="I32" i="6" a="1"/>
  <c r="I32" i="6" s="1"/>
  <c r="J32" i="6" a="1"/>
  <c r="J32" i="6" s="1"/>
  <c r="K32" i="6" a="1"/>
  <c r="K32" i="6" s="1"/>
  <c r="L32" i="6" a="1"/>
  <c r="L32" i="6" s="1"/>
  <c r="M32" i="6" a="1"/>
  <c r="M32" i="6" s="1"/>
  <c r="N32" i="6" a="1"/>
  <c r="N32" i="6" s="1"/>
  <c r="O32" i="6" a="1"/>
  <c r="O32" i="6" s="1"/>
  <c r="P32" i="6" a="1"/>
  <c r="P32" i="6" s="1"/>
  <c r="Q32" i="6" a="1"/>
  <c r="Q32" i="6" s="1"/>
  <c r="R32" i="6" a="1"/>
  <c r="R32" i="6" s="1"/>
  <c r="S32" i="6" a="1"/>
  <c r="S32" i="6" s="1"/>
  <c r="C33" i="6" a="1"/>
  <c r="C33" i="6" s="1"/>
  <c r="D33" i="6" a="1"/>
  <c r="D33" i="6" s="1"/>
  <c r="E33" i="6" a="1"/>
  <c r="E33" i="6" s="1"/>
  <c r="F33" i="6" a="1"/>
  <c r="F33" i="6" s="1"/>
  <c r="G33" i="6" a="1"/>
  <c r="G33" i="6" s="1"/>
  <c r="H33" i="6" a="1"/>
  <c r="H33" i="6" s="1"/>
  <c r="I33" i="6" a="1"/>
  <c r="I33" i="6" s="1"/>
  <c r="J33" i="6" a="1"/>
  <c r="J33" i="6" s="1"/>
  <c r="K33" i="6" a="1"/>
  <c r="K33" i="6" s="1"/>
  <c r="L33" i="6" a="1"/>
  <c r="L33" i="6" s="1"/>
  <c r="M33" i="6" a="1"/>
  <c r="M33" i="6" s="1"/>
  <c r="N33" i="6" a="1"/>
  <c r="N33" i="6" s="1"/>
  <c r="O33" i="6" a="1"/>
  <c r="O33" i="6" s="1"/>
  <c r="P33" i="6" a="1"/>
  <c r="P33" i="6" s="1"/>
  <c r="Q33" i="6" a="1"/>
  <c r="Q33" i="6" s="1"/>
  <c r="R33" i="6" a="1"/>
  <c r="R33" i="6" s="1"/>
  <c r="S33" i="6" a="1"/>
  <c r="S33" i="6" s="1"/>
  <c r="C34" i="6" a="1"/>
  <c r="C34" i="6" s="1"/>
  <c r="D34" i="6" a="1"/>
  <c r="D34" i="6" s="1"/>
  <c r="E34" i="6" a="1"/>
  <c r="E34" i="6" s="1"/>
  <c r="F34" i="6" a="1"/>
  <c r="F34" i="6" s="1"/>
  <c r="G34" i="6" a="1"/>
  <c r="G34" i="6" s="1"/>
  <c r="H34" i="6" a="1"/>
  <c r="H34" i="6" s="1"/>
  <c r="I34" i="6" a="1"/>
  <c r="I34" i="6" s="1"/>
  <c r="J34" i="6" a="1"/>
  <c r="J34" i="6" s="1"/>
  <c r="K34" i="6" a="1"/>
  <c r="K34" i="6" s="1"/>
  <c r="L34" i="6" a="1"/>
  <c r="L34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H35" i="6" a="1"/>
  <c r="H35" i="6" s="1"/>
  <c r="I35" i="6" a="1"/>
  <c r="I35" i="6" s="1"/>
  <c r="J35" i="6" a="1"/>
  <c r="J35" i="6" s="1"/>
  <c r="K35" i="6" a="1"/>
  <c r="K35" i="6" s="1"/>
  <c r="L35" i="6" a="1"/>
  <c r="L35" i="6" s="1"/>
  <c r="M35" i="6" a="1"/>
  <c r="M35" i="6" s="1"/>
  <c r="N35" i="6" a="1"/>
  <c r="N35" i="6" s="1"/>
  <c r="O35" i="6" a="1"/>
  <c r="O35" i="6" s="1"/>
  <c r="P35" i="6" a="1"/>
  <c r="P35" i="6" s="1"/>
  <c r="Q35" i="6" a="1"/>
  <c r="Q35" i="6" s="1"/>
  <c r="R35" i="6" a="1"/>
  <c r="R35" i="6" s="1"/>
  <c r="S35" i="6" a="1"/>
  <c r="S35" i="6" s="1"/>
  <c r="C36" i="6" a="1"/>
  <c r="C36" i="6" s="1"/>
  <c r="D36" i="6" a="1"/>
  <c r="D36" i="6" s="1"/>
  <c r="E36" i="6" a="1"/>
  <c r="E36" i="6" s="1"/>
  <c r="F36" i="6" a="1"/>
  <c r="F36" i="6" s="1"/>
  <c r="G36" i="6" a="1"/>
  <c r="G36" i="6" s="1"/>
  <c r="H36" i="6" a="1"/>
  <c r="H36" i="6" s="1"/>
  <c r="I36" i="6" a="1"/>
  <c r="I36" i="6" s="1"/>
  <c r="J36" i="6" a="1"/>
  <c r="J36" i="6" s="1"/>
  <c r="K36" i="6" a="1"/>
  <c r="K36" i="6" s="1"/>
  <c r="L36" i="6" a="1"/>
  <c r="L36" i="6" s="1"/>
  <c r="M36" i="6" a="1"/>
  <c r="M36" i="6" s="1"/>
  <c r="N36" i="6" a="1"/>
  <c r="N36" i="6" s="1"/>
  <c r="O36" i="6" a="1"/>
  <c r="O36" i="6" s="1"/>
  <c r="P36" i="6" a="1"/>
  <c r="P36" i="6" s="1"/>
  <c r="Q36" i="6" a="1"/>
  <c r="Q36" i="6" s="1"/>
  <c r="R36" i="6" a="1"/>
  <c r="R36" i="6" s="1"/>
  <c r="S36" i="6" a="1"/>
  <c r="S36" i="6" s="1"/>
  <c r="C37" i="6" a="1"/>
  <c r="C37" i="6" s="1"/>
  <c r="D37" i="6" a="1"/>
  <c r="D37" i="6" s="1"/>
  <c r="E37" i="6" a="1"/>
  <c r="E37" i="6" s="1"/>
  <c r="F37" i="6" a="1"/>
  <c r="F37" i="6" s="1"/>
  <c r="G37" i="6" a="1"/>
  <c r="G37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C38" i="6" a="1"/>
  <c r="C38" i="6" s="1"/>
  <c r="D38" i="6" a="1"/>
  <c r="D38" i="6" s="1"/>
  <c r="E38" i="6" a="1"/>
  <c r="E3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C39" i="6" a="1"/>
  <c r="C39" i="6" s="1"/>
  <c r="D39" i="6" a="1"/>
  <c r="D39" i="6" s="1"/>
  <c r="E39" i="6" a="1"/>
  <c r="E39" i="6" s="1"/>
  <c r="F39" i="6" a="1"/>
  <c r="F39" i="6" s="1"/>
  <c r="G39" i="6" a="1"/>
  <c r="G39" i="6" s="1"/>
  <c r="H39" i="6" a="1"/>
  <c r="H39" i="6" s="1"/>
  <c r="I39" i="6" a="1"/>
  <c r="I39" i="6" s="1"/>
  <c r="J39" i="6" a="1"/>
  <c r="J39" i="6" s="1"/>
  <c r="K39" i="6" a="1"/>
  <c r="K39" i="6" s="1"/>
  <c r="L39" i="6" a="1"/>
  <c r="L39" i="6" s="1"/>
  <c r="M39" i="6" a="1"/>
  <c r="M39" i="6" s="1"/>
  <c r="N39" i="6" a="1"/>
  <c r="N39" i="6" s="1"/>
  <c r="O39" i="6" a="1"/>
  <c r="O39" i="6" s="1"/>
  <c r="P39" i="6" a="1"/>
  <c r="P39" i="6" s="1"/>
  <c r="Q39" i="6" a="1"/>
  <c r="Q39" i="6" s="1"/>
  <c r="R39" i="6" a="1"/>
  <c r="R39" i="6" s="1"/>
  <c r="S39" i="6" a="1"/>
  <c r="S39" i="6" s="1"/>
  <c r="C40" i="6" a="1"/>
  <c r="C40" i="6" s="1"/>
  <c r="D40" i="6" a="1"/>
  <c r="D40" i="6" s="1"/>
  <c r="E40" i="6" a="1"/>
  <c r="E40" i="6" s="1"/>
  <c r="F40" i="6" a="1"/>
  <c r="F40" i="6" s="1"/>
  <c r="G40" i="6" a="1"/>
  <c r="G40" i="6" s="1"/>
  <c r="H40" i="6" a="1"/>
  <c r="H40" i="6" s="1"/>
  <c r="I40" i="6" a="1"/>
  <c r="I40" i="6" s="1"/>
  <c r="J40" i="6" a="1"/>
  <c r="J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D3" i="6" a="1"/>
  <c r="D3" i="6" s="1"/>
  <c r="E3" i="6" a="1"/>
  <c r="E3" i="6" s="1"/>
  <c r="F3" i="6" a="1"/>
  <c r="F3" i="6" s="1"/>
  <c r="G3" i="6" a="1"/>
  <c r="G3" i="6" s="1"/>
  <c r="H3" i="6" a="1"/>
  <c r="H3" i="6" s="1"/>
  <c r="I3" i="6" a="1"/>
  <c r="I3" i="6" s="1"/>
  <c r="J3" i="6" a="1"/>
  <c r="J3" i="6" s="1"/>
  <c r="K3" i="6" a="1"/>
  <c r="K3" i="6" s="1"/>
  <c r="L3" i="6" a="1"/>
  <c r="L3" i="6" s="1"/>
  <c r="M3" i="6" a="1"/>
  <c r="M3" i="6" s="1"/>
  <c r="N3" i="6" a="1"/>
  <c r="N3" i="6" s="1"/>
  <c r="O3" i="6" a="1"/>
  <c r="O3" i="6" s="1"/>
  <c r="P3" i="6" a="1"/>
  <c r="P3" i="6" s="1"/>
  <c r="Q3" i="6" a="1"/>
  <c r="Q3" i="6" s="1"/>
  <c r="R3" i="6" a="1"/>
  <c r="R3" i="6" s="1"/>
  <c r="S3" i="6" a="1"/>
  <c r="S3" i="6" s="1"/>
  <c r="C3" i="6" a="1"/>
  <c r="C3" i="6" s="1"/>
  <c r="AP34" i="7"/>
  <c r="AP594" i="7"/>
  <c r="AP554" i="7"/>
  <c r="AP514" i="7"/>
  <c r="AP474" i="7"/>
  <c r="AP434" i="7"/>
  <c r="AP394" i="7"/>
  <c r="AP354" i="7"/>
  <c r="AP314" i="7"/>
  <c r="AP274" i="7"/>
  <c r="AP234" i="7"/>
  <c r="AP194" i="7"/>
  <c r="AP154" i="7"/>
  <c r="AP114" i="7"/>
  <c r="AP74" i="7"/>
  <c r="S37" i="7"/>
  <c r="G71" i="5"/>
  <c r="P153" i="5"/>
  <c r="AM367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AK360" i="7"/>
  <c r="AL360" i="7"/>
  <c r="AM360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AK361" i="7"/>
  <c r="AL361" i="7"/>
  <c r="AM361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AK362" i="7"/>
  <c r="AL362" i="7"/>
  <c r="AM362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AK363" i="7"/>
  <c r="AL363" i="7"/>
  <c r="AM363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AK364" i="7"/>
  <c r="AL364" i="7"/>
  <c r="AM364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AK365" i="7"/>
  <c r="AL365" i="7"/>
  <c r="AM365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AK366" i="7"/>
  <c r="AL366" i="7"/>
  <c r="AM366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AK367" i="7"/>
  <c r="AL367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AK368" i="7"/>
  <c r="AL368" i="7"/>
  <c r="AM368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AK369" i="7"/>
  <c r="AL369" i="7"/>
  <c r="AM369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AK370" i="7"/>
  <c r="AL370" i="7"/>
  <c r="AM370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AK371" i="7"/>
  <c r="AL371" i="7"/>
  <c r="AM371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AK372" i="7"/>
  <c r="AL372" i="7"/>
  <c r="AM372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AK373" i="7"/>
  <c r="AL373" i="7"/>
  <c r="AM373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AK374" i="7"/>
  <c r="AL374" i="7"/>
  <c r="AM374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AK375" i="7"/>
  <c r="AL375" i="7"/>
  <c r="AM375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AK376" i="7"/>
  <c r="AL376" i="7"/>
  <c r="AM376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AK377" i="7"/>
  <c r="AL377" i="7"/>
  <c r="AM377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AK378" i="7"/>
  <c r="AL378" i="7"/>
  <c r="AM378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AK379" i="7"/>
  <c r="AL379" i="7"/>
  <c r="AM379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AK380" i="7"/>
  <c r="AL380" i="7"/>
  <c r="AM380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AK381" i="7"/>
  <c r="AL381" i="7"/>
  <c r="AM381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AK382" i="7"/>
  <c r="AL382" i="7"/>
  <c r="AM382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AK383" i="7"/>
  <c r="AL383" i="7"/>
  <c r="AM383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AK384" i="7"/>
  <c r="AL384" i="7"/>
  <c r="AM384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AK385" i="7"/>
  <c r="AL385" i="7"/>
  <c r="AM385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AK386" i="7"/>
  <c r="AL386" i="7"/>
  <c r="AM386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AK387" i="7"/>
  <c r="AL387" i="7"/>
  <c r="AM387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AK388" i="7"/>
  <c r="AL388" i="7"/>
  <c r="AM388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AK389" i="7"/>
  <c r="AL389" i="7"/>
  <c r="AM389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AK390" i="7"/>
  <c r="AL390" i="7"/>
  <c r="AM390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AK391" i="7"/>
  <c r="AL391" i="7"/>
  <c r="AM391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AK392" i="7"/>
  <c r="AL392" i="7"/>
  <c r="AM392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AK393" i="7"/>
  <c r="AL393" i="7"/>
  <c r="AM393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AK394" i="7"/>
  <c r="AL394" i="7"/>
  <c r="AM394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AJ395" i="7"/>
  <c r="AK395" i="7"/>
  <c r="AL395" i="7"/>
  <c r="AM395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AK396" i="7"/>
  <c r="AL396" i="7"/>
  <c r="AM396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AK397" i="7"/>
  <c r="AL397" i="7"/>
  <c r="AM397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AJ398" i="7"/>
  <c r="AK398" i="7"/>
  <c r="AL398" i="7"/>
  <c r="AM398" i="7"/>
  <c r="AM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AK359" i="7"/>
  <c r="AL359" i="7"/>
  <c r="X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59" i="7"/>
  <c r="L150" i="5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372" i="7"/>
  <c r="V371" i="7"/>
  <c r="V370" i="7"/>
  <c r="V369" i="7"/>
  <c r="V368" i="7"/>
  <c r="V367" i="7"/>
  <c r="V366" i="7"/>
  <c r="V365" i="7"/>
  <c r="V364" i="7"/>
  <c r="V363" i="7"/>
  <c r="V362" i="7"/>
  <c r="V361" i="7"/>
  <c r="V360" i="7"/>
  <c r="V359" i="7"/>
  <c r="AM358" i="7"/>
  <c r="AL358" i="7"/>
  <c r="AK358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S98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12" i="7"/>
  <c r="S269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12" i="7"/>
  <c r="V351" i="7"/>
  <c r="R351" i="7"/>
  <c r="V350" i="7"/>
  <c r="R350" i="7"/>
  <c r="V349" i="7"/>
  <c r="R349" i="7"/>
  <c r="V348" i="7"/>
  <c r="R348" i="7"/>
  <c r="V347" i="7"/>
  <c r="R347" i="7"/>
  <c r="V346" i="7"/>
  <c r="R346" i="7"/>
  <c r="V345" i="7"/>
  <c r="R345" i="7"/>
  <c r="V344" i="7"/>
  <c r="R344" i="7"/>
  <c r="V343" i="7"/>
  <c r="R343" i="7"/>
  <c r="V342" i="7"/>
  <c r="R342" i="7"/>
  <c r="V341" i="7"/>
  <c r="R341" i="7"/>
  <c r="V340" i="7"/>
  <c r="R340" i="7"/>
  <c r="V339" i="7"/>
  <c r="R339" i="7"/>
  <c r="V338" i="7"/>
  <c r="R338" i="7"/>
  <c r="V337" i="7"/>
  <c r="R337" i="7"/>
  <c r="V336" i="7"/>
  <c r="R336" i="7"/>
  <c r="V335" i="7"/>
  <c r="R335" i="7"/>
  <c r="V334" i="7"/>
  <c r="R334" i="7"/>
  <c r="V333" i="7"/>
  <c r="R333" i="7"/>
  <c r="V332" i="7"/>
  <c r="R332" i="7"/>
  <c r="V331" i="7"/>
  <c r="R331" i="7"/>
  <c r="V330" i="7"/>
  <c r="R330" i="7"/>
  <c r="V329" i="7"/>
  <c r="R329" i="7"/>
  <c r="V328" i="7"/>
  <c r="R328" i="7"/>
  <c r="V327" i="7"/>
  <c r="R327" i="7"/>
  <c r="V326" i="7"/>
  <c r="R326" i="7"/>
  <c r="V325" i="7"/>
  <c r="R325" i="7"/>
  <c r="V324" i="7"/>
  <c r="R324" i="7"/>
  <c r="V323" i="7"/>
  <c r="R323" i="7"/>
  <c r="V322" i="7"/>
  <c r="R322" i="7"/>
  <c r="V321" i="7"/>
  <c r="R321" i="7"/>
  <c r="V320" i="7"/>
  <c r="R320" i="7"/>
  <c r="V319" i="7"/>
  <c r="R319" i="7"/>
  <c r="V318" i="7"/>
  <c r="R318" i="7"/>
  <c r="V317" i="7"/>
  <c r="R317" i="7"/>
  <c r="V316" i="7"/>
  <c r="R316" i="7"/>
  <c r="V315" i="7"/>
  <c r="R315" i="7"/>
  <c r="V314" i="7"/>
  <c r="R314" i="7"/>
  <c r="V313" i="7"/>
  <c r="R313" i="7"/>
  <c r="V312" i="7"/>
  <c r="R312" i="7"/>
  <c r="W26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H127" i="5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K115" i="5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S226" i="7"/>
  <c r="R226" i="7"/>
  <c r="Q226" i="7"/>
  <c r="P226" i="7"/>
  <c r="O226" i="7"/>
  <c r="N226" i="7"/>
  <c r="L226" i="7"/>
  <c r="M226" i="7"/>
  <c r="K226" i="7"/>
  <c r="J226" i="7"/>
  <c r="I226" i="7"/>
  <c r="H226" i="7"/>
  <c r="G226" i="7"/>
  <c r="F226" i="7"/>
  <c r="E226" i="7"/>
  <c r="W225" i="7" a="1"/>
  <c r="W225" i="7" s="1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E225" i="7" a="1"/>
  <c r="E225" i="7" s="1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K206" i="7"/>
  <c r="AL206" i="7"/>
  <c r="AM206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/>
  <c r="AL211" i="7"/>
  <c r="AM211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K212" i="7"/>
  <c r="AL212" i="7"/>
  <c r="AM212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K214" i="7"/>
  <c r="AL214" i="7"/>
  <c r="AM214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K219" i="7"/>
  <c r="AL219" i="7"/>
  <c r="AM219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W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C161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K166" i="7"/>
  <c r="AL166" i="7"/>
  <c r="AM166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K191" i="7"/>
  <c r="AL191" i="7"/>
  <c r="AM191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W16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O173" i="5"/>
  <c r="D1060" i="7"/>
  <c r="E1060" i="7"/>
  <c r="F1060" i="7"/>
  <c r="G1060" i="7"/>
  <c r="H1060" i="7"/>
  <c r="I1060" i="7"/>
  <c r="J1060" i="7"/>
  <c r="K1060" i="7"/>
  <c r="L1060" i="7"/>
  <c r="M1060" i="7"/>
  <c r="N1060" i="7"/>
  <c r="O1060" i="7"/>
  <c r="P1060" i="7"/>
  <c r="Q1060" i="7"/>
  <c r="R1060" i="7"/>
  <c r="S1060" i="7"/>
  <c r="D1061" i="7"/>
  <c r="E1061" i="7"/>
  <c r="F1061" i="7"/>
  <c r="G1061" i="7"/>
  <c r="H1061" i="7"/>
  <c r="I1061" i="7"/>
  <c r="J1061" i="7"/>
  <c r="K1061" i="7"/>
  <c r="L1061" i="7"/>
  <c r="M1061" i="7"/>
  <c r="N1061" i="7"/>
  <c r="O1061" i="7"/>
  <c r="P1061" i="7"/>
  <c r="Q1061" i="7"/>
  <c r="R1061" i="7"/>
  <c r="S1061" i="7"/>
  <c r="D1062" i="7"/>
  <c r="E1062" i="7"/>
  <c r="F1062" i="7"/>
  <c r="G1062" i="7"/>
  <c r="H1062" i="7"/>
  <c r="I1062" i="7"/>
  <c r="J1062" i="7"/>
  <c r="K1062" i="7"/>
  <c r="L1062" i="7"/>
  <c r="M1062" i="7"/>
  <c r="N1062" i="7"/>
  <c r="O1062" i="7"/>
  <c r="P1062" i="7"/>
  <c r="Q1062" i="7"/>
  <c r="R1062" i="7"/>
  <c r="S1062" i="7"/>
  <c r="D1063" i="7"/>
  <c r="E1063" i="7"/>
  <c r="F1063" i="7"/>
  <c r="G1063" i="7"/>
  <c r="H1063" i="7"/>
  <c r="I1063" i="7"/>
  <c r="J1063" i="7"/>
  <c r="K1063" i="7"/>
  <c r="L1063" i="7"/>
  <c r="M1063" i="7"/>
  <c r="N1063" i="7"/>
  <c r="O1063" i="7"/>
  <c r="P1063" i="7"/>
  <c r="Q1063" i="7"/>
  <c r="R1063" i="7"/>
  <c r="S1063" i="7"/>
  <c r="D1064" i="7"/>
  <c r="E1064" i="7"/>
  <c r="F1064" i="7"/>
  <c r="G1064" i="7"/>
  <c r="H1064" i="7"/>
  <c r="I1064" i="7"/>
  <c r="J1064" i="7"/>
  <c r="K1064" i="7"/>
  <c r="L1064" i="7"/>
  <c r="M1064" i="7"/>
  <c r="N1064" i="7"/>
  <c r="O1064" i="7"/>
  <c r="P1064" i="7"/>
  <c r="Q1064" i="7"/>
  <c r="R1064" i="7"/>
  <c r="S1064" i="7"/>
  <c r="D1065" i="7"/>
  <c r="E1065" i="7"/>
  <c r="F1065" i="7"/>
  <c r="G1065" i="7"/>
  <c r="H1065" i="7"/>
  <c r="I1065" i="7"/>
  <c r="J1065" i="7"/>
  <c r="K1065" i="7"/>
  <c r="L1065" i="7"/>
  <c r="M1065" i="7"/>
  <c r="N1065" i="7"/>
  <c r="O1065" i="7"/>
  <c r="P1065" i="7"/>
  <c r="Q1065" i="7"/>
  <c r="R1065" i="7"/>
  <c r="S1065" i="7"/>
  <c r="D1066" i="7"/>
  <c r="E1066" i="7"/>
  <c r="F1066" i="7"/>
  <c r="G1066" i="7"/>
  <c r="H1066" i="7"/>
  <c r="I1066" i="7"/>
  <c r="J1066" i="7"/>
  <c r="K1066" i="7"/>
  <c r="L1066" i="7"/>
  <c r="M1066" i="7"/>
  <c r="N1066" i="7"/>
  <c r="O1066" i="7"/>
  <c r="P1066" i="7"/>
  <c r="Q1066" i="7"/>
  <c r="R1066" i="7"/>
  <c r="S1066" i="7"/>
  <c r="D1067" i="7"/>
  <c r="E1067" i="7"/>
  <c r="F1067" i="7"/>
  <c r="G1067" i="7"/>
  <c r="H1067" i="7"/>
  <c r="I1067" i="7"/>
  <c r="J1067" i="7"/>
  <c r="K1067" i="7"/>
  <c r="L1067" i="7"/>
  <c r="M1067" i="7"/>
  <c r="N1067" i="7"/>
  <c r="O1067" i="7"/>
  <c r="P1067" i="7"/>
  <c r="Q1067" i="7"/>
  <c r="R1067" i="7"/>
  <c r="S1067" i="7"/>
  <c r="D1068" i="7"/>
  <c r="E1068" i="7"/>
  <c r="F1068" i="7"/>
  <c r="G1068" i="7"/>
  <c r="H1068" i="7"/>
  <c r="I1068" i="7"/>
  <c r="J1068" i="7"/>
  <c r="K1068" i="7"/>
  <c r="L1068" i="7"/>
  <c r="M1068" i="7"/>
  <c r="N1068" i="7"/>
  <c r="O1068" i="7"/>
  <c r="P1068" i="7"/>
  <c r="Q1068" i="7"/>
  <c r="R1068" i="7"/>
  <c r="S1068" i="7"/>
  <c r="D1069" i="7"/>
  <c r="E1069" i="7"/>
  <c r="F1069" i="7"/>
  <c r="G1069" i="7"/>
  <c r="H1069" i="7"/>
  <c r="I1069" i="7"/>
  <c r="J1069" i="7"/>
  <c r="K1069" i="7"/>
  <c r="L1069" i="7"/>
  <c r="M1069" i="7"/>
  <c r="N1069" i="7"/>
  <c r="O1069" i="7"/>
  <c r="P1069" i="7"/>
  <c r="Q1069" i="7"/>
  <c r="R1069" i="7"/>
  <c r="S1069" i="7"/>
  <c r="D1070" i="7"/>
  <c r="E1070" i="7"/>
  <c r="F1070" i="7"/>
  <c r="G1070" i="7"/>
  <c r="H1070" i="7"/>
  <c r="I1070" i="7"/>
  <c r="J1070" i="7"/>
  <c r="K1070" i="7"/>
  <c r="L1070" i="7"/>
  <c r="M1070" i="7"/>
  <c r="N1070" i="7"/>
  <c r="O1070" i="7"/>
  <c r="P1070" i="7"/>
  <c r="Q1070" i="7"/>
  <c r="R1070" i="7"/>
  <c r="S1070" i="7"/>
  <c r="D1071" i="7"/>
  <c r="E1071" i="7"/>
  <c r="F1071" i="7"/>
  <c r="G1071" i="7"/>
  <c r="H1071" i="7"/>
  <c r="I1071" i="7"/>
  <c r="J1071" i="7"/>
  <c r="K1071" i="7"/>
  <c r="L1071" i="7"/>
  <c r="M1071" i="7"/>
  <c r="N1071" i="7"/>
  <c r="O1071" i="7"/>
  <c r="P1071" i="7"/>
  <c r="Q1071" i="7"/>
  <c r="R1071" i="7"/>
  <c r="S1071" i="7"/>
  <c r="D1072" i="7"/>
  <c r="E1072" i="7"/>
  <c r="F1072" i="7"/>
  <c r="G1072" i="7"/>
  <c r="H1072" i="7"/>
  <c r="I1072" i="7"/>
  <c r="J1072" i="7"/>
  <c r="K1072" i="7"/>
  <c r="L1072" i="7"/>
  <c r="M1072" i="7"/>
  <c r="N1072" i="7"/>
  <c r="O1072" i="7"/>
  <c r="P1072" i="7"/>
  <c r="Q1072" i="7"/>
  <c r="R1072" i="7"/>
  <c r="S1072" i="7"/>
  <c r="D1073" i="7"/>
  <c r="E1073" i="7"/>
  <c r="F1073" i="7"/>
  <c r="G1073" i="7"/>
  <c r="H1073" i="7"/>
  <c r="I1073" i="7"/>
  <c r="J1073" i="7"/>
  <c r="K1073" i="7"/>
  <c r="L1073" i="7"/>
  <c r="M1073" i="7"/>
  <c r="N1073" i="7"/>
  <c r="O1073" i="7"/>
  <c r="P1073" i="7"/>
  <c r="Q1073" i="7"/>
  <c r="R1073" i="7"/>
  <c r="S1073" i="7"/>
  <c r="D1074" i="7"/>
  <c r="E1074" i="7"/>
  <c r="F1074" i="7"/>
  <c r="G1074" i="7"/>
  <c r="H1074" i="7"/>
  <c r="I1074" i="7"/>
  <c r="J1074" i="7"/>
  <c r="K1074" i="7"/>
  <c r="L1074" i="7"/>
  <c r="M1074" i="7"/>
  <c r="N1074" i="7"/>
  <c r="O1074" i="7"/>
  <c r="P1074" i="7"/>
  <c r="Q1074" i="7"/>
  <c r="R1074" i="7"/>
  <c r="S1074" i="7"/>
  <c r="D1075" i="7"/>
  <c r="E1075" i="7"/>
  <c r="F1075" i="7"/>
  <c r="G1075" i="7"/>
  <c r="H1075" i="7"/>
  <c r="I1075" i="7"/>
  <c r="J1075" i="7"/>
  <c r="K1075" i="7"/>
  <c r="L1075" i="7"/>
  <c r="M1075" i="7"/>
  <c r="N1075" i="7"/>
  <c r="O1075" i="7"/>
  <c r="P1075" i="7"/>
  <c r="Q1075" i="7"/>
  <c r="R1075" i="7"/>
  <c r="S1075" i="7"/>
  <c r="D1076" i="7"/>
  <c r="E1076" i="7"/>
  <c r="F1076" i="7"/>
  <c r="G1076" i="7"/>
  <c r="H1076" i="7"/>
  <c r="I1076" i="7"/>
  <c r="J1076" i="7"/>
  <c r="K1076" i="7"/>
  <c r="L1076" i="7"/>
  <c r="M1076" i="7"/>
  <c r="N1076" i="7"/>
  <c r="O1076" i="7"/>
  <c r="P1076" i="7"/>
  <c r="Q1076" i="7"/>
  <c r="R1076" i="7"/>
  <c r="S1076" i="7"/>
  <c r="D1077" i="7"/>
  <c r="E1077" i="7"/>
  <c r="F1077" i="7"/>
  <c r="G1077" i="7"/>
  <c r="H1077" i="7"/>
  <c r="I1077" i="7"/>
  <c r="J1077" i="7"/>
  <c r="K1077" i="7"/>
  <c r="L1077" i="7"/>
  <c r="M1077" i="7"/>
  <c r="N1077" i="7"/>
  <c r="O1077" i="7"/>
  <c r="P1077" i="7"/>
  <c r="Q1077" i="7"/>
  <c r="R1077" i="7"/>
  <c r="S1077" i="7"/>
  <c r="D1078" i="7"/>
  <c r="E1078" i="7"/>
  <c r="F1078" i="7"/>
  <c r="G1078" i="7"/>
  <c r="H1078" i="7"/>
  <c r="I1078" i="7"/>
  <c r="J1078" i="7"/>
  <c r="K1078" i="7"/>
  <c r="L1078" i="7"/>
  <c r="M1078" i="7"/>
  <c r="N1078" i="7"/>
  <c r="O1078" i="7"/>
  <c r="P1078" i="7"/>
  <c r="Q1078" i="7"/>
  <c r="R1078" i="7"/>
  <c r="S1078" i="7"/>
  <c r="D1079" i="7"/>
  <c r="E1079" i="7"/>
  <c r="F1079" i="7"/>
  <c r="G1079" i="7"/>
  <c r="H1079" i="7"/>
  <c r="I1079" i="7"/>
  <c r="J1079" i="7"/>
  <c r="K1079" i="7"/>
  <c r="L1079" i="7"/>
  <c r="M1079" i="7"/>
  <c r="N1079" i="7"/>
  <c r="O1079" i="7"/>
  <c r="P1079" i="7"/>
  <c r="Q1079" i="7"/>
  <c r="R1079" i="7"/>
  <c r="S1079" i="7"/>
  <c r="D1080" i="7"/>
  <c r="E1080" i="7"/>
  <c r="F1080" i="7"/>
  <c r="G1080" i="7"/>
  <c r="H1080" i="7"/>
  <c r="I1080" i="7"/>
  <c r="J1080" i="7"/>
  <c r="K1080" i="7"/>
  <c r="L1080" i="7"/>
  <c r="M1080" i="7"/>
  <c r="N1080" i="7"/>
  <c r="O1080" i="7"/>
  <c r="P1080" i="7"/>
  <c r="Q1080" i="7"/>
  <c r="R1080" i="7"/>
  <c r="S1080" i="7"/>
  <c r="D1081" i="7"/>
  <c r="E1081" i="7"/>
  <c r="F1081" i="7"/>
  <c r="G1081" i="7"/>
  <c r="H1081" i="7"/>
  <c r="I1081" i="7"/>
  <c r="J1081" i="7"/>
  <c r="K1081" i="7"/>
  <c r="L1081" i="7"/>
  <c r="M1081" i="7"/>
  <c r="N1081" i="7"/>
  <c r="O1081" i="7"/>
  <c r="P1081" i="7"/>
  <c r="Q1081" i="7"/>
  <c r="R1081" i="7"/>
  <c r="S1081" i="7"/>
  <c r="D1082" i="7"/>
  <c r="E1082" i="7"/>
  <c r="F1082" i="7"/>
  <c r="G1082" i="7"/>
  <c r="H1082" i="7"/>
  <c r="I1082" i="7"/>
  <c r="J1082" i="7"/>
  <c r="K1082" i="7"/>
  <c r="L1082" i="7"/>
  <c r="M1082" i="7"/>
  <c r="N1082" i="7"/>
  <c r="O1082" i="7"/>
  <c r="P1082" i="7"/>
  <c r="Q1082" i="7"/>
  <c r="R1082" i="7"/>
  <c r="S1082" i="7"/>
  <c r="D1083" i="7"/>
  <c r="E1083" i="7"/>
  <c r="F1083" i="7"/>
  <c r="G1083" i="7"/>
  <c r="H1083" i="7"/>
  <c r="I1083" i="7"/>
  <c r="J1083" i="7"/>
  <c r="K1083" i="7"/>
  <c r="L1083" i="7"/>
  <c r="M1083" i="7"/>
  <c r="N1083" i="7"/>
  <c r="O1083" i="7"/>
  <c r="P1083" i="7"/>
  <c r="Q1083" i="7"/>
  <c r="R1083" i="7"/>
  <c r="S1083" i="7"/>
  <c r="D1084" i="7"/>
  <c r="E1084" i="7"/>
  <c r="F1084" i="7"/>
  <c r="G1084" i="7"/>
  <c r="H1084" i="7"/>
  <c r="I1084" i="7"/>
  <c r="J1084" i="7"/>
  <c r="K1084" i="7"/>
  <c r="L1084" i="7"/>
  <c r="M1084" i="7"/>
  <c r="N1084" i="7"/>
  <c r="O1084" i="7"/>
  <c r="P1084" i="7"/>
  <c r="Q1084" i="7"/>
  <c r="R1084" i="7"/>
  <c r="S1084" i="7"/>
  <c r="D1085" i="7"/>
  <c r="E1085" i="7"/>
  <c r="F1085" i="7"/>
  <c r="G1085" i="7"/>
  <c r="H1085" i="7"/>
  <c r="I1085" i="7"/>
  <c r="J1085" i="7"/>
  <c r="K1085" i="7"/>
  <c r="L1085" i="7"/>
  <c r="M1085" i="7"/>
  <c r="N1085" i="7"/>
  <c r="O1085" i="7"/>
  <c r="P1085" i="7"/>
  <c r="Q1085" i="7"/>
  <c r="R1085" i="7"/>
  <c r="S1085" i="7"/>
  <c r="D1086" i="7"/>
  <c r="E1086" i="7"/>
  <c r="F1086" i="7"/>
  <c r="G1086" i="7"/>
  <c r="H1086" i="7"/>
  <c r="I1086" i="7"/>
  <c r="J1086" i="7"/>
  <c r="K1086" i="7"/>
  <c r="L1086" i="7"/>
  <c r="M1086" i="7"/>
  <c r="N1086" i="7"/>
  <c r="O1086" i="7"/>
  <c r="P1086" i="7"/>
  <c r="Q1086" i="7"/>
  <c r="R1086" i="7"/>
  <c r="S1086" i="7"/>
  <c r="D1087" i="7"/>
  <c r="E1087" i="7"/>
  <c r="F1087" i="7"/>
  <c r="G1087" i="7"/>
  <c r="H1087" i="7"/>
  <c r="I1087" i="7"/>
  <c r="J1087" i="7"/>
  <c r="K1087" i="7"/>
  <c r="L1087" i="7"/>
  <c r="M1087" i="7"/>
  <c r="N1087" i="7"/>
  <c r="O1087" i="7"/>
  <c r="P1087" i="7"/>
  <c r="Q1087" i="7"/>
  <c r="R1087" i="7"/>
  <c r="S1087" i="7"/>
  <c r="D1088" i="7"/>
  <c r="E1088" i="7"/>
  <c r="F1088" i="7"/>
  <c r="G1088" i="7"/>
  <c r="H1088" i="7"/>
  <c r="I1088" i="7"/>
  <c r="J1088" i="7"/>
  <c r="K1088" i="7"/>
  <c r="L1088" i="7"/>
  <c r="M1088" i="7"/>
  <c r="N1088" i="7"/>
  <c r="O1088" i="7"/>
  <c r="P1088" i="7"/>
  <c r="Q1088" i="7"/>
  <c r="R1088" i="7"/>
  <c r="S1088" i="7"/>
  <c r="D1089" i="7"/>
  <c r="E1089" i="7"/>
  <c r="F1089" i="7"/>
  <c r="G1089" i="7"/>
  <c r="H1089" i="7"/>
  <c r="I1089" i="7"/>
  <c r="J1089" i="7"/>
  <c r="K1089" i="7"/>
  <c r="L1089" i="7"/>
  <c r="M1089" i="7"/>
  <c r="N1089" i="7"/>
  <c r="O1089" i="7"/>
  <c r="P1089" i="7"/>
  <c r="Q1089" i="7"/>
  <c r="R1089" i="7"/>
  <c r="S1089" i="7"/>
  <c r="D1090" i="7"/>
  <c r="E1090" i="7"/>
  <c r="F1090" i="7"/>
  <c r="G1090" i="7"/>
  <c r="H1090" i="7"/>
  <c r="I1090" i="7"/>
  <c r="J1090" i="7"/>
  <c r="K1090" i="7"/>
  <c r="L1090" i="7"/>
  <c r="M1090" i="7"/>
  <c r="N1090" i="7"/>
  <c r="O1090" i="7"/>
  <c r="P1090" i="7"/>
  <c r="Q1090" i="7"/>
  <c r="R1090" i="7"/>
  <c r="S1090" i="7"/>
  <c r="D1091" i="7"/>
  <c r="E1091" i="7"/>
  <c r="F1091" i="7"/>
  <c r="G1091" i="7"/>
  <c r="H1091" i="7"/>
  <c r="I1091" i="7"/>
  <c r="J1091" i="7"/>
  <c r="K1091" i="7"/>
  <c r="L1091" i="7"/>
  <c r="M1091" i="7"/>
  <c r="N1091" i="7"/>
  <c r="O1091" i="7"/>
  <c r="P1091" i="7"/>
  <c r="Q1091" i="7"/>
  <c r="R1091" i="7"/>
  <c r="S1091" i="7"/>
  <c r="D1092" i="7"/>
  <c r="E1092" i="7"/>
  <c r="F1092" i="7"/>
  <c r="G1092" i="7"/>
  <c r="H1092" i="7"/>
  <c r="I1092" i="7"/>
  <c r="J1092" i="7"/>
  <c r="K1092" i="7"/>
  <c r="L1092" i="7"/>
  <c r="M1092" i="7"/>
  <c r="N1092" i="7"/>
  <c r="O1092" i="7"/>
  <c r="P1092" i="7"/>
  <c r="Q1092" i="7"/>
  <c r="R1092" i="7"/>
  <c r="S1092" i="7"/>
  <c r="D1093" i="7"/>
  <c r="E1093" i="7"/>
  <c r="F1093" i="7"/>
  <c r="G1093" i="7"/>
  <c r="H1093" i="7"/>
  <c r="I1093" i="7"/>
  <c r="J1093" i="7"/>
  <c r="K1093" i="7"/>
  <c r="L1093" i="7"/>
  <c r="M1093" i="7"/>
  <c r="N1093" i="7"/>
  <c r="O1093" i="7"/>
  <c r="P1093" i="7"/>
  <c r="Q1093" i="7"/>
  <c r="R1093" i="7"/>
  <c r="S1093" i="7"/>
  <c r="D1094" i="7"/>
  <c r="E1094" i="7"/>
  <c r="F1094" i="7"/>
  <c r="G1094" i="7"/>
  <c r="H1094" i="7"/>
  <c r="I1094" i="7"/>
  <c r="J1094" i="7"/>
  <c r="K1094" i="7"/>
  <c r="L1094" i="7"/>
  <c r="M1094" i="7"/>
  <c r="N1094" i="7"/>
  <c r="O1094" i="7"/>
  <c r="P1094" i="7"/>
  <c r="Q1094" i="7"/>
  <c r="R1094" i="7"/>
  <c r="S1094" i="7"/>
  <c r="D1095" i="7"/>
  <c r="E1095" i="7"/>
  <c r="F1095" i="7"/>
  <c r="G1095" i="7"/>
  <c r="H1095" i="7"/>
  <c r="I1095" i="7"/>
  <c r="J1095" i="7"/>
  <c r="K1095" i="7"/>
  <c r="L1095" i="7"/>
  <c r="M1095" i="7"/>
  <c r="N1095" i="7"/>
  <c r="O1095" i="7"/>
  <c r="P1095" i="7"/>
  <c r="Q1095" i="7"/>
  <c r="R1095" i="7"/>
  <c r="S1095" i="7"/>
  <c r="D1096" i="7"/>
  <c r="E1096" i="7"/>
  <c r="F1096" i="7"/>
  <c r="G1096" i="7"/>
  <c r="H1096" i="7"/>
  <c r="I1096" i="7"/>
  <c r="J1096" i="7"/>
  <c r="K1096" i="7"/>
  <c r="L1096" i="7"/>
  <c r="M1096" i="7"/>
  <c r="N1096" i="7"/>
  <c r="O1096" i="7"/>
  <c r="P1096" i="7"/>
  <c r="Q1096" i="7"/>
  <c r="R1096" i="7"/>
  <c r="S1096" i="7"/>
  <c r="D1097" i="7"/>
  <c r="E1097" i="7"/>
  <c r="F1097" i="7"/>
  <c r="G1097" i="7"/>
  <c r="H1097" i="7"/>
  <c r="I1097" i="7"/>
  <c r="J1097" i="7"/>
  <c r="K1097" i="7"/>
  <c r="L1097" i="7"/>
  <c r="M1097" i="7"/>
  <c r="N1097" i="7"/>
  <c r="O1097" i="7"/>
  <c r="P1097" i="7"/>
  <c r="Q1097" i="7"/>
  <c r="R1097" i="7"/>
  <c r="S1097" i="7"/>
  <c r="D1098" i="7"/>
  <c r="E1098" i="7"/>
  <c r="F1098" i="7"/>
  <c r="G1098" i="7"/>
  <c r="H1098" i="7"/>
  <c r="I1098" i="7"/>
  <c r="J1098" i="7"/>
  <c r="K1098" i="7"/>
  <c r="L1098" i="7"/>
  <c r="M1098" i="7"/>
  <c r="N1098" i="7"/>
  <c r="O1098" i="7"/>
  <c r="P1098" i="7"/>
  <c r="Q1098" i="7"/>
  <c r="R1098" i="7"/>
  <c r="S1098" i="7"/>
  <c r="E1059" i="7"/>
  <c r="F1059" i="7"/>
  <c r="G1059" i="7"/>
  <c r="H1059" i="7"/>
  <c r="I1059" i="7"/>
  <c r="J1059" i="7"/>
  <c r="K1059" i="7"/>
  <c r="L1059" i="7"/>
  <c r="M1059" i="7"/>
  <c r="N1059" i="7"/>
  <c r="O1059" i="7"/>
  <c r="P1059" i="7"/>
  <c r="Q1059" i="7"/>
  <c r="R1059" i="7"/>
  <c r="S1059" i="7"/>
  <c r="D1059" i="7"/>
  <c r="D1016" i="7"/>
  <c r="E1016" i="7"/>
  <c r="F1016" i="7"/>
  <c r="G1016" i="7"/>
  <c r="H1016" i="7"/>
  <c r="I1016" i="7"/>
  <c r="J1016" i="7"/>
  <c r="K1016" i="7"/>
  <c r="L1016" i="7"/>
  <c r="M1016" i="7"/>
  <c r="N1016" i="7"/>
  <c r="O1016" i="7"/>
  <c r="P1016" i="7"/>
  <c r="Q1016" i="7"/>
  <c r="R1016" i="7"/>
  <c r="S1016" i="7"/>
  <c r="D1017" i="7"/>
  <c r="E1017" i="7"/>
  <c r="F1017" i="7"/>
  <c r="G1017" i="7"/>
  <c r="H1017" i="7"/>
  <c r="I1017" i="7"/>
  <c r="J1017" i="7"/>
  <c r="K1017" i="7"/>
  <c r="L1017" i="7"/>
  <c r="M1017" i="7"/>
  <c r="N1017" i="7"/>
  <c r="O1017" i="7"/>
  <c r="P1017" i="7"/>
  <c r="Q1017" i="7"/>
  <c r="R1017" i="7"/>
  <c r="S1017" i="7"/>
  <c r="D1018" i="7"/>
  <c r="E1018" i="7"/>
  <c r="F1018" i="7"/>
  <c r="G1018" i="7"/>
  <c r="H1018" i="7"/>
  <c r="I1018" i="7"/>
  <c r="J1018" i="7"/>
  <c r="K1018" i="7"/>
  <c r="L1018" i="7"/>
  <c r="M1018" i="7"/>
  <c r="N1018" i="7"/>
  <c r="O1018" i="7"/>
  <c r="P1018" i="7"/>
  <c r="Q1018" i="7"/>
  <c r="R1018" i="7"/>
  <c r="S1018" i="7"/>
  <c r="D1019" i="7"/>
  <c r="E1019" i="7"/>
  <c r="F1019" i="7"/>
  <c r="G1019" i="7"/>
  <c r="H1019" i="7"/>
  <c r="I1019" i="7"/>
  <c r="J1019" i="7"/>
  <c r="K1019" i="7"/>
  <c r="L1019" i="7"/>
  <c r="M1019" i="7"/>
  <c r="N1019" i="7"/>
  <c r="O1019" i="7"/>
  <c r="P1019" i="7"/>
  <c r="Q1019" i="7"/>
  <c r="R1019" i="7"/>
  <c r="S1019" i="7"/>
  <c r="D1020" i="7"/>
  <c r="E1020" i="7"/>
  <c r="F1020" i="7"/>
  <c r="G1020" i="7"/>
  <c r="H1020" i="7"/>
  <c r="I1020" i="7"/>
  <c r="J1020" i="7"/>
  <c r="K1020" i="7"/>
  <c r="L1020" i="7"/>
  <c r="M1020" i="7"/>
  <c r="N1020" i="7"/>
  <c r="O1020" i="7"/>
  <c r="P1020" i="7"/>
  <c r="Q1020" i="7"/>
  <c r="R1020" i="7"/>
  <c r="S1020" i="7"/>
  <c r="D1021" i="7"/>
  <c r="E1021" i="7"/>
  <c r="F1021" i="7"/>
  <c r="G1021" i="7"/>
  <c r="H1021" i="7"/>
  <c r="I1021" i="7"/>
  <c r="J1021" i="7"/>
  <c r="K1021" i="7"/>
  <c r="L1021" i="7"/>
  <c r="M1021" i="7"/>
  <c r="N1021" i="7"/>
  <c r="O1021" i="7"/>
  <c r="P1021" i="7"/>
  <c r="Q1021" i="7"/>
  <c r="R1021" i="7"/>
  <c r="S1021" i="7"/>
  <c r="D1022" i="7"/>
  <c r="E1022" i="7"/>
  <c r="F1022" i="7"/>
  <c r="G1022" i="7"/>
  <c r="H1022" i="7"/>
  <c r="I1022" i="7"/>
  <c r="J1022" i="7"/>
  <c r="K1022" i="7"/>
  <c r="L1022" i="7"/>
  <c r="M1022" i="7"/>
  <c r="N1022" i="7"/>
  <c r="O1022" i="7"/>
  <c r="P1022" i="7"/>
  <c r="Q1022" i="7"/>
  <c r="R1022" i="7"/>
  <c r="S1022" i="7"/>
  <c r="D1023" i="7"/>
  <c r="E1023" i="7"/>
  <c r="F1023" i="7"/>
  <c r="G1023" i="7"/>
  <c r="H1023" i="7"/>
  <c r="I1023" i="7"/>
  <c r="J1023" i="7"/>
  <c r="K1023" i="7"/>
  <c r="L1023" i="7"/>
  <c r="M1023" i="7"/>
  <c r="N1023" i="7"/>
  <c r="O1023" i="7"/>
  <c r="P1023" i="7"/>
  <c r="Q1023" i="7"/>
  <c r="R1023" i="7"/>
  <c r="S1023" i="7"/>
  <c r="D1024" i="7"/>
  <c r="E1024" i="7"/>
  <c r="F1024" i="7"/>
  <c r="G1024" i="7"/>
  <c r="H1024" i="7"/>
  <c r="I1024" i="7"/>
  <c r="J1024" i="7"/>
  <c r="K1024" i="7"/>
  <c r="L1024" i="7"/>
  <c r="M1024" i="7"/>
  <c r="N1024" i="7"/>
  <c r="O1024" i="7"/>
  <c r="P1024" i="7"/>
  <c r="Q1024" i="7"/>
  <c r="R1024" i="7"/>
  <c r="S1024" i="7"/>
  <c r="D1025" i="7"/>
  <c r="E1025" i="7"/>
  <c r="F1025" i="7"/>
  <c r="G1025" i="7"/>
  <c r="H1025" i="7"/>
  <c r="I1025" i="7"/>
  <c r="J1025" i="7"/>
  <c r="K1025" i="7"/>
  <c r="L1025" i="7"/>
  <c r="M1025" i="7"/>
  <c r="N1025" i="7"/>
  <c r="O1025" i="7"/>
  <c r="P1025" i="7"/>
  <c r="Q1025" i="7"/>
  <c r="R1025" i="7"/>
  <c r="S1025" i="7"/>
  <c r="D1026" i="7"/>
  <c r="E1026" i="7"/>
  <c r="F1026" i="7"/>
  <c r="G1026" i="7"/>
  <c r="H1026" i="7"/>
  <c r="I1026" i="7"/>
  <c r="J1026" i="7"/>
  <c r="K1026" i="7"/>
  <c r="L1026" i="7"/>
  <c r="M1026" i="7"/>
  <c r="N1026" i="7"/>
  <c r="O1026" i="7"/>
  <c r="P1026" i="7"/>
  <c r="Q1026" i="7"/>
  <c r="R1026" i="7"/>
  <c r="S1026" i="7"/>
  <c r="D1027" i="7"/>
  <c r="E1027" i="7"/>
  <c r="F1027" i="7"/>
  <c r="G1027" i="7"/>
  <c r="H1027" i="7"/>
  <c r="I1027" i="7"/>
  <c r="J1027" i="7"/>
  <c r="K1027" i="7"/>
  <c r="L1027" i="7"/>
  <c r="M1027" i="7"/>
  <c r="N1027" i="7"/>
  <c r="O1027" i="7"/>
  <c r="P1027" i="7"/>
  <c r="Q1027" i="7"/>
  <c r="R1027" i="7"/>
  <c r="S1027" i="7"/>
  <c r="D1028" i="7"/>
  <c r="E1028" i="7"/>
  <c r="F1028" i="7"/>
  <c r="G1028" i="7"/>
  <c r="H1028" i="7"/>
  <c r="I1028" i="7"/>
  <c r="J1028" i="7"/>
  <c r="K1028" i="7"/>
  <c r="L1028" i="7"/>
  <c r="M1028" i="7"/>
  <c r="N1028" i="7"/>
  <c r="O1028" i="7"/>
  <c r="P1028" i="7"/>
  <c r="Q1028" i="7"/>
  <c r="R1028" i="7"/>
  <c r="S1028" i="7"/>
  <c r="D1029" i="7"/>
  <c r="E1029" i="7"/>
  <c r="F1029" i="7"/>
  <c r="G1029" i="7"/>
  <c r="H1029" i="7"/>
  <c r="I1029" i="7"/>
  <c r="J1029" i="7"/>
  <c r="K1029" i="7"/>
  <c r="L1029" i="7"/>
  <c r="M1029" i="7"/>
  <c r="N1029" i="7"/>
  <c r="O1029" i="7"/>
  <c r="P1029" i="7"/>
  <c r="Q1029" i="7"/>
  <c r="R1029" i="7"/>
  <c r="S1029" i="7"/>
  <c r="D1030" i="7"/>
  <c r="E1030" i="7"/>
  <c r="F1030" i="7"/>
  <c r="G1030" i="7"/>
  <c r="H1030" i="7"/>
  <c r="I1030" i="7"/>
  <c r="J1030" i="7"/>
  <c r="K1030" i="7"/>
  <c r="L1030" i="7"/>
  <c r="M1030" i="7"/>
  <c r="N1030" i="7"/>
  <c r="O1030" i="7"/>
  <c r="P1030" i="7"/>
  <c r="Q1030" i="7"/>
  <c r="R1030" i="7"/>
  <c r="S1030" i="7"/>
  <c r="D1031" i="7"/>
  <c r="E1031" i="7"/>
  <c r="F1031" i="7"/>
  <c r="G1031" i="7"/>
  <c r="H1031" i="7"/>
  <c r="I1031" i="7"/>
  <c r="J1031" i="7"/>
  <c r="K1031" i="7"/>
  <c r="L1031" i="7"/>
  <c r="M1031" i="7"/>
  <c r="N1031" i="7"/>
  <c r="O1031" i="7"/>
  <c r="P1031" i="7"/>
  <c r="Q1031" i="7"/>
  <c r="R1031" i="7"/>
  <c r="S1031" i="7"/>
  <c r="D1032" i="7"/>
  <c r="E1032" i="7"/>
  <c r="F1032" i="7"/>
  <c r="G1032" i="7"/>
  <c r="H1032" i="7"/>
  <c r="I1032" i="7"/>
  <c r="J1032" i="7"/>
  <c r="K1032" i="7"/>
  <c r="L1032" i="7"/>
  <c r="M1032" i="7"/>
  <c r="N1032" i="7"/>
  <c r="O1032" i="7"/>
  <c r="P1032" i="7"/>
  <c r="Q1032" i="7"/>
  <c r="R1032" i="7"/>
  <c r="S1032" i="7"/>
  <c r="D1033" i="7"/>
  <c r="E1033" i="7"/>
  <c r="F1033" i="7"/>
  <c r="G1033" i="7"/>
  <c r="H1033" i="7"/>
  <c r="I1033" i="7"/>
  <c r="J1033" i="7"/>
  <c r="K1033" i="7"/>
  <c r="L1033" i="7"/>
  <c r="M1033" i="7"/>
  <c r="N1033" i="7"/>
  <c r="O1033" i="7"/>
  <c r="P1033" i="7"/>
  <c r="Q1033" i="7"/>
  <c r="R1033" i="7"/>
  <c r="S1033" i="7"/>
  <c r="D1034" i="7"/>
  <c r="E1034" i="7"/>
  <c r="F1034" i="7"/>
  <c r="G1034" i="7"/>
  <c r="H1034" i="7"/>
  <c r="I1034" i="7"/>
  <c r="J1034" i="7"/>
  <c r="K1034" i="7"/>
  <c r="L1034" i="7"/>
  <c r="M1034" i="7"/>
  <c r="N1034" i="7"/>
  <c r="O1034" i="7"/>
  <c r="P1034" i="7"/>
  <c r="Q1034" i="7"/>
  <c r="R1034" i="7"/>
  <c r="S1034" i="7"/>
  <c r="D1035" i="7"/>
  <c r="E1035" i="7"/>
  <c r="F1035" i="7"/>
  <c r="G1035" i="7"/>
  <c r="H1035" i="7"/>
  <c r="I1035" i="7"/>
  <c r="J1035" i="7"/>
  <c r="K1035" i="7"/>
  <c r="L1035" i="7"/>
  <c r="M1035" i="7"/>
  <c r="N1035" i="7"/>
  <c r="O1035" i="7"/>
  <c r="P1035" i="7"/>
  <c r="Q1035" i="7"/>
  <c r="R1035" i="7"/>
  <c r="S1035" i="7"/>
  <c r="D1036" i="7"/>
  <c r="E1036" i="7"/>
  <c r="F1036" i="7"/>
  <c r="G1036" i="7"/>
  <c r="H1036" i="7"/>
  <c r="I1036" i="7"/>
  <c r="J1036" i="7"/>
  <c r="K1036" i="7"/>
  <c r="L1036" i="7"/>
  <c r="M1036" i="7"/>
  <c r="N1036" i="7"/>
  <c r="O1036" i="7"/>
  <c r="P1036" i="7"/>
  <c r="Q1036" i="7"/>
  <c r="R1036" i="7"/>
  <c r="S1036" i="7"/>
  <c r="D1037" i="7"/>
  <c r="E1037" i="7"/>
  <c r="F1037" i="7"/>
  <c r="G1037" i="7"/>
  <c r="H1037" i="7"/>
  <c r="I1037" i="7"/>
  <c r="J1037" i="7"/>
  <c r="K1037" i="7"/>
  <c r="L1037" i="7"/>
  <c r="M1037" i="7"/>
  <c r="N1037" i="7"/>
  <c r="O1037" i="7"/>
  <c r="P1037" i="7"/>
  <c r="Q1037" i="7"/>
  <c r="R1037" i="7"/>
  <c r="S1037" i="7"/>
  <c r="D1038" i="7"/>
  <c r="E1038" i="7"/>
  <c r="F1038" i="7"/>
  <c r="G1038" i="7"/>
  <c r="H1038" i="7"/>
  <c r="I1038" i="7"/>
  <c r="J1038" i="7"/>
  <c r="K1038" i="7"/>
  <c r="L1038" i="7"/>
  <c r="M1038" i="7"/>
  <c r="N1038" i="7"/>
  <c r="O1038" i="7"/>
  <c r="P1038" i="7"/>
  <c r="Q1038" i="7"/>
  <c r="R1038" i="7"/>
  <c r="S1038" i="7"/>
  <c r="D1039" i="7"/>
  <c r="E1039" i="7"/>
  <c r="F1039" i="7"/>
  <c r="G1039" i="7"/>
  <c r="H1039" i="7"/>
  <c r="I1039" i="7"/>
  <c r="J1039" i="7"/>
  <c r="K1039" i="7"/>
  <c r="L1039" i="7"/>
  <c r="M1039" i="7"/>
  <c r="N1039" i="7"/>
  <c r="O1039" i="7"/>
  <c r="P1039" i="7"/>
  <c r="Q1039" i="7"/>
  <c r="R1039" i="7"/>
  <c r="S1039" i="7"/>
  <c r="D1040" i="7"/>
  <c r="E1040" i="7"/>
  <c r="F1040" i="7"/>
  <c r="G1040" i="7"/>
  <c r="H1040" i="7"/>
  <c r="I1040" i="7"/>
  <c r="J1040" i="7"/>
  <c r="K1040" i="7"/>
  <c r="L1040" i="7"/>
  <c r="M1040" i="7"/>
  <c r="N1040" i="7"/>
  <c r="O1040" i="7"/>
  <c r="P1040" i="7"/>
  <c r="Q1040" i="7"/>
  <c r="R1040" i="7"/>
  <c r="S1040" i="7"/>
  <c r="D1041" i="7"/>
  <c r="E1041" i="7"/>
  <c r="F1041" i="7"/>
  <c r="G1041" i="7"/>
  <c r="H1041" i="7"/>
  <c r="I1041" i="7"/>
  <c r="J1041" i="7"/>
  <c r="K1041" i="7"/>
  <c r="L1041" i="7"/>
  <c r="M1041" i="7"/>
  <c r="N1041" i="7"/>
  <c r="O1041" i="7"/>
  <c r="P1041" i="7"/>
  <c r="Q1041" i="7"/>
  <c r="R1041" i="7"/>
  <c r="S1041" i="7"/>
  <c r="D1042" i="7"/>
  <c r="E1042" i="7"/>
  <c r="F1042" i="7"/>
  <c r="G1042" i="7"/>
  <c r="H1042" i="7"/>
  <c r="I1042" i="7"/>
  <c r="J1042" i="7"/>
  <c r="K1042" i="7"/>
  <c r="L1042" i="7"/>
  <c r="M1042" i="7"/>
  <c r="N1042" i="7"/>
  <c r="O1042" i="7"/>
  <c r="P1042" i="7"/>
  <c r="Q1042" i="7"/>
  <c r="R1042" i="7"/>
  <c r="S1042" i="7"/>
  <c r="D1043" i="7"/>
  <c r="E1043" i="7"/>
  <c r="F1043" i="7"/>
  <c r="G1043" i="7"/>
  <c r="H1043" i="7"/>
  <c r="I1043" i="7"/>
  <c r="J1043" i="7"/>
  <c r="K1043" i="7"/>
  <c r="L1043" i="7"/>
  <c r="M1043" i="7"/>
  <c r="N1043" i="7"/>
  <c r="O1043" i="7"/>
  <c r="P1043" i="7"/>
  <c r="Q1043" i="7"/>
  <c r="R1043" i="7"/>
  <c r="S1043" i="7"/>
  <c r="D1044" i="7"/>
  <c r="E1044" i="7"/>
  <c r="F1044" i="7"/>
  <c r="G1044" i="7"/>
  <c r="H1044" i="7"/>
  <c r="I1044" i="7"/>
  <c r="J1044" i="7"/>
  <c r="K1044" i="7"/>
  <c r="L1044" i="7"/>
  <c r="M1044" i="7"/>
  <c r="N1044" i="7"/>
  <c r="O1044" i="7"/>
  <c r="P1044" i="7"/>
  <c r="Q1044" i="7"/>
  <c r="R1044" i="7"/>
  <c r="S1044" i="7"/>
  <c r="D1045" i="7"/>
  <c r="E1045" i="7"/>
  <c r="F1045" i="7"/>
  <c r="G1045" i="7"/>
  <c r="H1045" i="7"/>
  <c r="I1045" i="7"/>
  <c r="J1045" i="7"/>
  <c r="K1045" i="7"/>
  <c r="L1045" i="7"/>
  <c r="M1045" i="7"/>
  <c r="N1045" i="7"/>
  <c r="O1045" i="7"/>
  <c r="P1045" i="7"/>
  <c r="Q1045" i="7"/>
  <c r="R1045" i="7"/>
  <c r="S1045" i="7"/>
  <c r="D1046" i="7"/>
  <c r="E1046" i="7"/>
  <c r="F1046" i="7"/>
  <c r="G1046" i="7"/>
  <c r="H1046" i="7"/>
  <c r="I1046" i="7"/>
  <c r="J1046" i="7"/>
  <c r="K1046" i="7"/>
  <c r="L1046" i="7"/>
  <c r="M1046" i="7"/>
  <c r="N1046" i="7"/>
  <c r="O1046" i="7"/>
  <c r="P1046" i="7"/>
  <c r="Q1046" i="7"/>
  <c r="R1046" i="7"/>
  <c r="S1046" i="7"/>
  <c r="D1047" i="7"/>
  <c r="E1047" i="7"/>
  <c r="F1047" i="7"/>
  <c r="G1047" i="7"/>
  <c r="H1047" i="7"/>
  <c r="I1047" i="7"/>
  <c r="J1047" i="7"/>
  <c r="K1047" i="7"/>
  <c r="L1047" i="7"/>
  <c r="M1047" i="7"/>
  <c r="N1047" i="7"/>
  <c r="O1047" i="7"/>
  <c r="P1047" i="7"/>
  <c r="Q1047" i="7"/>
  <c r="R1047" i="7"/>
  <c r="S1047" i="7"/>
  <c r="D1048" i="7"/>
  <c r="E1048" i="7"/>
  <c r="F1048" i="7"/>
  <c r="G1048" i="7"/>
  <c r="H1048" i="7"/>
  <c r="I1048" i="7"/>
  <c r="J1048" i="7"/>
  <c r="K1048" i="7"/>
  <c r="L1048" i="7"/>
  <c r="M1048" i="7"/>
  <c r="N1048" i="7"/>
  <c r="O1048" i="7"/>
  <c r="P1048" i="7"/>
  <c r="Q1048" i="7"/>
  <c r="R1048" i="7"/>
  <c r="S1048" i="7"/>
  <c r="D1049" i="7"/>
  <c r="E1049" i="7"/>
  <c r="F1049" i="7"/>
  <c r="G1049" i="7"/>
  <c r="H1049" i="7"/>
  <c r="I1049" i="7"/>
  <c r="J1049" i="7"/>
  <c r="K1049" i="7"/>
  <c r="L1049" i="7"/>
  <c r="M1049" i="7"/>
  <c r="N1049" i="7"/>
  <c r="O1049" i="7"/>
  <c r="P1049" i="7"/>
  <c r="Q1049" i="7"/>
  <c r="R1049" i="7"/>
  <c r="S1049" i="7"/>
  <c r="D1050" i="7"/>
  <c r="E1050" i="7"/>
  <c r="F1050" i="7"/>
  <c r="G1050" i="7"/>
  <c r="H1050" i="7"/>
  <c r="I1050" i="7"/>
  <c r="J1050" i="7"/>
  <c r="K1050" i="7"/>
  <c r="L1050" i="7"/>
  <c r="M1050" i="7"/>
  <c r="N1050" i="7"/>
  <c r="O1050" i="7"/>
  <c r="P1050" i="7"/>
  <c r="Q1050" i="7"/>
  <c r="R1050" i="7"/>
  <c r="S1050" i="7"/>
  <c r="D1051" i="7"/>
  <c r="E1051" i="7"/>
  <c r="F1051" i="7"/>
  <c r="G1051" i="7"/>
  <c r="H1051" i="7"/>
  <c r="I1051" i="7"/>
  <c r="J1051" i="7"/>
  <c r="K1051" i="7"/>
  <c r="L1051" i="7"/>
  <c r="M1051" i="7"/>
  <c r="N1051" i="7"/>
  <c r="O1051" i="7"/>
  <c r="P1051" i="7"/>
  <c r="Q1051" i="7"/>
  <c r="R1051" i="7"/>
  <c r="S1051" i="7"/>
  <c r="D1052" i="7"/>
  <c r="E1052" i="7"/>
  <c r="F1052" i="7"/>
  <c r="G1052" i="7"/>
  <c r="H1052" i="7"/>
  <c r="I1052" i="7"/>
  <c r="J1052" i="7"/>
  <c r="K1052" i="7"/>
  <c r="L1052" i="7"/>
  <c r="M1052" i="7"/>
  <c r="N1052" i="7"/>
  <c r="O1052" i="7"/>
  <c r="P1052" i="7"/>
  <c r="Q1052" i="7"/>
  <c r="R1052" i="7"/>
  <c r="S1052" i="7"/>
  <c r="D1053" i="7"/>
  <c r="E1053" i="7"/>
  <c r="F1053" i="7"/>
  <c r="G1053" i="7"/>
  <c r="H1053" i="7"/>
  <c r="I1053" i="7"/>
  <c r="J1053" i="7"/>
  <c r="K1053" i="7"/>
  <c r="L1053" i="7"/>
  <c r="M1053" i="7"/>
  <c r="N1053" i="7"/>
  <c r="O1053" i="7"/>
  <c r="P1053" i="7"/>
  <c r="Q1053" i="7"/>
  <c r="R1053" i="7"/>
  <c r="S1053" i="7"/>
  <c r="D1054" i="7"/>
  <c r="E1054" i="7"/>
  <c r="F1054" i="7"/>
  <c r="G1054" i="7"/>
  <c r="H1054" i="7"/>
  <c r="I1054" i="7"/>
  <c r="J1054" i="7"/>
  <c r="K1054" i="7"/>
  <c r="L1054" i="7"/>
  <c r="M1054" i="7"/>
  <c r="N1054" i="7"/>
  <c r="O1054" i="7"/>
  <c r="P1054" i="7"/>
  <c r="Q1054" i="7"/>
  <c r="R1054" i="7"/>
  <c r="S1054" i="7"/>
  <c r="E1015" i="7"/>
  <c r="F1015" i="7"/>
  <c r="G1015" i="7"/>
  <c r="H1015" i="7"/>
  <c r="I1015" i="7"/>
  <c r="J1015" i="7"/>
  <c r="K1015" i="7"/>
  <c r="L1015" i="7"/>
  <c r="M1015" i="7"/>
  <c r="N1015" i="7"/>
  <c r="O1015" i="7"/>
  <c r="P1015" i="7"/>
  <c r="Q1015" i="7"/>
  <c r="R1015" i="7"/>
  <c r="S1015" i="7"/>
  <c r="D1015" i="7"/>
  <c r="D972" i="7"/>
  <c r="E972" i="7"/>
  <c r="F972" i="7"/>
  <c r="G972" i="7"/>
  <c r="H972" i="7"/>
  <c r="I972" i="7"/>
  <c r="J972" i="7"/>
  <c r="K972" i="7"/>
  <c r="L972" i="7"/>
  <c r="M972" i="7"/>
  <c r="N972" i="7"/>
  <c r="O972" i="7"/>
  <c r="P972" i="7"/>
  <c r="Q972" i="7"/>
  <c r="R972" i="7"/>
  <c r="S972" i="7"/>
  <c r="D973" i="7"/>
  <c r="E973" i="7"/>
  <c r="F973" i="7"/>
  <c r="G973" i="7"/>
  <c r="H973" i="7"/>
  <c r="I973" i="7"/>
  <c r="J973" i="7"/>
  <c r="K973" i="7"/>
  <c r="L973" i="7"/>
  <c r="M973" i="7"/>
  <c r="N973" i="7"/>
  <c r="O973" i="7"/>
  <c r="P973" i="7"/>
  <c r="Q973" i="7"/>
  <c r="R973" i="7"/>
  <c r="S973" i="7"/>
  <c r="D974" i="7"/>
  <c r="E974" i="7"/>
  <c r="F974" i="7"/>
  <c r="G974" i="7"/>
  <c r="H974" i="7"/>
  <c r="I974" i="7"/>
  <c r="J974" i="7"/>
  <c r="K974" i="7"/>
  <c r="L974" i="7"/>
  <c r="M974" i="7"/>
  <c r="N974" i="7"/>
  <c r="O974" i="7"/>
  <c r="P974" i="7"/>
  <c r="Q974" i="7"/>
  <c r="R974" i="7"/>
  <c r="S974" i="7"/>
  <c r="D975" i="7"/>
  <c r="E975" i="7"/>
  <c r="F975" i="7"/>
  <c r="G975" i="7"/>
  <c r="H975" i="7"/>
  <c r="I975" i="7"/>
  <c r="J975" i="7"/>
  <c r="K975" i="7"/>
  <c r="L975" i="7"/>
  <c r="M975" i="7"/>
  <c r="N975" i="7"/>
  <c r="O975" i="7"/>
  <c r="P975" i="7"/>
  <c r="Q975" i="7"/>
  <c r="R975" i="7"/>
  <c r="S975" i="7"/>
  <c r="D976" i="7"/>
  <c r="E976" i="7"/>
  <c r="F976" i="7"/>
  <c r="G976" i="7"/>
  <c r="H976" i="7"/>
  <c r="I976" i="7"/>
  <c r="J976" i="7"/>
  <c r="K976" i="7"/>
  <c r="L976" i="7"/>
  <c r="M976" i="7"/>
  <c r="N976" i="7"/>
  <c r="O976" i="7"/>
  <c r="P976" i="7"/>
  <c r="Q976" i="7"/>
  <c r="R976" i="7"/>
  <c r="S976" i="7"/>
  <c r="D977" i="7"/>
  <c r="E977" i="7"/>
  <c r="F977" i="7"/>
  <c r="G977" i="7"/>
  <c r="H977" i="7"/>
  <c r="I977" i="7"/>
  <c r="J977" i="7"/>
  <c r="K977" i="7"/>
  <c r="L977" i="7"/>
  <c r="M977" i="7"/>
  <c r="N977" i="7"/>
  <c r="O977" i="7"/>
  <c r="P977" i="7"/>
  <c r="Q977" i="7"/>
  <c r="R977" i="7"/>
  <c r="S977" i="7"/>
  <c r="D978" i="7"/>
  <c r="E978" i="7"/>
  <c r="F978" i="7"/>
  <c r="G978" i="7"/>
  <c r="H978" i="7"/>
  <c r="I978" i="7"/>
  <c r="J978" i="7"/>
  <c r="K978" i="7"/>
  <c r="L978" i="7"/>
  <c r="M978" i="7"/>
  <c r="N978" i="7"/>
  <c r="O978" i="7"/>
  <c r="P978" i="7"/>
  <c r="Q978" i="7"/>
  <c r="R978" i="7"/>
  <c r="S978" i="7"/>
  <c r="D979" i="7"/>
  <c r="E979" i="7"/>
  <c r="F979" i="7"/>
  <c r="G979" i="7"/>
  <c r="H979" i="7"/>
  <c r="I979" i="7"/>
  <c r="J979" i="7"/>
  <c r="K979" i="7"/>
  <c r="L979" i="7"/>
  <c r="M979" i="7"/>
  <c r="N979" i="7"/>
  <c r="O979" i="7"/>
  <c r="P979" i="7"/>
  <c r="Q979" i="7"/>
  <c r="R979" i="7"/>
  <c r="S979" i="7"/>
  <c r="D980" i="7"/>
  <c r="E980" i="7"/>
  <c r="F980" i="7"/>
  <c r="G980" i="7"/>
  <c r="H980" i="7"/>
  <c r="I980" i="7"/>
  <c r="J980" i="7"/>
  <c r="K980" i="7"/>
  <c r="L980" i="7"/>
  <c r="M980" i="7"/>
  <c r="N980" i="7"/>
  <c r="O980" i="7"/>
  <c r="P980" i="7"/>
  <c r="Q980" i="7"/>
  <c r="R980" i="7"/>
  <c r="S980" i="7"/>
  <c r="D981" i="7"/>
  <c r="E981" i="7"/>
  <c r="F981" i="7"/>
  <c r="G981" i="7"/>
  <c r="H981" i="7"/>
  <c r="I981" i="7"/>
  <c r="J981" i="7"/>
  <c r="K981" i="7"/>
  <c r="L981" i="7"/>
  <c r="M981" i="7"/>
  <c r="N981" i="7"/>
  <c r="O981" i="7"/>
  <c r="P981" i="7"/>
  <c r="Q981" i="7"/>
  <c r="R981" i="7"/>
  <c r="S981" i="7"/>
  <c r="D982" i="7"/>
  <c r="E982" i="7"/>
  <c r="F982" i="7"/>
  <c r="G982" i="7"/>
  <c r="H982" i="7"/>
  <c r="I982" i="7"/>
  <c r="J982" i="7"/>
  <c r="K982" i="7"/>
  <c r="L982" i="7"/>
  <c r="M982" i="7"/>
  <c r="N982" i="7"/>
  <c r="O982" i="7"/>
  <c r="P982" i="7"/>
  <c r="Q982" i="7"/>
  <c r="R982" i="7"/>
  <c r="S982" i="7"/>
  <c r="D983" i="7"/>
  <c r="E983" i="7"/>
  <c r="F983" i="7"/>
  <c r="G983" i="7"/>
  <c r="H983" i="7"/>
  <c r="I983" i="7"/>
  <c r="J983" i="7"/>
  <c r="K983" i="7"/>
  <c r="L983" i="7"/>
  <c r="M983" i="7"/>
  <c r="N983" i="7"/>
  <c r="O983" i="7"/>
  <c r="P983" i="7"/>
  <c r="Q983" i="7"/>
  <c r="R983" i="7"/>
  <c r="S983" i="7"/>
  <c r="D984" i="7"/>
  <c r="E984" i="7"/>
  <c r="F984" i="7"/>
  <c r="G984" i="7"/>
  <c r="H984" i="7"/>
  <c r="I984" i="7"/>
  <c r="J984" i="7"/>
  <c r="K984" i="7"/>
  <c r="L984" i="7"/>
  <c r="M984" i="7"/>
  <c r="N984" i="7"/>
  <c r="O984" i="7"/>
  <c r="P984" i="7"/>
  <c r="Q984" i="7"/>
  <c r="R984" i="7"/>
  <c r="S984" i="7"/>
  <c r="D985" i="7"/>
  <c r="E985" i="7"/>
  <c r="F985" i="7"/>
  <c r="G985" i="7"/>
  <c r="H985" i="7"/>
  <c r="I985" i="7"/>
  <c r="J985" i="7"/>
  <c r="K985" i="7"/>
  <c r="L985" i="7"/>
  <c r="M985" i="7"/>
  <c r="N985" i="7"/>
  <c r="O985" i="7"/>
  <c r="P985" i="7"/>
  <c r="Q985" i="7"/>
  <c r="R985" i="7"/>
  <c r="S985" i="7"/>
  <c r="D986" i="7"/>
  <c r="E986" i="7"/>
  <c r="F986" i="7"/>
  <c r="G986" i="7"/>
  <c r="H986" i="7"/>
  <c r="I986" i="7"/>
  <c r="J986" i="7"/>
  <c r="K986" i="7"/>
  <c r="L986" i="7"/>
  <c r="M986" i="7"/>
  <c r="N986" i="7"/>
  <c r="O986" i="7"/>
  <c r="P986" i="7"/>
  <c r="Q986" i="7"/>
  <c r="R986" i="7"/>
  <c r="S986" i="7"/>
  <c r="D987" i="7"/>
  <c r="E987" i="7"/>
  <c r="F987" i="7"/>
  <c r="G987" i="7"/>
  <c r="H987" i="7"/>
  <c r="I987" i="7"/>
  <c r="J987" i="7"/>
  <c r="K987" i="7"/>
  <c r="L987" i="7"/>
  <c r="M987" i="7"/>
  <c r="N987" i="7"/>
  <c r="O987" i="7"/>
  <c r="P987" i="7"/>
  <c r="Q987" i="7"/>
  <c r="R987" i="7"/>
  <c r="S987" i="7"/>
  <c r="D988" i="7"/>
  <c r="E988" i="7"/>
  <c r="F988" i="7"/>
  <c r="G988" i="7"/>
  <c r="H988" i="7"/>
  <c r="I988" i="7"/>
  <c r="J988" i="7"/>
  <c r="K988" i="7"/>
  <c r="L988" i="7"/>
  <c r="M988" i="7"/>
  <c r="N988" i="7"/>
  <c r="O988" i="7"/>
  <c r="P988" i="7"/>
  <c r="Q988" i="7"/>
  <c r="R988" i="7"/>
  <c r="S988" i="7"/>
  <c r="D989" i="7"/>
  <c r="E989" i="7"/>
  <c r="F989" i="7"/>
  <c r="G989" i="7"/>
  <c r="H989" i="7"/>
  <c r="I989" i="7"/>
  <c r="J989" i="7"/>
  <c r="K989" i="7"/>
  <c r="L989" i="7"/>
  <c r="M989" i="7"/>
  <c r="N989" i="7"/>
  <c r="O989" i="7"/>
  <c r="P989" i="7"/>
  <c r="Q989" i="7"/>
  <c r="R989" i="7"/>
  <c r="S989" i="7"/>
  <c r="D990" i="7"/>
  <c r="E990" i="7"/>
  <c r="F990" i="7"/>
  <c r="G990" i="7"/>
  <c r="H990" i="7"/>
  <c r="I990" i="7"/>
  <c r="J990" i="7"/>
  <c r="K990" i="7"/>
  <c r="L990" i="7"/>
  <c r="M990" i="7"/>
  <c r="N990" i="7"/>
  <c r="O990" i="7"/>
  <c r="P990" i="7"/>
  <c r="Q990" i="7"/>
  <c r="R990" i="7"/>
  <c r="S990" i="7"/>
  <c r="D991" i="7"/>
  <c r="E991" i="7"/>
  <c r="F991" i="7"/>
  <c r="G991" i="7"/>
  <c r="H991" i="7"/>
  <c r="I991" i="7"/>
  <c r="J991" i="7"/>
  <c r="K991" i="7"/>
  <c r="L991" i="7"/>
  <c r="M991" i="7"/>
  <c r="N991" i="7"/>
  <c r="O991" i="7"/>
  <c r="P991" i="7"/>
  <c r="Q991" i="7"/>
  <c r="R991" i="7"/>
  <c r="S991" i="7"/>
  <c r="D992" i="7"/>
  <c r="E992" i="7"/>
  <c r="F992" i="7"/>
  <c r="G992" i="7"/>
  <c r="H992" i="7"/>
  <c r="I992" i="7"/>
  <c r="J992" i="7"/>
  <c r="K992" i="7"/>
  <c r="L992" i="7"/>
  <c r="M992" i="7"/>
  <c r="N992" i="7"/>
  <c r="O992" i="7"/>
  <c r="P992" i="7"/>
  <c r="Q992" i="7"/>
  <c r="R992" i="7"/>
  <c r="S992" i="7"/>
  <c r="D993" i="7"/>
  <c r="E993" i="7"/>
  <c r="F993" i="7"/>
  <c r="G993" i="7"/>
  <c r="H993" i="7"/>
  <c r="I993" i="7"/>
  <c r="J993" i="7"/>
  <c r="K993" i="7"/>
  <c r="L993" i="7"/>
  <c r="M993" i="7"/>
  <c r="N993" i="7"/>
  <c r="O993" i="7"/>
  <c r="P993" i="7"/>
  <c r="Q993" i="7"/>
  <c r="R993" i="7"/>
  <c r="S993" i="7"/>
  <c r="D994" i="7"/>
  <c r="E994" i="7"/>
  <c r="F994" i="7"/>
  <c r="G994" i="7"/>
  <c r="H994" i="7"/>
  <c r="I994" i="7"/>
  <c r="J994" i="7"/>
  <c r="K994" i="7"/>
  <c r="L994" i="7"/>
  <c r="M994" i="7"/>
  <c r="N994" i="7"/>
  <c r="O994" i="7"/>
  <c r="P994" i="7"/>
  <c r="Q994" i="7"/>
  <c r="R994" i="7"/>
  <c r="S994" i="7"/>
  <c r="D995" i="7"/>
  <c r="E995" i="7"/>
  <c r="F995" i="7"/>
  <c r="G995" i="7"/>
  <c r="H995" i="7"/>
  <c r="I995" i="7"/>
  <c r="J995" i="7"/>
  <c r="K995" i="7"/>
  <c r="L995" i="7"/>
  <c r="M995" i="7"/>
  <c r="N995" i="7"/>
  <c r="O995" i="7"/>
  <c r="P995" i="7"/>
  <c r="Q995" i="7"/>
  <c r="R995" i="7"/>
  <c r="S995" i="7"/>
  <c r="D996" i="7"/>
  <c r="E996" i="7"/>
  <c r="F996" i="7"/>
  <c r="G996" i="7"/>
  <c r="H996" i="7"/>
  <c r="I996" i="7"/>
  <c r="J996" i="7"/>
  <c r="K996" i="7"/>
  <c r="L996" i="7"/>
  <c r="M996" i="7"/>
  <c r="N996" i="7"/>
  <c r="O996" i="7"/>
  <c r="P996" i="7"/>
  <c r="Q996" i="7"/>
  <c r="R996" i="7"/>
  <c r="S996" i="7"/>
  <c r="D997" i="7"/>
  <c r="E997" i="7"/>
  <c r="F997" i="7"/>
  <c r="G997" i="7"/>
  <c r="H997" i="7"/>
  <c r="I997" i="7"/>
  <c r="J997" i="7"/>
  <c r="K997" i="7"/>
  <c r="L997" i="7"/>
  <c r="M997" i="7"/>
  <c r="N997" i="7"/>
  <c r="O997" i="7"/>
  <c r="P997" i="7"/>
  <c r="Q997" i="7"/>
  <c r="R997" i="7"/>
  <c r="S997" i="7"/>
  <c r="D998" i="7"/>
  <c r="E998" i="7"/>
  <c r="F998" i="7"/>
  <c r="G998" i="7"/>
  <c r="H998" i="7"/>
  <c r="I998" i="7"/>
  <c r="J998" i="7"/>
  <c r="K998" i="7"/>
  <c r="L998" i="7"/>
  <c r="M998" i="7"/>
  <c r="N998" i="7"/>
  <c r="O998" i="7"/>
  <c r="P998" i="7"/>
  <c r="Q998" i="7"/>
  <c r="R998" i="7"/>
  <c r="S998" i="7"/>
  <c r="D999" i="7"/>
  <c r="E999" i="7"/>
  <c r="F999" i="7"/>
  <c r="G999" i="7"/>
  <c r="H999" i="7"/>
  <c r="I999" i="7"/>
  <c r="J999" i="7"/>
  <c r="K999" i="7"/>
  <c r="L999" i="7"/>
  <c r="M999" i="7"/>
  <c r="N999" i="7"/>
  <c r="O999" i="7"/>
  <c r="P999" i="7"/>
  <c r="Q999" i="7"/>
  <c r="R999" i="7"/>
  <c r="S999" i="7"/>
  <c r="D1000" i="7"/>
  <c r="E1000" i="7"/>
  <c r="F1000" i="7"/>
  <c r="G1000" i="7"/>
  <c r="H1000" i="7"/>
  <c r="I1000" i="7"/>
  <c r="J1000" i="7"/>
  <c r="K1000" i="7"/>
  <c r="L1000" i="7"/>
  <c r="M1000" i="7"/>
  <c r="N1000" i="7"/>
  <c r="O1000" i="7"/>
  <c r="P1000" i="7"/>
  <c r="Q1000" i="7"/>
  <c r="R1000" i="7"/>
  <c r="S1000" i="7"/>
  <c r="D1001" i="7"/>
  <c r="E1001" i="7"/>
  <c r="F1001" i="7"/>
  <c r="G1001" i="7"/>
  <c r="H1001" i="7"/>
  <c r="I1001" i="7"/>
  <c r="J1001" i="7"/>
  <c r="K1001" i="7"/>
  <c r="L1001" i="7"/>
  <c r="M1001" i="7"/>
  <c r="N1001" i="7"/>
  <c r="O1001" i="7"/>
  <c r="P1001" i="7"/>
  <c r="Q1001" i="7"/>
  <c r="R1001" i="7"/>
  <c r="S1001" i="7"/>
  <c r="D1002" i="7"/>
  <c r="E1002" i="7"/>
  <c r="F1002" i="7"/>
  <c r="G1002" i="7"/>
  <c r="H1002" i="7"/>
  <c r="I1002" i="7"/>
  <c r="J1002" i="7"/>
  <c r="K1002" i="7"/>
  <c r="L1002" i="7"/>
  <c r="M1002" i="7"/>
  <c r="N1002" i="7"/>
  <c r="O1002" i="7"/>
  <c r="P1002" i="7"/>
  <c r="Q1002" i="7"/>
  <c r="R1002" i="7"/>
  <c r="S1002" i="7"/>
  <c r="D1003" i="7"/>
  <c r="E1003" i="7"/>
  <c r="F1003" i="7"/>
  <c r="G1003" i="7"/>
  <c r="H1003" i="7"/>
  <c r="I1003" i="7"/>
  <c r="J1003" i="7"/>
  <c r="K1003" i="7"/>
  <c r="L1003" i="7"/>
  <c r="M1003" i="7"/>
  <c r="N1003" i="7"/>
  <c r="O1003" i="7"/>
  <c r="P1003" i="7"/>
  <c r="Q1003" i="7"/>
  <c r="R1003" i="7"/>
  <c r="S1003" i="7"/>
  <c r="D1004" i="7"/>
  <c r="E1004" i="7"/>
  <c r="F1004" i="7"/>
  <c r="G1004" i="7"/>
  <c r="H1004" i="7"/>
  <c r="I1004" i="7"/>
  <c r="J1004" i="7"/>
  <c r="K1004" i="7"/>
  <c r="L1004" i="7"/>
  <c r="M1004" i="7"/>
  <c r="N1004" i="7"/>
  <c r="O1004" i="7"/>
  <c r="P1004" i="7"/>
  <c r="Q1004" i="7"/>
  <c r="R1004" i="7"/>
  <c r="S1004" i="7"/>
  <c r="D1005" i="7"/>
  <c r="E1005" i="7"/>
  <c r="F1005" i="7"/>
  <c r="G1005" i="7"/>
  <c r="H1005" i="7"/>
  <c r="I1005" i="7"/>
  <c r="J1005" i="7"/>
  <c r="K1005" i="7"/>
  <c r="L1005" i="7"/>
  <c r="M1005" i="7"/>
  <c r="N1005" i="7"/>
  <c r="O1005" i="7"/>
  <c r="P1005" i="7"/>
  <c r="Q1005" i="7"/>
  <c r="R1005" i="7"/>
  <c r="S1005" i="7"/>
  <c r="D1006" i="7"/>
  <c r="E1006" i="7"/>
  <c r="F1006" i="7"/>
  <c r="G1006" i="7"/>
  <c r="H1006" i="7"/>
  <c r="I1006" i="7"/>
  <c r="J1006" i="7"/>
  <c r="K1006" i="7"/>
  <c r="L1006" i="7"/>
  <c r="M1006" i="7"/>
  <c r="N1006" i="7"/>
  <c r="O1006" i="7"/>
  <c r="P1006" i="7"/>
  <c r="Q1006" i="7"/>
  <c r="R1006" i="7"/>
  <c r="S1006" i="7"/>
  <c r="D1007" i="7"/>
  <c r="E1007" i="7"/>
  <c r="F1007" i="7"/>
  <c r="G1007" i="7"/>
  <c r="H1007" i="7"/>
  <c r="I1007" i="7"/>
  <c r="J1007" i="7"/>
  <c r="K1007" i="7"/>
  <c r="L1007" i="7"/>
  <c r="M1007" i="7"/>
  <c r="N1007" i="7"/>
  <c r="O1007" i="7"/>
  <c r="P1007" i="7"/>
  <c r="Q1007" i="7"/>
  <c r="R1007" i="7"/>
  <c r="S1007" i="7"/>
  <c r="D1008" i="7"/>
  <c r="E1008" i="7"/>
  <c r="F1008" i="7"/>
  <c r="G1008" i="7"/>
  <c r="H1008" i="7"/>
  <c r="I1008" i="7"/>
  <c r="J1008" i="7"/>
  <c r="K1008" i="7"/>
  <c r="L1008" i="7"/>
  <c r="M1008" i="7"/>
  <c r="N1008" i="7"/>
  <c r="O1008" i="7"/>
  <c r="P1008" i="7"/>
  <c r="Q1008" i="7"/>
  <c r="R1008" i="7"/>
  <c r="S1008" i="7"/>
  <c r="D1009" i="7"/>
  <c r="E1009" i="7"/>
  <c r="F1009" i="7"/>
  <c r="G1009" i="7"/>
  <c r="H1009" i="7"/>
  <c r="I1009" i="7"/>
  <c r="J1009" i="7"/>
  <c r="K1009" i="7"/>
  <c r="L1009" i="7"/>
  <c r="M1009" i="7"/>
  <c r="N1009" i="7"/>
  <c r="O1009" i="7"/>
  <c r="P1009" i="7"/>
  <c r="Q1009" i="7"/>
  <c r="R1009" i="7"/>
  <c r="S1009" i="7"/>
  <c r="D1010" i="7"/>
  <c r="E1010" i="7"/>
  <c r="F1010" i="7"/>
  <c r="G1010" i="7"/>
  <c r="H1010" i="7"/>
  <c r="I1010" i="7"/>
  <c r="J1010" i="7"/>
  <c r="K1010" i="7"/>
  <c r="L1010" i="7"/>
  <c r="M1010" i="7"/>
  <c r="N1010" i="7"/>
  <c r="O1010" i="7"/>
  <c r="P1010" i="7"/>
  <c r="Q1010" i="7"/>
  <c r="R1010" i="7"/>
  <c r="S1010" i="7"/>
  <c r="E971" i="7"/>
  <c r="F971" i="7"/>
  <c r="G971" i="7"/>
  <c r="H971" i="7"/>
  <c r="I971" i="7"/>
  <c r="J971" i="7"/>
  <c r="K971" i="7"/>
  <c r="L971" i="7"/>
  <c r="M971" i="7"/>
  <c r="N971" i="7"/>
  <c r="O971" i="7"/>
  <c r="P971" i="7"/>
  <c r="Q971" i="7"/>
  <c r="R971" i="7"/>
  <c r="S971" i="7"/>
  <c r="D971" i="7"/>
  <c r="D928" i="7"/>
  <c r="E928" i="7"/>
  <c r="F928" i="7"/>
  <c r="G928" i="7"/>
  <c r="H928" i="7"/>
  <c r="I928" i="7"/>
  <c r="J928" i="7"/>
  <c r="K928" i="7"/>
  <c r="L928" i="7"/>
  <c r="M928" i="7"/>
  <c r="N928" i="7"/>
  <c r="O928" i="7"/>
  <c r="P928" i="7"/>
  <c r="Q928" i="7"/>
  <c r="R928" i="7"/>
  <c r="S928" i="7"/>
  <c r="D929" i="7"/>
  <c r="E929" i="7"/>
  <c r="F929" i="7"/>
  <c r="G929" i="7"/>
  <c r="H929" i="7"/>
  <c r="I929" i="7"/>
  <c r="J929" i="7"/>
  <c r="K929" i="7"/>
  <c r="L929" i="7"/>
  <c r="M929" i="7"/>
  <c r="N929" i="7"/>
  <c r="O929" i="7"/>
  <c r="P929" i="7"/>
  <c r="Q929" i="7"/>
  <c r="R929" i="7"/>
  <c r="S929" i="7"/>
  <c r="D930" i="7"/>
  <c r="E930" i="7"/>
  <c r="F930" i="7"/>
  <c r="G930" i="7"/>
  <c r="H930" i="7"/>
  <c r="I930" i="7"/>
  <c r="J930" i="7"/>
  <c r="K930" i="7"/>
  <c r="L930" i="7"/>
  <c r="M930" i="7"/>
  <c r="N930" i="7"/>
  <c r="O930" i="7"/>
  <c r="P930" i="7"/>
  <c r="Q930" i="7"/>
  <c r="R930" i="7"/>
  <c r="S930" i="7"/>
  <c r="D931" i="7"/>
  <c r="E931" i="7"/>
  <c r="F931" i="7"/>
  <c r="G931" i="7"/>
  <c r="H931" i="7"/>
  <c r="I931" i="7"/>
  <c r="J931" i="7"/>
  <c r="K931" i="7"/>
  <c r="L931" i="7"/>
  <c r="M931" i="7"/>
  <c r="N931" i="7"/>
  <c r="O931" i="7"/>
  <c r="P931" i="7"/>
  <c r="Q931" i="7"/>
  <c r="R931" i="7"/>
  <c r="S931" i="7"/>
  <c r="D932" i="7"/>
  <c r="E932" i="7"/>
  <c r="F932" i="7"/>
  <c r="G932" i="7"/>
  <c r="H932" i="7"/>
  <c r="I932" i="7"/>
  <c r="J932" i="7"/>
  <c r="K932" i="7"/>
  <c r="L932" i="7"/>
  <c r="M932" i="7"/>
  <c r="N932" i="7"/>
  <c r="O932" i="7"/>
  <c r="P932" i="7"/>
  <c r="Q932" i="7"/>
  <c r="R932" i="7"/>
  <c r="S932" i="7"/>
  <c r="D933" i="7"/>
  <c r="E933" i="7"/>
  <c r="F933" i="7"/>
  <c r="G933" i="7"/>
  <c r="H933" i="7"/>
  <c r="I933" i="7"/>
  <c r="J933" i="7"/>
  <c r="K933" i="7"/>
  <c r="L933" i="7"/>
  <c r="M933" i="7"/>
  <c r="N933" i="7"/>
  <c r="O933" i="7"/>
  <c r="P933" i="7"/>
  <c r="Q933" i="7"/>
  <c r="R933" i="7"/>
  <c r="S933" i="7"/>
  <c r="D934" i="7"/>
  <c r="E934" i="7"/>
  <c r="F934" i="7"/>
  <c r="G934" i="7"/>
  <c r="H934" i="7"/>
  <c r="I934" i="7"/>
  <c r="J934" i="7"/>
  <c r="K934" i="7"/>
  <c r="L934" i="7"/>
  <c r="M934" i="7"/>
  <c r="N934" i="7"/>
  <c r="O934" i="7"/>
  <c r="P934" i="7"/>
  <c r="Q934" i="7"/>
  <c r="R934" i="7"/>
  <c r="S934" i="7"/>
  <c r="D935" i="7"/>
  <c r="E935" i="7"/>
  <c r="F935" i="7"/>
  <c r="G935" i="7"/>
  <c r="H935" i="7"/>
  <c r="I935" i="7"/>
  <c r="J935" i="7"/>
  <c r="K935" i="7"/>
  <c r="L935" i="7"/>
  <c r="M935" i="7"/>
  <c r="N935" i="7"/>
  <c r="O935" i="7"/>
  <c r="P935" i="7"/>
  <c r="Q935" i="7"/>
  <c r="R935" i="7"/>
  <c r="S935" i="7"/>
  <c r="D936" i="7"/>
  <c r="E936" i="7"/>
  <c r="F936" i="7"/>
  <c r="G936" i="7"/>
  <c r="H936" i="7"/>
  <c r="I936" i="7"/>
  <c r="J936" i="7"/>
  <c r="K936" i="7"/>
  <c r="L936" i="7"/>
  <c r="M936" i="7"/>
  <c r="N936" i="7"/>
  <c r="O936" i="7"/>
  <c r="P936" i="7"/>
  <c r="Q936" i="7"/>
  <c r="R936" i="7"/>
  <c r="S936" i="7"/>
  <c r="D937" i="7"/>
  <c r="E937" i="7"/>
  <c r="F937" i="7"/>
  <c r="G937" i="7"/>
  <c r="H937" i="7"/>
  <c r="I937" i="7"/>
  <c r="J937" i="7"/>
  <c r="K937" i="7"/>
  <c r="L937" i="7"/>
  <c r="M937" i="7"/>
  <c r="N937" i="7"/>
  <c r="O937" i="7"/>
  <c r="P937" i="7"/>
  <c r="Q937" i="7"/>
  <c r="R937" i="7"/>
  <c r="S937" i="7"/>
  <c r="D938" i="7"/>
  <c r="E938" i="7"/>
  <c r="F938" i="7"/>
  <c r="G938" i="7"/>
  <c r="H938" i="7"/>
  <c r="I938" i="7"/>
  <c r="J938" i="7"/>
  <c r="K938" i="7"/>
  <c r="L938" i="7"/>
  <c r="M938" i="7"/>
  <c r="N938" i="7"/>
  <c r="O938" i="7"/>
  <c r="P938" i="7"/>
  <c r="Q938" i="7"/>
  <c r="R938" i="7"/>
  <c r="S938" i="7"/>
  <c r="D939" i="7"/>
  <c r="E939" i="7"/>
  <c r="F939" i="7"/>
  <c r="G939" i="7"/>
  <c r="H939" i="7"/>
  <c r="I939" i="7"/>
  <c r="J939" i="7"/>
  <c r="K939" i="7"/>
  <c r="L939" i="7"/>
  <c r="M939" i="7"/>
  <c r="N939" i="7"/>
  <c r="O939" i="7"/>
  <c r="P939" i="7"/>
  <c r="Q939" i="7"/>
  <c r="R939" i="7"/>
  <c r="S939" i="7"/>
  <c r="D940" i="7"/>
  <c r="E940" i="7"/>
  <c r="F940" i="7"/>
  <c r="G940" i="7"/>
  <c r="H940" i="7"/>
  <c r="I940" i="7"/>
  <c r="J940" i="7"/>
  <c r="K940" i="7"/>
  <c r="L940" i="7"/>
  <c r="M940" i="7"/>
  <c r="N940" i="7"/>
  <c r="O940" i="7"/>
  <c r="P940" i="7"/>
  <c r="Q940" i="7"/>
  <c r="R940" i="7"/>
  <c r="S940" i="7"/>
  <c r="D941" i="7"/>
  <c r="E941" i="7"/>
  <c r="F941" i="7"/>
  <c r="G941" i="7"/>
  <c r="H941" i="7"/>
  <c r="I941" i="7"/>
  <c r="J941" i="7"/>
  <c r="K941" i="7"/>
  <c r="L941" i="7"/>
  <c r="M941" i="7"/>
  <c r="N941" i="7"/>
  <c r="O941" i="7"/>
  <c r="P941" i="7"/>
  <c r="Q941" i="7"/>
  <c r="R941" i="7"/>
  <c r="S941" i="7"/>
  <c r="D942" i="7"/>
  <c r="E942" i="7"/>
  <c r="F942" i="7"/>
  <c r="G942" i="7"/>
  <c r="H942" i="7"/>
  <c r="I942" i="7"/>
  <c r="J942" i="7"/>
  <c r="K942" i="7"/>
  <c r="L942" i="7"/>
  <c r="M942" i="7"/>
  <c r="N942" i="7"/>
  <c r="O942" i="7"/>
  <c r="P942" i="7"/>
  <c r="Q942" i="7"/>
  <c r="R942" i="7"/>
  <c r="S942" i="7"/>
  <c r="D943" i="7"/>
  <c r="E943" i="7"/>
  <c r="F943" i="7"/>
  <c r="G943" i="7"/>
  <c r="H943" i="7"/>
  <c r="I943" i="7"/>
  <c r="J943" i="7"/>
  <c r="K943" i="7"/>
  <c r="L943" i="7"/>
  <c r="M943" i="7"/>
  <c r="N943" i="7"/>
  <c r="O943" i="7"/>
  <c r="P943" i="7"/>
  <c r="Q943" i="7"/>
  <c r="R943" i="7"/>
  <c r="S943" i="7"/>
  <c r="D944" i="7"/>
  <c r="E944" i="7"/>
  <c r="F944" i="7"/>
  <c r="G944" i="7"/>
  <c r="H944" i="7"/>
  <c r="I944" i="7"/>
  <c r="J944" i="7"/>
  <c r="K944" i="7"/>
  <c r="L944" i="7"/>
  <c r="M944" i="7"/>
  <c r="N944" i="7"/>
  <c r="O944" i="7"/>
  <c r="P944" i="7"/>
  <c r="Q944" i="7"/>
  <c r="R944" i="7"/>
  <c r="S944" i="7"/>
  <c r="D945" i="7"/>
  <c r="E945" i="7"/>
  <c r="F945" i="7"/>
  <c r="G945" i="7"/>
  <c r="H945" i="7"/>
  <c r="I945" i="7"/>
  <c r="J945" i="7"/>
  <c r="K945" i="7"/>
  <c r="L945" i="7"/>
  <c r="M945" i="7"/>
  <c r="N945" i="7"/>
  <c r="O945" i="7"/>
  <c r="P945" i="7"/>
  <c r="Q945" i="7"/>
  <c r="R945" i="7"/>
  <c r="S945" i="7"/>
  <c r="D946" i="7"/>
  <c r="E946" i="7"/>
  <c r="F946" i="7"/>
  <c r="G946" i="7"/>
  <c r="H946" i="7"/>
  <c r="I946" i="7"/>
  <c r="J946" i="7"/>
  <c r="K946" i="7"/>
  <c r="L946" i="7"/>
  <c r="M946" i="7"/>
  <c r="N946" i="7"/>
  <c r="O946" i="7"/>
  <c r="P946" i="7"/>
  <c r="Q946" i="7"/>
  <c r="R946" i="7"/>
  <c r="S946" i="7"/>
  <c r="D947" i="7"/>
  <c r="E947" i="7"/>
  <c r="F947" i="7"/>
  <c r="G947" i="7"/>
  <c r="H947" i="7"/>
  <c r="I947" i="7"/>
  <c r="J947" i="7"/>
  <c r="K947" i="7"/>
  <c r="L947" i="7"/>
  <c r="M947" i="7"/>
  <c r="N947" i="7"/>
  <c r="O947" i="7"/>
  <c r="P947" i="7"/>
  <c r="Q947" i="7"/>
  <c r="R947" i="7"/>
  <c r="S947" i="7"/>
  <c r="D948" i="7"/>
  <c r="E948" i="7"/>
  <c r="F948" i="7"/>
  <c r="G948" i="7"/>
  <c r="H948" i="7"/>
  <c r="I948" i="7"/>
  <c r="J948" i="7"/>
  <c r="K948" i="7"/>
  <c r="L948" i="7"/>
  <c r="M948" i="7"/>
  <c r="N948" i="7"/>
  <c r="O948" i="7"/>
  <c r="P948" i="7"/>
  <c r="Q948" i="7"/>
  <c r="R948" i="7"/>
  <c r="S948" i="7"/>
  <c r="D949" i="7"/>
  <c r="E949" i="7"/>
  <c r="F949" i="7"/>
  <c r="G949" i="7"/>
  <c r="H949" i="7"/>
  <c r="I949" i="7"/>
  <c r="J949" i="7"/>
  <c r="K949" i="7"/>
  <c r="L949" i="7"/>
  <c r="M949" i="7"/>
  <c r="N949" i="7"/>
  <c r="O949" i="7"/>
  <c r="P949" i="7"/>
  <c r="Q949" i="7"/>
  <c r="R949" i="7"/>
  <c r="S949" i="7"/>
  <c r="D950" i="7"/>
  <c r="E950" i="7"/>
  <c r="F950" i="7"/>
  <c r="G950" i="7"/>
  <c r="H950" i="7"/>
  <c r="I950" i="7"/>
  <c r="J950" i="7"/>
  <c r="K950" i="7"/>
  <c r="L950" i="7"/>
  <c r="M950" i="7"/>
  <c r="N950" i="7"/>
  <c r="O950" i="7"/>
  <c r="P950" i="7"/>
  <c r="Q950" i="7"/>
  <c r="R950" i="7"/>
  <c r="S950" i="7"/>
  <c r="D951" i="7"/>
  <c r="E951" i="7"/>
  <c r="F951" i="7"/>
  <c r="G951" i="7"/>
  <c r="H951" i="7"/>
  <c r="I951" i="7"/>
  <c r="J951" i="7"/>
  <c r="K951" i="7"/>
  <c r="L951" i="7"/>
  <c r="M951" i="7"/>
  <c r="N951" i="7"/>
  <c r="O951" i="7"/>
  <c r="P951" i="7"/>
  <c r="Q951" i="7"/>
  <c r="R951" i="7"/>
  <c r="S951" i="7"/>
  <c r="D952" i="7"/>
  <c r="E952" i="7"/>
  <c r="F952" i="7"/>
  <c r="G952" i="7"/>
  <c r="H952" i="7"/>
  <c r="I952" i="7"/>
  <c r="J952" i="7"/>
  <c r="K952" i="7"/>
  <c r="L952" i="7"/>
  <c r="M952" i="7"/>
  <c r="N952" i="7"/>
  <c r="O952" i="7"/>
  <c r="P952" i="7"/>
  <c r="Q952" i="7"/>
  <c r="R952" i="7"/>
  <c r="S952" i="7"/>
  <c r="D953" i="7"/>
  <c r="E953" i="7"/>
  <c r="F953" i="7"/>
  <c r="G953" i="7"/>
  <c r="H953" i="7"/>
  <c r="I953" i="7"/>
  <c r="J953" i="7"/>
  <c r="K953" i="7"/>
  <c r="L953" i="7"/>
  <c r="M953" i="7"/>
  <c r="N953" i="7"/>
  <c r="O953" i="7"/>
  <c r="P953" i="7"/>
  <c r="Q953" i="7"/>
  <c r="R953" i="7"/>
  <c r="S953" i="7"/>
  <c r="D954" i="7"/>
  <c r="E954" i="7"/>
  <c r="F954" i="7"/>
  <c r="G954" i="7"/>
  <c r="H954" i="7"/>
  <c r="I954" i="7"/>
  <c r="J954" i="7"/>
  <c r="K954" i="7"/>
  <c r="L954" i="7"/>
  <c r="M954" i="7"/>
  <c r="N954" i="7"/>
  <c r="O954" i="7"/>
  <c r="P954" i="7"/>
  <c r="Q954" i="7"/>
  <c r="R954" i="7"/>
  <c r="S954" i="7"/>
  <c r="D955" i="7"/>
  <c r="E955" i="7"/>
  <c r="F955" i="7"/>
  <c r="G955" i="7"/>
  <c r="H955" i="7"/>
  <c r="I955" i="7"/>
  <c r="J955" i="7"/>
  <c r="K955" i="7"/>
  <c r="L955" i="7"/>
  <c r="M955" i="7"/>
  <c r="N955" i="7"/>
  <c r="O955" i="7"/>
  <c r="P955" i="7"/>
  <c r="Q955" i="7"/>
  <c r="R955" i="7"/>
  <c r="S955" i="7"/>
  <c r="D956" i="7"/>
  <c r="E956" i="7"/>
  <c r="F956" i="7"/>
  <c r="G956" i="7"/>
  <c r="H956" i="7"/>
  <c r="I956" i="7"/>
  <c r="J956" i="7"/>
  <c r="K956" i="7"/>
  <c r="L956" i="7"/>
  <c r="M956" i="7"/>
  <c r="N956" i="7"/>
  <c r="O956" i="7"/>
  <c r="P956" i="7"/>
  <c r="Q956" i="7"/>
  <c r="R956" i="7"/>
  <c r="S956" i="7"/>
  <c r="D957" i="7"/>
  <c r="E957" i="7"/>
  <c r="F957" i="7"/>
  <c r="G957" i="7"/>
  <c r="H957" i="7"/>
  <c r="I957" i="7"/>
  <c r="J957" i="7"/>
  <c r="K957" i="7"/>
  <c r="L957" i="7"/>
  <c r="M957" i="7"/>
  <c r="N957" i="7"/>
  <c r="O957" i="7"/>
  <c r="P957" i="7"/>
  <c r="Q957" i="7"/>
  <c r="R957" i="7"/>
  <c r="S957" i="7"/>
  <c r="D958" i="7"/>
  <c r="E958" i="7"/>
  <c r="F958" i="7"/>
  <c r="G958" i="7"/>
  <c r="H958" i="7"/>
  <c r="I958" i="7"/>
  <c r="J958" i="7"/>
  <c r="K958" i="7"/>
  <c r="L958" i="7"/>
  <c r="M958" i="7"/>
  <c r="N958" i="7"/>
  <c r="O958" i="7"/>
  <c r="P958" i="7"/>
  <c r="Q958" i="7"/>
  <c r="R958" i="7"/>
  <c r="S958" i="7"/>
  <c r="D959" i="7"/>
  <c r="E959" i="7"/>
  <c r="F959" i="7"/>
  <c r="G959" i="7"/>
  <c r="H959" i="7"/>
  <c r="I959" i="7"/>
  <c r="J959" i="7"/>
  <c r="K959" i="7"/>
  <c r="L959" i="7"/>
  <c r="M959" i="7"/>
  <c r="N959" i="7"/>
  <c r="O959" i="7"/>
  <c r="P959" i="7"/>
  <c r="Q959" i="7"/>
  <c r="R959" i="7"/>
  <c r="S959" i="7"/>
  <c r="D960" i="7"/>
  <c r="E960" i="7"/>
  <c r="F960" i="7"/>
  <c r="G960" i="7"/>
  <c r="H960" i="7"/>
  <c r="I960" i="7"/>
  <c r="J960" i="7"/>
  <c r="K960" i="7"/>
  <c r="L960" i="7"/>
  <c r="M960" i="7"/>
  <c r="N960" i="7"/>
  <c r="O960" i="7"/>
  <c r="P960" i="7"/>
  <c r="Q960" i="7"/>
  <c r="R960" i="7"/>
  <c r="S960" i="7"/>
  <c r="D961" i="7"/>
  <c r="E961" i="7"/>
  <c r="F961" i="7"/>
  <c r="G961" i="7"/>
  <c r="H961" i="7"/>
  <c r="I961" i="7"/>
  <c r="J961" i="7"/>
  <c r="K961" i="7"/>
  <c r="L961" i="7"/>
  <c r="M961" i="7"/>
  <c r="N961" i="7"/>
  <c r="O961" i="7"/>
  <c r="P961" i="7"/>
  <c r="Q961" i="7"/>
  <c r="R961" i="7"/>
  <c r="S961" i="7"/>
  <c r="D962" i="7"/>
  <c r="E962" i="7"/>
  <c r="F962" i="7"/>
  <c r="G962" i="7"/>
  <c r="H962" i="7"/>
  <c r="I962" i="7"/>
  <c r="J962" i="7"/>
  <c r="K962" i="7"/>
  <c r="L962" i="7"/>
  <c r="M962" i="7"/>
  <c r="N962" i="7"/>
  <c r="O962" i="7"/>
  <c r="P962" i="7"/>
  <c r="Q962" i="7"/>
  <c r="R962" i="7"/>
  <c r="S962" i="7"/>
  <c r="D963" i="7"/>
  <c r="E963" i="7"/>
  <c r="F963" i="7"/>
  <c r="G963" i="7"/>
  <c r="H963" i="7"/>
  <c r="I963" i="7"/>
  <c r="J963" i="7"/>
  <c r="K963" i="7"/>
  <c r="L963" i="7"/>
  <c r="M963" i="7"/>
  <c r="N963" i="7"/>
  <c r="O963" i="7"/>
  <c r="P963" i="7"/>
  <c r="Q963" i="7"/>
  <c r="R963" i="7"/>
  <c r="S963" i="7"/>
  <c r="D964" i="7"/>
  <c r="E964" i="7"/>
  <c r="F964" i="7"/>
  <c r="G964" i="7"/>
  <c r="H964" i="7"/>
  <c r="I964" i="7"/>
  <c r="J964" i="7"/>
  <c r="K964" i="7"/>
  <c r="L964" i="7"/>
  <c r="M964" i="7"/>
  <c r="N964" i="7"/>
  <c r="O964" i="7"/>
  <c r="P964" i="7"/>
  <c r="Q964" i="7"/>
  <c r="R964" i="7"/>
  <c r="S964" i="7"/>
  <c r="D965" i="7"/>
  <c r="E965" i="7"/>
  <c r="F965" i="7"/>
  <c r="G965" i="7"/>
  <c r="H965" i="7"/>
  <c r="I965" i="7"/>
  <c r="J965" i="7"/>
  <c r="K965" i="7"/>
  <c r="L965" i="7"/>
  <c r="M965" i="7"/>
  <c r="N965" i="7"/>
  <c r="O965" i="7"/>
  <c r="P965" i="7"/>
  <c r="Q965" i="7"/>
  <c r="R965" i="7"/>
  <c r="S965" i="7"/>
  <c r="D966" i="7"/>
  <c r="E966" i="7"/>
  <c r="F966" i="7"/>
  <c r="G966" i="7"/>
  <c r="H966" i="7"/>
  <c r="I966" i="7"/>
  <c r="J966" i="7"/>
  <c r="K966" i="7"/>
  <c r="L966" i="7"/>
  <c r="M966" i="7"/>
  <c r="N966" i="7"/>
  <c r="O966" i="7"/>
  <c r="P966" i="7"/>
  <c r="Q966" i="7"/>
  <c r="R966" i="7"/>
  <c r="S966" i="7"/>
  <c r="E927" i="7"/>
  <c r="F927" i="7"/>
  <c r="G927" i="7"/>
  <c r="H927" i="7"/>
  <c r="I927" i="7"/>
  <c r="J927" i="7"/>
  <c r="K927" i="7"/>
  <c r="L927" i="7"/>
  <c r="M927" i="7"/>
  <c r="N927" i="7"/>
  <c r="O927" i="7"/>
  <c r="P927" i="7"/>
  <c r="Q927" i="7"/>
  <c r="R927" i="7"/>
  <c r="S927" i="7"/>
  <c r="D927" i="7"/>
  <c r="D884" i="7"/>
  <c r="E884" i="7"/>
  <c r="F884" i="7"/>
  <c r="G884" i="7"/>
  <c r="H884" i="7"/>
  <c r="I884" i="7"/>
  <c r="J884" i="7"/>
  <c r="K884" i="7"/>
  <c r="L884" i="7"/>
  <c r="M884" i="7"/>
  <c r="N884" i="7"/>
  <c r="O884" i="7"/>
  <c r="P884" i="7"/>
  <c r="Q884" i="7"/>
  <c r="R884" i="7"/>
  <c r="S884" i="7"/>
  <c r="D885" i="7"/>
  <c r="E885" i="7"/>
  <c r="F885" i="7"/>
  <c r="G885" i="7"/>
  <c r="H885" i="7"/>
  <c r="I885" i="7"/>
  <c r="J885" i="7"/>
  <c r="K885" i="7"/>
  <c r="L885" i="7"/>
  <c r="M885" i="7"/>
  <c r="N885" i="7"/>
  <c r="O885" i="7"/>
  <c r="P885" i="7"/>
  <c r="Q885" i="7"/>
  <c r="R885" i="7"/>
  <c r="S885" i="7"/>
  <c r="D886" i="7"/>
  <c r="E886" i="7"/>
  <c r="F886" i="7"/>
  <c r="G886" i="7"/>
  <c r="H886" i="7"/>
  <c r="I886" i="7"/>
  <c r="J886" i="7"/>
  <c r="K886" i="7"/>
  <c r="L886" i="7"/>
  <c r="M886" i="7"/>
  <c r="N886" i="7"/>
  <c r="O886" i="7"/>
  <c r="P886" i="7"/>
  <c r="Q886" i="7"/>
  <c r="R886" i="7"/>
  <c r="S886" i="7"/>
  <c r="D887" i="7"/>
  <c r="E887" i="7"/>
  <c r="F887" i="7"/>
  <c r="G887" i="7"/>
  <c r="H887" i="7"/>
  <c r="I887" i="7"/>
  <c r="J887" i="7"/>
  <c r="K887" i="7"/>
  <c r="L887" i="7"/>
  <c r="M887" i="7"/>
  <c r="N887" i="7"/>
  <c r="O887" i="7"/>
  <c r="P887" i="7"/>
  <c r="Q887" i="7"/>
  <c r="R887" i="7"/>
  <c r="S887" i="7"/>
  <c r="D888" i="7"/>
  <c r="E888" i="7"/>
  <c r="F888" i="7"/>
  <c r="G888" i="7"/>
  <c r="H888" i="7"/>
  <c r="I888" i="7"/>
  <c r="J888" i="7"/>
  <c r="K888" i="7"/>
  <c r="L888" i="7"/>
  <c r="M888" i="7"/>
  <c r="N888" i="7"/>
  <c r="O888" i="7"/>
  <c r="P888" i="7"/>
  <c r="Q888" i="7"/>
  <c r="R888" i="7"/>
  <c r="S888" i="7"/>
  <c r="D889" i="7"/>
  <c r="E889" i="7"/>
  <c r="F889" i="7"/>
  <c r="G889" i="7"/>
  <c r="H889" i="7"/>
  <c r="I889" i="7"/>
  <c r="J889" i="7"/>
  <c r="K889" i="7"/>
  <c r="L889" i="7"/>
  <c r="M889" i="7"/>
  <c r="N889" i="7"/>
  <c r="O889" i="7"/>
  <c r="P889" i="7"/>
  <c r="Q889" i="7"/>
  <c r="R889" i="7"/>
  <c r="S889" i="7"/>
  <c r="D890" i="7"/>
  <c r="E890" i="7"/>
  <c r="F890" i="7"/>
  <c r="G890" i="7"/>
  <c r="H890" i="7"/>
  <c r="I890" i="7"/>
  <c r="J890" i="7"/>
  <c r="K890" i="7"/>
  <c r="L890" i="7"/>
  <c r="M890" i="7"/>
  <c r="N890" i="7"/>
  <c r="O890" i="7"/>
  <c r="P890" i="7"/>
  <c r="Q890" i="7"/>
  <c r="R890" i="7"/>
  <c r="S890" i="7"/>
  <c r="D891" i="7"/>
  <c r="E891" i="7"/>
  <c r="F891" i="7"/>
  <c r="G891" i="7"/>
  <c r="H891" i="7"/>
  <c r="I891" i="7"/>
  <c r="J891" i="7"/>
  <c r="K891" i="7"/>
  <c r="L891" i="7"/>
  <c r="M891" i="7"/>
  <c r="N891" i="7"/>
  <c r="O891" i="7"/>
  <c r="P891" i="7"/>
  <c r="Q891" i="7"/>
  <c r="R891" i="7"/>
  <c r="S891" i="7"/>
  <c r="D892" i="7"/>
  <c r="E892" i="7"/>
  <c r="F892" i="7"/>
  <c r="G892" i="7"/>
  <c r="H892" i="7"/>
  <c r="I892" i="7"/>
  <c r="J892" i="7"/>
  <c r="K892" i="7"/>
  <c r="L892" i="7"/>
  <c r="M892" i="7"/>
  <c r="N892" i="7"/>
  <c r="O892" i="7"/>
  <c r="P892" i="7"/>
  <c r="Q892" i="7"/>
  <c r="R892" i="7"/>
  <c r="S892" i="7"/>
  <c r="D893" i="7"/>
  <c r="E893" i="7"/>
  <c r="F893" i="7"/>
  <c r="G893" i="7"/>
  <c r="H893" i="7"/>
  <c r="I893" i="7"/>
  <c r="J893" i="7"/>
  <c r="K893" i="7"/>
  <c r="L893" i="7"/>
  <c r="M893" i="7"/>
  <c r="N893" i="7"/>
  <c r="O893" i="7"/>
  <c r="P893" i="7"/>
  <c r="Q893" i="7"/>
  <c r="R893" i="7"/>
  <c r="S893" i="7"/>
  <c r="D894" i="7"/>
  <c r="E894" i="7"/>
  <c r="F894" i="7"/>
  <c r="G894" i="7"/>
  <c r="H894" i="7"/>
  <c r="I894" i="7"/>
  <c r="J894" i="7"/>
  <c r="K894" i="7"/>
  <c r="L894" i="7"/>
  <c r="M894" i="7"/>
  <c r="N894" i="7"/>
  <c r="O894" i="7"/>
  <c r="P894" i="7"/>
  <c r="Q894" i="7"/>
  <c r="R894" i="7"/>
  <c r="S894" i="7"/>
  <c r="D895" i="7"/>
  <c r="E895" i="7"/>
  <c r="F895" i="7"/>
  <c r="G895" i="7"/>
  <c r="H895" i="7"/>
  <c r="I895" i="7"/>
  <c r="J895" i="7"/>
  <c r="K895" i="7"/>
  <c r="L895" i="7"/>
  <c r="M895" i="7"/>
  <c r="N895" i="7"/>
  <c r="O895" i="7"/>
  <c r="P895" i="7"/>
  <c r="Q895" i="7"/>
  <c r="R895" i="7"/>
  <c r="S895" i="7"/>
  <c r="D896" i="7"/>
  <c r="E896" i="7"/>
  <c r="F896" i="7"/>
  <c r="G896" i="7"/>
  <c r="H896" i="7"/>
  <c r="I896" i="7"/>
  <c r="J896" i="7"/>
  <c r="K896" i="7"/>
  <c r="L896" i="7"/>
  <c r="M896" i="7"/>
  <c r="N896" i="7"/>
  <c r="O896" i="7"/>
  <c r="P896" i="7"/>
  <c r="Q896" i="7"/>
  <c r="R896" i="7"/>
  <c r="S896" i="7"/>
  <c r="D897" i="7"/>
  <c r="E897" i="7"/>
  <c r="F897" i="7"/>
  <c r="G897" i="7"/>
  <c r="H897" i="7"/>
  <c r="I897" i="7"/>
  <c r="J897" i="7"/>
  <c r="K897" i="7"/>
  <c r="L897" i="7"/>
  <c r="M897" i="7"/>
  <c r="N897" i="7"/>
  <c r="O897" i="7"/>
  <c r="P897" i="7"/>
  <c r="Q897" i="7"/>
  <c r="R897" i="7"/>
  <c r="S897" i="7"/>
  <c r="D898" i="7"/>
  <c r="E898" i="7"/>
  <c r="F898" i="7"/>
  <c r="G898" i="7"/>
  <c r="H898" i="7"/>
  <c r="I898" i="7"/>
  <c r="J898" i="7"/>
  <c r="K898" i="7"/>
  <c r="L898" i="7"/>
  <c r="M898" i="7"/>
  <c r="N898" i="7"/>
  <c r="O898" i="7"/>
  <c r="P898" i="7"/>
  <c r="Q898" i="7"/>
  <c r="R898" i="7"/>
  <c r="S898" i="7"/>
  <c r="D899" i="7"/>
  <c r="E899" i="7"/>
  <c r="F899" i="7"/>
  <c r="G899" i="7"/>
  <c r="H899" i="7"/>
  <c r="I899" i="7"/>
  <c r="J899" i="7"/>
  <c r="K899" i="7"/>
  <c r="L899" i="7"/>
  <c r="M899" i="7"/>
  <c r="N899" i="7"/>
  <c r="O899" i="7"/>
  <c r="P899" i="7"/>
  <c r="Q899" i="7"/>
  <c r="R899" i="7"/>
  <c r="S899" i="7"/>
  <c r="D900" i="7"/>
  <c r="E900" i="7"/>
  <c r="F900" i="7"/>
  <c r="G900" i="7"/>
  <c r="H900" i="7"/>
  <c r="I900" i="7"/>
  <c r="J900" i="7"/>
  <c r="K900" i="7"/>
  <c r="L900" i="7"/>
  <c r="M900" i="7"/>
  <c r="N900" i="7"/>
  <c r="O900" i="7"/>
  <c r="P900" i="7"/>
  <c r="Q900" i="7"/>
  <c r="R900" i="7"/>
  <c r="S900" i="7"/>
  <c r="D901" i="7"/>
  <c r="E901" i="7"/>
  <c r="F901" i="7"/>
  <c r="G901" i="7"/>
  <c r="H901" i="7"/>
  <c r="I901" i="7"/>
  <c r="J901" i="7"/>
  <c r="K901" i="7"/>
  <c r="L901" i="7"/>
  <c r="M901" i="7"/>
  <c r="N901" i="7"/>
  <c r="O901" i="7"/>
  <c r="P901" i="7"/>
  <c r="Q901" i="7"/>
  <c r="R901" i="7"/>
  <c r="S901" i="7"/>
  <c r="D902" i="7"/>
  <c r="E902" i="7"/>
  <c r="F902" i="7"/>
  <c r="G902" i="7"/>
  <c r="H902" i="7"/>
  <c r="I902" i="7"/>
  <c r="J902" i="7"/>
  <c r="K902" i="7"/>
  <c r="L902" i="7"/>
  <c r="M902" i="7"/>
  <c r="N902" i="7"/>
  <c r="O902" i="7"/>
  <c r="P902" i="7"/>
  <c r="Q902" i="7"/>
  <c r="R902" i="7"/>
  <c r="S902" i="7"/>
  <c r="D903" i="7"/>
  <c r="E903" i="7"/>
  <c r="F903" i="7"/>
  <c r="G903" i="7"/>
  <c r="H903" i="7"/>
  <c r="I903" i="7"/>
  <c r="J903" i="7"/>
  <c r="K903" i="7"/>
  <c r="L903" i="7"/>
  <c r="M903" i="7"/>
  <c r="N903" i="7"/>
  <c r="O903" i="7"/>
  <c r="P903" i="7"/>
  <c r="Q903" i="7"/>
  <c r="R903" i="7"/>
  <c r="S903" i="7"/>
  <c r="D904" i="7"/>
  <c r="E904" i="7"/>
  <c r="F904" i="7"/>
  <c r="G904" i="7"/>
  <c r="H904" i="7"/>
  <c r="I904" i="7"/>
  <c r="J904" i="7"/>
  <c r="K904" i="7"/>
  <c r="L904" i="7"/>
  <c r="M904" i="7"/>
  <c r="N904" i="7"/>
  <c r="O904" i="7"/>
  <c r="P904" i="7"/>
  <c r="Q904" i="7"/>
  <c r="R904" i="7"/>
  <c r="S904" i="7"/>
  <c r="D905" i="7"/>
  <c r="E905" i="7"/>
  <c r="F905" i="7"/>
  <c r="G905" i="7"/>
  <c r="H905" i="7"/>
  <c r="I905" i="7"/>
  <c r="J905" i="7"/>
  <c r="K905" i="7"/>
  <c r="L905" i="7"/>
  <c r="M905" i="7"/>
  <c r="N905" i="7"/>
  <c r="O905" i="7"/>
  <c r="P905" i="7"/>
  <c r="Q905" i="7"/>
  <c r="R905" i="7"/>
  <c r="S905" i="7"/>
  <c r="D906" i="7"/>
  <c r="E906" i="7"/>
  <c r="F906" i="7"/>
  <c r="G906" i="7"/>
  <c r="H906" i="7"/>
  <c r="I906" i="7"/>
  <c r="J906" i="7"/>
  <c r="K906" i="7"/>
  <c r="L906" i="7"/>
  <c r="M906" i="7"/>
  <c r="N906" i="7"/>
  <c r="O906" i="7"/>
  <c r="P906" i="7"/>
  <c r="Q906" i="7"/>
  <c r="R906" i="7"/>
  <c r="S906" i="7"/>
  <c r="D907" i="7"/>
  <c r="E907" i="7"/>
  <c r="F907" i="7"/>
  <c r="G907" i="7"/>
  <c r="H907" i="7"/>
  <c r="I907" i="7"/>
  <c r="J907" i="7"/>
  <c r="K907" i="7"/>
  <c r="L907" i="7"/>
  <c r="M907" i="7"/>
  <c r="N907" i="7"/>
  <c r="O907" i="7"/>
  <c r="P907" i="7"/>
  <c r="Q907" i="7"/>
  <c r="R907" i="7"/>
  <c r="S907" i="7"/>
  <c r="D908" i="7"/>
  <c r="E908" i="7"/>
  <c r="F908" i="7"/>
  <c r="G908" i="7"/>
  <c r="H908" i="7"/>
  <c r="I908" i="7"/>
  <c r="J908" i="7"/>
  <c r="K908" i="7"/>
  <c r="L908" i="7"/>
  <c r="M908" i="7"/>
  <c r="N908" i="7"/>
  <c r="O908" i="7"/>
  <c r="P908" i="7"/>
  <c r="Q908" i="7"/>
  <c r="R908" i="7"/>
  <c r="S908" i="7"/>
  <c r="D909" i="7"/>
  <c r="E909" i="7"/>
  <c r="F909" i="7"/>
  <c r="G909" i="7"/>
  <c r="H909" i="7"/>
  <c r="I909" i="7"/>
  <c r="J909" i="7"/>
  <c r="K909" i="7"/>
  <c r="L909" i="7"/>
  <c r="M909" i="7"/>
  <c r="N909" i="7"/>
  <c r="O909" i="7"/>
  <c r="P909" i="7"/>
  <c r="Q909" i="7"/>
  <c r="R909" i="7"/>
  <c r="S909" i="7"/>
  <c r="D910" i="7"/>
  <c r="E910" i="7"/>
  <c r="F910" i="7"/>
  <c r="G910" i="7"/>
  <c r="H910" i="7"/>
  <c r="I910" i="7"/>
  <c r="J910" i="7"/>
  <c r="K910" i="7"/>
  <c r="L910" i="7"/>
  <c r="M910" i="7"/>
  <c r="N910" i="7"/>
  <c r="O910" i="7"/>
  <c r="P910" i="7"/>
  <c r="Q910" i="7"/>
  <c r="R910" i="7"/>
  <c r="S910" i="7"/>
  <c r="D911" i="7"/>
  <c r="E911" i="7"/>
  <c r="F911" i="7"/>
  <c r="G911" i="7"/>
  <c r="H911" i="7"/>
  <c r="I911" i="7"/>
  <c r="J911" i="7"/>
  <c r="K911" i="7"/>
  <c r="L911" i="7"/>
  <c r="M911" i="7"/>
  <c r="N911" i="7"/>
  <c r="O911" i="7"/>
  <c r="P911" i="7"/>
  <c r="Q911" i="7"/>
  <c r="R911" i="7"/>
  <c r="S911" i="7"/>
  <c r="D912" i="7"/>
  <c r="E912" i="7"/>
  <c r="F912" i="7"/>
  <c r="G912" i="7"/>
  <c r="H912" i="7"/>
  <c r="I912" i="7"/>
  <c r="J912" i="7"/>
  <c r="K912" i="7"/>
  <c r="L912" i="7"/>
  <c r="M912" i="7"/>
  <c r="N912" i="7"/>
  <c r="O912" i="7"/>
  <c r="P912" i="7"/>
  <c r="Q912" i="7"/>
  <c r="R912" i="7"/>
  <c r="S912" i="7"/>
  <c r="D913" i="7"/>
  <c r="E913" i="7"/>
  <c r="F913" i="7"/>
  <c r="G913" i="7"/>
  <c r="H913" i="7"/>
  <c r="I913" i="7"/>
  <c r="J913" i="7"/>
  <c r="K913" i="7"/>
  <c r="L913" i="7"/>
  <c r="M913" i="7"/>
  <c r="N913" i="7"/>
  <c r="O913" i="7"/>
  <c r="P913" i="7"/>
  <c r="Q913" i="7"/>
  <c r="R913" i="7"/>
  <c r="S913" i="7"/>
  <c r="D914" i="7"/>
  <c r="E914" i="7"/>
  <c r="F914" i="7"/>
  <c r="G914" i="7"/>
  <c r="H914" i="7"/>
  <c r="I914" i="7"/>
  <c r="J914" i="7"/>
  <c r="K914" i="7"/>
  <c r="L914" i="7"/>
  <c r="M914" i="7"/>
  <c r="N914" i="7"/>
  <c r="O914" i="7"/>
  <c r="P914" i="7"/>
  <c r="Q914" i="7"/>
  <c r="R914" i="7"/>
  <c r="S914" i="7"/>
  <c r="D915" i="7"/>
  <c r="E915" i="7"/>
  <c r="F915" i="7"/>
  <c r="G915" i="7"/>
  <c r="H915" i="7"/>
  <c r="I915" i="7"/>
  <c r="J915" i="7"/>
  <c r="K915" i="7"/>
  <c r="L915" i="7"/>
  <c r="M915" i="7"/>
  <c r="N915" i="7"/>
  <c r="O915" i="7"/>
  <c r="P915" i="7"/>
  <c r="Q915" i="7"/>
  <c r="R915" i="7"/>
  <c r="S915" i="7"/>
  <c r="D916" i="7"/>
  <c r="E916" i="7"/>
  <c r="F916" i="7"/>
  <c r="G916" i="7"/>
  <c r="H916" i="7"/>
  <c r="I916" i="7"/>
  <c r="J916" i="7"/>
  <c r="K916" i="7"/>
  <c r="L916" i="7"/>
  <c r="M916" i="7"/>
  <c r="N916" i="7"/>
  <c r="O916" i="7"/>
  <c r="P916" i="7"/>
  <c r="Q916" i="7"/>
  <c r="R916" i="7"/>
  <c r="S916" i="7"/>
  <c r="D917" i="7"/>
  <c r="E917" i="7"/>
  <c r="F917" i="7"/>
  <c r="G917" i="7"/>
  <c r="H917" i="7"/>
  <c r="I917" i="7"/>
  <c r="J917" i="7"/>
  <c r="K917" i="7"/>
  <c r="L917" i="7"/>
  <c r="M917" i="7"/>
  <c r="N917" i="7"/>
  <c r="O917" i="7"/>
  <c r="P917" i="7"/>
  <c r="Q917" i="7"/>
  <c r="R917" i="7"/>
  <c r="S917" i="7"/>
  <c r="D918" i="7"/>
  <c r="E918" i="7"/>
  <c r="F918" i="7"/>
  <c r="G918" i="7"/>
  <c r="H918" i="7"/>
  <c r="I918" i="7"/>
  <c r="J918" i="7"/>
  <c r="K918" i="7"/>
  <c r="L918" i="7"/>
  <c r="M918" i="7"/>
  <c r="N918" i="7"/>
  <c r="O918" i="7"/>
  <c r="P918" i="7"/>
  <c r="Q918" i="7"/>
  <c r="R918" i="7"/>
  <c r="S918" i="7"/>
  <c r="D919" i="7"/>
  <c r="E919" i="7"/>
  <c r="F919" i="7"/>
  <c r="G919" i="7"/>
  <c r="H919" i="7"/>
  <c r="I919" i="7"/>
  <c r="J919" i="7"/>
  <c r="K919" i="7"/>
  <c r="L919" i="7"/>
  <c r="M919" i="7"/>
  <c r="N919" i="7"/>
  <c r="O919" i="7"/>
  <c r="P919" i="7"/>
  <c r="Q919" i="7"/>
  <c r="R919" i="7"/>
  <c r="S919" i="7"/>
  <c r="D920" i="7"/>
  <c r="E920" i="7"/>
  <c r="F920" i="7"/>
  <c r="G920" i="7"/>
  <c r="H920" i="7"/>
  <c r="I920" i="7"/>
  <c r="J920" i="7"/>
  <c r="K920" i="7"/>
  <c r="L920" i="7"/>
  <c r="M920" i="7"/>
  <c r="N920" i="7"/>
  <c r="O920" i="7"/>
  <c r="P920" i="7"/>
  <c r="Q920" i="7"/>
  <c r="R920" i="7"/>
  <c r="S920" i="7"/>
  <c r="D921" i="7"/>
  <c r="E921" i="7"/>
  <c r="F921" i="7"/>
  <c r="G921" i="7"/>
  <c r="H921" i="7"/>
  <c r="I921" i="7"/>
  <c r="J921" i="7"/>
  <c r="K921" i="7"/>
  <c r="L921" i="7"/>
  <c r="M921" i="7"/>
  <c r="N921" i="7"/>
  <c r="O921" i="7"/>
  <c r="P921" i="7"/>
  <c r="Q921" i="7"/>
  <c r="R921" i="7"/>
  <c r="S921" i="7"/>
  <c r="D922" i="7"/>
  <c r="E922" i="7"/>
  <c r="F922" i="7"/>
  <c r="G922" i="7"/>
  <c r="H922" i="7"/>
  <c r="I922" i="7"/>
  <c r="J922" i="7"/>
  <c r="K922" i="7"/>
  <c r="L922" i="7"/>
  <c r="M922" i="7"/>
  <c r="N922" i="7"/>
  <c r="O922" i="7"/>
  <c r="P922" i="7"/>
  <c r="Q922" i="7"/>
  <c r="R922" i="7"/>
  <c r="S922" i="7"/>
  <c r="E883" i="7"/>
  <c r="F883" i="7"/>
  <c r="G883" i="7"/>
  <c r="H883" i="7"/>
  <c r="I883" i="7"/>
  <c r="J883" i="7"/>
  <c r="K883" i="7"/>
  <c r="L883" i="7"/>
  <c r="M883" i="7"/>
  <c r="N883" i="7"/>
  <c r="O883" i="7"/>
  <c r="P883" i="7"/>
  <c r="Q883" i="7"/>
  <c r="R883" i="7"/>
  <c r="S883" i="7"/>
  <c r="D883" i="7"/>
  <c r="D840" i="7"/>
  <c r="E840" i="7"/>
  <c r="F840" i="7"/>
  <c r="G840" i="7"/>
  <c r="H840" i="7"/>
  <c r="I840" i="7"/>
  <c r="J840" i="7"/>
  <c r="K840" i="7"/>
  <c r="L840" i="7"/>
  <c r="M840" i="7"/>
  <c r="N840" i="7"/>
  <c r="O840" i="7"/>
  <c r="P840" i="7"/>
  <c r="Q840" i="7"/>
  <c r="R840" i="7"/>
  <c r="S840" i="7"/>
  <c r="D841" i="7"/>
  <c r="E841" i="7"/>
  <c r="F841" i="7"/>
  <c r="G841" i="7"/>
  <c r="H841" i="7"/>
  <c r="I841" i="7"/>
  <c r="J841" i="7"/>
  <c r="K841" i="7"/>
  <c r="L841" i="7"/>
  <c r="M841" i="7"/>
  <c r="N841" i="7"/>
  <c r="O841" i="7"/>
  <c r="P841" i="7"/>
  <c r="Q841" i="7"/>
  <c r="R841" i="7"/>
  <c r="S841" i="7"/>
  <c r="D842" i="7"/>
  <c r="E842" i="7"/>
  <c r="F842" i="7"/>
  <c r="G842" i="7"/>
  <c r="H842" i="7"/>
  <c r="I842" i="7"/>
  <c r="J842" i="7"/>
  <c r="K842" i="7"/>
  <c r="L842" i="7"/>
  <c r="M842" i="7"/>
  <c r="N842" i="7"/>
  <c r="O842" i="7"/>
  <c r="P842" i="7"/>
  <c r="Q842" i="7"/>
  <c r="R842" i="7"/>
  <c r="S842" i="7"/>
  <c r="D843" i="7"/>
  <c r="E843" i="7"/>
  <c r="F843" i="7"/>
  <c r="G843" i="7"/>
  <c r="H843" i="7"/>
  <c r="I843" i="7"/>
  <c r="J843" i="7"/>
  <c r="K843" i="7"/>
  <c r="L843" i="7"/>
  <c r="M843" i="7"/>
  <c r="N843" i="7"/>
  <c r="O843" i="7"/>
  <c r="P843" i="7"/>
  <c r="Q843" i="7"/>
  <c r="R843" i="7"/>
  <c r="S843" i="7"/>
  <c r="D844" i="7"/>
  <c r="E844" i="7"/>
  <c r="F844" i="7"/>
  <c r="G844" i="7"/>
  <c r="H844" i="7"/>
  <c r="I844" i="7"/>
  <c r="J844" i="7"/>
  <c r="K844" i="7"/>
  <c r="L844" i="7"/>
  <c r="M844" i="7"/>
  <c r="N844" i="7"/>
  <c r="O844" i="7"/>
  <c r="P844" i="7"/>
  <c r="Q844" i="7"/>
  <c r="R844" i="7"/>
  <c r="S844" i="7"/>
  <c r="D845" i="7"/>
  <c r="E845" i="7"/>
  <c r="F845" i="7"/>
  <c r="G845" i="7"/>
  <c r="H845" i="7"/>
  <c r="I845" i="7"/>
  <c r="J845" i="7"/>
  <c r="K845" i="7"/>
  <c r="L845" i="7"/>
  <c r="M845" i="7"/>
  <c r="N845" i="7"/>
  <c r="O845" i="7"/>
  <c r="P845" i="7"/>
  <c r="Q845" i="7"/>
  <c r="R845" i="7"/>
  <c r="S845" i="7"/>
  <c r="D846" i="7"/>
  <c r="E846" i="7"/>
  <c r="F846" i="7"/>
  <c r="G846" i="7"/>
  <c r="H846" i="7"/>
  <c r="I846" i="7"/>
  <c r="J846" i="7"/>
  <c r="K846" i="7"/>
  <c r="L846" i="7"/>
  <c r="M846" i="7"/>
  <c r="N846" i="7"/>
  <c r="O846" i="7"/>
  <c r="P846" i="7"/>
  <c r="Q846" i="7"/>
  <c r="R846" i="7"/>
  <c r="S846" i="7"/>
  <c r="D847" i="7"/>
  <c r="E847" i="7"/>
  <c r="F847" i="7"/>
  <c r="G847" i="7"/>
  <c r="H847" i="7"/>
  <c r="I847" i="7"/>
  <c r="J847" i="7"/>
  <c r="K847" i="7"/>
  <c r="L847" i="7"/>
  <c r="M847" i="7"/>
  <c r="N847" i="7"/>
  <c r="O847" i="7"/>
  <c r="P847" i="7"/>
  <c r="Q847" i="7"/>
  <c r="R847" i="7"/>
  <c r="S847" i="7"/>
  <c r="D848" i="7"/>
  <c r="E848" i="7"/>
  <c r="F848" i="7"/>
  <c r="G848" i="7"/>
  <c r="H848" i="7"/>
  <c r="I848" i="7"/>
  <c r="J848" i="7"/>
  <c r="K848" i="7"/>
  <c r="L848" i="7"/>
  <c r="M848" i="7"/>
  <c r="N848" i="7"/>
  <c r="O848" i="7"/>
  <c r="P848" i="7"/>
  <c r="Q848" i="7"/>
  <c r="R848" i="7"/>
  <c r="S848" i="7"/>
  <c r="D849" i="7"/>
  <c r="E849" i="7"/>
  <c r="F849" i="7"/>
  <c r="G849" i="7"/>
  <c r="H849" i="7"/>
  <c r="I849" i="7"/>
  <c r="J849" i="7"/>
  <c r="K849" i="7"/>
  <c r="L849" i="7"/>
  <c r="M849" i="7"/>
  <c r="N849" i="7"/>
  <c r="O849" i="7"/>
  <c r="P849" i="7"/>
  <c r="Q849" i="7"/>
  <c r="R849" i="7"/>
  <c r="S849" i="7"/>
  <c r="D850" i="7"/>
  <c r="E850" i="7"/>
  <c r="F850" i="7"/>
  <c r="G850" i="7"/>
  <c r="H850" i="7"/>
  <c r="I850" i="7"/>
  <c r="J850" i="7"/>
  <c r="K850" i="7"/>
  <c r="L850" i="7"/>
  <c r="M850" i="7"/>
  <c r="N850" i="7"/>
  <c r="O850" i="7"/>
  <c r="P850" i="7"/>
  <c r="Q850" i="7"/>
  <c r="R850" i="7"/>
  <c r="S850" i="7"/>
  <c r="D851" i="7"/>
  <c r="E851" i="7"/>
  <c r="F851" i="7"/>
  <c r="G851" i="7"/>
  <c r="H851" i="7"/>
  <c r="I851" i="7"/>
  <c r="J851" i="7"/>
  <c r="K851" i="7"/>
  <c r="L851" i="7"/>
  <c r="M851" i="7"/>
  <c r="N851" i="7"/>
  <c r="O851" i="7"/>
  <c r="P851" i="7"/>
  <c r="Q851" i="7"/>
  <c r="R851" i="7"/>
  <c r="S851" i="7"/>
  <c r="D852" i="7"/>
  <c r="E852" i="7"/>
  <c r="F852" i="7"/>
  <c r="G852" i="7"/>
  <c r="H852" i="7"/>
  <c r="I852" i="7"/>
  <c r="J852" i="7"/>
  <c r="K852" i="7"/>
  <c r="L852" i="7"/>
  <c r="M852" i="7"/>
  <c r="N852" i="7"/>
  <c r="O852" i="7"/>
  <c r="P852" i="7"/>
  <c r="Q852" i="7"/>
  <c r="R852" i="7"/>
  <c r="S852" i="7"/>
  <c r="D853" i="7"/>
  <c r="E853" i="7"/>
  <c r="F853" i="7"/>
  <c r="G853" i="7"/>
  <c r="H853" i="7"/>
  <c r="I853" i="7"/>
  <c r="J853" i="7"/>
  <c r="K853" i="7"/>
  <c r="L853" i="7"/>
  <c r="M853" i="7"/>
  <c r="N853" i="7"/>
  <c r="O853" i="7"/>
  <c r="P853" i="7"/>
  <c r="Q853" i="7"/>
  <c r="R853" i="7"/>
  <c r="S853" i="7"/>
  <c r="D854" i="7"/>
  <c r="E854" i="7"/>
  <c r="F854" i="7"/>
  <c r="G854" i="7"/>
  <c r="H854" i="7"/>
  <c r="I854" i="7"/>
  <c r="J854" i="7"/>
  <c r="K854" i="7"/>
  <c r="L854" i="7"/>
  <c r="M854" i="7"/>
  <c r="N854" i="7"/>
  <c r="O854" i="7"/>
  <c r="P854" i="7"/>
  <c r="Q854" i="7"/>
  <c r="R854" i="7"/>
  <c r="S854" i="7"/>
  <c r="D855" i="7"/>
  <c r="E855" i="7"/>
  <c r="F855" i="7"/>
  <c r="G855" i="7"/>
  <c r="H855" i="7"/>
  <c r="I855" i="7"/>
  <c r="J855" i="7"/>
  <c r="K855" i="7"/>
  <c r="L855" i="7"/>
  <c r="M855" i="7"/>
  <c r="N855" i="7"/>
  <c r="O855" i="7"/>
  <c r="P855" i="7"/>
  <c r="Q855" i="7"/>
  <c r="R855" i="7"/>
  <c r="S855" i="7"/>
  <c r="D856" i="7"/>
  <c r="E856" i="7"/>
  <c r="F856" i="7"/>
  <c r="G856" i="7"/>
  <c r="H856" i="7"/>
  <c r="I856" i="7"/>
  <c r="J856" i="7"/>
  <c r="K856" i="7"/>
  <c r="L856" i="7"/>
  <c r="M856" i="7"/>
  <c r="N856" i="7"/>
  <c r="O856" i="7"/>
  <c r="P856" i="7"/>
  <c r="Q856" i="7"/>
  <c r="R856" i="7"/>
  <c r="S856" i="7"/>
  <c r="D857" i="7"/>
  <c r="E857" i="7"/>
  <c r="F857" i="7"/>
  <c r="G857" i="7"/>
  <c r="H857" i="7"/>
  <c r="I857" i="7"/>
  <c r="J857" i="7"/>
  <c r="K857" i="7"/>
  <c r="L857" i="7"/>
  <c r="M857" i="7"/>
  <c r="N857" i="7"/>
  <c r="O857" i="7"/>
  <c r="P857" i="7"/>
  <c r="Q857" i="7"/>
  <c r="R857" i="7"/>
  <c r="S857" i="7"/>
  <c r="D858" i="7"/>
  <c r="E858" i="7"/>
  <c r="F858" i="7"/>
  <c r="G858" i="7"/>
  <c r="H858" i="7"/>
  <c r="I858" i="7"/>
  <c r="J858" i="7"/>
  <c r="K858" i="7"/>
  <c r="L858" i="7"/>
  <c r="M858" i="7"/>
  <c r="N858" i="7"/>
  <c r="O858" i="7"/>
  <c r="P858" i="7"/>
  <c r="Q858" i="7"/>
  <c r="R858" i="7"/>
  <c r="S858" i="7"/>
  <c r="D859" i="7"/>
  <c r="E859" i="7"/>
  <c r="F859" i="7"/>
  <c r="G859" i="7"/>
  <c r="H859" i="7"/>
  <c r="I859" i="7"/>
  <c r="J859" i="7"/>
  <c r="K859" i="7"/>
  <c r="L859" i="7"/>
  <c r="M859" i="7"/>
  <c r="N859" i="7"/>
  <c r="O859" i="7"/>
  <c r="P859" i="7"/>
  <c r="Q859" i="7"/>
  <c r="R859" i="7"/>
  <c r="S859" i="7"/>
  <c r="D860" i="7"/>
  <c r="E860" i="7"/>
  <c r="F860" i="7"/>
  <c r="G860" i="7"/>
  <c r="H860" i="7"/>
  <c r="I860" i="7"/>
  <c r="J860" i="7"/>
  <c r="K860" i="7"/>
  <c r="L860" i="7"/>
  <c r="M860" i="7"/>
  <c r="N860" i="7"/>
  <c r="O860" i="7"/>
  <c r="P860" i="7"/>
  <c r="Q860" i="7"/>
  <c r="R860" i="7"/>
  <c r="S860" i="7"/>
  <c r="D861" i="7"/>
  <c r="E861" i="7"/>
  <c r="F861" i="7"/>
  <c r="G861" i="7"/>
  <c r="H861" i="7"/>
  <c r="I861" i="7"/>
  <c r="J861" i="7"/>
  <c r="K861" i="7"/>
  <c r="L861" i="7"/>
  <c r="M861" i="7"/>
  <c r="N861" i="7"/>
  <c r="O861" i="7"/>
  <c r="P861" i="7"/>
  <c r="Q861" i="7"/>
  <c r="R861" i="7"/>
  <c r="S861" i="7"/>
  <c r="D862" i="7"/>
  <c r="E862" i="7"/>
  <c r="F862" i="7"/>
  <c r="G862" i="7"/>
  <c r="H862" i="7"/>
  <c r="I862" i="7"/>
  <c r="J862" i="7"/>
  <c r="K862" i="7"/>
  <c r="L862" i="7"/>
  <c r="M862" i="7"/>
  <c r="N862" i="7"/>
  <c r="O862" i="7"/>
  <c r="P862" i="7"/>
  <c r="Q862" i="7"/>
  <c r="R862" i="7"/>
  <c r="S862" i="7"/>
  <c r="D863" i="7"/>
  <c r="E863" i="7"/>
  <c r="F863" i="7"/>
  <c r="G863" i="7"/>
  <c r="H863" i="7"/>
  <c r="I863" i="7"/>
  <c r="J863" i="7"/>
  <c r="K863" i="7"/>
  <c r="L863" i="7"/>
  <c r="M863" i="7"/>
  <c r="N863" i="7"/>
  <c r="O863" i="7"/>
  <c r="P863" i="7"/>
  <c r="Q863" i="7"/>
  <c r="R863" i="7"/>
  <c r="S863" i="7"/>
  <c r="D864" i="7"/>
  <c r="E864" i="7"/>
  <c r="F864" i="7"/>
  <c r="G864" i="7"/>
  <c r="H864" i="7"/>
  <c r="I864" i="7"/>
  <c r="J864" i="7"/>
  <c r="K864" i="7"/>
  <c r="L864" i="7"/>
  <c r="M864" i="7"/>
  <c r="N864" i="7"/>
  <c r="O864" i="7"/>
  <c r="P864" i="7"/>
  <c r="Q864" i="7"/>
  <c r="R864" i="7"/>
  <c r="S864" i="7"/>
  <c r="D865" i="7"/>
  <c r="E865" i="7"/>
  <c r="F865" i="7"/>
  <c r="G865" i="7"/>
  <c r="H865" i="7"/>
  <c r="I865" i="7"/>
  <c r="J865" i="7"/>
  <c r="K865" i="7"/>
  <c r="L865" i="7"/>
  <c r="M865" i="7"/>
  <c r="N865" i="7"/>
  <c r="O865" i="7"/>
  <c r="P865" i="7"/>
  <c r="Q865" i="7"/>
  <c r="R865" i="7"/>
  <c r="S865" i="7"/>
  <c r="D866" i="7"/>
  <c r="E866" i="7"/>
  <c r="F866" i="7"/>
  <c r="G866" i="7"/>
  <c r="H866" i="7"/>
  <c r="I866" i="7"/>
  <c r="J866" i="7"/>
  <c r="K866" i="7"/>
  <c r="L866" i="7"/>
  <c r="M866" i="7"/>
  <c r="N866" i="7"/>
  <c r="O866" i="7"/>
  <c r="P866" i="7"/>
  <c r="Q866" i="7"/>
  <c r="R866" i="7"/>
  <c r="S866" i="7"/>
  <c r="D867" i="7"/>
  <c r="E867" i="7"/>
  <c r="F867" i="7"/>
  <c r="G867" i="7"/>
  <c r="H867" i="7"/>
  <c r="I867" i="7"/>
  <c r="J867" i="7"/>
  <c r="K867" i="7"/>
  <c r="L867" i="7"/>
  <c r="M867" i="7"/>
  <c r="N867" i="7"/>
  <c r="O867" i="7"/>
  <c r="P867" i="7"/>
  <c r="Q867" i="7"/>
  <c r="R867" i="7"/>
  <c r="S867" i="7"/>
  <c r="D868" i="7"/>
  <c r="E868" i="7"/>
  <c r="F868" i="7"/>
  <c r="G868" i="7"/>
  <c r="H868" i="7"/>
  <c r="I868" i="7"/>
  <c r="J868" i="7"/>
  <c r="K868" i="7"/>
  <c r="L868" i="7"/>
  <c r="M868" i="7"/>
  <c r="N868" i="7"/>
  <c r="O868" i="7"/>
  <c r="P868" i="7"/>
  <c r="Q868" i="7"/>
  <c r="R868" i="7"/>
  <c r="S868" i="7"/>
  <c r="D869" i="7"/>
  <c r="E869" i="7"/>
  <c r="F869" i="7"/>
  <c r="G869" i="7"/>
  <c r="H869" i="7"/>
  <c r="I869" i="7"/>
  <c r="J869" i="7"/>
  <c r="K869" i="7"/>
  <c r="L869" i="7"/>
  <c r="M869" i="7"/>
  <c r="N869" i="7"/>
  <c r="O869" i="7"/>
  <c r="P869" i="7"/>
  <c r="Q869" i="7"/>
  <c r="R869" i="7"/>
  <c r="S869" i="7"/>
  <c r="D870" i="7"/>
  <c r="E870" i="7"/>
  <c r="F870" i="7"/>
  <c r="G870" i="7"/>
  <c r="H870" i="7"/>
  <c r="I870" i="7"/>
  <c r="J870" i="7"/>
  <c r="K870" i="7"/>
  <c r="L870" i="7"/>
  <c r="M870" i="7"/>
  <c r="N870" i="7"/>
  <c r="O870" i="7"/>
  <c r="P870" i="7"/>
  <c r="Q870" i="7"/>
  <c r="R870" i="7"/>
  <c r="S870" i="7"/>
  <c r="D871" i="7"/>
  <c r="E871" i="7"/>
  <c r="F871" i="7"/>
  <c r="G871" i="7"/>
  <c r="H871" i="7"/>
  <c r="I871" i="7"/>
  <c r="J871" i="7"/>
  <c r="K871" i="7"/>
  <c r="L871" i="7"/>
  <c r="M871" i="7"/>
  <c r="N871" i="7"/>
  <c r="O871" i="7"/>
  <c r="P871" i="7"/>
  <c r="Q871" i="7"/>
  <c r="R871" i="7"/>
  <c r="S871" i="7"/>
  <c r="D872" i="7"/>
  <c r="E872" i="7"/>
  <c r="F872" i="7"/>
  <c r="G872" i="7"/>
  <c r="H872" i="7"/>
  <c r="I872" i="7"/>
  <c r="J872" i="7"/>
  <c r="K872" i="7"/>
  <c r="L872" i="7"/>
  <c r="M872" i="7"/>
  <c r="N872" i="7"/>
  <c r="O872" i="7"/>
  <c r="P872" i="7"/>
  <c r="Q872" i="7"/>
  <c r="R872" i="7"/>
  <c r="S872" i="7"/>
  <c r="D873" i="7"/>
  <c r="E873" i="7"/>
  <c r="F873" i="7"/>
  <c r="G873" i="7"/>
  <c r="H873" i="7"/>
  <c r="I873" i="7"/>
  <c r="J873" i="7"/>
  <c r="K873" i="7"/>
  <c r="L873" i="7"/>
  <c r="M873" i="7"/>
  <c r="N873" i="7"/>
  <c r="O873" i="7"/>
  <c r="P873" i="7"/>
  <c r="Q873" i="7"/>
  <c r="R873" i="7"/>
  <c r="S873" i="7"/>
  <c r="D874" i="7"/>
  <c r="E874" i="7"/>
  <c r="F874" i="7"/>
  <c r="G874" i="7"/>
  <c r="H874" i="7"/>
  <c r="I874" i="7"/>
  <c r="J874" i="7"/>
  <c r="K874" i="7"/>
  <c r="L874" i="7"/>
  <c r="M874" i="7"/>
  <c r="N874" i="7"/>
  <c r="O874" i="7"/>
  <c r="P874" i="7"/>
  <c r="Q874" i="7"/>
  <c r="R874" i="7"/>
  <c r="S874" i="7"/>
  <c r="D875" i="7"/>
  <c r="E875" i="7"/>
  <c r="F875" i="7"/>
  <c r="G875" i="7"/>
  <c r="H875" i="7"/>
  <c r="I875" i="7"/>
  <c r="J875" i="7"/>
  <c r="K875" i="7"/>
  <c r="L875" i="7"/>
  <c r="M875" i="7"/>
  <c r="N875" i="7"/>
  <c r="O875" i="7"/>
  <c r="P875" i="7"/>
  <c r="Q875" i="7"/>
  <c r="R875" i="7"/>
  <c r="S875" i="7"/>
  <c r="D876" i="7"/>
  <c r="E876" i="7"/>
  <c r="F876" i="7"/>
  <c r="G876" i="7"/>
  <c r="H876" i="7"/>
  <c r="I876" i="7"/>
  <c r="J876" i="7"/>
  <c r="K876" i="7"/>
  <c r="L876" i="7"/>
  <c r="M876" i="7"/>
  <c r="N876" i="7"/>
  <c r="O876" i="7"/>
  <c r="P876" i="7"/>
  <c r="Q876" i="7"/>
  <c r="R876" i="7"/>
  <c r="S876" i="7"/>
  <c r="D877" i="7"/>
  <c r="E877" i="7"/>
  <c r="F877" i="7"/>
  <c r="G877" i="7"/>
  <c r="H877" i="7"/>
  <c r="I877" i="7"/>
  <c r="J877" i="7"/>
  <c r="K877" i="7"/>
  <c r="L877" i="7"/>
  <c r="M877" i="7"/>
  <c r="N877" i="7"/>
  <c r="O877" i="7"/>
  <c r="P877" i="7"/>
  <c r="Q877" i="7"/>
  <c r="R877" i="7"/>
  <c r="S877" i="7"/>
  <c r="D878" i="7"/>
  <c r="E878" i="7"/>
  <c r="F878" i="7"/>
  <c r="G878" i="7"/>
  <c r="H878" i="7"/>
  <c r="I878" i="7"/>
  <c r="J878" i="7"/>
  <c r="K878" i="7"/>
  <c r="L878" i="7"/>
  <c r="M878" i="7"/>
  <c r="N878" i="7"/>
  <c r="O878" i="7"/>
  <c r="P878" i="7"/>
  <c r="Q878" i="7"/>
  <c r="R878" i="7"/>
  <c r="S878" i="7"/>
  <c r="E839" i="7"/>
  <c r="F839" i="7"/>
  <c r="G839" i="7"/>
  <c r="H839" i="7"/>
  <c r="I839" i="7"/>
  <c r="J839" i="7"/>
  <c r="K839" i="7"/>
  <c r="L839" i="7"/>
  <c r="M839" i="7"/>
  <c r="N839" i="7"/>
  <c r="O839" i="7"/>
  <c r="P839" i="7"/>
  <c r="Q839" i="7"/>
  <c r="R839" i="7"/>
  <c r="S839" i="7"/>
  <c r="D839" i="7"/>
  <c r="D796" i="7"/>
  <c r="E796" i="7"/>
  <c r="F796" i="7"/>
  <c r="G796" i="7"/>
  <c r="H796" i="7"/>
  <c r="I796" i="7"/>
  <c r="J796" i="7"/>
  <c r="K796" i="7"/>
  <c r="L796" i="7"/>
  <c r="M796" i="7"/>
  <c r="N796" i="7"/>
  <c r="O796" i="7"/>
  <c r="P796" i="7"/>
  <c r="Q796" i="7"/>
  <c r="R796" i="7"/>
  <c r="S796" i="7"/>
  <c r="D797" i="7"/>
  <c r="E797" i="7"/>
  <c r="F797" i="7"/>
  <c r="G797" i="7"/>
  <c r="H797" i="7"/>
  <c r="I797" i="7"/>
  <c r="J797" i="7"/>
  <c r="K797" i="7"/>
  <c r="L797" i="7"/>
  <c r="M797" i="7"/>
  <c r="N797" i="7"/>
  <c r="O797" i="7"/>
  <c r="P797" i="7"/>
  <c r="Q797" i="7"/>
  <c r="R797" i="7"/>
  <c r="S797" i="7"/>
  <c r="D798" i="7"/>
  <c r="E798" i="7"/>
  <c r="F798" i="7"/>
  <c r="G798" i="7"/>
  <c r="H798" i="7"/>
  <c r="I798" i="7"/>
  <c r="J798" i="7"/>
  <c r="K798" i="7"/>
  <c r="L798" i="7"/>
  <c r="M798" i="7"/>
  <c r="N798" i="7"/>
  <c r="O798" i="7"/>
  <c r="P798" i="7"/>
  <c r="Q798" i="7"/>
  <c r="R798" i="7"/>
  <c r="S798" i="7"/>
  <c r="D799" i="7"/>
  <c r="E799" i="7"/>
  <c r="F799" i="7"/>
  <c r="G799" i="7"/>
  <c r="H799" i="7"/>
  <c r="I799" i="7"/>
  <c r="J799" i="7"/>
  <c r="K799" i="7"/>
  <c r="L799" i="7"/>
  <c r="M799" i="7"/>
  <c r="N799" i="7"/>
  <c r="O799" i="7"/>
  <c r="P799" i="7"/>
  <c r="Q799" i="7"/>
  <c r="R799" i="7"/>
  <c r="S799" i="7"/>
  <c r="D800" i="7"/>
  <c r="E800" i="7"/>
  <c r="F800" i="7"/>
  <c r="G800" i="7"/>
  <c r="H800" i="7"/>
  <c r="I800" i="7"/>
  <c r="J800" i="7"/>
  <c r="K800" i="7"/>
  <c r="L800" i="7"/>
  <c r="M800" i="7"/>
  <c r="N800" i="7"/>
  <c r="O800" i="7"/>
  <c r="P800" i="7"/>
  <c r="Q800" i="7"/>
  <c r="R800" i="7"/>
  <c r="S800" i="7"/>
  <c r="D801" i="7"/>
  <c r="E801" i="7"/>
  <c r="F801" i="7"/>
  <c r="G801" i="7"/>
  <c r="H801" i="7"/>
  <c r="I801" i="7"/>
  <c r="J801" i="7"/>
  <c r="K801" i="7"/>
  <c r="L801" i="7"/>
  <c r="M801" i="7"/>
  <c r="N801" i="7"/>
  <c r="O801" i="7"/>
  <c r="P801" i="7"/>
  <c r="Q801" i="7"/>
  <c r="R801" i="7"/>
  <c r="S801" i="7"/>
  <c r="D802" i="7"/>
  <c r="E802" i="7"/>
  <c r="F802" i="7"/>
  <c r="G802" i="7"/>
  <c r="H802" i="7"/>
  <c r="I802" i="7"/>
  <c r="J802" i="7"/>
  <c r="K802" i="7"/>
  <c r="L802" i="7"/>
  <c r="M802" i="7"/>
  <c r="N802" i="7"/>
  <c r="O802" i="7"/>
  <c r="P802" i="7"/>
  <c r="Q802" i="7"/>
  <c r="R802" i="7"/>
  <c r="S802" i="7"/>
  <c r="D803" i="7"/>
  <c r="E803" i="7"/>
  <c r="F803" i="7"/>
  <c r="G803" i="7"/>
  <c r="H803" i="7"/>
  <c r="I803" i="7"/>
  <c r="J803" i="7"/>
  <c r="K803" i="7"/>
  <c r="L803" i="7"/>
  <c r="M803" i="7"/>
  <c r="N803" i="7"/>
  <c r="O803" i="7"/>
  <c r="P803" i="7"/>
  <c r="Q803" i="7"/>
  <c r="R803" i="7"/>
  <c r="S803" i="7"/>
  <c r="D804" i="7"/>
  <c r="E804" i="7"/>
  <c r="F804" i="7"/>
  <c r="G804" i="7"/>
  <c r="H804" i="7"/>
  <c r="I804" i="7"/>
  <c r="J804" i="7"/>
  <c r="K804" i="7"/>
  <c r="L804" i="7"/>
  <c r="M804" i="7"/>
  <c r="N804" i="7"/>
  <c r="O804" i="7"/>
  <c r="P804" i="7"/>
  <c r="Q804" i="7"/>
  <c r="R804" i="7"/>
  <c r="S804" i="7"/>
  <c r="D805" i="7"/>
  <c r="E805" i="7"/>
  <c r="F805" i="7"/>
  <c r="G805" i="7"/>
  <c r="H805" i="7"/>
  <c r="I805" i="7"/>
  <c r="J805" i="7"/>
  <c r="K805" i="7"/>
  <c r="L805" i="7"/>
  <c r="M805" i="7"/>
  <c r="N805" i="7"/>
  <c r="O805" i="7"/>
  <c r="P805" i="7"/>
  <c r="Q805" i="7"/>
  <c r="R805" i="7"/>
  <c r="S805" i="7"/>
  <c r="D806" i="7"/>
  <c r="E806" i="7"/>
  <c r="F806" i="7"/>
  <c r="G806" i="7"/>
  <c r="H806" i="7"/>
  <c r="I806" i="7"/>
  <c r="J806" i="7"/>
  <c r="K806" i="7"/>
  <c r="L806" i="7"/>
  <c r="M806" i="7"/>
  <c r="N806" i="7"/>
  <c r="O806" i="7"/>
  <c r="P806" i="7"/>
  <c r="Q806" i="7"/>
  <c r="R806" i="7"/>
  <c r="S806" i="7"/>
  <c r="D807" i="7"/>
  <c r="E807" i="7"/>
  <c r="F807" i="7"/>
  <c r="G807" i="7"/>
  <c r="H807" i="7"/>
  <c r="I807" i="7"/>
  <c r="J807" i="7"/>
  <c r="K807" i="7"/>
  <c r="L807" i="7"/>
  <c r="M807" i="7"/>
  <c r="N807" i="7"/>
  <c r="O807" i="7"/>
  <c r="P807" i="7"/>
  <c r="Q807" i="7"/>
  <c r="R807" i="7"/>
  <c r="S807" i="7"/>
  <c r="D808" i="7"/>
  <c r="E808" i="7"/>
  <c r="F808" i="7"/>
  <c r="G808" i="7"/>
  <c r="H808" i="7"/>
  <c r="I808" i="7"/>
  <c r="J808" i="7"/>
  <c r="K808" i="7"/>
  <c r="L808" i="7"/>
  <c r="M808" i="7"/>
  <c r="N808" i="7"/>
  <c r="O808" i="7"/>
  <c r="P808" i="7"/>
  <c r="Q808" i="7"/>
  <c r="R808" i="7"/>
  <c r="S808" i="7"/>
  <c r="D809" i="7"/>
  <c r="E809" i="7"/>
  <c r="F809" i="7"/>
  <c r="G809" i="7"/>
  <c r="H809" i="7"/>
  <c r="I809" i="7"/>
  <c r="J809" i="7"/>
  <c r="K809" i="7"/>
  <c r="L809" i="7"/>
  <c r="M809" i="7"/>
  <c r="N809" i="7"/>
  <c r="O809" i="7"/>
  <c r="P809" i="7"/>
  <c r="Q809" i="7"/>
  <c r="R809" i="7"/>
  <c r="S809" i="7"/>
  <c r="D810" i="7"/>
  <c r="E810" i="7"/>
  <c r="F810" i="7"/>
  <c r="G810" i="7"/>
  <c r="H810" i="7"/>
  <c r="I810" i="7"/>
  <c r="J810" i="7"/>
  <c r="K810" i="7"/>
  <c r="L810" i="7"/>
  <c r="M810" i="7"/>
  <c r="N810" i="7"/>
  <c r="O810" i="7"/>
  <c r="P810" i="7"/>
  <c r="Q810" i="7"/>
  <c r="R810" i="7"/>
  <c r="S810" i="7"/>
  <c r="D811" i="7"/>
  <c r="E811" i="7"/>
  <c r="F811" i="7"/>
  <c r="G811" i="7"/>
  <c r="H811" i="7"/>
  <c r="I811" i="7"/>
  <c r="J811" i="7"/>
  <c r="K811" i="7"/>
  <c r="L811" i="7"/>
  <c r="M811" i="7"/>
  <c r="N811" i="7"/>
  <c r="O811" i="7"/>
  <c r="P811" i="7"/>
  <c r="Q811" i="7"/>
  <c r="R811" i="7"/>
  <c r="S811" i="7"/>
  <c r="D812" i="7"/>
  <c r="E812" i="7"/>
  <c r="F812" i="7"/>
  <c r="G812" i="7"/>
  <c r="H812" i="7"/>
  <c r="I812" i="7"/>
  <c r="J812" i="7"/>
  <c r="K812" i="7"/>
  <c r="L812" i="7"/>
  <c r="M812" i="7"/>
  <c r="N812" i="7"/>
  <c r="O812" i="7"/>
  <c r="P812" i="7"/>
  <c r="Q812" i="7"/>
  <c r="R812" i="7"/>
  <c r="S812" i="7"/>
  <c r="D813" i="7"/>
  <c r="E813" i="7"/>
  <c r="F813" i="7"/>
  <c r="G813" i="7"/>
  <c r="H813" i="7"/>
  <c r="I813" i="7"/>
  <c r="J813" i="7"/>
  <c r="K813" i="7"/>
  <c r="L813" i="7"/>
  <c r="M813" i="7"/>
  <c r="N813" i="7"/>
  <c r="O813" i="7"/>
  <c r="P813" i="7"/>
  <c r="Q813" i="7"/>
  <c r="R813" i="7"/>
  <c r="S813" i="7"/>
  <c r="D814" i="7"/>
  <c r="E814" i="7"/>
  <c r="F814" i="7"/>
  <c r="G814" i="7"/>
  <c r="H814" i="7"/>
  <c r="I814" i="7"/>
  <c r="J814" i="7"/>
  <c r="K814" i="7"/>
  <c r="L814" i="7"/>
  <c r="M814" i="7"/>
  <c r="N814" i="7"/>
  <c r="O814" i="7"/>
  <c r="P814" i="7"/>
  <c r="Q814" i="7"/>
  <c r="R814" i="7"/>
  <c r="S814" i="7"/>
  <c r="D815" i="7"/>
  <c r="E815" i="7"/>
  <c r="F815" i="7"/>
  <c r="G815" i="7"/>
  <c r="H815" i="7"/>
  <c r="I815" i="7"/>
  <c r="J815" i="7"/>
  <c r="K815" i="7"/>
  <c r="L815" i="7"/>
  <c r="M815" i="7"/>
  <c r="N815" i="7"/>
  <c r="O815" i="7"/>
  <c r="P815" i="7"/>
  <c r="Q815" i="7"/>
  <c r="R815" i="7"/>
  <c r="S815" i="7"/>
  <c r="D816" i="7"/>
  <c r="E816" i="7"/>
  <c r="F816" i="7"/>
  <c r="G816" i="7"/>
  <c r="H816" i="7"/>
  <c r="I816" i="7"/>
  <c r="J816" i="7"/>
  <c r="K816" i="7"/>
  <c r="L816" i="7"/>
  <c r="M816" i="7"/>
  <c r="N816" i="7"/>
  <c r="O816" i="7"/>
  <c r="P816" i="7"/>
  <c r="Q816" i="7"/>
  <c r="R816" i="7"/>
  <c r="S816" i="7"/>
  <c r="D817" i="7"/>
  <c r="E817" i="7"/>
  <c r="F817" i="7"/>
  <c r="G817" i="7"/>
  <c r="H817" i="7"/>
  <c r="I817" i="7"/>
  <c r="J817" i="7"/>
  <c r="K817" i="7"/>
  <c r="L817" i="7"/>
  <c r="M817" i="7"/>
  <c r="N817" i="7"/>
  <c r="O817" i="7"/>
  <c r="P817" i="7"/>
  <c r="Q817" i="7"/>
  <c r="R817" i="7"/>
  <c r="S817" i="7"/>
  <c r="D818" i="7"/>
  <c r="E818" i="7"/>
  <c r="F818" i="7"/>
  <c r="G818" i="7"/>
  <c r="H818" i="7"/>
  <c r="I818" i="7"/>
  <c r="J818" i="7"/>
  <c r="K818" i="7"/>
  <c r="L818" i="7"/>
  <c r="M818" i="7"/>
  <c r="N818" i="7"/>
  <c r="O818" i="7"/>
  <c r="P818" i="7"/>
  <c r="Q818" i="7"/>
  <c r="R818" i="7"/>
  <c r="S818" i="7"/>
  <c r="D819" i="7"/>
  <c r="E819" i="7"/>
  <c r="F819" i="7"/>
  <c r="G819" i="7"/>
  <c r="H819" i="7"/>
  <c r="I819" i="7"/>
  <c r="J819" i="7"/>
  <c r="K819" i="7"/>
  <c r="L819" i="7"/>
  <c r="M819" i="7"/>
  <c r="N819" i="7"/>
  <c r="O819" i="7"/>
  <c r="P819" i="7"/>
  <c r="Q819" i="7"/>
  <c r="R819" i="7"/>
  <c r="S819" i="7"/>
  <c r="D820" i="7"/>
  <c r="E820" i="7"/>
  <c r="F820" i="7"/>
  <c r="G820" i="7"/>
  <c r="H820" i="7"/>
  <c r="I820" i="7"/>
  <c r="J820" i="7"/>
  <c r="K820" i="7"/>
  <c r="L820" i="7"/>
  <c r="M820" i="7"/>
  <c r="N820" i="7"/>
  <c r="O820" i="7"/>
  <c r="P820" i="7"/>
  <c r="Q820" i="7"/>
  <c r="R820" i="7"/>
  <c r="S820" i="7"/>
  <c r="D821" i="7"/>
  <c r="E821" i="7"/>
  <c r="F821" i="7"/>
  <c r="G821" i="7"/>
  <c r="H821" i="7"/>
  <c r="I821" i="7"/>
  <c r="J821" i="7"/>
  <c r="K821" i="7"/>
  <c r="L821" i="7"/>
  <c r="M821" i="7"/>
  <c r="N821" i="7"/>
  <c r="O821" i="7"/>
  <c r="P821" i="7"/>
  <c r="Q821" i="7"/>
  <c r="R821" i="7"/>
  <c r="S821" i="7"/>
  <c r="D822" i="7"/>
  <c r="E822" i="7"/>
  <c r="F822" i="7"/>
  <c r="G822" i="7"/>
  <c r="H822" i="7"/>
  <c r="I822" i="7"/>
  <c r="J822" i="7"/>
  <c r="K822" i="7"/>
  <c r="L822" i="7"/>
  <c r="M822" i="7"/>
  <c r="N822" i="7"/>
  <c r="O822" i="7"/>
  <c r="P822" i="7"/>
  <c r="Q822" i="7"/>
  <c r="R822" i="7"/>
  <c r="S822" i="7"/>
  <c r="D823" i="7"/>
  <c r="E823" i="7"/>
  <c r="F823" i="7"/>
  <c r="G823" i="7"/>
  <c r="H823" i="7"/>
  <c r="I823" i="7"/>
  <c r="J823" i="7"/>
  <c r="K823" i="7"/>
  <c r="L823" i="7"/>
  <c r="M823" i="7"/>
  <c r="N823" i="7"/>
  <c r="O823" i="7"/>
  <c r="P823" i="7"/>
  <c r="Q823" i="7"/>
  <c r="R823" i="7"/>
  <c r="S823" i="7"/>
  <c r="D824" i="7"/>
  <c r="E824" i="7"/>
  <c r="F824" i="7"/>
  <c r="G824" i="7"/>
  <c r="H824" i="7"/>
  <c r="I824" i="7"/>
  <c r="J824" i="7"/>
  <c r="K824" i="7"/>
  <c r="L824" i="7"/>
  <c r="M824" i="7"/>
  <c r="N824" i="7"/>
  <c r="O824" i="7"/>
  <c r="P824" i="7"/>
  <c r="Q824" i="7"/>
  <c r="R824" i="7"/>
  <c r="S824" i="7"/>
  <c r="D825" i="7"/>
  <c r="E825" i="7"/>
  <c r="F825" i="7"/>
  <c r="G825" i="7"/>
  <c r="H825" i="7"/>
  <c r="I825" i="7"/>
  <c r="J825" i="7"/>
  <c r="K825" i="7"/>
  <c r="L825" i="7"/>
  <c r="M825" i="7"/>
  <c r="N825" i="7"/>
  <c r="O825" i="7"/>
  <c r="P825" i="7"/>
  <c r="Q825" i="7"/>
  <c r="R825" i="7"/>
  <c r="S825" i="7"/>
  <c r="D826" i="7"/>
  <c r="E826" i="7"/>
  <c r="F826" i="7"/>
  <c r="G826" i="7"/>
  <c r="H826" i="7"/>
  <c r="I826" i="7"/>
  <c r="J826" i="7"/>
  <c r="K826" i="7"/>
  <c r="L826" i="7"/>
  <c r="M826" i="7"/>
  <c r="N826" i="7"/>
  <c r="O826" i="7"/>
  <c r="P826" i="7"/>
  <c r="Q826" i="7"/>
  <c r="R826" i="7"/>
  <c r="S826" i="7"/>
  <c r="D827" i="7"/>
  <c r="E827" i="7"/>
  <c r="F827" i="7"/>
  <c r="G827" i="7"/>
  <c r="H827" i="7"/>
  <c r="I827" i="7"/>
  <c r="J827" i="7"/>
  <c r="K827" i="7"/>
  <c r="L827" i="7"/>
  <c r="M827" i="7"/>
  <c r="N827" i="7"/>
  <c r="O827" i="7"/>
  <c r="P827" i="7"/>
  <c r="Q827" i="7"/>
  <c r="R827" i="7"/>
  <c r="S827" i="7"/>
  <c r="D828" i="7"/>
  <c r="E828" i="7"/>
  <c r="F828" i="7"/>
  <c r="G828" i="7"/>
  <c r="H828" i="7"/>
  <c r="I828" i="7"/>
  <c r="J828" i="7"/>
  <c r="K828" i="7"/>
  <c r="L828" i="7"/>
  <c r="M828" i="7"/>
  <c r="N828" i="7"/>
  <c r="O828" i="7"/>
  <c r="P828" i="7"/>
  <c r="Q828" i="7"/>
  <c r="R828" i="7"/>
  <c r="S828" i="7"/>
  <c r="D829" i="7"/>
  <c r="E829" i="7"/>
  <c r="F829" i="7"/>
  <c r="G829" i="7"/>
  <c r="H829" i="7"/>
  <c r="I829" i="7"/>
  <c r="J829" i="7"/>
  <c r="K829" i="7"/>
  <c r="L829" i="7"/>
  <c r="M829" i="7"/>
  <c r="N829" i="7"/>
  <c r="O829" i="7"/>
  <c r="P829" i="7"/>
  <c r="Q829" i="7"/>
  <c r="R829" i="7"/>
  <c r="S829" i="7"/>
  <c r="D830" i="7"/>
  <c r="E830" i="7"/>
  <c r="F830" i="7"/>
  <c r="G830" i="7"/>
  <c r="H830" i="7"/>
  <c r="I830" i="7"/>
  <c r="J830" i="7"/>
  <c r="K830" i="7"/>
  <c r="L830" i="7"/>
  <c r="M830" i="7"/>
  <c r="N830" i="7"/>
  <c r="O830" i="7"/>
  <c r="P830" i="7"/>
  <c r="Q830" i="7"/>
  <c r="R830" i="7"/>
  <c r="S830" i="7"/>
  <c r="D831" i="7"/>
  <c r="E831" i="7"/>
  <c r="F831" i="7"/>
  <c r="G831" i="7"/>
  <c r="H831" i="7"/>
  <c r="I831" i="7"/>
  <c r="J831" i="7"/>
  <c r="K831" i="7"/>
  <c r="L831" i="7"/>
  <c r="M831" i="7"/>
  <c r="N831" i="7"/>
  <c r="O831" i="7"/>
  <c r="P831" i="7"/>
  <c r="Q831" i="7"/>
  <c r="R831" i="7"/>
  <c r="S831" i="7"/>
  <c r="D832" i="7"/>
  <c r="E832" i="7"/>
  <c r="F832" i="7"/>
  <c r="G832" i="7"/>
  <c r="H832" i="7"/>
  <c r="I832" i="7"/>
  <c r="J832" i="7"/>
  <c r="K832" i="7"/>
  <c r="L832" i="7"/>
  <c r="M832" i="7"/>
  <c r="N832" i="7"/>
  <c r="O832" i="7"/>
  <c r="P832" i="7"/>
  <c r="Q832" i="7"/>
  <c r="R832" i="7"/>
  <c r="S832" i="7"/>
  <c r="D833" i="7"/>
  <c r="E833" i="7"/>
  <c r="F833" i="7"/>
  <c r="G833" i="7"/>
  <c r="H833" i="7"/>
  <c r="I833" i="7"/>
  <c r="J833" i="7"/>
  <c r="K833" i="7"/>
  <c r="L833" i="7"/>
  <c r="M833" i="7"/>
  <c r="N833" i="7"/>
  <c r="O833" i="7"/>
  <c r="P833" i="7"/>
  <c r="Q833" i="7"/>
  <c r="R833" i="7"/>
  <c r="S833" i="7"/>
  <c r="D834" i="7"/>
  <c r="E834" i="7"/>
  <c r="F834" i="7"/>
  <c r="G834" i="7"/>
  <c r="H834" i="7"/>
  <c r="I834" i="7"/>
  <c r="J834" i="7"/>
  <c r="K834" i="7"/>
  <c r="L834" i="7"/>
  <c r="M834" i="7"/>
  <c r="N834" i="7"/>
  <c r="O834" i="7"/>
  <c r="P834" i="7"/>
  <c r="Q834" i="7"/>
  <c r="R834" i="7"/>
  <c r="S834" i="7"/>
  <c r="E795" i="7"/>
  <c r="F795" i="7"/>
  <c r="G795" i="7"/>
  <c r="H795" i="7"/>
  <c r="I795" i="7"/>
  <c r="J795" i="7"/>
  <c r="K795" i="7"/>
  <c r="L795" i="7"/>
  <c r="M795" i="7"/>
  <c r="N795" i="7"/>
  <c r="O795" i="7"/>
  <c r="P795" i="7"/>
  <c r="Q795" i="7"/>
  <c r="R795" i="7"/>
  <c r="S795" i="7"/>
  <c r="D795" i="7"/>
  <c r="D752" i="7"/>
  <c r="E752" i="7"/>
  <c r="F752" i="7"/>
  <c r="G752" i="7"/>
  <c r="H752" i="7"/>
  <c r="I752" i="7"/>
  <c r="J752" i="7"/>
  <c r="K752" i="7"/>
  <c r="L752" i="7"/>
  <c r="M752" i="7"/>
  <c r="N752" i="7"/>
  <c r="O752" i="7"/>
  <c r="P752" i="7"/>
  <c r="Q752" i="7"/>
  <c r="R752" i="7"/>
  <c r="S752" i="7"/>
  <c r="D753" i="7"/>
  <c r="E753" i="7"/>
  <c r="F753" i="7"/>
  <c r="G753" i="7"/>
  <c r="H753" i="7"/>
  <c r="I753" i="7"/>
  <c r="J753" i="7"/>
  <c r="K753" i="7"/>
  <c r="L753" i="7"/>
  <c r="M753" i="7"/>
  <c r="N753" i="7"/>
  <c r="O753" i="7"/>
  <c r="P753" i="7"/>
  <c r="Q753" i="7"/>
  <c r="R753" i="7"/>
  <c r="S753" i="7"/>
  <c r="D754" i="7"/>
  <c r="E754" i="7"/>
  <c r="F754" i="7"/>
  <c r="G754" i="7"/>
  <c r="H754" i="7"/>
  <c r="I754" i="7"/>
  <c r="J754" i="7"/>
  <c r="K754" i="7"/>
  <c r="L754" i="7"/>
  <c r="M754" i="7"/>
  <c r="N754" i="7"/>
  <c r="O754" i="7"/>
  <c r="P754" i="7"/>
  <c r="Q754" i="7"/>
  <c r="R754" i="7"/>
  <c r="S754" i="7"/>
  <c r="D755" i="7"/>
  <c r="E755" i="7"/>
  <c r="F755" i="7"/>
  <c r="G755" i="7"/>
  <c r="H755" i="7"/>
  <c r="I755" i="7"/>
  <c r="J755" i="7"/>
  <c r="K755" i="7"/>
  <c r="L755" i="7"/>
  <c r="M755" i="7"/>
  <c r="N755" i="7"/>
  <c r="O755" i="7"/>
  <c r="P755" i="7"/>
  <c r="Q755" i="7"/>
  <c r="R755" i="7"/>
  <c r="S755" i="7"/>
  <c r="D756" i="7"/>
  <c r="E756" i="7"/>
  <c r="F756" i="7"/>
  <c r="G756" i="7"/>
  <c r="H756" i="7"/>
  <c r="I756" i="7"/>
  <c r="J756" i="7"/>
  <c r="K756" i="7"/>
  <c r="L756" i="7"/>
  <c r="M756" i="7"/>
  <c r="N756" i="7"/>
  <c r="O756" i="7"/>
  <c r="P756" i="7"/>
  <c r="Q756" i="7"/>
  <c r="R756" i="7"/>
  <c r="S756" i="7"/>
  <c r="D757" i="7"/>
  <c r="E757" i="7"/>
  <c r="F757" i="7"/>
  <c r="G757" i="7"/>
  <c r="H757" i="7"/>
  <c r="I757" i="7"/>
  <c r="J757" i="7"/>
  <c r="K757" i="7"/>
  <c r="L757" i="7"/>
  <c r="M757" i="7"/>
  <c r="N757" i="7"/>
  <c r="O757" i="7"/>
  <c r="P757" i="7"/>
  <c r="Q757" i="7"/>
  <c r="R757" i="7"/>
  <c r="S757" i="7"/>
  <c r="D758" i="7"/>
  <c r="E758" i="7"/>
  <c r="F758" i="7"/>
  <c r="G758" i="7"/>
  <c r="H758" i="7"/>
  <c r="I758" i="7"/>
  <c r="J758" i="7"/>
  <c r="K758" i="7"/>
  <c r="L758" i="7"/>
  <c r="M758" i="7"/>
  <c r="N758" i="7"/>
  <c r="O758" i="7"/>
  <c r="P758" i="7"/>
  <c r="Q758" i="7"/>
  <c r="R758" i="7"/>
  <c r="S758" i="7"/>
  <c r="D759" i="7"/>
  <c r="E759" i="7"/>
  <c r="F759" i="7"/>
  <c r="G759" i="7"/>
  <c r="H759" i="7"/>
  <c r="I759" i="7"/>
  <c r="J759" i="7"/>
  <c r="K759" i="7"/>
  <c r="L759" i="7"/>
  <c r="M759" i="7"/>
  <c r="N759" i="7"/>
  <c r="O759" i="7"/>
  <c r="P759" i="7"/>
  <c r="Q759" i="7"/>
  <c r="R759" i="7"/>
  <c r="S759" i="7"/>
  <c r="D760" i="7"/>
  <c r="E760" i="7"/>
  <c r="F760" i="7"/>
  <c r="G760" i="7"/>
  <c r="H760" i="7"/>
  <c r="I760" i="7"/>
  <c r="J760" i="7"/>
  <c r="K760" i="7"/>
  <c r="L760" i="7"/>
  <c r="M760" i="7"/>
  <c r="N760" i="7"/>
  <c r="O760" i="7"/>
  <c r="P760" i="7"/>
  <c r="Q760" i="7"/>
  <c r="R760" i="7"/>
  <c r="S760" i="7"/>
  <c r="D761" i="7"/>
  <c r="E761" i="7"/>
  <c r="F761" i="7"/>
  <c r="G761" i="7"/>
  <c r="H761" i="7"/>
  <c r="I761" i="7"/>
  <c r="J761" i="7"/>
  <c r="K761" i="7"/>
  <c r="L761" i="7"/>
  <c r="M761" i="7"/>
  <c r="N761" i="7"/>
  <c r="O761" i="7"/>
  <c r="P761" i="7"/>
  <c r="Q761" i="7"/>
  <c r="R761" i="7"/>
  <c r="S761" i="7"/>
  <c r="D762" i="7"/>
  <c r="E762" i="7"/>
  <c r="F762" i="7"/>
  <c r="G762" i="7"/>
  <c r="H762" i="7"/>
  <c r="I762" i="7"/>
  <c r="J762" i="7"/>
  <c r="K762" i="7"/>
  <c r="L762" i="7"/>
  <c r="M762" i="7"/>
  <c r="N762" i="7"/>
  <c r="O762" i="7"/>
  <c r="P762" i="7"/>
  <c r="Q762" i="7"/>
  <c r="R762" i="7"/>
  <c r="S762" i="7"/>
  <c r="D763" i="7"/>
  <c r="E763" i="7"/>
  <c r="F763" i="7"/>
  <c r="G763" i="7"/>
  <c r="H763" i="7"/>
  <c r="I763" i="7"/>
  <c r="J763" i="7"/>
  <c r="K763" i="7"/>
  <c r="L763" i="7"/>
  <c r="M763" i="7"/>
  <c r="N763" i="7"/>
  <c r="O763" i="7"/>
  <c r="P763" i="7"/>
  <c r="Q763" i="7"/>
  <c r="R763" i="7"/>
  <c r="S763" i="7"/>
  <c r="D764" i="7"/>
  <c r="E764" i="7"/>
  <c r="F764" i="7"/>
  <c r="G764" i="7"/>
  <c r="H764" i="7"/>
  <c r="I764" i="7"/>
  <c r="J764" i="7"/>
  <c r="K764" i="7"/>
  <c r="L764" i="7"/>
  <c r="M764" i="7"/>
  <c r="N764" i="7"/>
  <c r="O764" i="7"/>
  <c r="P764" i="7"/>
  <c r="Q764" i="7"/>
  <c r="R764" i="7"/>
  <c r="S764" i="7"/>
  <c r="D765" i="7"/>
  <c r="E765" i="7"/>
  <c r="F765" i="7"/>
  <c r="G765" i="7"/>
  <c r="H765" i="7"/>
  <c r="I765" i="7"/>
  <c r="J765" i="7"/>
  <c r="K765" i="7"/>
  <c r="L765" i="7"/>
  <c r="M765" i="7"/>
  <c r="N765" i="7"/>
  <c r="O765" i="7"/>
  <c r="P765" i="7"/>
  <c r="Q765" i="7"/>
  <c r="R765" i="7"/>
  <c r="S765" i="7"/>
  <c r="D766" i="7"/>
  <c r="E766" i="7"/>
  <c r="F766" i="7"/>
  <c r="G766" i="7"/>
  <c r="H766" i="7"/>
  <c r="I766" i="7"/>
  <c r="J766" i="7"/>
  <c r="K766" i="7"/>
  <c r="L766" i="7"/>
  <c r="M766" i="7"/>
  <c r="N766" i="7"/>
  <c r="O766" i="7"/>
  <c r="P766" i="7"/>
  <c r="Q766" i="7"/>
  <c r="R766" i="7"/>
  <c r="S766" i="7"/>
  <c r="D767" i="7"/>
  <c r="E767" i="7"/>
  <c r="F767" i="7"/>
  <c r="G767" i="7"/>
  <c r="H767" i="7"/>
  <c r="I767" i="7"/>
  <c r="J767" i="7"/>
  <c r="K767" i="7"/>
  <c r="L767" i="7"/>
  <c r="M767" i="7"/>
  <c r="N767" i="7"/>
  <c r="O767" i="7"/>
  <c r="P767" i="7"/>
  <c r="Q767" i="7"/>
  <c r="R767" i="7"/>
  <c r="S767" i="7"/>
  <c r="D768" i="7"/>
  <c r="E768" i="7"/>
  <c r="F768" i="7"/>
  <c r="G768" i="7"/>
  <c r="H768" i="7"/>
  <c r="I768" i="7"/>
  <c r="J768" i="7"/>
  <c r="K768" i="7"/>
  <c r="L768" i="7"/>
  <c r="M768" i="7"/>
  <c r="N768" i="7"/>
  <c r="O768" i="7"/>
  <c r="P768" i="7"/>
  <c r="Q768" i="7"/>
  <c r="R768" i="7"/>
  <c r="S768" i="7"/>
  <c r="D769" i="7"/>
  <c r="E769" i="7"/>
  <c r="F769" i="7"/>
  <c r="G769" i="7"/>
  <c r="H769" i="7"/>
  <c r="I769" i="7"/>
  <c r="J769" i="7"/>
  <c r="K769" i="7"/>
  <c r="L769" i="7"/>
  <c r="M769" i="7"/>
  <c r="N769" i="7"/>
  <c r="O769" i="7"/>
  <c r="P769" i="7"/>
  <c r="Q769" i="7"/>
  <c r="R769" i="7"/>
  <c r="S769" i="7"/>
  <c r="D770" i="7"/>
  <c r="E770" i="7"/>
  <c r="F770" i="7"/>
  <c r="G770" i="7"/>
  <c r="H770" i="7"/>
  <c r="I770" i="7"/>
  <c r="J770" i="7"/>
  <c r="K770" i="7"/>
  <c r="L770" i="7"/>
  <c r="M770" i="7"/>
  <c r="N770" i="7"/>
  <c r="O770" i="7"/>
  <c r="P770" i="7"/>
  <c r="Q770" i="7"/>
  <c r="R770" i="7"/>
  <c r="S770" i="7"/>
  <c r="D771" i="7"/>
  <c r="E771" i="7"/>
  <c r="F771" i="7"/>
  <c r="G771" i="7"/>
  <c r="H771" i="7"/>
  <c r="I771" i="7"/>
  <c r="J771" i="7"/>
  <c r="K771" i="7"/>
  <c r="L771" i="7"/>
  <c r="M771" i="7"/>
  <c r="N771" i="7"/>
  <c r="O771" i="7"/>
  <c r="P771" i="7"/>
  <c r="Q771" i="7"/>
  <c r="R771" i="7"/>
  <c r="S771" i="7"/>
  <c r="D772" i="7"/>
  <c r="E772" i="7"/>
  <c r="F772" i="7"/>
  <c r="G772" i="7"/>
  <c r="H772" i="7"/>
  <c r="I772" i="7"/>
  <c r="J772" i="7"/>
  <c r="K772" i="7"/>
  <c r="L772" i="7"/>
  <c r="M772" i="7"/>
  <c r="N772" i="7"/>
  <c r="O772" i="7"/>
  <c r="P772" i="7"/>
  <c r="Q772" i="7"/>
  <c r="R772" i="7"/>
  <c r="S772" i="7"/>
  <c r="D773" i="7"/>
  <c r="E773" i="7"/>
  <c r="F773" i="7"/>
  <c r="G773" i="7"/>
  <c r="H773" i="7"/>
  <c r="I773" i="7"/>
  <c r="J773" i="7"/>
  <c r="K773" i="7"/>
  <c r="L773" i="7"/>
  <c r="M773" i="7"/>
  <c r="N773" i="7"/>
  <c r="O773" i="7"/>
  <c r="P773" i="7"/>
  <c r="Q773" i="7"/>
  <c r="R773" i="7"/>
  <c r="S773" i="7"/>
  <c r="D774" i="7"/>
  <c r="E774" i="7"/>
  <c r="F774" i="7"/>
  <c r="G774" i="7"/>
  <c r="H774" i="7"/>
  <c r="I774" i="7"/>
  <c r="J774" i="7"/>
  <c r="K774" i="7"/>
  <c r="L774" i="7"/>
  <c r="M774" i="7"/>
  <c r="N774" i="7"/>
  <c r="O774" i="7"/>
  <c r="P774" i="7"/>
  <c r="Q774" i="7"/>
  <c r="R774" i="7"/>
  <c r="S774" i="7"/>
  <c r="D775" i="7"/>
  <c r="E775" i="7"/>
  <c r="F775" i="7"/>
  <c r="G775" i="7"/>
  <c r="H775" i="7"/>
  <c r="I775" i="7"/>
  <c r="J775" i="7"/>
  <c r="K775" i="7"/>
  <c r="L775" i="7"/>
  <c r="M775" i="7"/>
  <c r="N775" i="7"/>
  <c r="O775" i="7"/>
  <c r="P775" i="7"/>
  <c r="Q775" i="7"/>
  <c r="R775" i="7"/>
  <c r="S775" i="7"/>
  <c r="D776" i="7"/>
  <c r="E776" i="7"/>
  <c r="F776" i="7"/>
  <c r="G776" i="7"/>
  <c r="H776" i="7"/>
  <c r="I776" i="7"/>
  <c r="J776" i="7"/>
  <c r="K776" i="7"/>
  <c r="L776" i="7"/>
  <c r="M776" i="7"/>
  <c r="N776" i="7"/>
  <c r="O776" i="7"/>
  <c r="P776" i="7"/>
  <c r="Q776" i="7"/>
  <c r="R776" i="7"/>
  <c r="S776" i="7"/>
  <c r="D777" i="7"/>
  <c r="E777" i="7"/>
  <c r="F777" i="7"/>
  <c r="G777" i="7"/>
  <c r="H777" i="7"/>
  <c r="I777" i="7"/>
  <c r="J777" i="7"/>
  <c r="K777" i="7"/>
  <c r="L777" i="7"/>
  <c r="M777" i="7"/>
  <c r="N777" i="7"/>
  <c r="O777" i="7"/>
  <c r="P777" i="7"/>
  <c r="Q777" i="7"/>
  <c r="R777" i="7"/>
  <c r="S777" i="7"/>
  <c r="D778" i="7"/>
  <c r="E778" i="7"/>
  <c r="F778" i="7"/>
  <c r="G778" i="7"/>
  <c r="H778" i="7"/>
  <c r="I778" i="7"/>
  <c r="J778" i="7"/>
  <c r="K778" i="7"/>
  <c r="L778" i="7"/>
  <c r="M778" i="7"/>
  <c r="N778" i="7"/>
  <c r="O778" i="7"/>
  <c r="P778" i="7"/>
  <c r="Q778" i="7"/>
  <c r="R778" i="7"/>
  <c r="S778" i="7"/>
  <c r="D779" i="7"/>
  <c r="E779" i="7"/>
  <c r="F779" i="7"/>
  <c r="G779" i="7"/>
  <c r="H779" i="7"/>
  <c r="I779" i="7"/>
  <c r="J779" i="7"/>
  <c r="K779" i="7"/>
  <c r="L779" i="7"/>
  <c r="M779" i="7"/>
  <c r="N779" i="7"/>
  <c r="O779" i="7"/>
  <c r="P779" i="7"/>
  <c r="Q779" i="7"/>
  <c r="R779" i="7"/>
  <c r="S779" i="7"/>
  <c r="D780" i="7"/>
  <c r="E780" i="7"/>
  <c r="F780" i="7"/>
  <c r="G780" i="7"/>
  <c r="H780" i="7"/>
  <c r="I780" i="7"/>
  <c r="J780" i="7"/>
  <c r="K780" i="7"/>
  <c r="L780" i="7"/>
  <c r="M780" i="7"/>
  <c r="N780" i="7"/>
  <c r="O780" i="7"/>
  <c r="P780" i="7"/>
  <c r="Q780" i="7"/>
  <c r="R780" i="7"/>
  <c r="S780" i="7"/>
  <c r="D781" i="7"/>
  <c r="E781" i="7"/>
  <c r="F781" i="7"/>
  <c r="G781" i="7"/>
  <c r="H781" i="7"/>
  <c r="I781" i="7"/>
  <c r="J781" i="7"/>
  <c r="K781" i="7"/>
  <c r="L781" i="7"/>
  <c r="M781" i="7"/>
  <c r="N781" i="7"/>
  <c r="O781" i="7"/>
  <c r="P781" i="7"/>
  <c r="Q781" i="7"/>
  <c r="R781" i="7"/>
  <c r="S781" i="7"/>
  <c r="D782" i="7"/>
  <c r="E782" i="7"/>
  <c r="F782" i="7"/>
  <c r="G782" i="7"/>
  <c r="H782" i="7"/>
  <c r="I782" i="7"/>
  <c r="J782" i="7"/>
  <c r="K782" i="7"/>
  <c r="L782" i="7"/>
  <c r="M782" i="7"/>
  <c r="N782" i="7"/>
  <c r="O782" i="7"/>
  <c r="P782" i="7"/>
  <c r="Q782" i="7"/>
  <c r="R782" i="7"/>
  <c r="S782" i="7"/>
  <c r="D783" i="7"/>
  <c r="E783" i="7"/>
  <c r="F783" i="7"/>
  <c r="G783" i="7"/>
  <c r="H783" i="7"/>
  <c r="I783" i="7"/>
  <c r="J783" i="7"/>
  <c r="K783" i="7"/>
  <c r="L783" i="7"/>
  <c r="M783" i="7"/>
  <c r="N783" i="7"/>
  <c r="O783" i="7"/>
  <c r="P783" i="7"/>
  <c r="Q783" i="7"/>
  <c r="R783" i="7"/>
  <c r="S783" i="7"/>
  <c r="D784" i="7"/>
  <c r="E784" i="7"/>
  <c r="F784" i="7"/>
  <c r="G784" i="7"/>
  <c r="H784" i="7"/>
  <c r="I784" i="7"/>
  <c r="J784" i="7"/>
  <c r="K784" i="7"/>
  <c r="L784" i="7"/>
  <c r="M784" i="7"/>
  <c r="N784" i="7"/>
  <c r="O784" i="7"/>
  <c r="P784" i="7"/>
  <c r="Q784" i="7"/>
  <c r="R784" i="7"/>
  <c r="S784" i="7"/>
  <c r="D785" i="7"/>
  <c r="E785" i="7"/>
  <c r="F785" i="7"/>
  <c r="G785" i="7"/>
  <c r="H785" i="7"/>
  <c r="I785" i="7"/>
  <c r="J785" i="7"/>
  <c r="K785" i="7"/>
  <c r="L785" i="7"/>
  <c r="M785" i="7"/>
  <c r="N785" i="7"/>
  <c r="O785" i="7"/>
  <c r="P785" i="7"/>
  <c r="Q785" i="7"/>
  <c r="R785" i="7"/>
  <c r="S785" i="7"/>
  <c r="D786" i="7"/>
  <c r="E786" i="7"/>
  <c r="F786" i="7"/>
  <c r="G786" i="7"/>
  <c r="H786" i="7"/>
  <c r="I786" i="7"/>
  <c r="J786" i="7"/>
  <c r="K786" i="7"/>
  <c r="L786" i="7"/>
  <c r="M786" i="7"/>
  <c r="N786" i="7"/>
  <c r="O786" i="7"/>
  <c r="P786" i="7"/>
  <c r="Q786" i="7"/>
  <c r="R786" i="7"/>
  <c r="S786" i="7"/>
  <c r="D787" i="7"/>
  <c r="E787" i="7"/>
  <c r="F787" i="7"/>
  <c r="G787" i="7"/>
  <c r="H787" i="7"/>
  <c r="I787" i="7"/>
  <c r="J787" i="7"/>
  <c r="K787" i="7"/>
  <c r="L787" i="7"/>
  <c r="M787" i="7"/>
  <c r="N787" i="7"/>
  <c r="O787" i="7"/>
  <c r="P787" i="7"/>
  <c r="Q787" i="7"/>
  <c r="R787" i="7"/>
  <c r="S787" i="7"/>
  <c r="D788" i="7"/>
  <c r="E788" i="7"/>
  <c r="F788" i="7"/>
  <c r="G788" i="7"/>
  <c r="H788" i="7"/>
  <c r="I788" i="7"/>
  <c r="J788" i="7"/>
  <c r="K788" i="7"/>
  <c r="L788" i="7"/>
  <c r="M788" i="7"/>
  <c r="N788" i="7"/>
  <c r="O788" i="7"/>
  <c r="P788" i="7"/>
  <c r="Q788" i="7"/>
  <c r="R788" i="7"/>
  <c r="S788" i="7"/>
  <c r="D789" i="7"/>
  <c r="E789" i="7"/>
  <c r="F789" i="7"/>
  <c r="G789" i="7"/>
  <c r="H789" i="7"/>
  <c r="I789" i="7"/>
  <c r="J789" i="7"/>
  <c r="K789" i="7"/>
  <c r="L789" i="7"/>
  <c r="M789" i="7"/>
  <c r="N789" i="7"/>
  <c r="O789" i="7"/>
  <c r="P789" i="7"/>
  <c r="Q789" i="7"/>
  <c r="R789" i="7"/>
  <c r="S789" i="7"/>
  <c r="D790" i="7"/>
  <c r="E790" i="7"/>
  <c r="F790" i="7"/>
  <c r="G790" i="7"/>
  <c r="H790" i="7"/>
  <c r="I790" i="7"/>
  <c r="J790" i="7"/>
  <c r="K790" i="7"/>
  <c r="L790" i="7"/>
  <c r="M790" i="7"/>
  <c r="N790" i="7"/>
  <c r="O790" i="7"/>
  <c r="P790" i="7"/>
  <c r="Q790" i="7"/>
  <c r="R790" i="7"/>
  <c r="S790" i="7"/>
  <c r="E751" i="7"/>
  <c r="F751" i="7"/>
  <c r="G751" i="7"/>
  <c r="H751" i="7"/>
  <c r="I751" i="7"/>
  <c r="J751" i="7"/>
  <c r="K751" i="7"/>
  <c r="L751" i="7"/>
  <c r="M751" i="7"/>
  <c r="N751" i="7"/>
  <c r="O751" i="7"/>
  <c r="P751" i="7"/>
  <c r="Q751" i="7"/>
  <c r="R751" i="7"/>
  <c r="S751" i="7"/>
  <c r="D751" i="7"/>
  <c r="D708" i="7"/>
  <c r="E708" i="7"/>
  <c r="F708" i="7"/>
  <c r="G708" i="7"/>
  <c r="H708" i="7"/>
  <c r="I708" i="7"/>
  <c r="J708" i="7"/>
  <c r="K708" i="7"/>
  <c r="L708" i="7"/>
  <c r="M708" i="7"/>
  <c r="N708" i="7"/>
  <c r="O708" i="7"/>
  <c r="P708" i="7"/>
  <c r="Q708" i="7"/>
  <c r="R708" i="7"/>
  <c r="S708" i="7"/>
  <c r="D709" i="7"/>
  <c r="E709" i="7"/>
  <c r="F709" i="7"/>
  <c r="G709" i="7"/>
  <c r="H709" i="7"/>
  <c r="I709" i="7"/>
  <c r="J709" i="7"/>
  <c r="K709" i="7"/>
  <c r="L709" i="7"/>
  <c r="M709" i="7"/>
  <c r="N709" i="7"/>
  <c r="O709" i="7"/>
  <c r="P709" i="7"/>
  <c r="Q709" i="7"/>
  <c r="R709" i="7"/>
  <c r="S709" i="7"/>
  <c r="D710" i="7"/>
  <c r="E710" i="7"/>
  <c r="F710" i="7"/>
  <c r="G710" i="7"/>
  <c r="H710" i="7"/>
  <c r="I710" i="7"/>
  <c r="J710" i="7"/>
  <c r="K710" i="7"/>
  <c r="L710" i="7"/>
  <c r="M710" i="7"/>
  <c r="N710" i="7"/>
  <c r="O710" i="7"/>
  <c r="P710" i="7"/>
  <c r="Q710" i="7"/>
  <c r="R710" i="7"/>
  <c r="S710" i="7"/>
  <c r="D711" i="7"/>
  <c r="E711" i="7"/>
  <c r="F711" i="7"/>
  <c r="G711" i="7"/>
  <c r="H711" i="7"/>
  <c r="I711" i="7"/>
  <c r="J711" i="7"/>
  <c r="K711" i="7"/>
  <c r="L711" i="7"/>
  <c r="M711" i="7"/>
  <c r="N711" i="7"/>
  <c r="O711" i="7"/>
  <c r="P711" i="7"/>
  <c r="Q711" i="7"/>
  <c r="R711" i="7"/>
  <c r="S711" i="7"/>
  <c r="D712" i="7"/>
  <c r="E712" i="7"/>
  <c r="F712" i="7"/>
  <c r="G712" i="7"/>
  <c r="H712" i="7"/>
  <c r="I712" i="7"/>
  <c r="J712" i="7"/>
  <c r="K712" i="7"/>
  <c r="L712" i="7"/>
  <c r="M712" i="7"/>
  <c r="N712" i="7"/>
  <c r="O712" i="7"/>
  <c r="P712" i="7"/>
  <c r="Q712" i="7"/>
  <c r="R712" i="7"/>
  <c r="S712" i="7"/>
  <c r="D713" i="7"/>
  <c r="E713" i="7"/>
  <c r="F713" i="7"/>
  <c r="G713" i="7"/>
  <c r="H713" i="7"/>
  <c r="I713" i="7"/>
  <c r="J713" i="7"/>
  <c r="K713" i="7"/>
  <c r="L713" i="7"/>
  <c r="M713" i="7"/>
  <c r="N713" i="7"/>
  <c r="O713" i="7"/>
  <c r="P713" i="7"/>
  <c r="Q713" i="7"/>
  <c r="R713" i="7"/>
  <c r="S713" i="7"/>
  <c r="D714" i="7"/>
  <c r="E714" i="7"/>
  <c r="F714" i="7"/>
  <c r="G714" i="7"/>
  <c r="H714" i="7"/>
  <c r="I714" i="7"/>
  <c r="J714" i="7"/>
  <c r="K714" i="7"/>
  <c r="L714" i="7"/>
  <c r="M714" i="7"/>
  <c r="N714" i="7"/>
  <c r="O714" i="7"/>
  <c r="P714" i="7"/>
  <c r="Q714" i="7"/>
  <c r="R714" i="7"/>
  <c r="S714" i="7"/>
  <c r="D715" i="7"/>
  <c r="E715" i="7"/>
  <c r="F715" i="7"/>
  <c r="G715" i="7"/>
  <c r="H715" i="7"/>
  <c r="I715" i="7"/>
  <c r="J715" i="7"/>
  <c r="K715" i="7"/>
  <c r="L715" i="7"/>
  <c r="M715" i="7"/>
  <c r="N715" i="7"/>
  <c r="O715" i="7"/>
  <c r="P715" i="7"/>
  <c r="Q715" i="7"/>
  <c r="R715" i="7"/>
  <c r="S715" i="7"/>
  <c r="D716" i="7"/>
  <c r="E716" i="7"/>
  <c r="F716" i="7"/>
  <c r="G716" i="7"/>
  <c r="H716" i="7"/>
  <c r="I716" i="7"/>
  <c r="J716" i="7"/>
  <c r="K716" i="7"/>
  <c r="L716" i="7"/>
  <c r="M716" i="7"/>
  <c r="N716" i="7"/>
  <c r="O716" i="7"/>
  <c r="P716" i="7"/>
  <c r="Q716" i="7"/>
  <c r="R716" i="7"/>
  <c r="S716" i="7"/>
  <c r="D717" i="7"/>
  <c r="E717" i="7"/>
  <c r="F717" i="7"/>
  <c r="G717" i="7"/>
  <c r="H717" i="7"/>
  <c r="I717" i="7"/>
  <c r="J717" i="7"/>
  <c r="K717" i="7"/>
  <c r="L717" i="7"/>
  <c r="M717" i="7"/>
  <c r="N717" i="7"/>
  <c r="O717" i="7"/>
  <c r="P717" i="7"/>
  <c r="Q717" i="7"/>
  <c r="R717" i="7"/>
  <c r="S717" i="7"/>
  <c r="D718" i="7"/>
  <c r="E718" i="7"/>
  <c r="F718" i="7"/>
  <c r="G718" i="7"/>
  <c r="H718" i="7"/>
  <c r="I718" i="7"/>
  <c r="J718" i="7"/>
  <c r="K718" i="7"/>
  <c r="L718" i="7"/>
  <c r="M718" i="7"/>
  <c r="N718" i="7"/>
  <c r="O718" i="7"/>
  <c r="P718" i="7"/>
  <c r="Q718" i="7"/>
  <c r="R718" i="7"/>
  <c r="S718" i="7"/>
  <c r="D719" i="7"/>
  <c r="E719" i="7"/>
  <c r="F719" i="7"/>
  <c r="G719" i="7"/>
  <c r="H719" i="7"/>
  <c r="I719" i="7"/>
  <c r="J719" i="7"/>
  <c r="K719" i="7"/>
  <c r="L719" i="7"/>
  <c r="M719" i="7"/>
  <c r="N719" i="7"/>
  <c r="O719" i="7"/>
  <c r="P719" i="7"/>
  <c r="Q719" i="7"/>
  <c r="R719" i="7"/>
  <c r="S719" i="7"/>
  <c r="D720" i="7"/>
  <c r="E720" i="7"/>
  <c r="F720" i="7"/>
  <c r="G720" i="7"/>
  <c r="H720" i="7"/>
  <c r="I720" i="7"/>
  <c r="J720" i="7"/>
  <c r="K720" i="7"/>
  <c r="L720" i="7"/>
  <c r="M720" i="7"/>
  <c r="N720" i="7"/>
  <c r="O720" i="7"/>
  <c r="P720" i="7"/>
  <c r="Q720" i="7"/>
  <c r="R720" i="7"/>
  <c r="S720" i="7"/>
  <c r="D721" i="7"/>
  <c r="E721" i="7"/>
  <c r="F721" i="7"/>
  <c r="G721" i="7"/>
  <c r="H721" i="7"/>
  <c r="I721" i="7"/>
  <c r="J721" i="7"/>
  <c r="K721" i="7"/>
  <c r="L721" i="7"/>
  <c r="M721" i="7"/>
  <c r="N721" i="7"/>
  <c r="O721" i="7"/>
  <c r="P721" i="7"/>
  <c r="Q721" i="7"/>
  <c r="R721" i="7"/>
  <c r="S721" i="7"/>
  <c r="D722" i="7"/>
  <c r="E722" i="7"/>
  <c r="F722" i="7"/>
  <c r="G722" i="7"/>
  <c r="H722" i="7"/>
  <c r="I722" i="7"/>
  <c r="J722" i="7"/>
  <c r="K722" i="7"/>
  <c r="L722" i="7"/>
  <c r="M722" i="7"/>
  <c r="N722" i="7"/>
  <c r="O722" i="7"/>
  <c r="P722" i="7"/>
  <c r="Q722" i="7"/>
  <c r="R722" i="7"/>
  <c r="S722" i="7"/>
  <c r="D723" i="7"/>
  <c r="E723" i="7"/>
  <c r="F723" i="7"/>
  <c r="G723" i="7"/>
  <c r="H723" i="7"/>
  <c r="I723" i="7"/>
  <c r="J723" i="7"/>
  <c r="K723" i="7"/>
  <c r="L723" i="7"/>
  <c r="M723" i="7"/>
  <c r="N723" i="7"/>
  <c r="O723" i="7"/>
  <c r="P723" i="7"/>
  <c r="Q723" i="7"/>
  <c r="R723" i="7"/>
  <c r="S723" i="7"/>
  <c r="D724" i="7"/>
  <c r="E724" i="7"/>
  <c r="F724" i="7"/>
  <c r="G724" i="7"/>
  <c r="H724" i="7"/>
  <c r="I724" i="7"/>
  <c r="J724" i="7"/>
  <c r="K724" i="7"/>
  <c r="L724" i="7"/>
  <c r="M724" i="7"/>
  <c r="N724" i="7"/>
  <c r="O724" i="7"/>
  <c r="P724" i="7"/>
  <c r="Q724" i="7"/>
  <c r="R724" i="7"/>
  <c r="S724" i="7"/>
  <c r="D725" i="7"/>
  <c r="E725" i="7"/>
  <c r="F725" i="7"/>
  <c r="G725" i="7"/>
  <c r="H725" i="7"/>
  <c r="I725" i="7"/>
  <c r="J725" i="7"/>
  <c r="K725" i="7"/>
  <c r="L725" i="7"/>
  <c r="M725" i="7"/>
  <c r="N725" i="7"/>
  <c r="O725" i="7"/>
  <c r="P725" i="7"/>
  <c r="Q725" i="7"/>
  <c r="R725" i="7"/>
  <c r="S725" i="7"/>
  <c r="D726" i="7"/>
  <c r="E726" i="7"/>
  <c r="F726" i="7"/>
  <c r="G726" i="7"/>
  <c r="H726" i="7"/>
  <c r="I726" i="7"/>
  <c r="J726" i="7"/>
  <c r="K726" i="7"/>
  <c r="L726" i="7"/>
  <c r="M726" i="7"/>
  <c r="N726" i="7"/>
  <c r="O726" i="7"/>
  <c r="P726" i="7"/>
  <c r="Q726" i="7"/>
  <c r="R726" i="7"/>
  <c r="S726" i="7"/>
  <c r="D727" i="7"/>
  <c r="E727" i="7"/>
  <c r="F727" i="7"/>
  <c r="G727" i="7"/>
  <c r="H727" i="7"/>
  <c r="I727" i="7"/>
  <c r="J727" i="7"/>
  <c r="K727" i="7"/>
  <c r="L727" i="7"/>
  <c r="M727" i="7"/>
  <c r="N727" i="7"/>
  <c r="O727" i="7"/>
  <c r="P727" i="7"/>
  <c r="Q727" i="7"/>
  <c r="R727" i="7"/>
  <c r="S727" i="7"/>
  <c r="D728" i="7"/>
  <c r="E728" i="7"/>
  <c r="F728" i="7"/>
  <c r="G728" i="7"/>
  <c r="H728" i="7"/>
  <c r="I728" i="7"/>
  <c r="J728" i="7"/>
  <c r="K728" i="7"/>
  <c r="L728" i="7"/>
  <c r="M728" i="7"/>
  <c r="N728" i="7"/>
  <c r="O728" i="7"/>
  <c r="P728" i="7"/>
  <c r="Q728" i="7"/>
  <c r="R728" i="7"/>
  <c r="S728" i="7"/>
  <c r="D729" i="7"/>
  <c r="E729" i="7"/>
  <c r="F729" i="7"/>
  <c r="G729" i="7"/>
  <c r="H729" i="7"/>
  <c r="I729" i="7"/>
  <c r="J729" i="7"/>
  <c r="K729" i="7"/>
  <c r="L729" i="7"/>
  <c r="M729" i="7"/>
  <c r="N729" i="7"/>
  <c r="O729" i="7"/>
  <c r="P729" i="7"/>
  <c r="Q729" i="7"/>
  <c r="R729" i="7"/>
  <c r="S729" i="7"/>
  <c r="D730" i="7"/>
  <c r="E730" i="7"/>
  <c r="F730" i="7"/>
  <c r="G730" i="7"/>
  <c r="H730" i="7"/>
  <c r="I730" i="7"/>
  <c r="J730" i="7"/>
  <c r="K730" i="7"/>
  <c r="L730" i="7"/>
  <c r="M730" i="7"/>
  <c r="N730" i="7"/>
  <c r="O730" i="7"/>
  <c r="P730" i="7"/>
  <c r="Q730" i="7"/>
  <c r="R730" i="7"/>
  <c r="S730" i="7"/>
  <c r="D731" i="7"/>
  <c r="E731" i="7"/>
  <c r="F731" i="7"/>
  <c r="G731" i="7"/>
  <c r="H731" i="7"/>
  <c r="I731" i="7"/>
  <c r="J731" i="7"/>
  <c r="K731" i="7"/>
  <c r="L731" i="7"/>
  <c r="M731" i="7"/>
  <c r="N731" i="7"/>
  <c r="O731" i="7"/>
  <c r="P731" i="7"/>
  <c r="Q731" i="7"/>
  <c r="R731" i="7"/>
  <c r="S731" i="7"/>
  <c r="D732" i="7"/>
  <c r="E732" i="7"/>
  <c r="F732" i="7"/>
  <c r="G732" i="7"/>
  <c r="H732" i="7"/>
  <c r="I732" i="7"/>
  <c r="J732" i="7"/>
  <c r="K732" i="7"/>
  <c r="L732" i="7"/>
  <c r="M732" i="7"/>
  <c r="N732" i="7"/>
  <c r="O732" i="7"/>
  <c r="P732" i="7"/>
  <c r="Q732" i="7"/>
  <c r="R732" i="7"/>
  <c r="S732" i="7"/>
  <c r="D733" i="7"/>
  <c r="E733" i="7"/>
  <c r="F733" i="7"/>
  <c r="G733" i="7"/>
  <c r="H733" i="7"/>
  <c r="I733" i="7"/>
  <c r="J733" i="7"/>
  <c r="K733" i="7"/>
  <c r="L733" i="7"/>
  <c r="M733" i="7"/>
  <c r="N733" i="7"/>
  <c r="O733" i="7"/>
  <c r="P733" i="7"/>
  <c r="Q733" i="7"/>
  <c r="R733" i="7"/>
  <c r="S733" i="7"/>
  <c r="D734" i="7"/>
  <c r="E734" i="7"/>
  <c r="F734" i="7"/>
  <c r="G734" i="7"/>
  <c r="H734" i="7"/>
  <c r="I734" i="7"/>
  <c r="J734" i="7"/>
  <c r="K734" i="7"/>
  <c r="L734" i="7"/>
  <c r="M734" i="7"/>
  <c r="N734" i="7"/>
  <c r="O734" i="7"/>
  <c r="P734" i="7"/>
  <c r="Q734" i="7"/>
  <c r="R734" i="7"/>
  <c r="S734" i="7"/>
  <c r="D735" i="7"/>
  <c r="E735" i="7"/>
  <c r="F735" i="7"/>
  <c r="G735" i="7"/>
  <c r="H735" i="7"/>
  <c r="I735" i="7"/>
  <c r="J735" i="7"/>
  <c r="K735" i="7"/>
  <c r="L735" i="7"/>
  <c r="M735" i="7"/>
  <c r="N735" i="7"/>
  <c r="O735" i="7"/>
  <c r="P735" i="7"/>
  <c r="Q735" i="7"/>
  <c r="R735" i="7"/>
  <c r="S735" i="7"/>
  <c r="D736" i="7"/>
  <c r="E736" i="7"/>
  <c r="F736" i="7"/>
  <c r="G736" i="7"/>
  <c r="H736" i="7"/>
  <c r="I736" i="7"/>
  <c r="J736" i="7"/>
  <c r="K736" i="7"/>
  <c r="L736" i="7"/>
  <c r="M736" i="7"/>
  <c r="N736" i="7"/>
  <c r="O736" i="7"/>
  <c r="P736" i="7"/>
  <c r="Q736" i="7"/>
  <c r="R736" i="7"/>
  <c r="S736" i="7"/>
  <c r="D737" i="7"/>
  <c r="E737" i="7"/>
  <c r="F737" i="7"/>
  <c r="G737" i="7"/>
  <c r="H737" i="7"/>
  <c r="I737" i="7"/>
  <c r="J737" i="7"/>
  <c r="K737" i="7"/>
  <c r="L737" i="7"/>
  <c r="M737" i="7"/>
  <c r="N737" i="7"/>
  <c r="O737" i="7"/>
  <c r="P737" i="7"/>
  <c r="Q737" i="7"/>
  <c r="R737" i="7"/>
  <c r="S737" i="7"/>
  <c r="D738" i="7"/>
  <c r="E738" i="7"/>
  <c r="F738" i="7"/>
  <c r="G738" i="7"/>
  <c r="H738" i="7"/>
  <c r="I738" i="7"/>
  <c r="J738" i="7"/>
  <c r="K738" i="7"/>
  <c r="L738" i="7"/>
  <c r="M738" i="7"/>
  <c r="N738" i="7"/>
  <c r="O738" i="7"/>
  <c r="P738" i="7"/>
  <c r="Q738" i="7"/>
  <c r="R738" i="7"/>
  <c r="S738" i="7"/>
  <c r="D739" i="7"/>
  <c r="E739" i="7"/>
  <c r="F739" i="7"/>
  <c r="G739" i="7"/>
  <c r="H739" i="7"/>
  <c r="I739" i="7"/>
  <c r="J739" i="7"/>
  <c r="K739" i="7"/>
  <c r="L739" i="7"/>
  <c r="M739" i="7"/>
  <c r="N739" i="7"/>
  <c r="O739" i="7"/>
  <c r="P739" i="7"/>
  <c r="Q739" i="7"/>
  <c r="R739" i="7"/>
  <c r="S739" i="7"/>
  <c r="D740" i="7"/>
  <c r="E740" i="7"/>
  <c r="F740" i="7"/>
  <c r="G740" i="7"/>
  <c r="H740" i="7"/>
  <c r="I740" i="7"/>
  <c r="J740" i="7"/>
  <c r="K740" i="7"/>
  <c r="L740" i="7"/>
  <c r="M740" i="7"/>
  <c r="N740" i="7"/>
  <c r="O740" i="7"/>
  <c r="P740" i="7"/>
  <c r="Q740" i="7"/>
  <c r="R740" i="7"/>
  <c r="S740" i="7"/>
  <c r="D741" i="7"/>
  <c r="E741" i="7"/>
  <c r="F741" i="7"/>
  <c r="G741" i="7"/>
  <c r="H741" i="7"/>
  <c r="I741" i="7"/>
  <c r="J741" i="7"/>
  <c r="K741" i="7"/>
  <c r="L741" i="7"/>
  <c r="M741" i="7"/>
  <c r="N741" i="7"/>
  <c r="O741" i="7"/>
  <c r="P741" i="7"/>
  <c r="Q741" i="7"/>
  <c r="R741" i="7"/>
  <c r="S741" i="7"/>
  <c r="D742" i="7"/>
  <c r="E742" i="7"/>
  <c r="F742" i="7"/>
  <c r="G742" i="7"/>
  <c r="H742" i="7"/>
  <c r="I742" i="7"/>
  <c r="J742" i="7"/>
  <c r="K742" i="7"/>
  <c r="L742" i="7"/>
  <c r="M742" i="7"/>
  <c r="N742" i="7"/>
  <c r="O742" i="7"/>
  <c r="P742" i="7"/>
  <c r="Q742" i="7"/>
  <c r="R742" i="7"/>
  <c r="S742" i="7"/>
  <c r="D743" i="7"/>
  <c r="E743" i="7"/>
  <c r="F743" i="7"/>
  <c r="G743" i="7"/>
  <c r="H743" i="7"/>
  <c r="I743" i="7"/>
  <c r="J743" i="7"/>
  <c r="K743" i="7"/>
  <c r="L743" i="7"/>
  <c r="M743" i="7"/>
  <c r="N743" i="7"/>
  <c r="O743" i="7"/>
  <c r="P743" i="7"/>
  <c r="Q743" i="7"/>
  <c r="R743" i="7"/>
  <c r="S743" i="7"/>
  <c r="D744" i="7"/>
  <c r="E744" i="7"/>
  <c r="F744" i="7"/>
  <c r="G744" i="7"/>
  <c r="H744" i="7"/>
  <c r="I744" i="7"/>
  <c r="J744" i="7"/>
  <c r="K744" i="7"/>
  <c r="L744" i="7"/>
  <c r="M744" i="7"/>
  <c r="N744" i="7"/>
  <c r="O744" i="7"/>
  <c r="P744" i="7"/>
  <c r="Q744" i="7"/>
  <c r="R744" i="7"/>
  <c r="S744" i="7"/>
  <c r="D745" i="7"/>
  <c r="E745" i="7"/>
  <c r="F745" i="7"/>
  <c r="G745" i="7"/>
  <c r="H745" i="7"/>
  <c r="I745" i="7"/>
  <c r="J745" i="7"/>
  <c r="K745" i="7"/>
  <c r="L745" i="7"/>
  <c r="M745" i="7"/>
  <c r="N745" i="7"/>
  <c r="O745" i="7"/>
  <c r="P745" i="7"/>
  <c r="Q745" i="7"/>
  <c r="R745" i="7"/>
  <c r="S745" i="7"/>
  <c r="D746" i="7"/>
  <c r="E746" i="7"/>
  <c r="F746" i="7"/>
  <c r="G746" i="7"/>
  <c r="H746" i="7"/>
  <c r="I746" i="7"/>
  <c r="J746" i="7"/>
  <c r="K746" i="7"/>
  <c r="L746" i="7"/>
  <c r="M746" i="7"/>
  <c r="N746" i="7"/>
  <c r="O746" i="7"/>
  <c r="P746" i="7"/>
  <c r="Q746" i="7"/>
  <c r="R746" i="7"/>
  <c r="S746" i="7"/>
  <c r="E707" i="7"/>
  <c r="F707" i="7"/>
  <c r="G707" i="7"/>
  <c r="H707" i="7"/>
  <c r="I707" i="7"/>
  <c r="J707" i="7"/>
  <c r="K707" i="7"/>
  <c r="L707" i="7"/>
  <c r="M707" i="7"/>
  <c r="N707" i="7"/>
  <c r="O707" i="7"/>
  <c r="P707" i="7"/>
  <c r="Q707" i="7"/>
  <c r="R707" i="7"/>
  <c r="S707" i="7"/>
  <c r="D707" i="7"/>
  <c r="D702" i="7"/>
  <c r="E702" i="7"/>
  <c r="F702" i="7"/>
  <c r="G702" i="7"/>
  <c r="H702" i="7"/>
  <c r="I702" i="7"/>
  <c r="J702" i="7"/>
  <c r="K702" i="7"/>
  <c r="L702" i="7"/>
  <c r="M702" i="7"/>
  <c r="N702" i="7"/>
  <c r="O702" i="7"/>
  <c r="P702" i="7"/>
  <c r="Q702" i="7"/>
  <c r="R702" i="7"/>
  <c r="S702" i="7"/>
  <c r="D664" i="7"/>
  <c r="E664" i="7"/>
  <c r="F664" i="7"/>
  <c r="G664" i="7"/>
  <c r="H664" i="7"/>
  <c r="I664" i="7"/>
  <c r="J664" i="7"/>
  <c r="K664" i="7"/>
  <c r="L664" i="7"/>
  <c r="M664" i="7"/>
  <c r="N664" i="7"/>
  <c r="O664" i="7"/>
  <c r="P664" i="7"/>
  <c r="Q664" i="7"/>
  <c r="R664" i="7"/>
  <c r="S664" i="7"/>
  <c r="D665" i="7"/>
  <c r="E665" i="7"/>
  <c r="F665" i="7"/>
  <c r="G665" i="7"/>
  <c r="H665" i="7"/>
  <c r="I665" i="7"/>
  <c r="J665" i="7"/>
  <c r="K665" i="7"/>
  <c r="L665" i="7"/>
  <c r="M665" i="7"/>
  <c r="N665" i="7"/>
  <c r="O665" i="7"/>
  <c r="P665" i="7"/>
  <c r="Q665" i="7"/>
  <c r="R665" i="7"/>
  <c r="S665" i="7"/>
  <c r="D666" i="7"/>
  <c r="E666" i="7"/>
  <c r="F666" i="7"/>
  <c r="G666" i="7"/>
  <c r="H666" i="7"/>
  <c r="I666" i="7"/>
  <c r="J666" i="7"/>
  <c r="K666" i="7"/>
  <c r="L666" i="7"/>
  <c r="M666" i="7"/>
  <c r="N666" i="7"/>
  <c r="O666" i="7"/>
  <c r="P666" i="7"/>
  <c r="Q666" i="7"/>
  <c r="R666" i="7"/>
  <c r="S666" i="7"/>
  <c r="D667" i="7"/>
  <c r="E667" i="7"/>
  <c r="F667" i="7"/>
  <c r="G667" i="7"/>
  <c r="H667" i="7"/>
  <c r="I667" i="7"/>
  <c r="J667" i="7"/>
  <c r="K667" i="7"/>
  <c r="L667" i="7"/>
  <c r="M667" i="7"/>
  <c r="N667" i="7"/>
  <c r="O667" i="7"/>
  <c r="P667" i="7"/>
  <c r="Q667" i="7"/>
  <c r="R667" i="7"/>
  <c r="S667" i="7"/>
  <c r="D668" i="7"/>
  <c r="E668" i="7"/>
  <c r="F668" i="7"/>
  <c r="G668" i="7"/>
  <c r="H668" i="7"/>
  <c r="I668" i="7"/>
  <c r="J668" i="7"/>
  <c r="K668" i="7"/>
  <c r="L668" i="7"/>
  <c r="M668" i="7"/>
  <c r="N668" i="7"/>
  <c r="O668" i="7"/>
  <c r="P668" i="7"/>
  <c r="Q668" i="7"/>
  <c r="R668" i="7"/>
  <c r="S668" i="7"/>
  <c r="D669" i="7"/>
  <c r="E669" i="7"/>
  <c r="F669" i="7"/>
  <c r="G669" i="7"/>
  <c r="H669" i="7"/>
  <c r="I669" i="7"/>
  <c r="J669" i="7"/>
  <c r="K669" i="7"/>
  <c r="L669" i="7"/>
  <c r="M669" i="7"/>
  <c r="N669" i="7"/>
  <c r="O669" i="7"/>
  <c r="P669" i="7"/>
  <c r="Q669" i="7"/>
  <c r="R669" i="7"/>
  <c r="S669" i="7"/>
  <c r="D670" i="7"/>
  <c r="E670" i="7"/>
  <c r="F670" i="7"/>
  <c r="G670" i="7"/>
  <c r="H670" i="7"/>
  <c r="I670" i="7"/>
  <c r="J670" i="7"/>
  <c r="K670" i="7"/>
  <c r="L670" i="7"/>
  <c r="M670" i="7"/>
  <c r="N670" i="7"/>
  <c r="O670" i="7"/>
  <c r="P670" i="7"/>
  <c r="Q670" i="7"/>
  <c r="R670" i="7"/>
  <c r="S670" i="7"/>
  <c r="D671" i="7"/>
  <c r="E671" i="7"/>
  <c r="F671" i="7"/>
  <c r="G671" i="7"/>
  <c r="H671" i="7"/>
  <c r="I671" i="7"/>
  <c r="J671" i="7"/>
  <c r="K671" i="7"/>
  <c r="L671" i="7"/>
  <c r="M671" i="7"/>
  <c r="N671" i="7"/>
  <c r="O671" i="7"/>
  <c r="P671" i="7"/>
  <c r="Q671" i="7"/>
  <c r="R671" i="7"/>
  <c r="S671" i="7"/>
  <c r="D672" i="7"/>
  <c r="E672" i="7"/>
  <c r="F672" i="7"/>
  <c r="G672" i="7"/>
  <c r="H672" i="7"/>
  <c r="I672" i="7"/>
  <c r="J672" i="7"/>
  <c r="K672" i="7"/>
  <c r="L672" i="7"/>
  <c r="M672" i="7"/>
  <c r="N672" i="7"/>
  <c r="O672" i="7"/>
  <c r="P672" i="7"/>
  <c r="Q672" i="7"/>
  <c r="R672" i="7"/>
  <c r="S672" i="7"/>
  <c r="D673" i="7"/>
  <c r="E673" i="7"/>
  <c r="F673" i="7"/>
  <c r="G673" i="7"/>
  <c r="H673" i="7"/>
  <c r="I673" i="7"/>
  <c r="J673" i="7"/>
  <c r="K673" i="7"/>
  <c r="L673" i="7"/>
  <c r="M673" i="7"/>
  <c r="N673" i="7"/>
  <c r="O673" i="7"/>
  <c r="P673" i="7"/>
  <c r="Q673" i="7"/>
  <c r="R673" i="7"/>
  <c r="S673" i="7"/>
  <c r="D674" i="7"/>
  <c r="E674" i="7"/>
  <c r="F674" i="7"/>
  <c r="G674" i="7"/>
  <c r="H674" i="7"/>
  <c r="I674" i="7"/>
  <c r="J674" i="7"/>
  <c r="K674" i="7"/>
  <c r="L674" i="7"/>
  <c r="M674" i="7"/>
  <c r="N674" i="7"/>
  <c r="O674" i="7"/>
  <c r="P674" i="7"/>
  <c r="Q674" i="7"/>
  <c r="R674" i="7"/>
  <c r="S674" i="7"/>
  <c r="D675" i="7"/>
  <c r="E675" i="7"/>
  <c r="F675" i="7"/>
  <c r="G675" i="7"/>
  <c r="H675" i="7"/>
  <c r="I675" i="7"/>
  <c r="J675" i="7"/>
  <c r="K675" i="7"/>
  <c r="L675" i="7"/>
  <c r="M675" i="7"/>
  <c r="N675" i="7"/>
  <c r="O675" i="7"/>
  <c r="P675" i="7"/>
  <c r="Q675" i="7"/>
  <c r="R675" i="7"/>
  <c r="S675" i="7"/>
  <c r="D676" i="7"/>
  <c r="E676" i="7"/>
  <c r="F676" i="7"/>
  <c r="G676" i="7"/>
  <c r="H676" i="7"/>
  <c r="I676" i="7"/>
  <c r="J676" i="7"/>
  <c r="K676" i="7"/>
  <c r="L676" i="7"/>
  <c r="M676" i="7"/>
  <c r="N676" i="7"/>
  <c r="O676" i="7"/>
  <c r="P676" i="7"/>
  <c r="Q676" i="7"/>
  <c r="R676" i="7"/>
  <c r="S676" i="7"/>
  <c r="D677" i="7"/>
  <c r="E677" i="7"/>
  <c r="F677" i="7"/>
  <c r="G677" i="7"/>
  <c r="H677" i="7"/>
  <c r="I677" i="7"/>
  <c r="J677" i="7"/>
  <c r="K677" i="7"/>
  <c r="L677" i="7"/>
  <c r="M677" i="7"/>
  <c r="N677" i="7"/>
  <c r="O677" i="7"/>
  <c r="P677" i="7"/>
  <c r="Q677" i="7"/>
  <c r="R677" i="7"/>
  <c r="S677" i="7"/>
  <c r="D678" i="7"/>
  <c r="E678" i="7"/>
  <c r="F678" i="7"/>
  <c r="G678" i="7"/>
  <c r="H678" i="7"/>
  <c r="I678" i="7"/>
  <c r="J678" i="7"/>
  <c r="K678" i="7"/>
  <c r="L678" i="7"/>
  <c r="M678" i="7"/>
  <c r="N678" i="7"/>
  <c r="O678" i="7"/>
  <c r="P678" i="7"/>
  <c r="Q678" i="7"/>
  <c r="R678" i="7"/>
  <c r="S678" i="7"/>
  <c r="D679" i="7"/>
  <c r="E679" i="7"/>
  <c r="F679" i="7"/>
  <c r="G679" i="7"/>
  <c r="H679" i="7"/>
  <c r="I679" i="7"/>
  <c r="J679" i="7"/>
  <c r="K679" i="7"/>
  <c r="L679" i="7"/>
  <c r="M679" i="7"/>
  <c r="N679" i="7"/>
  <c r="O679" i="7"/>
  <c r="P679" i="7"/>
  <c r="Q679" i="7"/>
  <c r="R679" i="7"/>
  <c r="S679" i="7"/>
  <c r="D680" i="7"/>
  <c r="E680" i="7"/>
  <c r="F680" i="7"/>
  <c r="G680" i="7"/>
  <c r="H680" i="7"/>
  <c r="I680" i="7"/>
  <c r="J680" i="7"/>
  <c r="K680" i="7"/>
  <c r="L680" i="7"/>
  <c r="M680" i="7"/>
  <c r="N680" i="7"/>
  <c r="O680" i="7"/>
  <c r="P680" i="7"/>
  <c r="Q680" i="7"/>
  <c r="R680" i="7"/>
  <c r="S680" i="7"/>
  <c r="D681" i="7"/>
  <c r="E681" i="7"/>
  <c r="F681" i="7"/>
  <c r="G681" i="7"/>
  <c r="H681" i="7"/>
  <c r="I681" i="7"/>
  <c r="J681" i="7"/>
  <c r="K681" i="7"/>
  <c r="L681" i="7"/>
  <c r="M681" i="7"/>
  <c r="N681" i="7"/>
  <c r="O681" i="7"/>
  <c r="P681" i="7"/>
  <c r="Q681" i="7"/>
  <c r="R681" i="7"/>
  <c r="S681" i="7"/>
  <c r="D682" i="7"/>
  <c r="E682" i="7"/>
  <c r="F682" i="7"/>
  <c r="G682" i="7"/>
  <c r="H682" i="7"/>
  <c r="I682" i="7"/>
  <c r="J682" i="7"/>
  <c r="K682" i="7"/>
  <c r="L682" i="7"/>
  <c r="M682" i="7"/>
  <c r="N682" i="7"/>
  <c r="O682" i="7"/>
  <c r="P682" i="7"/>
  <c r="Q682" i="7"/>
  <c r="R682" i="7"/>
  <c r="S682" i="7"/>
  <c r="D683" i="7"/>
  <c r="E683" i="7"/>
  <c r="F683" i="7"/>
  <c r="G683" i="7"/>
  <c r="H683" i="7"/>
  <c r="I683" i="7"/>
  <c r="J683" i="7"/>
  <c r="K683" i="7"/>
  <c r="L683" i="7"/>
  <c r="M683" i="7"/>
  <c r="N683" i="7"/>
  <c r="O683" i="7"/>
  <c r="P683" i="7"/>
  <c r="Q683" i="7"/>
  <c r="R683" i="7"/>
  <c r="S683" i="7"/>
  <c r="D684" i="7"/>
  <c r="E684" i="7"/>
  <c r="F684" i="7"/>
  <c r="G684" i="7"/>
  <c r="H684" i="7"/>
  <c r="I684" i="7"/>
  <c r="J684" i="7"/>
  <c r="K684" i="7"/>
  <c r="L684" i="7"/>
  <c r="M684" i="7"/>
  <c r="N684" i="7"/>
  <c r="O684" i="7"/>
  <c r="P684" i="7"/>
  <c r="Q684" i="7"/>
  <c r="R684" i="7"/>
  <c r="S684" i="7"/>
  <c r="D685" i="7"/>
  <c r="E685" i="7"/>
  <c r="F685" i="7"/>
  <c r="G685" i="7"/>
  <c r="H685" i="7"/>
  <c r="I685" i="7"/>
  <c r="J685" i="7"/>
  <c r="K685" i="7"/>
  <c r="L685" i="7"/>
  <c r="M685" i="7"/>
  <c r="N685" i="7"/>
  <c r="O685" i="7"/>
  <c r="P685" i="7"/>
  <c r="Q685" i="7"/>
  <c r="R685" i="7"/>
  <c r="S685" i="7"/>
  <c r="D686" i="7"/>
  <c r="E686" i="7"/>
  <c r="F686" i="7"/>
  <c r="G686" i="7"/>
  <c r="H686" i="7"/>
  <c r="I686" i="7"/>
  <c r="J686" i="7"/>
  <c r="K686" i="7"/>
  <c r="L686" i="7"/>
  <c r="M686" i="7"/>
  <c r="N686" i="7"/>
  <c r="O686" i="7"/>
  <c r="P686" i="7"/>
  <c r="Q686" i="7"/>
  <c r="R686" i="7"/>
  <c r="S686" i="7"/>
  <c r="D687" i="7"/>
  <c r="E687" i="7"/>
  <c r="F687" i="7"/>
  <c r="G687" i="7"/>
  <c r="H687" i="7"/>
  <c r="I687" i="7"/>
  <c r="J687" i="7"/>
  <c r="K687" i="7"/>
  <c r="L687" i="7"/>
  <c r="M687" i="7"/>
  <c r="N687" i="7"/>
  <c r="O687" i="7"/>
  <c r="P687" i="7"/>
  <c r="Q687" i="7"/>
  <c r="R687" i="7"/>
  <c r="S687" i="7"/>
  <c r="D688" i="7"/>
  <c r="E688" i="7"/>
  <c r="F688" i="7"/>
  <c r="G688" i="7"/>
  <c r="H688" i="7"/>
  <c r="I688" i="7"/>
  <c r="J688" i="7"/>
  <c r="K688" i="7"/>
  <c r="L688" i="7"/>
  <c r="M688" i="7"/>
  <c r="N688" i="7"/>
  <c r="O688" i="7"/>
  <c r="P688" i="7"/>
  <c r="Q688" i="7"/>
  <c r="R688" i="7"/>
  <c r="S688" i="7"/>
  <c r="D689" i="7"/>
  <c r="E689" i="7"/>
  <c r="F689" i="7"/>
  <c r="G689" i="7"/>
  <c r="H689" i="7"/>
  <c r="I689" i="7"/>
  <c r="J689" i="7"/>
  <c r="K689" i="7"/>
  <c r="L689" i="7"/>
  <c r="M689" i="7"/>
  <c r="N689" i="7"/>
  <c r="O689" i="7"/>
  <c r="P689" i="7"/>
  <c r="Q689" i="7"/>
  <c r="R689" i="7"/>
  <c r="S689" i="7"/>
  <c r="D690" i="7"/>
  <c r="E690" i="7"/>
  <c r="F690" i="7"/>
  <c r="G690" i="7"/>
  <c r="H690" i="7"/>
  <c r="I690" i="7"/>
  <c r="J690" i="7"/>
  <c r="K690" i="7"/>
  <c r="L690" i="7"/>
  <c r="M690" i="7"/>
  <c r="N690" i="7"/>
  <c r="O690" i="7"/>
  <c r="P690" i="7"/>
  <c r="Q690" i="7"/>
  <c r="R690" i="7"/>
  <c r="S690" i="7"/>
  <c r="D691" i="7"/>
  <c r="E691" i="7"/>
  <c r="F691" i="7"/>
  <c r="G691" i="7"/>
  <c r="H691" i="7"/>
  <c r="I691" i="7"/>
  <c r="J691" i="7"/>
  <c r="K691" i="7"/>
  <c r="L691" i="7"/>
  <c r="M691" i="7"/>
  <c r="N691" i="7"/>
  <c r="O691" i="7"/>
  <c r="P691" i="7"/>
  <c r="Q691" i="7"/>
  <c r="R691" i="7"/>
  <c r="S691" i="7"/>
  <c r="D692" i="7"/>
  <c r="E692" i="7"/>
  <c r="F692" i="7"/>
  <c r="G692" i="7"/>
  <c r="H692" i="7"/>
  <c r="I692" i="7"/>
  <c r="J692" i="7"/>
  <c r="K692" i="7"/>
  <c r="L692" i="7"/>
  <c r="M692" i="7"/>
  <c r="N692" i="7"/>
  <c r="O692" i="7"/>
  <c r="P692" i="7"/>
  <c r="Q692" i="7"/>
  <c r="R692" i="7"/>
  <c r="S692" i="7"/>
  <c r="D693" i="7"/>
  <c r="E693" i="7"/>
  <c r="F693" i="7"/>
  <c r="G693" i="7"/>
  <c r="H693" i="7"/>
  <c r="I693" i="7"/>
  <c r="J693" i="7"/>
  <c r="K693" i="7"/>
  <c r="L693" i="7"/>
  <c r="M693" i="7"/>
  <c r="N693" i="7"/>
  <c r="O693" i="7"/>
  <c r="P693" i="7"/>
  <c r="Q693" i="7"/>
  <c r="R693" i="7"/>
  <c r="S693" i="7"/>
  <c r="D694" i="7"/>
  <c r="E694" i="7"/>
  <c r="F694" i="7"/>
  <c r="G694" i="7"/>
  <c r="H694" i="7"/>
  <c r="I694" i="7"/>
  <c r="J694" i="7"/>
  <c r="K694" i="7"/>
  <c r="L694" i="7"/>
  <c r="M694" i="7"/>
  <c r="N694" i="7"/>
  <c r="O694" i="7"/>
  <c r="P694" i="7"/>
  <c r="Q694" i="7"/>
  <c r="R694" i="7"/>
  <c r="S694" i="7"/>
  <c r="D695" i="7"/>
  <c r="E695" i="7"/>
  <c r="F695" i="7"/>
  <c r="G695" i="7"/>
  <c r="H695" i="7"/>
  <c r="I695" i="7"/>
  <c r="J695" i="7"/>
  <c r="K695" i="7"/>
  <c r="L695" i="7"/>
  <c r="M695" i="7"/>
  <c r="N695" i="7"/>
  <c r="O695" i="7"/>
  <c r="P695" i="7"/>
  <c r="Q695" i="7"/>
  <c r="R695" i="7"/>
  <c r="S695" i="7"/>
  <c r="D696" i="7"/>
  <c r="E696" i="7"/>
  <c r="F696" i="7"/>
  <c r="G696" i="7"/>
  <c r="H696" i="7"/>
  <c r="I696" i="7"/>
  <c r="J696" i="7"/>
  <c r="K696" i="7"/>
  <c r="L696" i="7"/>
  <c r="M696" i="7"/>
  <c r="N696" i="7"/>
  <c r="O696" i="7"/>
  <c r="P696" i="7"/>
  <c r="Q696" i="7"/>
  <c r="R696" i="7"/>
  <c r="S696" i="7"/>
  <c r="D697" i="7"/>
  <c r="E697" i="7"/>
  <c r="F697" i="7"/>
  <c r="G697" i="7"/>
  <c r="H697" i="7"/>
  <c r="I697" i="7"/>
  <c r="J697" i="7"/>
  <c r="K697" i="7"/>
  <c r="L697" i="7"/>
  <c r="M697" i="7"/>
  <c r="N697" i="7"/>
  <c r="O697" i="7"/>
  <c r="P697" i="7"/>
  <c r="Q697" i="7"/>
  <c r="R697" i="7"/>
  <c r="S697" i="7"/>
  <c r="D698" i="7"/>
  <c r="E698" i="7"/>
  <c r="F698" i="7"/>
  <c r="G698" i="7"/>
  <c r="H698" i="7"/>
  <c r="I698" i="7"/>
  <c r="J698" i="7"/>
  <c r="K698" i="7"/>
  <c r="L698" i="7"/>
  <c r="M698" i="7"/>
  <c r="N698" i="7"/>
  <c r="O698" i="7"/>
  <c r="P698" i="7"/>
  <c r="Q698" i="7"/>
  <c r="R698" i="7"/>
  <c r="S698" i="7"/>
  <c r="D699" i="7"/>
  <c r="E699" i="7"/>
  <c r="F699" i="7"/>
  <c r="G699" i="7"/>
  <c r="H699" i="7"/>
  <c r="I699" i="7"/>
  <c r="J699" i="7"/>
  <c r="K699" i="7"/>
  <c r="L699" i="7"/>
  <c r="M699" i="7"/>
  <c r="N699" i="7"/>
  <c r="O699" i="7"/>
  <c r="P699" i="7"/>
  <c r="Q699" i="7"/>
  <c r="R699" i="7"/>
  <c r="S699" i="7"/>
  <c r="D700" i="7"/>
  <c r="E700" i="7"/>
  <c r="F700" i="7"/>
  <c r="G700" i="7"/>
  <c r="H700" i="7"/>
  <c r="I700" i="7"/>
  <c r="J700" i="7"/>
  <c r="K700" i="7"/>
  <c r="L700" i="7"/>
  <c r="M700" i="7"/>
  <c r="N700" i="7"/>
  <c r="O700" i="7"/>
  <c r="P700" i="7"/>
  <c r="Q700" i="7"/>
  <c r="R700" i="7"/>
  <c r="S700" i="7"/>
  <c r="D701" i="7"/>
  <c r="E701" i="7"/>
  <c r="F701" i="7"/>
  <c r="G701" i="7"/>
  <c r="H701" i="7"/>
  <c r="I701" i="7"/>
  <c r="J701" i="7"/>
  <c r="K701" i="7"/>
  <c r="L701" i="7"/>
  <c r="M701" i="7"/>
  <c r="N701" i="7"/>
  <c r="O701" i="7"/>
  <c r="P701" i="7"/>
  <c r="Q701" i="7"/>
  <c r="R701" i="7"/>
  <c r="S701" i="7"/>
  <c r="E663" i="7"/>
  <c r="F663" i="7"/>
  <c r="G663" i="7"/>
  <c r="H663" i="7"/>
  <c r="I663" i="7"/>
  <c r="J663" i="7"/>
  <c r="K663" i="7"/>
  <c r="L663" i="7"/>
  <c r="M663" i="7"/>
  <c r="N663" i="7"/>
  <c r="O663" i="7"/>
  <c r="P663" i="7"/>
  <c r="Q663" i="7"/>
  <c r="R663" i="7"/>
  <c r="S663" i="7"/>
  <c r="D663" i="7"/>
  <c r="D620" i="7"/>
  <c r="E620" i="7"/>
  <c r="F620" i="7"/>
  <c r="G620" i="7"/>
  <c r="H620" i="7"/>
  <c r="I620" i="7"/>
  <c r="J620" i="7"/>
  <c r="K620" i="7"/>
  <c r="L620" i="7"/>
  <c r="M620" i="7"/>
  <c r="N620" i="7"/>
  <c r="O620" i="7"/>
  <c r="P620" i="7"/>
  <c r="Q620" i="7"/>
  <c r="R620" i="7"/>
  <c r="S620" i="7"/>
  <c r="D621" i="7"/>
  <c r="E621" i="7"/>
  <c r="F621" i="7"/>
  <c r="G621" i="7"/>
  <c r="H621" i="7"/>
  <c r="I621" i="7"/>
  <c r="J621" i="7"/>
  <c r="K621" i="7"/>
  <c r="L621" i="7"/>
  <c r="M621" i="7"/>
  <c r="N621" i="7"/>
  <c r="O621" i="7"/>
  <c r="P621" i="7"/>
  <c r="Q621" i="7"/>
  <c r="R621" i="7"/>
  <c r="S621" i="7"/>
  <c r="D622" i="7"/>
  <c r="E622" i="7"/>
  <c r="F622" i="7"/>
  <c r="G622" i="7"/>
  <c r="H622" i="7"/>
  <c r="I622" i="7"/>
  <c r="J622" i="7"/>
  <c r="K622" i="7"/>
  <c r="L622" i="7"/>
  <c r="M622" i="7"/>
  <c r="N622" i="7"/>
  <c r="O622" i="7"/>
  <c r="P622" i="7"/>
  <c r="Q622" i="7"/>
  <c r="R622" i="7"/>
  <c r="S622" i="7"/>
  <c r="D623" i="7"/>
  <c r="E623" i="7"/>
  <c r="F623" i="7"/>
  <c r="G623" i="7"/>
  <c r="H623" i="7"/>
  <c r="I623" i="7"/>
  <c r="J623" i="7"/>
  <c r="K623" i="7"/>
  <c r="L623" i="7"/>
  <c r="M623" i="7"/>
  <c r="N623" i="7"/>
  <c r="O623" i="7"/>
  <c r="P623" i="7"/>
  <c r="Q623" i="7"/>
  <c r="R623" i="7"/>
  <c r="S623" i="7"/>
  <c r="D624" i="7"/>
  <c r="E624" i="7"/>
  <c r="F624" i="7"/>
  <c r="G624" i="7"/>
  <c r="H624" i="7"/>
  <c r="I624" i="7"/>
  <c r="J624" i="7"/>
  <c r="K624" i="7"/>
  <c r="L624" i="7"/>
  <c r="M624" i="7"/>
  <c r="N624" i="7"/>
  <c r="O624" i="7"/>
  <c r="P624" i="7"/>
  <c r="Q624" i="7"/>
  <c r="R624" i="7"/>
  <c r="S624" i="7"/>
  <c r="D625" i="7"/>
  <c r="E625" i="7"/>
  <c r="F625" i="7"/>
  <c r="G625" i="7"/>
  <c r="H625" i="7"/>
  <c r="I625" i="7"/>
  <c r="J625" i="7"/>
  <c r="K625" i="7"/>
  <c r="L625" i="7"/>
  <c r="M625" i="7"/>
  <c r="N625" i="7"/>
  <c r="O625" i="7"/>
  <c r="P625" i="7"/>
  <c r="Q625" i="7"/>
  <c r="R625" i="7"/>
  <c r="S625" i="7"/>
  <c r="D626" i="7"/>
  <c r="E626" i="7"/>
  <c r="F626" i="7"/>
  <c r="G626" i="7"/>
  <c r="H626" i="7"/>
  <c r="I626" i="7"/>
  <c r="J626" i="7"/>
  <c r="K626" i="7"/>
  <c r="L626" i="7"/>
  <c r="M626" i="7"/>
  <c r="N626" i="7"/>
  <c r="O626" i="7"/>
  <c r="P626" i="7"/>
  <c r="Q626" i="7"/>
  <c r="R626" i="7"/>
  <c r="S626" i="7"/>
  <c r="D627" i="7"/>
  <c r="E627" i="7"/>
  <c r="F627" i="7"/>
  <c r="G627" i="7"/>
  <c r="H627" i="7"/>
  <c r="I627" i="7"/>
  <c r="J627" i="7"/>
  <c r="K627" i="7"/>
  <c r="L627" i="7"/>
  <c r="M627" i="7"/>
  <c r="N627" i="7"/>
  <c r="O627" i="7"/>
  <c r="P627" i="7"/>
  <c r="Q627" i="7"/>
  <c r="R627" i="7"/>
  <c r="S627" i="7"/>
  <c r="D628" i="7"/>
  <c r="E628" i="7"/>
  <c r="F628" i="7"/>
  <c r="G628" i="7"/>
  <c r="H628" i="7"/>
  <c r="I628" i="7"/>
  <c r="J628" i="7"/>
  <c r="K628" i="7"/>
  <c r="L628" i="7"/>
  <c r="M628" i="7"/>
  <c r="N628" i="7"/>
  <c r="O628" i="7"/>
  <c r="P628" i="7"/>
  <c r="Q628" i="7"/>
  <c r="R628" i="7"/>
  <c r="S628" i="7"/>
  <c r="D629" i="7"/>
  <c r="E629" i="7"/>
  <c r="F629" i="7"/>
  <c r="G629" i="7"/>
  <c r="H629" i="7"/>
  <c r="I629" i="7"/>
  <c r="J629" i="7"/>
  <c r="K629" i="7"/>
  <c r="L629" i="7"/>
  <c r="M629" i="7"/>
  <c r="N629" i="7"/>
  <c r="O629" i="7"/>
  <c r="P629" i="7"/>
  <c r="Q629" i="7"/>
  <c r="R629" i="7"/>
  <c r="S629" i="7"/>
  <c r="D630" i="7"/>
  <c r="E630" i="7"/>
  <c r="F630" i="7"/>
  <c r="G630" i="7"/>
  <c r="H630" i="7"/>
  <c r="I630" i="7"/>
  <c r="J630" i="7"/>
  <c r="K630" i="7"/>
  <c r="L630" i="7"/>
  <c r="M630" i="7"/>
  <c r="N630" i="7"/>
  <c r="O630" i="7"/>
  <c r="P630" i="7"/>
  <c r="Q630" i="7"/>
  <c r="R630" i="7"/>
  <c r="S630" i="7"/>
  <c r="D631" i="7"/>
  <c r="E631" i="7"/>
  <c r="F631" i="7"/>
  <c r="G631" i="7"/>
  <c r="H631" i="7"/>
  <c r="I631" i="7"/>
  <c r="J631" i="7"/>
  <c r="K631" i="7"/>
  <c r="L631" i="7"/>
  <c r="M631" i="7"/>
  <c r="N631" i="7"/>
  <c r="O631" i="7"/>
  <c r="P631" i="7"/>
  <c r="Q631" i="7"/>
  <c r="R631" i="7"/>
  <c r="S631" i="7"/>
  <c r="D632" i="7"/>
  <c r="E632" i="7"/>
  <c r="F632" i="7"/>
  <c r="G632" i="7"/>
  <c r="H632" i="7"/>
  <c r="I632" i="7"/>
  <c r="J632" i="7"/>
  <c r="K632" i="7"/>
  <c r="L632" i="7"/>
  <c r="M632" i="7"/>
  <c r="N632" i="7"/>
  <c r="O632" i="7"/>
  <c r="P632" i="7"/>
  <c r="Q632" i="7"/>
  <c r="R632" i="7"/>
  <c r="S632" i="7"/>
  <c r="D633" i="7"/>
  <c r="E633" i="7"/>
  <c r="F633" i="7"/>
  <c r="G633" i="7"/>
  <c r="H633" i="7"/>
  <c r="I633" i="7"/>
  <c r="J633" i="7"/>
  <c r="K633" i="7"/>
  <c r="L633" i="7"/>
  <c r="M633" i="7"/>
  <c r="N633" i="7"/>
  <c r="O633" i="7"/>
  <c r="P633" i="7"/>
  <c r="Q633" i="7"/>
  <c r="R633" i="7"/>
  <c r="S633" i="7"/>
  <c r="D634" i="7"/>
  <c r="E634" i="7"/>
  <c r="F634" i="7"/>
  <c r="G634" i="7"/>
  <c r="H634" i="7"/>
  <c r="I634" i="7"/>
  <c r="J634" i="7"/>
  <c r="K634" i="7"/>
  <c r="L634" i="7"/>
  <c r="M634" i="7"/>
  <c r="N634" i="7"/>
  <c r="O634" i="7"/>
  <c r="P634" i="7"/>
  <c r="Q634" i="7"/>
  <c r="R634" i="7"/>
  <c r="S634" i="7"/>
  <c r="D635" i="7"/>
  <c r="E635" i="7"/>
  <c r="F635" i="7"/>
  <c r="G635" i="7"/>
  <c r="H635" i="7"/>
  <c r="I635" i="7"/>
  <c r="J635" i="7"/>
  <c r="K635" i="7"/>
  <c r="L635" i="7"/>
  <c r="M635" i="7"/>
  <c r="N635" i="7"/>
  <c r="O635" i="7"/>
  <c r="P635" i="7"/>
  <c r="Q635" i="7"/>
  <c r="R635" i="7"/>
  <c r="S635" i="7"/>
  <c r="D636" i="7"/>
  <c r="E636" i="7"/>
  <c r="F636" i="7"/>
  <c r="G636" i="7"/>
  <c r="H636" i="7"/>
  <c r="I636" i="7"/>
  <c r="J636" i="7"/>
  <c r="K636" i="7"/>
  <c r="L636" i="7"/>
  <c r="M636" i="7"/>
  <c r="N636" i="7"/>
  <c r="O636" i="7"/>
  <c r="P636" i="7"/>
  <c r="Q636" i="7"/>
  <c r="R636" i="7"/>
  <c r="S636" i="7"/>
  <c r="D637" i="7"/>
  <c r="E637" i="7"/>
  <c r="F637" i="7"/>
  <c r="G637" i="7"/>
  <c r="H637" i="7"/>
  <c r="I637" i="7"/>
  <c r="J637" i="7"/>
  <c r="K637" i="7"/>
  <c r="L637" i="7"/>
  <c r="M637" i="7"/>
  <c r="N637" i="7"/>
  <c r="O637" i="7"/>
  <c r="P637" i="7"/>
  <c r="Q637" i="7"/>
  <c r="R637" i="7"/>
  <c r="S637" i="7"/>
  <c r="D638" i="7"/>
  <c r="E638" i="7"/>
  <c r="F638" i="7"/>
  <c r="G638" i="7"/>
  <c r="H638" i="7"/>
  <c r="I638" i="7"/>
  <c r="J638" i="7"/>
  <c r="K638" i="7"/>
  <c r="L638" i="7"/>
  <c r="M638" i="7"/>
  <c r="N638" i="7"/>
  <c r="O638" i="7"/>
  <c r="P638" i="7"/>
  <c r="Q638" i="7"/>
  <c r="R638" i="7"/>
  <c r="S638" i="7"/>
  <c r="D639" i="7"/>
  <c r="E639" i="7"/>
  <c r="F639" i="7"/>
  <c r="G639" i="7"/>
  <c r="H639" i="7"/>
  <c r="I639" i="7"/>
  <c r="J639" i="7"/>
  <c r="K639" i="7"/>
  <c r="L639" i="7"/>
  <c r="M639" i="7"/>
  <c r="N639" i="7"/>
  <c r="O639" i="7"/>
  <c r="P639" i="7"/>
  <c r="Q639" i="7"/>
  <c r="R639" i="7"/>
  <c r="S639" i="7"/>
  <c r="D640" i="7"/>
  <c r="E640" i="7"/>
  <c r="F640" i="7"/>
  <c r="G640" i="7"/>
  <c r="H640" i="7"/>
  <c r="I640" i="7"/>
  <c r="J640" i="7"/>
  <c r="K640" i="7"/>
  <c r="L640" i="7"/>
  <c r="M640" i="7"/>
  <c r="N640" i="7"/>
  <c r="O640" i="7"/>
  <c r="P640" i="7"/>
  <c r="Q640" i="7"/>
  <c r="R640" i="7"/>
  <c r="S640" i="7"/>
  <c r="D641" i="7"/>
  <c r="E641" i="7"/>
  <c r="F641" i="7"/>
  <c r="G641" i="7"/>
  <c r="H641" i="7"/>
  <c r="I641" i="7"/>
  <c r="J641" i="7"/>
  <c r="K641" i="7"/>
  <c r="L641" i="7"/>
  <c r="M641" i="7"/>
  <c r="N641" i="7"/>
  <c r="O641" i="7"/>
  <c r="P641" i="7"/>
  <c r="Q641" i="7"/>
  <c r="R641" i="7"/>
  <c r="S641" i="7"/>
  <c r="D642" i="7"/>
  <c r="E642" i="7"/>
  <c r="F642" i="7"/>
  <c r="G642" i="7"/>
  <c r="H642" i="7"/>
  <c r="I642" i="7"/>
  <c r="J642" i="7"/>
  <c r="K642" i="7"/>
  <c r="L642" i="7"/>
  <c r="M642" i="7"/>
  <c r="N642" i="7"/>
  <c r="O642" i="7"/>
  <c r="P642" i="7"/>
  <c r="Q642" i="7"/>
  <c r="R642" i="7"/>
  <c r="S642" i="7"/>
  <c r="D643" i="7"/>
  <c r="E643" i="7"/>
  <c r="F643" i="7"/>
  <c r="G643" i="7"/>
  <c r="H643" i="7"/>
  <c r="I643" i="7"/>
  <c r="J643" i="7"/>
  <c r="K643" i="7"/>
  <c r="L643" i="7"/>
  <c r="M643" i="7"/>
  <c r="N643" i="7"/>
  <c r="O643" i="7"/>
  <c r="P643" i="7"/>
  <c r="Q643" i="7"/>
  <c r="R643" i="7"/>
  <c r="S643" i="7"/>
  <c r="D644" i="7"/>
  <c r="E644" i="7"/>
  <c r="F644" i="7"/>
  <c r="G644" i="7"/>
  <c r="H644" i="7"/>
  <c r="I644" i="7"/>
  <c r="J644" i="7"/>
  <c r="K644" i="7"/>
  <c r="L644" i="7"/>
  <c r="M644" i="7"/>
  <c r="N644" i="7"/>
  <c r="O644" i="7"/>
  <c r="P644" i="7"/>
  <c r="Q644" i="7"/>
  <c r="R644" i="7"/>
  <c r="S644" i="7"/>
  <c r="D645" i="7"/>
  <c r="E645" i="7"/>
  <c r="F645" i="7"/>
  <c r="G645" i="7"/>
  <c r="H645" i="7"/>
  <c r="I645" i="7"/>
  <c r="J645" i="7"/>
  <c r="K645" i="7"/>
  <c r="L645" i="7"/>
  <c r="M645" i="7"/>
  <c r="N645" i="7"/>
  <c r="O645" i="7"/>
  <c r="P645" i="7"/>
  <c r="Q645" i="7"/>
  <c r="R645" i="7"/>
  <c r="S645" i="7"/>
  <c r="D646" i="7"/>
  <c r="E646" i="7"/>
  <c r="F646" i="7"/>
  <c r="G646" i="7"/>
  <c r="H646" i="7"/>
  <c r="I646" i="7"/>
  <c r="J646" i="7"/>
  <c r="K646" i="7"/>
  <c r="L646" i="7"/>
  <c r="M646" i="7"/>
  <c r="N646" i="7"/>
  <c r="O646" i="7"/>
  <c r="P646" i="7"/>
  <c r="Q646" i="7"/>
  <c r="R646" i="7"/>
  <c r="S646" i="7"/>
  <c r="D647" i="7"/>
  <c r="E647" i="7"/>
  <c r="F647" i="7"/>
  <c r="G647" i="7"/>
  <c r="H647" i="7"/>
  <c r="I647" i="7"/>
  <c r="J647" i="7"/>
  <c r="K647" i="7"/>
  <c r="L647" i="7"/>
  <c r="M647" i="7"/>
  <c r="N647" i="7"/>
  <c r="O647" i="7"/>
  <c r="P647" i="7"/>
  <c r="Q647" i="7"/>
  <c r="R647" i="7"/>
  <c r="S647" i="7"/>
  <c r="D648" i="7"/>
  <c r="E648" i="7"/>
  <c r="F648" i="7"/>
  <c r="G648" i="7"/>
  <c r="H648" i="7"/>
  <c r="I648" i="7"/>
  <c r="J648" i="7"/>
  <c r="K648" i="7"/>
  <c r="L648" i="7"/>
  <c r="M648" i="7"/>
  <c r="N648" i="7"/>
  <c r="O648" i="7"/>
  <c r="P648" i="7"/>
  <c r="Q648" i="7"/>
  <c r="R648" i="7"/>
  <c r="S648" i="7"/>
  <c r="D649" i="7"/>
  <c r="E649" i="7"/>
  <c r="F649" i="7"/>
  <c r="G649" i="7"/>
  <c r="H649" i="7"/>
  <c r="I649" i="7"/>
  <c r="J649" i="7"/>
  <c r="K649" i="7"/>
  <c r="L649" i="7"/>
  <c r="M649" i="7"/>
  <c r="N649" i="7"/>
  <c r="O649" i="7"/>
  <c r="P649" i="7"/>
  <c r="Q649" i="7"/>
  <c r="R649" i="7"/>
  <c r="S649" i="7"/>
  <c r="D650" i="7"/>
  <c r="E650" i="7"/>
  <c r="F650" i="7"/>
  <c r="G650" i="7"/>
  <c r="H650" i="7"/>
  <c r="I650" i="7"/>
  <c r="J650" i="7"/>
  <c r="K650" i="7"/>
  <c r="L650" i="7"/>
  <c r="M650" i="7"/>
  <c r="N650" i="7"/>
  <c r="O650" i="7"/>
  <c r="P650" i="7"/>
  <c r="Q650" i="7"/>
  <c r="R650" i="7"/>
  <c r="S650" i="7"/>
  <c r="D651" i="7"/>
  <c r="E651" i="7"/>
  <c r="F651" i="7"/>
  <c r="G651" i="7"/>
  <c r="H651" i="7"/>
  <c r="I651" i="7"/>
  <c r="J651" i="7"/>
  <c r="K651" i="7"/>
  <c r="L651" i="7"/>
  <c r="M651" i="7"/>
  <c r="N651" i="7"/>
  <c r="O651" i="7"/>
  <c r="P651" i="7"/>
  <c r="Q651" i="7"/>
  <c r="R651" i="7"/>
  <c r="S651" i="7"/>
  <c r="D652" i="7"/>
  <c r="E652" i="7"/>
  <c r="F652" i="7"/>
  <c r="G652" i="7"/>
  <c r="H652" i="7"/>
  <c r="I652" i="7"/>
  <c r="J652" i="7"/>
  <c r="K652" i="7"/>
  <c r="L652" i="7"/>
  <c r="M652" i="7"/>
  <c r="N652" i="7"/>
  <c r="O652" i="7"/>
  <c r="P652" i="7"/>
  <c r="Q652" i="7"/>
  <c r="R652" i="7"/>
  <c r="S652" i="7"/>
  <c r="D653" i="7"/>
  <c r="E653" i="7"/>
  <c r="F653" i="7"/>
  <c r="G653" i="7"/>
  <c r="H653" i="7"/>
  <c r="I653" i="7"/>
  <c r="J653" i="7"/>
  <c r="K653" i="7"/>
  <c r="L653" i="7"/>
  <c r="M653" i="7"/>
  <c r="N653" i="7"/>
  <c r="O653" i="7"/>
  <c r="P653" i="7"/>
  <c r="Q653" i="7"/>
  <c r="R653" i="7"/>
  <c r="S653" i="7"/>
  <c r="D654" i="7"/>
  <c r="E654" i="7"/>
  <c r="F654" i="7"/>
  <c r="G654" i="7"/>
  <c r="H654" i="7"/>
  <c r="I654" i="7"/>
  <c r="J654" i="7"/>
  <c r="K654" i="7"/>
  <c r="L654" i="7"/>
  <c r="M654" i="7"/>
  <c r="N654" i="7"/>
  <c r="O654" i="7"/>
  <c r="P654" i="7"/>
  <c r="Q654" i="7"/>
  <c r="R654" i="7"/>
  <c r="S654" i="7"/>
  <c r="D655" i="7"/>
  <c r="E655" i="7"/>
  <c r="F655" i="7"/>
  <c r="G655" i="7"/>
  <c r="H655" i="7"/>
  <c r="I655" i="7"/>
  <c r="J655" i="7"/>
  <c r="K655" i="7"/>
  <c r="L655" i="7"/>
  <c r="M655" i="7"/>
  <c r="N655" i="7"/>
  <c r="O655" i="7"/>
  <c r="P655" i="7"/>
  <c r="Q655" i="7"/>
  <c r="R655" i="7"/>
  <c r="S655" i="7"/>
  <c r="D656" i="7"/>
  <c r="E656" i="7"/>
  <c r="F656" i="7"/>
  <c r="G656" i="7"/>
  <c r="H656" i="7"/>
  <c r="I656" i="7"/>
  <c r="J656" i="7"/>
  <c r="K656" i="7"/>
  <c r="L656" i="7"/>
  <c r="M656" i="7"/>
  <c r="N656" i="7"/>
  <c r="O656" i="7"/>
  <c r="P656" i="7"/>
  <c r="Q656" i="7"/>
  <c r="R656" i="7"/>
  <c r="S656" i="7"/>
  <c r="D657" i="7"/>
  <c r="E657" i="7"/>
  <c r="F657" i="7"/>
  <c r="G657" i="7"/>
  <c r="H657" i="7"/>
  <c r="I657" i="7"/>
  <c r="J657" i="7"/>
  <c r="K657" i="7"/>
  <c r="L657" i="7"/>
  <c r="M657" i="7"/>
  <c r="N657" i="7"/>
  <c r="O657" i="7"/>
  <c r="P657" i="7"/>
  <c r="Q657" i="7"/>
  <c r="R657" i="7"/>
  <c r="S657" i="7"/>
  <c r="D658" i="7"/>
  <c r="E658" i="7"/>
  <c r="F658" i="7"/>
  <c r="G658" i="7"/>
  <c r="H658" i="7"/>
  <c r="I658" i="7"/>
  <c r="J658" i="7"/>
  <c r="K658" i="7"/>
  <c r="L658" i="7"/>
  <c r="M658" i="7"/>
  <c r="N658" i="7"/>
  <c r="O658" i="7"/>
  <c r="P658" i="7"/>
  <c r="Q658" i="7"/>
  <c r="R658" i="7"/>
  <c r="S658" i="7"/>
  <c r="E619" i="7"/>
  <c r="F619" i="7"/>
  <c r="G619" i="7"/>
  <c r="H619" i="7"/>
  <c r="I619" i="7"/>
  <c r="J619" i="7"/>
  <c r="K619" i="7"/>
  <c r="L619" i="7"/>
  <c r="M619" i="7"/>
  <c r="N619" i="7"/>
  <c r="O619" i="7"/>
  <c r="P619" i="7"/>
  <c r="Q619" i="7"/>
  <c r="R619" i="7"/>
  <c r="S619" i="7"/>
  <c r="D619" i="7"/>
  <c r="D576" i="7"/>
  <c r="E576" i="7"/>
  <c r="F576" i="7"/>
  <c r="G576" i="7"/>
  <c r="H576" i="7"/>
  <c r="I576" i="7"/>
  <c r="J576" i="7"/>
  <c r="K576" i="7"/>
  <c r="L576" i="7"/>
  <c r="M576" i="7"/>
  <c r="N576" i="7"/>
  <c r="O576" i="7"/>
  <c r="P576" i="7"/>
  <c r="Q576" i="7"/>
  <c r="R576" i="7"/>
  <c r="S576" i="7"/>
  <c r="D577" i="7"/>
  <c r="E577" i="7"/>
  <c r="F577" i="7"/>
  <c r="G577" i="7"/>
  <c r="H577" i="7"/>
  <c r="I577" i="7"/>
  <c r="J577" i="7"/>
  <c r="K577" i="7"/>
  <c r="L577" i="7"/>
  <c r="M577" i="7"/>
  <c r="N577" i="7"/>
  <c r="O577" i="7"/>
  <c r="P577" i="7"/>
  <c r="Q577" i="7"/>
  <c r="R577" i="7"/>
  <c r="S577" i="7"/>
  <c r="D578" i="7"/>
  <c r="E578" i="7"/>
  <c r="F578" i="7"/>
  <c r="G578" i="7"/>
  <c r="H578" i="7"/>
  <c r="I578" i="7"/>
  <c r="J578" i="7"/>
  <c r="K578" i="7"/>
  <c r="L578" i="7"/>
  <c r="M578" i="7"/>
  <c r="N578" i="7"/>
  <c r="O578" i="7"/>
  <c r="P578" i="7"/>
  <c r="Q578" i="7"/>
  <c r="R578" i="7"/>
  <c r="S578" i="7"/>
  <c r="D579" i="7"/>
  <c r="E579" i="7"/>
  <c r="F579" i="7"/>
  <c r="G579" i="7"/>
  <c r="H579" i="7"/>
  <c r="I579" i="7"/>
  <c r="J579" i="7"/>
  <c r="K579" i="7"/>
  <c r="L579" i="7"/>
  <c r="M579" i="7"/>
  <c r="N579" i="7"/>
  <c r="O579" i="7"/>
  <c r="P579" i="7"/>
  <c r="Q579" i="7"/>
  <c r="R579" i="7"/>
  <c r="S579" i="7"/>
  <c r="D580" i="7"/>
  <c r="E580" i="7"/>
  <c r="F580" i="7"/>
  <c r="G580" i="7"/>
  <c r="H580" i="7"/>
  <c r="I580" i="7"/>
  <c r="J580" i="7"/>
  <c r="K580" i="7"/>
  <c r="L580" i="7"/>
  <c r="M580" i="7"/>
  <c r="N580" i="7"/>
  <c r="O580" i="7"/>
  <c r="P580" i="7"/>
  <c r="Q580" i="7"/>
  <c r="R580" i="7"/>
  <c r="S580" i="7"/>
  <c r="D581" i="7"/>
  <c r="E581" i="7"/>
  <c r="F581" i="7"/>
  <c r="G581" i="7"/>
  <c r="H581" i="7"/>
  <c r="I581" i="7"/>
  <c r="J581" i="7"/>
  <c r="K581" i="7"/>
  <c r="L581" i="7"/>
  <c r="M581" i="7"/>
  <c r="N581" i="7"/>
  <c r="O581" i="7"/>
  <c r="P581" i="7"/>
  <c r="Q581" i="7"/>
  <c r="R581" i="7"/>
  <c r="S581" i="7"/>
  <c r="D582" i="7"/>
  <c r="E582" i="7"/>
  <c r="F582" i="7"/>
  <c r="G582" i="7"/>
  <c r="H582" i="7"/>
  <c r="I582" i="7"/>
  <c r="J582" i="7"/>
  <c r="K582" i="7"/>
  <c r="L582" i="7"/>
  <c r="M582" i="7"/>
  <c r="N582" i="7"/>
  <c r="O582" i="7"/>
  <c r="P582" i="7"/>
  <c r="Q582" i="7"/>
  <c r="R582" i="7"/>
  <c r="S582" i="7"/>
  <c r="D583" i="7"/>
  <c r="E583" i="7"/>
  <c r="F583" i="7"/>
  <c r="G583" i="7"/>
  <c r="H583" i="7"/>
  <c r="I583" i="7"/>
  <c r="J583" i="7"/>
  <c r="K583" i="7"/>
  <c r="L583" i="7"/>
  <c r="M583" i="7"/>
  <c r="N583" i="7"/>
  <c r="O583" i="7"/>
  <c r="P583" i="7"/>
  <c r="Q583" i="7"/>
  <c r="R583" i="7"/>
  <c r="S583" i="7"/>
  <c r="D584" i="7"/>
  <c r="E584" i="7"/>
  <c r="F584" i="7"/>
  <c r="G584" i="7"/>
  <c r="H584" i="7"/>
  <c r="I584" i="7"/>
  <c r="J584" i="7"/>
  <c r="K584" i="7"/>
  <c r="L584" i="7"/>
  <c r="M584" i="7"/>
  <c r="N584" i="7"/>
  <c r="O584" i="7"/>
  <c r="P584" i="7"/>
  <c r="Q584" i="7"/>
  <c r="R584" i="7"/>
  <c r="S584" i="7"/>
  <c r="D585" i="7"/>
  <c r="E585" i="7"/>
  <c r="F585" i="7"/>
  <c r="G585" i="7"/>
  <c r="H585" i="7"/>
  <c r="I585" i="7"/>
  <c r="J585" i="7"/>
  <c r="K585" i="7"/>
  <c r="L585" i="7"/>
  <c r="M585" i="7"/>
  <c r="N585" i="7"/>
  <c r="O585" i="7"/>
  <c r="P585" i="7"/>
  <c r="Q585" i="7"/>
  <c r="R585" i="7"/>
  <c r="S585" i="7"/>
  <c r="D586" i="7"/>
  <c r="E586" i="7"/>
  <c r="F586" i="7"/>
  <c r="G586" i="7"/>
  <c r="H586" i="7"/>
  <c r="I586" i="7"/>
  <c r="J586" i="7"/>
  <c r="K586" i="7"/>
  <c r="L586" i="7"/>
  <c r="M586" i="7"/>
  <c r="N586" i="7"/>
  <c r="O586" i="7"/>
  <c r="P586" i="7"/>
  <c r="Q586" i="7"/>
  <c r="R586" i="7"/>
  <c r="S586" i="7"/>
  <c r="D587" i="7"/>
  <c r="E587" i="7"/>
  <c r="F587" i="7"/>
  <c r="G587" i="7"/>
  <c r="H587" i="7"/>
  <c r="I587" i="7"/>
  <c r="J587" i="7"/>
  <c r="K587" i="7"/>
  <c r="L587" i="7"/>
  <c r="M587" i="7"/>
  <c r="N587" i="7"/>
  <c r="O587" i="7"/>
  <c r="P587" i="7"/>
  <c r="Q587" i="7"/>
  <c r="R587" i="7"/>
  <c r="S587" i="7"/>
  <c r="D588" i="7"/>
  <c r="E588" i="7"/>
  <c r="F588" i="7"/>
  <c r="G588" i="7"/>
  <c r="H588" i="7"/>
  <c r="I588" i="7"/>
  <c r="J588" i="7"/>
  <c r="K588" i="7"/>
  <c r="L588" i="7"/>
  <c r="M588" i="7"/>
  <c r="N588" i="7"/>
  <c r="O588" i="7"/>
  <c r="P588" i="7"/>
  <c r="Q588" i="7"/>
  <c r="R588" i="7"/>
  <c r="S588" i="7"/>
  <c r="D589" i="7"/>
  <c r="E589" i="7"/>
  <c r="F589" i="7"/>
  <c r="G589" i="7"/>
  <c r="H589" i="7"/>
  <c r="I589" i="7"/>
  <c r="J589" i="7"/>
  <c r="K589" i="7"/>
  <c r="L589" i="7"/>
  <c r="M589" i="7"/>
  <c r="N589" i="7"/>
  <c r="O589" i="7"/>
  <c r="P589" i="7"/>
  <c r="Q589" i="7"/>
  <c r="R589" i="7"/>
  <c r="S589" i="7"/>
  <c r="D590" i="7"/>
  <c r="E590" i="7"/>
  <c r="F590" i="7"/>
  <c r="G590" i="7"/>
  <c r="H590" i="7"/>
  <c r="I590" i="7"/>
  <c r="J590" i="7"/>
  <c r="K590" i="7"/>
  <c r="L590" i="7"/>
  <c r="M590" i="7"/>
  <c r="N590" i="7"/>
  <c r="O590" i="7"/>
  <c r="P590" i="7"/>
  <c r="Q590" i="7"/>
  <c r="R590" i="7"/>
  <c r="S590" i="7"/>
  <c r="D591" i="7"/>
  <c r="E591" i="7"/>
  <c r="F591" i="7"/>
  <c r="G591" i="7"/>
  <c r="H591" i="7"/>
  <c r="I591" i="7"/>
  <c r="J591" i="7"/>
  <c r="K591" i="7"/>
  <c r="L591" i="7"/>
  <c r="M591" i="7"/>
  <c r="N591" i="7"/>
  <c r="O591" i="7"/>
  <c r="P591" i="7"/>
  <c r="Q591" i="7"/>
  <c r="R591" i="7"/>
  <c r="S591" i="7"/>
  <c r="D592" i="7"/>
  <c r="E592" i="7"/>
  <c r="F592" i="7"/>
  <c r="G592" i="7"/>
  <c r="H592" i="7"/>
  <c r="I592" i="7"/>
  <c r="J592" i="7"/>
  <c r="K592" i="7"/>
  <c r="L592" i="7"/>
  <c r="M592" i="7"/>
  <c r="N592" i="7"/>
  <c r="O592" i="7"/>
  <c r="P592" i="7"/>
  <c r="Q592" i="7"/>
  <c r="R592" i="7"/>
  <c r="S592" i="7"/>
  <c r="D593" i="7"/>
  <c r="E593" i="7"/>
  <c r="F593" i="7"/>
  <c r="G593" i="7"/>
  <c r="H593" i="7"/>
  <c r="I593" i="7"/>
  <c r="J593" i="7"/>
  <c r="K593" i="7"/>
  <c r="L593" i="7"/>
  <c r="M593" i="7"/>
  <c r="N593" i="7"/>
  <c r="O593" i="7"/>
  <c r="P593" i="7"/>
  <c r="Q593" i="7"/>
  <c r="R593" i="7"/>
  <c r="S593" i="7"/>
  <c r="D594" i="7"/>
  <c r="E594" i="7"/>
  <c r="F594" i="7"/>
  <c r="G594" i="7"/>
  <c r="H594" i="7"/>
  <c r="I594" i="7"/>
  <c r="J594" i="7"/>
  <c r="K594" i="7"/>
  <c r="L594" i="7"/>
  <c r="M594" i="7"/>
  <c r="N594" i="7"/>
  <c r="O594" i="7"/>
  <c r="P594" i="7"/>
  <c r="Q594" i="7"/>
  <c r="R594" i="7"/>
  <c r="S594" i="7"/>
  <c r="D595" i="7"/>
  <c r="E595" i="7"/>
  <c r="F595" i="7"/>
  <c r="G595" i="7"/>
  <c r="H595" i="7"/>
  <c r="I595" i="7"/>
  <c r="J595" i="7"/>
  <c r="K595" i="7"/>
  <c r="L595" i="7"/>
  <c r="M595" i="7"/>
  <c r="N595" i="7"/>
  <c r="O595" i="7"/>
  <c r="P595" i="7"/>
  <c r="Q595" i="7"/>
  <c r="R595" i="7"/>
  <c r="S595" i="7"/>
  <c r="D596" i="7"/>
  <c r="E596" i="7"/>
  <c r="F596" i="7"/>
  <c r="G596" i="7"/>
  <c r="H596" i="7"/>
  <c r="I596" i="7"/>
  <c r="J596" i="7"/>
  <c r="K596" i="7"/>
  <c r="L596" i="7"/>
  <c r="M596" i="7"/>
  <c r="N596" i="7"/>
  <c r="O596" i="7"/>
  <c r="P596" i="7"/>
  <c r="Q596" i="7"/>
  <c r="R596" i="7"/>
  <c r="S596" i="7"/>
  <c r="D597" i="7"/>
  <c r="E597" i="7"/>
  <c r="F597" i="7"/>
  <c r="G597" i="7"/>
  <c r="H597" i="7"/>
  <c r="I597" i="7"/>
  <c r="J597" i="7"/>
  <c r="K597" i="7"/>
  <c r="L597" i="7"/>
  <c r="M597" i="7"/>
  <c r="N597" i="7"/>
  <c r="O597" i="7"/>
  <c r="P597" i="7"/>
  <c r="Q597" i="7"/>
  <c r="R597" i="7"/>
  <c r="S597" i="7"/>
  <c r="D598" i="7"/>
  <c r="E598" i="7"/>
  <c r="F598" i="7"/>
  <c r="G598" i="7"/>
  <c r="H598" i="7"/>
  <c r="I598" i="7"/>
  <c r="J598" i="7"/>
  <c r="K598" i="7"/>
  <c r="L598" i="7"/>
  <c r="M598" i="7"/>
  <c r="N598" i="7"/>
  <c r="O598" i="7"/>
  <c r="P598" i="7"/>
  <c r="Q598" i="7"/>
  <c r="R598" i="7"/>
  <c r="S598" i="7"/>
  <c r="D599" i="7"/>
  <c r="E599" i="7"/>
  <c r="F599" i="7"/>
  <c r="G599" i="7"/>
  <c r="H599" i="7"/>
  <c r="I599" i="7"/>
  <c r="J599" i="7"/>
  <c r="K599" i="7"/>
  <c r="L599" i="7"/>
  <c r="M599" i="7"/>
  <c r="N599" i="7"/>
  <c r="O599" i="7"/>
  <c r="P599" i="7"/>
  <c r="Q599" i="7"/>
  <c r="R599" i="7"/>
  <c r="S599" i="7"/>
  <c r="D600" i="7"/>
  <c r="E600" i="7"/>
  <c r="F600" i="7"/>
  <c r="G600" i="7"/>
  <c r="H600" i="7"/>
  <c r="I600" i="7"/>
  <c r="J600" i="7"/>
  <c r="K600" i="7"/>
  <c r="L600" i="7"/>
  <c r="M600" i="7"/>
  <c r="N600" i="7"/>
  <c r="O600" i="7"/>
  <c r="P600" i="7"/>
  <c r="Q600" i="7"/>
  <c r="R600" i="7"/>
  <c r="S600" i="7"/>
  <c r="D601" i="7"/>
  <c r="E601" i="7"/>
  <c r="F601" i="7"/>
  <c r="G601" i="7"/>
  <c r="H601" i="7"/>
  <c r="I601" i="7"/>
  <c r="J601" i="7"/>
  <c r="K601" i="7"/>
  <c r="L601" i="7"/>
  <c r="M601" i="7"/>
  <c r="N601" i="7"/>
  <c r="O601" i="7"/>
  <c r="P601" i="7"/>
  <c r="Q601" i="7"/>
  <c r="R601" i="7"/>
  <c r="S601" i="7"/>
  <c r="D602" i="7"/>
  <c r="E602" i="7"/>
  <c r="F602" i="7"/>
  <c r="G602" i="7"/>
  <c r="H602" i="7"/>
  <c r="I602" i="7"/>
  <c r="J602" i="7"/>
  <c r="K602" i="7"/>
  <c r="L602" i="7"/>
  <c r="M602" i="7"/>
  <c r="N602" i="7"/>
  <c r="O602" i="7"/>
  <c r="P602" i="7"/>
  <c r="Q602" i="7"/>
  <c r="R602" i="7"/>
  <c r="S602" i="7"/>
  <c r="D603" i="7"/>
  <c r="E603" i="7"/>
  <c r="F603" i="7"/>
  <c r="G603" i="7"/>
  <c r="H603" i="7"/>
  <c r="I603" i="7"/>
  <c r="J603" i="7"/>
  <c r="K603" i="7"/>
  <c r="L603" i="7"/>
  <c r="M603" i="7"/>
  <c r="N603" i="7"/>
  <c r="O603" i="7"/>
  <c r="P603" i="7"/>
  <c r="Q603" i="7"/>
  <c r="R603" i="7"/>
  <c r="S603" i="7"/>
  <c r="D604" i="7"/>
  <c r="E604" i="7"/>
  <c r="F604" i="7"/>
  <c r="G604" i="7"/>
  <c r="H604" i="7"/>
  <c r="I604" i="7"/>
  <c r="J604" i="7"/>
  <c r="K604" i="7"/>
  <c r="L604" i="7"/>
  <c r="M604" i="7"/>
  <c r="N604" i="7"/>
  <c r="O604" i="7"/>
  <c r="P604" i="7"/>
  <c r="Q604" i="7"/>
  <c r="R604" i="7"/>
  <c r="S604" i="7"/>
  <c r="D605" i="7"/>
  <c r="E605" i="7"/>
  <c r="F605" i="7"/>
  <c r="G605" i="7"/>
  <c r="H605" i="7"/>
  <c r="I605" i="7"/>
  <c r="J605" i="7"/>
  <c r="K605" i="7"/>
  <c r="L605" i="7"/>
  <c r="M605" i="7"/>
  <c r="N605" i="7"/>
  <c r="O605" i="7"/>
  <c r="P605" i="7"/>
  <c r="Q605" i="7"/>
  <c r="R605" i="7"/>
  <c r="S605" i="7"/>
  <c r="D606" i="7"/>
  <c r="E606" i="7"/>
  <c r="F606" i="7"/>
  <c r="G606" i="7"/>
  <c r="H606" i="7"/>
  <c r="I606" i="7"/>
  <c r="J606" i="7"/>
  <c r="K606" i="7"/>
  <c r="L606" i="7"/>
  <c r="M606" i="7"/>
  <c r="N606" i="7"/>
  <c r="O606" i="7"/>
  <c r="P606" i="7"/>
  <c r="Q606" i="7"/>
  <c r="R606" i="7"/>
  <c r="S606" i="7"/>
  <c r="D607" i="7"/>
  <c r="E607" i="7"/>
  <c r="F607" i="7"/>
  <c r="G607" i="7"/>
  <c r="H607" i="7"/>
  <c r="I607" i="7"/>
  <c r="J607" i="7"/>
  <c r="K607" i="7"/>
  <c r="L607" i="7"/>
  <c r="M607" i="7"/>
  <c r="N607" i="7"/>
  <c r="O607" i="7"/>
  <c r="P607" i="7"/>
  <c r="Q607" i="7"/>
  <c r="R607" i="7"/>
  <c r="S607" i="7"/>
  <c r="D608" i="7"/>
  <c r="E608" i="7"/>
  <c r="F608" i="7"/>
  <c r="G608" i="7"/>
  <c r="H608" i="7"/>
  <c r="I608" i="7"/>
  <c r="J608" i="7"/>
  <c r="K608" i="7"/>
  <c r="L608" i="7"/>
  <c r="M608" i="7"/>
  <c r="N608" i="7"/>
  <c r="O608" i="7"/>
  <c r="P608" i="7"/>
  <c r="Q608" i="7"/>
  <c r="R608" i="7"/>
  <c r="S608" i="7"/>
  <c r="D609" i="7"/>
  <c r="E609" i="7"/>
  <c r="F609" i="7"/>
  <c r="G609" i="7"/>
  <c r="H609" i="7"/>
  <c r="I609" i="7"/>
  <c r="J609" i="7"/>
  <c r="K609" i="7"/>
  <c r="L609" i="7"/>
  <c r="M609" i="7"/>
  <c r="N609" i="7"/>
  <c r="O609" i="7"/>
  <c r="P609" i="7"/>
  <c r="Q609" i="7"/>
  <c r="R609" i="7"/>
  <c r="S609" i="7"/>
  <c r="D610" i="7"/>
  <c r="E610" i="7"/>
  <c r="F610" i="7"/>
  <c r="G610" i="7"/>
  <c r="H610" i="7"/>
  <c r="I610" i="7"/>
  <c r="J610" i="7"/>
  <c r="K610" i="7"/>
  <c r="L610" i="7"/>
  <c r="M610" i="7"/>
  <c r="N610" i="7"/>
  <c r="O610" i="7"/>
  <c r="P610" i="7"/>
  <c r="Q610" i="7"/>
  <c r="R610" i="7"/>
  <c r="S610" i="7"/>
  <c r="D611" i="7"/>
  <c r="E611" i="7"/>
  <c r="F611" i="7"/>
  <c r="G611" i="7"/>
  <c r="H611" i="7"/>
  <c r="I611" i="7"/>
  <c r="J611" i="7"/>
  <c r="K611" i="7"/>
  <c r="L611" i="7"/>
  <c r="M611" i="7"/>
  <c r="N611" i="7"/>
  <c r="O611" i="7"/>
  <c r="P611" i="7"/>
  <c r="Q611" i="7"/>
  <c r="R611" i="7"/>
  <c r="S611" i="7"/>
  <c r="D612" i="7"/>
  <c r="E612" i="7"/>
  <c r="F612" i="7"/>
  <c r="G612" i="7"/>
  <c r="H612" i="7"/>
  <c r="I612" i="7"/>
  <c r="J612" i="7"/>
  <c r="K612" i="7"/>
  <c r="L612" i="7"/>
  <c r="M612" i="7"/>
  <c r="N612" i="7"/>
  <c r="O612" i="7"/>
  <c r="P612" i="7"/>
  <c r="Q612" i="7"/>
  <c r="R612" i="7"/>
  <c r="S612" i="7"/>
  <c r="D613" i="7"/>
  <c r="E613" i="7"/>
  <c r="F613" i="7"/>
  <c r="G613" i="7"/>
  <c r="H613" i="7"/>
  <c r="I613" i="7"/>
  <c r="J613" i="7"/>
  <c r="K613" i="7"/>
  <c r="L613" i="7"/>
  <c r="M613" i="7"/>
  <c r="N613" i="7"/>
  <c r="O613" i="7"/>
  <c r="P613" i="7"/>
  <c r="Q613" i="7"/>
  <c r="R613" i="7"/>
  <c r="S613" i="7"/>
  <c r="D614" i="7"/>
  <c r="E614" i="7"/>
  <c r="F614" i="7"/>
  <c r="G614" i="7"/>
  <c r="H614" i="7"/>
  <c r="I614" i="7"/>
  <c r="J614" i="7"/>
  <c r="K614" i="7"/>
  <c r="L614" i="7"/>
  <c r="M614" i="7"/>
  <c r="N614" i="7"/>
  <c r="O614" i="7"/>
  <c r="P614" i="7"/>
  <c r="Q614" i="7"/>
  <c r="R614" i="7"/>
  <c r="S614" i="7"/>
  <c r="E575" i="7"/>
  <c r="F575" i="7"/>
  <c r="G575" i="7"/>
  <c r="H575" i="7"/>
  <c r="I575" i="7"/>
  <c r="J575" i="7"/>
  <c r="K575" i="7"/>
  <c r="L575" i="7"/>
  <c r="M575" i="7"/>
  <c r="N575" i="7"/>
  <c r="O575" i="7"/>
  <c r="P575" i="7"/>
  <c r="Q575" i="7"/>
  <c r="R575" i="7"/>
  <c r="S575" i="7"/>
  <c r="D575" i="7"/>
  <c r="D532" i="7"/>
  <c r="E532" i="7"/>
  <c r="F532" i="7"/>
  <c r="G532" i="7"/>
  <c r="H532" i="7"/>
  <c r="I532" i="7"/>
  <c r="J532" i="7"/>
  <c r="K532" i="7"/>
  <c r="L532" i="7"/>
  <c r="M532" i="7"/>
  <c r="N532" i="7"/>
  <c r="O532" i="7"/>
  <c r="P532" i="7"/>
  <c r="Q532" i="7"/>
  <c r="R532" i="7"/>
  <c r="S532" i="7"/>
  <c r="D533" i="7"/>
  <c r="E533" i="7"/>
  <c r="F533" i="7"/>
  <c r="G533" i="7"/>
  <c r="H533" i="7"/>
  <c r="I533" i="7"/>
  <c r="J533" i="7"/>
  <c r="K533" i="7"/>
  <c r="L533" i="7"/>
  <c r="M533" i="7"/>
  <c r="N533" i="7"/>
  <c r="O533" i="7"/>
  <c r="P533" i="7"/>
  <c r="Q533" i="7"/>
  <c r="R533" i="7"/>
  <c r="S533" i="7"/>
  <c r="D534" i="7"/>
  <c r="E534" i="7"/>
  <c r="F534" i="7"/>
  <c r="G534" i="7"/>
  <c r="H534" i="7"/>
  <c r="I534" i="7"/>
  <c r="J534" i="7"/>
  <c r="K534" i="7"/>
  <c r="L534" i="7"/>
  <c r="M534" i="7"/>
  <c r="N534" i="7"/>
  <c r="O534" i="7"/>
  <c r="P534" i="7"/>
  <c r="Q534" i="7"/>
  <c r="R534" i="7"/>
  <c r="S534" i="7"/>
  <c r="D535" i="7"/>
  <c r="E535" i="7"/>
  <c r="F535" i="7"/>
  <c r="G535" i="7"/>
  <c r="H535" i="7"/>
  <c r="I535" i="7"/>
  <c r="J535" i="7"/>
  <c r="K535" i="7"/>
  <c r="L535" i="7"/>
  <c r="M535" i="7"/>
  <c r="N535" i="7"/>
  <c r="O535" i="7"/>
  <c r="P535" i="7"/>
  <c r="Q535" i="7"/>
  <c r="R535" i="7"/>
  <c r="S535" i="7"/>
  <c r="D536" i="7"/>
  <c r="E536" i="7"/>
  <c r="F536" i="7"/>
  <c r="G536" i="7"/>
  <c r="H536" i="7"/>
  <c r="I536" i="7"/>
  <c r="J536" i="7"/>
  <c r="K536" i="7"/>
  <c r="L536" i="7"/>
  <c r="M536" i="7"/>
  <c r="N536" i="7"/>
  <c r="O536" i="7"/>
  <c r="P536" i="7"/>
  <c r="Q536" i="7"/>
  <c r="R536" i="7"/>
  <c r="S536" i="7"/>
  <c r="D537" i="7"/>
  <c r="E537" i="7"/>
  <c r="F537" i="7"/>
  <c r="G537" i="7"/>
  <c r="H537" i="7"/>
  <c r="I537" i="7"/>
  <c r="J537" i="7"/>
  <c r="K537" i="7"/>
  <c r="L537" i="7"/>
  <c r="M537" i="7"/>
  <c r="N537" i="7"/>
  <c r="O537" i="7"/>
  <c r="P537" i="7"/>
  <c r="Q537" i="7"/>
  <c r="R537" i="7"/>
  <c r="S537" i="7"/>
  <c r="D538" i="7"/>
  <c r="E538" i="7"/>
  <c r="F538" i="7"/>
  <c r="G538" i="7"/>
  <c r="H538" i="7"/>
  <c r="I538" i="7"/>
  <c r="J538" i="7"/>
  <c r="K538" i="7"/>
  <c r="L538" i="7"/>
  <c r="M538" i="7"/>
  <c r="N538" i="7"/>
  <c r="O538" i="7"/>
  <c r="P538" i="7"/>
  <c r="Q538" i="7"/>
  <c r="R538" i="7"/>
  <c r="S538" i="7"/>
  <c r="D539" i="7"/>
  <c r="E539" i="7"/>
  <c r="F539" i="7"/>
  <c r="G539" i="7"/>
  <c r="H539" i="7"/>
  <c r="I539" i="7"/>
  <c r="J539" i="7"/>
  <c r="K539" i="7"/>
  <c r="L539" i="7"/>
  <c r="M539" i="7"/>
  <c r="N539" i="7"/>
  <c r="O539" i="7"/>
  <c r="P539" i="7"/>
  <c r="Q539" i="7"/>
  <c r="R539" i="7"/>
  <c r="S539" i="7"/>
  <c r="D540" i="7"/>
  <c r="E540" i="7"/>
  <c r="F540" i="7"/>
  <c r="G540" i="7"/>
  <c r="H540" i="7"/>
  <c r="I540" i="7"/>
  <c r="J540" i="7"/>
  <c r="K540" i="7"/>
  <c r="L540" i="7"/>
  <c r="M540" i="7"/>
  <c r="N540" i="7"/>
  <c r="O540" i="7"/>
  <c r="P540" i="7"/>
  <c r="Q540" i="7"/>
  <c r="R540" i="7"/>
  <c r="S540" i="7"/>
  <c r="D541" i="7"/>
  <c r="E541" i="7"/>
  <c r="F541" i="7"/>
  <c r="G541" i="7"/>
  <c r="H541" i="7"/>
  <c r="I541" i="7"/>
  <c r="J541" i="7"/>
  <c r="K541" i="7"/>
  <c r="L541" i="7"/>
  <c r="M541" i="7"/>
  <c r="N541" i="7"/>
  <c r="O541" i="7"/>
  <c r="P541" i="7"/>
  <c r="Q541" i="7"/>
  <c r="R541" i="7"/>
  <c r="S541" i="7"/>
  <c r="D542" i="7"/>
  <c r="E542" i="7"/>
  <c r="F542" i="7"/>
  <c r="G542" i="7"/>
  <c r="H542" i="7"/>
  <c r="I542" i="7"/>
  <c r="J542" i="7"/>
  <c r="K542" i="7"/>
  <c r="L542" i="7"/>
  <c r="M542" i="7"/>
  <c r="N542" i="7"/>
  <c r="O542" i="7"/>
  <c r="P542" i="7"/>
  <c r="Q542" i="7"/>
  <c r="R542" i="7"/>
  <c r="S542" i="7"/>
  <c r="D543" i="7"/>
  <c r="E543" i="7"/>
  <c r="F543" i="7"/>
  <c r="G543" i="7"/>
  <c r="H543" i="7"/>
  <c r="I543" i="7"/>
  <c r="J543" i="7"/>
  <c r="K543" i="7"/>
  <c r="L543" i="7"/>
  <c r="M543" i="7"/>
  <c r="N543" i="7"/>
  <c r="O543" i="7"/>
  <c r="P543" i="7"/>
  <c r="Q543" i="7"/>
  <c r="R543" i="7"/>
  <c r="S543" i="7"/>
  <c r="D544" i="7"/>
  <c r="E544" i="7"/>
  <c r="F544" i="7"/>
  <c r="G544" i="7"/>
  <c r="H544" i="7"/>
  <c r="I544" i="7"/>
  <c r="J544" i="7"/>
  <c r="K544" i="7"/>
  <c r="L544" i="7"/>
  <c r="M544" i="7"/>
  <c r="N544" i="7"/>
  <c r="O544" i="7"/>
  <c r="P544" i="7"/>
  <c r="Q544" i="7"/>
  <c r="R544" i="7"/>
  <c r="S544" i="7"/>
  <c r="D545" i="7"/>
  <c r="E545" i="7"/>
  <c r="F545" i="7"/>
  <c r="G545" i="7"/>
  <c r="H545" i="7"/>
  <c r="I545" i="7"/>
  <c r="J545" i="7"/>
  <c r="K545" i="7"/>
  <c r="L545" i="7"/>
  <c r="M545" i="7"/>
  <c r="N545" i="7"/>
  <c r="O545" i="7"/>
  <c r="P545" i="7"/>
  <c r="Q545" i="7"/>
  <c r="R545" i="7"/>
  <c r="S545" i="7"/>
  <c r="D546" i="7"/>
  <c r="E546" i="7"/>
  <c r="F546" i="7"/>
  <c r="G546" i="7"/>
  <c r="H546" i="7"/>
  <c r="I546" i="7"/>
  <c r="J546" i="7"/>
  <c r="K546" i="7"/>
  <c r="L546" i="7"/>
  <c r="M546" i="7"/>
  <c r="N546" i="7"/>
  <c r="O546" i="7"/>
  <c r="P546" i="7"/>
  <c r="Q546" i="7"/>
  <c r="R546" i="7"/>
  <c r="S546" i="7"/>
  <c r="D547" i="7"/>
  <c r="E547" i="7"/>
  <c r="F547" i="7"/>
  <c r="G547" i="7"/>
  <c r="H547" i="7"/>
  <c r="I547" i="7"/>
  <c r="J547" i="7"/>
  <c r="K547" i="7"/>
  <c r="L547" i="7"/>
  <c r="M547" i="7"/>
  <c r="N547" i="7"/>
  <c r="O547" i="7"/>
  <c r="P547" i="7"/>
  <c r="Q547" i="7"/>
  <c r="R547" i="7"/>
  <c r="S547" i="7"/>
  <c r="D548" i="7"/>
  <c r="E548" i="7"/>
  <c r="F548" i="7"/>
  <c r="G548" i="7"/>
  <c r="H548" i="7"/>
  <c r="I548" i="7"/>
  <c r="J548" i="7"/>
  <c r="K548" i="7"/>
  <c r="L548" i="7"/>
  <c r="M548" i="7"/>
  <c r="N548" i="7"/>
  <c r="O548" i="7"/>
  <c r="P548" i="7"/>
  <c r="Q548" i="7"/>
  <c r="R548" i="7"/>
  <c r="S548" i="7"/>
  <c r="D549" i="7"/>
  <c r="E549" i="7"/>
  <c r="F549" i="7"/>
  <c r="G549" i="7"/>
  <c r="H549" i="7"/>
  <c r="I549" i="7"/>
  <c r="J549" i="7"/>
  <c r="K549" i="7"/>
  <c r="L549" i="7"/>
  <c r="M549" i="7"/>
  <c r="N549" i="7"/>
  <c r="O549" i="7"/>
  <c r="P549" i="7"/>
  <c r="Q549" i="7"/>
  <c r="R549" i="7"/>
  <c r="S549" i="7"/>
  <c r="D550" i="7"/>
  <c r="E550" i="7"/>
  <c r="F550" i="7"/>
  <c r="G550" i="7"/>
  <c r="H550" i="7"/>
  <c r="I550" i="7"/>
  <c r="J550" i="7"/>
  <c r="K550" i="7"/>
  <c r="L550" i="7"/>
  <c r="M550" i="7"/>
  <c r="N550" i="7"/>
  <c r="O550" i="7"/>
  <c r="P550" i="7"/>
  <c r="Q550" i="7"/>
  <c r="R550" i="7"/>
  <c r="S550" i="7"/>
  <c r="D551" i="7"/>
  <c r="E551" i="7"/>
  <c r="F551" i="7"/>
  <c r="G551" i="7"/>
  <c r="H551" i="7"/>
  <c r="I551" i="7"/>
  <c r="J551" i="7"/>
  <c r="K551" i="7"/>
  <c r="L551" i="7"/>
  <c r="M551" i="7"/>
  <c r="N551" i="7"/>
  <c r="O551" i="7"/>
  <c r="P551" i="7"/>
  <c r="Q551" i="7"/>
  <c r="R551" i="7"/>
  <c r="S551" i="7"/>
  <c r="D552" i="7"/>
  <c r="E552" i="7"/>
  <c r="F552" i="7"/>
  <c r="G552" i="7"/>
  <c r="H552" i="7"/>
  <c r="I552" i="7"/>
  <c r="J552" i="7"/>
  <c r="K552" i="7"/>
  <c r="L552" i="7"/>
  <c r="M552" i="7"/>
  <c r="N552" i="7"/>
  <c r="O552" i="7"/>
  <c r="P552" i="7"/>
  <c r="Q552" i="7"/>
  <c r="R552" i="7"/>
  <c r="S552" i="7"/>
  <c r="D553" i="7"/>
  <c r="E553" i="7"/>
  <c r="F553" i="7"/>
  <c r="G553" i="7"/>
  <c r="H553" i="7"/>
  <c r="I553" i="7"/>
  <c r="J553" i="7"/>
  <c r="K553" i="7"/>
  <c r="L553" i="7"/>
  <c r="M553" i="7"/>
  <c r="N553" i="7"/>
  <c r="O553" i="7"/>
  <c r="P553" i="7"/>
  <c r="Q553" i="7"/>
  <c r="R553" i="7"/>
  <c r="S553" i="7"/>
  <c r="D554" i="7"/>
  <c r="E554" i="7"/>
  <c r="F554" i="7"/>
  <c r="G554" i="7"/>
  <c r="H554" i="7"/>
  <c r="I554" i="7"/>
  <c r="J554" i="7"/>
  <c r="K554" i="7"/>
  <c r="L554" i="7"/>
  <c r="M554" i="7"/>
  <c r="N554" i="7"/>
  <c r="O554" i="7"/>
  <c r="P554" i="7"/>
  <c r="Q554" i="7"/>
  <c r="R554" i="7"/>
  <c r="S554" i="7"/>
  <c r="D555" i="7"/>
  <c r="E555" i="7"/>
  <c r="F555" i="7"/>
  <c r="G555" i="7"/>
  <c r="H555" i="7"/>
  <c r="I555" i="7"/>
  <c r="J555" i="7"/>
  <c r="K555" i="7"/>
  <c r="L555" i="7"/>
  <c r="M555" i="7"/>
  <c r="N555" i="7"/>
  <c r="O555" i="7"/>
  <c r="P555" i="7"/>
  <c r="Q555" i="7"/>
  <c r="R555" i="7"/>
  <c r="S555" i="7"/>
  <c r="D556" i="7"/>
  <c r="E556" i="7"/>
  <c r="F556" i="7"/>
  <c r="G556" i="7"/>
  <c r="H556" i="7"/>
  <c r="I556" i="7"/>
  <c r="J556" i="7"/>
  <c r="K556" i="7"/>
  <c r="L556" i="7"/>
  <c r="M556" i="7"/>
  <c r="N556" i="7"/>
  <c r="O556" i="7"/>
  <c r="P556" i="7"/>
  <c r="Q556" i="7"/>
  <c r="R556" i="7"/>
  <c r="S556" i="7"/>
  <c r="D557" i="7"/>
  <c r="E557" i="7"/>
  <c r="F557" i="7"/>
  <c r="G557" i="7"/>
  <c r="H557" i="7"/>
  <c r="I557" i="7"/>
  <c r="J557" i="7"/>
  <c r="K557" i="7"/>
  <c r="L557" i="7"/>
  <c r="M557" i="7"/>
  <c r="N557" i="7"/>
  <c r="O557" i="7"/>
  <c r="P557" i="7"/>
  <c r="Q557" i="7"/>
  <c r="R557" i="7"/>
  <c r="S557" i="7"/>
  <c r="D558" i="7"/>
  <c r="E558" i="7"/>
  <c r="F558" i="7"/>
  <c r="G558" i="7"/>
  <c r="H558" i="7"/>
  <c r="I558" i="7"/>
  <c r="J558" i="7"/>
  <c r="K558" i="7"/>
  <c r="L558" i="7"/>
  <c r="M558" i="7"/>
  <c r="N558" i="7"/>
  <c r="O558" i="7"/>
  <c r="P558" i="7"/>
  <c r="Q558" i="7"/>
  <c r="R558" i="7"/>
  <c r="S558" i="7"/>
  <c r="D559" i="7"/>
  <c r="E559" i="7"/>
  <c r="F559" i="7"/>
  <c r="G559" i="7"/>
  <c r="H559" i="7"/>
  <c r="I559" i="7"/>
  <c r="J559" i="7"/>
  <c r="K559" i="7"/>
  <c r="L559" i="7"/>
  <c r="M559" i="7"/>
  <c r="N559" i="7"/>
  <c r="O559" i="7"/>
  <c r="P559" i="7"/>
  <c r="Q559" i="7"/>
  <c r="R559" i="7"/>
  <c r="S559" i="7"/>
  <c r="D560" i="7"/>
  <c r="E560" i="7"/>
  <c r="F560" i="7"/>
  <c r="G560" i="7"/>
  <c r="H560" i="7"/>
  <c r="I560" i="7"/>
  <c r="J560" i="7"/>
  <c r="K560" i="7"/>
  <c r="L560" i="7"/>
  <c r="M560" i="7"/>
  <c r="N560" i="7"/>
  <c r="O560" i="7"/>
  <c r="P560" i="7"/>
  <c r="Q560" i="7"/>
  <c r="R560" i="7"/>
  <c r="S560" i="7"/>
  <c r="D561" i="7"/>
  <c r="E561" i="7"/>
  <c r="F561" i="7"/>
  <c r="G561" i="7"/>
  <c r="H561" i="7"/>
  <c r="I561" i="7"/>
  <c r="J561" i="7"/>
  <c r="K561" i="7"/>
  <c r="L561" i="7"/>
  <c r="M561" i="7"/>
  <c r="N561" i="7"/>
  <c r="O561" i="7"/>
  <c r="P561" i="7"/>
  <c r="Q561" i="7"/>
  <c r="R561" i="7"/>
  <c r="S561" i="7"/>
  <c r="D562" i="7"/>
  <c r="E562" i="7"/>
  <c r="F562" i="7"/>
  <c r="G562" i="7"/>
  <c r="H562" i="7"/>
  <c r="I562" i="7"/>
  <c r="J562" i="7"/>
  <c r="K562" i="7"/>
  <c r="L562" i="7"/>
  <c r="M562" i="7"/>
  <c r="N562" i="7"/>
  <c r="O562" i="7"/>
  <c r="P562" i="7"/>
  <c r="Q562" i="7"/>
  <c r="R562" i="7"/>
  <c r="S562" i="7"/>
  <c r="D563" i="7"/>
  <c r="E563" i="7"/>
  <c r="F563" i="7"/>
  <c r="G563" i="7"/>
  <c r="H563" i="7"/>
  <c r="I563" i="7"/>
  <c r="J563" i="7"/>
  <c r="K563" i="7"/>
  <c r="L563" i="7"/>
  <c r="M563" i="7"/>
  <c r="N563" i="7"/>
  <c r="O563" i="7"/>
  <c r="P563" i="7"/>
  <c r="Q563" i="7"/>
  <c r="R563" i="7"/>
  <c r="S563" i="7"/>
  <c r="D564" i="7"/>
  <c r="E564" i="7"/>
  <c r="F564" i="7"/>
  <c r="G564" i="7"/>
  <c r="H564" i="7"/>
  <c r="I564" i="7"/>
  <c r="J564" i="7"/>
  <c r="K564" i="7"/>
  <c r="L564" i="7"/>
  <c r="M564" i="7"/>
  <c r="N564" i="7"/>
  <c r="O564" i="7"/>
  <c r="P564" i="7"/>
  <c r="Q564" i="7"/>
  <c r="R564" i="7"/>
  <c r="S564" i="7"/>
  <c r="D565" i="7"/>
  <c r="E565" i="7"/>
  <c r="F565" i="7"/>
  <c r="G565" i="7"/>
  <c r="H565" i="7"/>
  <c r="I565" i="7"/>
  <c r="J565" i="7"/>
  <c r="K565" i="7"/>
  <c r="L565" i="7"/>
  <c r="M565" i="7"/>
  <c r="N565" i="7"/>
  <c r="O565" i="7"/>
  <c r="P565" i="7"/>
  <c r="Q565" i="7"/>
  <c r="R565" i="7"/>
  <c r="S565" i="7"/>
  <c r="D566" i="7"/>
  <c r="E566" i="7"/>
  <c r="F566" i="7"/>
  <c r="G566" i="7"/>
  <c r="H566" i="7"/>
  <c r="I566" i="7"/>
  <c r="J566" i="7"/>
  <c r="K566" i="7"/>
  <c r="L566" i="7"/>
  <c r="M566" i="7"/>
  <c r="N566" i="7"/>
  <c r="O566" i="7"/>
  <c r="P566" i="7"/>
  <c r="Q566" i="7"/>
  <c r="R566" i="7"/>
  <c r="S566" i="7"/>
  <c r="D567" i="7"/>
  <c r="E567" i="7"/>
  <c r="F567" i="7"/>
  <c r="G567" i="7"/>
  <c r="H567" i="7"/>
  <c r="I567" i="7"/>
  <c r="J567" i="7"/>
  <c r="K567" i="7"/>
  <c r="L567" i="7"/>
  <c r="M567" i="7"/>
  <c r="N567" i="7"/>
  <c r="O567" i="7"/>
  <c r="P567" i="7"/>
  <c r="Q567" i="7"/>
  <c r="R567" i="7"/>
  <c r="S567" i="7"/>
  <c r="D568" i="7"/>
  <c r="E568" i="7"/>
  <c r="F568" i="7"/>
  <c r="G568" i="7"/>
  <c r="H568" i="7"/>
  <c r="I568" i="7"/>
  <c r="J568" i="7"/>
  <c r="K568" i="7"/>
  <c r="L568" i="7"/>
  <c r="M568" i="7"/>
  <c r="N568" i="7"/>
  <c r="O568" i="7"/>
  <c r="P568" i="7"/>
  <c r="Q568" i="7"/>
  <c r="R568" i="7"/>
  <c r="S568" i="7"/>
  <c r="D569" i="7"/>
  <c r="E569" i="7"/>
  <c r="F569" i="7"/>
  <c r="G569" i="7"/>
  <c r="H569" i="7"/>
  <c r="I569" i="7"/>
  <c r="J569" i="7"/>
  <c r="K569" i="7"/>
  <c r="L569" i="7"/>
  <c r="M569" i="7"/>
  <c r="N569" i="7"/>
  <c r="O569" i="7"/>
  <c r="P569" i="7"/>
  <c r="Q569" i="7"/>
  <c r="R569" i="7"/>
  <c r="S569" i="7"/>
  <c r="D570" i="7"/>
  <c r="E570" i="7"/>
  <c r="F570" i="7"/>
  <c r="G570" i="7"/>
  <c r="H570" i="7"/>
  <c r="I570" i="7"/>
  <c r="J570" i="7"/>
  <c r="K570" i="7"/>
  <c r="L570" i="7"/>
  <c r="M570" i="7"/>
  <c r="N570" i="7"/>
  <c r="O570" i="7"/>
  <c r="P570" i="7"/>
  <c r="Q570" i="7"/>
  <c r="R570" i="7"/>
  <c r="S570" i="7"/>
  <c r="E531" i="7"/>
  <c r="F531" i="7"/>
  <c r="G531" i="7"/>
  <c r="H531" i="7"/>
  <c r="I531" i="7"/>
  <c r="J531" i="7"/>
  <c r="K531" i="7"/>
  <c r="L531" i="7"/>
  <c r="M531" i="7"/>
  <c r="N531" i="7"/>
  <c r="O531" i="7"/>
  <c r="P531" i="7"/>
  <c r="Q531" i="7"/>
  <c r="R531" i="7"/>
  <c r="S531" i="7"/>
  <c r="D531" i="7"/>
  <c r="D488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D489" i="7"/>
  <c r="E489" i="7"/>
  <c r="F489" i="7"/>
  <c r="G489" i="7"/>
  <c r="H489" i="7"/>
  <c r="I489" i="7"/>
  <c r="J489" i="7"/>
  <c r="K489" i="7"/>
  <c r="L489" i="7"/>
  <c r="M489" i="7"/>
  <c r="N489" i="7"/>
  <c r="O489" i="7"/>
  <c r="P489" i="7"/>
  <c r="Q489" i="7"/>
  <c r="R489" i="7"/>
  <c r="S489" i="7"/>
  <c r="D490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D491" i="7"/>
  <c r="E491" i="7"/>
  <c r="F491" i="7"/>
  <c r="G491" i="7"/>
  <c r="H491" i="7"/>
  <c r="I491" i="7"/>
  <c r="J491" i="7"/>
  <c r="K491" i="7"/>
  <c r="L491" i="7"/>
  <c r="M491" i="7"/>
  <c r="N491" i="7"/>
  <c r="O491" i="7"/>
  <c r="P491" i="7"/>
  <c r="Q491" i="7"/>
  <c r="R491" i="7"/>
  <c r="S491" i="7"/>
  <c r="D492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D493" i="7"/>
  <c r="E493" i="7"/>
  <c r="F493" i="7"/>
  <c r="G493" i="7"/>
  <c r="H493" i="7"/>
  <c r="I493" i="7"/>
  <c r="J493" i="7"/>
  <c r="K493" i="7"/>
  <c r="L493" i="7"/>
  <c r="M493" i="7"/>
  <c r="N493" i="7"/>
  <c r="O493" i="7"/>
  <c r="P493" i="7"/>
  <c r="Q493" i="7"/>
  <c r="R493" i="7"/>
  <c r="S493" i="7"/>
  <c r="D494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D495" i="7"/>
  <c r="E495" i="7"/>
  <c r="F495" i="7"/>
  <c r="G495" i="7"/>
  <c r="H495" i="7"/>
  <c r="I495" i="7"/>
  <c r="J495" i="7"/>
  <c r="K495" i="7"/>
  <c r="L495" i="7"/>
  <c r="M495" i="7"/>
  <c r="N495" i="7"/>
  <c r="O495" i="7"/>
  <c r="P495" i="7"/>
  <c r="Q495" i="7"/>
  <c r="R495" i="7"/>
  <c r="S495" i="7"/>
  <c r="D496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D497" i="7"/>
  <c r="E497" i="7"/>
  <c r="F497" i="7"/>
  <c r="G497" i="7"/>
  <c r="H497" i="7"/>
  <c r="I497" i="7"/>
  <c r="J497" i="7"/>
  <c r="K497" i="7"/>
  <c r="L497" i="7"/>
  <c r="M497" i="7"/>
  <c r="N497" i="7"/>
  <c r="O497" i="7"/>
  <c r="P497" i="7"/>
  <c r="Q497" i="7"/>
  <c r="R497" i="7"/>
  <c r="S497" i="7"/>
  <c r="D498" i="7"/>
  <c r="E498" i="7"/>
  <c r="F498" i="7"/>
  <c r="G498" i="7"/>
  <c r="H498" i="7"/>
  <c r="I498" i="7"/>
  <c r="J498" i="7"/>
  <c r="K498" i="7"/>
  <c r="L498" i="7"/>
  <c r="M498" i="7"/>
  <c r="N498" i="7"/>
  <c r="O498" i="7"/>
  <c r="P498" i="7"/>
  <c r="Q498" i="7"/>
  <c r="R498" i="7"/>
  <c r="S498" i="7"/>
  <c r="D499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D500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D501" i="7"/>
  <c r="E501" i="7"/>
  <c r="F501" i="7"/>
  <c r="G501" i="7"/>
  <c r="H501" i="7"/>
  <c r="I501" i="7"/>
  <c r="J501" i="7"/>
  <c r="K501" i="7"/>
  <c r="L501" i="7"/>
  <c r="M501" i="7"/>
  <c r="N501" i="7"/>
  <c r="O501" i="7"/>
  <c r="P501" i="7"/>
  <c r="Q501" i="7"/>
  <c r="R501" i="7"/>
  <c r="S501" i="7"/>
  <c r="D502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D503" i="7"/>
  <c r="E503" i="7"/>
  <c r="F503" i="7"/>
  <c r="G503" i="7"/>
  <c r="H503" i="7"/>
  <c r="I503" i="7"/>
  <c r="J503" i="7"/>
  <c r="K503" i="7"/>
  <c r="L503" i="7"/>
  <c r="M503" i="7"/>
  <c r="N503" i="7"/>
  <c r="O503" i="7"/>
  <c r="P503" i="7"/>
  <c r="Q503" i="7"/>
  <c r="R503" i="7"/>
  <c r="S503" i="7"/>
  <c r="D504" i="7"/>
  <c r="E504" i="7"/>
  <c r="F504" i="7"/>
  <c r="G504" i="7"/>
  <c r="H504" i="7"/>
  <c r="I504" i="7"/>
  <c r="J504" i="7"/>
  <c r="K504" i="7"/>
  <c r="L504" i="7"/>
  <c r="M504" i="7"/>
  <c r="N504" i="7"/>
  <c r="O504" i="7"/>
  <c r="P504" i="7"/>
  <c r="Q504" i="7"/>
  <c r="R504" i="7"/>
  <c r="S504" i="7"/>
  <c r="D505" i="7"/>
  <c r="E505" i="7"/>
  <c r="F505" i="7"/>
  <c r="G505" i="7"/>
  <c r="H505" i="7"/>
  <c r="I505" i="7"/>
  <c r="J505" i="7"/>
  <c r="K505" i="7"/>
  <c r="L505" i="7"/>
  <c r="M505" i="7"/>
  <c r="N505" i="7"/>
  <c r="O505" i="7"/>
  <c r="P505" i="7"/>
  <c r="Q505" i="7"/>
  <c r="R505" i="7"/>
  <c r="S505" i="7"/>
  <c r="D506" i="7"/>
  <c r="E506" i="7"/>
  <c r="F506" i="7"/>
  <c r="G506" i="7"/>
  <c r="H506" i="7"/>
  <c r="I506" i="7"/>
  <c r="J506" i="7"/>
  <c r="K506" i="7"/>
  <c r="L506" i="7"/>
  <c r="M506" i="7"/>
  <c r="N506" i="7"/>
  <c r="O506" i="7"/>
  <c r="P506" i="7"/>
  <c r="Q506" i="7"/>
  <c r="R506" i="7"/>
  <c r="S506" i="7"/>
  <c r="D507" i="7"/>
  <c r="E507" i="7"/>
  <c r="F507" i="7"/>
  <c r="G507" i="7"/>
  <c r="H507" i="7"/>
  <c r="I507" i="7"/>
  <c r="J507" i="7"/>
  <c r="K507" i="7"/>
  <c r="L507" i="7"/>
  <c r="M507" i="7"/>
  <c r="N507" i="7"/>
  <c r="O507" i="7"/>
  <c r="P507" i="7"/>
  <c r="Q507" i="7"/>
  <c r="R507" i="7"/>
  <c r="S507" i="7"/>
  <c r="D508" i="7"/>
  <c r="E508" i="7"/>
  <c r="F508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D509" i="7"/>
  <c r="E509" i="7"/>
  <c r="F509" i="7"/>
  <c r="G509" i="7"/>
  <c r="H509" i="7"/>
  <c r="I509" i="7"/>
  <c r="J509" i="7"/>
  <c r="K509" i="7"/>
  <c r="L509" i="7"/>
  <c r="M509" i="7"/>
  <c r="N509" i="7"/>
  <c r="O509" i="7"/>
  <c r="P509" i="7"/>
  <c r="Q509" i="7"/>
  <c r="R509" i="7"/>
  <c r="S509" i="7"/>
  <c r="D510" i="7"/>
  <c r="E510" i="7"/>
  <c r="F510" i="7"/>
  <c r="G510" i="7"/>
  <c r="H510" i="7"/>
  <c r="I510" i="7"/>
  <c r="J510" i="7"/>
  <c r="K510" i="7"/>
  <c r="L510" i="7"/>
  <c r="M510" i="7"/>
  <c r="N510" i="7"/>
  <c r="O510" i="7"/>
  <c r="P510" i="7"/>
  <c r="Q510" i="7"/>
  <c r="R510" i="7"/>
  <c r="S510" i="7"/>
  <c r="D511" i="7"/>
  <c r="E511" i="7"/>
  <c r="F511" i="7"/>
  <c r="G511" i="7"/>
  <c r="H511" i="7"/>
  <c r="I511" i="7"/>
  <c r="J511" i="7"/>
  <c r="K511" i="7"/>
  <c r="L511" i="7"/>
  <c r="M511" i="7"/>
  <c r="N511" i="7"/>
  <c r="O511" i="7"/>
  <c r="P511" i="7"/>
  <c r="Q511" i="7"/>
  <c r="R511" i="7"/>
  <c r="S511" i="7"/>
  <c r="D512" i="7"/>
  <c r="E512" i="7"/>
  <c r="F512" i="7"/>
  <c r="G512" i="7"/>
  <c r="H512" i="7"/>
  <c r="I512" i="7"/>
  <c r="J512" i="7"/>
  <c r="K512" i="7"/>
  <c r="L512" i="7"/>
  <c r="M512" i="7"/>
  <c r="N512" i="7"/>
  <c r="O512" i="7"/>
  <c r="P512" i="7"/>
  <c r="Q512" i="7"/>
  <c r="R512" i="7"/>
  <c r="S512" i="7"/>
  <c r="D513" i="7"/>
  <c r="E513" i="7"/>
  <c r="F513" i="7"/>
  <c r="G513" i="7"/>
  <c r="H513" i="7"/>
  <c r="I513" i="7"/>
  <c r="J513" i="7"/>
  <c r="K513" i="7"/>
  <c r="L513" i="7"/>
  <c r="M513" i="7"/>
  <c r="N513" i="7"/>
  <c r="O513" i="7"/>
  <c r="P513" i="7"/>
  <c r="Q513" i="7"/>
  <c r="R513" i="7"/>
  <c r="S513" i="7"/>
  <c r="D514" i="7"/>
  <c r="E514" i="7"/>
  <c r="F514" i="7"/>
  <c r="G514" i="7"/>
  <c r="H514" i="7"/>
  <c r="I514" i="7"/>
  <c r="J514" i="7"/>
  <c r="K514" i="7"/>
  <c r="L514" i="7"/>
  <c r="M514" i="7"/>
  <c r="N514" i="7"/>
  <c r="O514" i="7"/>
  <c r="P514" i="7"/>
  <c r="Q514" i="7"/>
  <c r="R514" i="7"/>
  <c r="S514" i="7"/>
  <c r="D515" i="7"/>
  <c r="E515" i="7"/>
  <c r="F515" i="7"/>
  <c r="G515" i="7"/>
  <c r="H515" i="7"/>
  <c r="I515" i="7"/>
  <c r="J515" i="7"/>
  <c r="K515" i="7"/>
  <c r="L515" i="7"/>
  <c r="M515" i="7"/>
  <c r="N515" i="7"/>
  <c r="O515" i="7"/>
  <c r="P515" i="7"/>
  <c r="Q515" i="7"/>
  <c r="R515" i="7"/>
  <c r="S515" i="7"/>
  <c r="D516" i="7"/>
  <c r="E516" i="7"/>
  <c r="F516" i="7"/>
  <c r="G516" i="7"/>
  <c r="H516" i="7"/>
  <c r="I516" i="7"/>
  <c r="J516" i="7"/>
  <c r="K516" i="7"/>
  <c r="L516" i="7"/>
  <c r="M516" i="7"/>
  <c r="N516" i="7"/>
  <c r="O516" i="7"/>
  <c r="P516" i="7"/>
  <c r="Q516" i="7"/>
  <c r="R516" i="7"/>
  <c r="S516" i="7"/>
  <c r="D517" i="7"/>
  <c r="E517" i="7"/>
  <c r="F517" i="7"/>
  <c r="G517" i="7"/>
  <c r="H517" i="7"/>
  <c r="I517" i="7"/>
  <c r="J517" i="7"/>
  <c r="K517" i="7"/>
  <c r="L517" i="7"/>
  <c r="M517" i="7"/>
  <c r="N517" i="7"/>
  <c r="O517" i="7"/>
  <c r="P517" i="7"/>
  <c r="Q517" i="7"/>
  <c r="R517" i="7"/>
  <c r="S517" i="7"/>
  <c r="D518" i="7"/>
  <c r="E518" i="7"/>
  <c r="F518" i="7"/>
  <c r="G518" i="7"/>
  <c r="H518" i="7"/>
  <c r="I518" i="7"/>
  <c r="J518" i="7"/>
  <c r="K518" i="7"/>
  <c r="L518" i="7"/>
  <c r="M518" i="7"/>
  <c r="N518" i="7"/>
  <c r="O518" i="7"/>
  <c r="P518" i="7"/>
  <c r="Q518" i="7"/>
  <c r="R518" i="7"/>
  <c r="S518" i="7"/>
  <c r="D519" i="7"/>
  <c r="E519" i="7"/>
  <c r="F519" i="7"/>
  <c r="G519" i="7"/>
  <c r="H519" i="7"/>
  <c r="I519" i="7"/>
  <c r="J519" i="7"/>
  <c r="K519" i="7"/>
  <c r="L519" i="7"/>
  <c r="M519" i="7"/>
  <c r="N519" i="7"/>
  <c r="O519" i="7"/>
  <c r="P519" i="7"/>
  <c r="Q519" i="7"/>
  <c r="R519" i="7"/>
  <c r="S519" i="7"/>
  <c r="D520" i="7"/>
  <c r="E520" i="7"/>
  <c r="F520" i="7"/>
  <c r="G520" i="7"/>
  <c r="H520" i="7"/>
  <c r="I520" i="7"/>
  <c r="J520" i="7"/>
  <c r="K520" i="7"/>
  <c r="L520" i="7"/>
  <c r="M520" i="7"/>
  <c r="N520" i="7"/>
  <c r="O520" i="7"/>
  <c r="P520" i="7"/>
  <c r="Q520" i="7"/>
  <c r="R520" i="7"/>
  <c r="S520" i="7"/>
  <c r="D521" i="7"/>
  <c r="E521" i="7"/>
  <c r="F521" i="7"/>
  <c r="G521" i="7"/>
  <c r="H521" i="7"/>
  <c r="I521" i="7"/>
  <c r="J521" i="7"/>
  <c r="K521" i="7"/>
  <c r="L521" i="7"/>
  <c r="M521" i="7"/>
  <c r="N521" i="7"/>
  <c r="O521" i="7"/>
  <c r="P521" i="7"/>
  <c r="Q521" i="7"/>
  <c r="R521" i="7"/>
  <c r="S521" i="7"/>
  <c r="D522" i="7"/>
  <c r="E522" i="7"/>
  <c r="F522" i="7"/>
  <c r="G522" i="7"/>
  <c r="H522" i="7"/>
  <c r="I522" i="7"/>
  <c r="J522" i="7"/>
  <c r="K522" i="7"/>
  <c r="L522" i="7"/>
  <c r="M522" i="7"/>
  <c r="N522" i="7"/>
  <c r="O522" i="7"/>
  <c r="P522" i="7"/>
  <c r="Q522" i="7"/>
  <c r="R522" i="7"/>
  <c r="S522" i="7"/>
  <c r="D523" i="7"/>
  <c r="E523" i="7"/>
  <c r="F523" i="7"/>
  <c r="G523" i="7"/>
  <c r="H523" i="7"/>
  <c r="I523" i="7"/>
  <c r="J523" i="7"/>
  <c r="K523" i="7"/>
  <c r="L523" i="7"/>
  <c r="M523" i="7"/>
  <c r="N523" i="7"/>
  <c r="O523" i="7"/>
  <c r="P523" i="7"/>
  <c r="Q523" i="7"/>
  <c r="R523" i="7"/>
  <c r="S523" i="7"/>
  <c r="D524" i="7"/>
  <c r="E524" i="7"/>
  <c r="F524" i="7"/>
  <c r="G524" i="7"/>
  <c r="H524" i="7"/>
  <c r="I524" i="7"/>
  <c r="J524" i="7"/>
  <c r="K524" i="7"/>
  <c r="L524" i="7"/>
  <c r="M524" i="7"/>
  <c r="N524" i="7"/>
  <c r="O524" i="7"/>
  <c r="P524" i="7"/>
  <c r="Q524" i="7"/>
  <c r="R524" i="7"/>
  <c r="S524" i="7"/>
  <c r="D525" i="7"/>
  <c r="E525" i="7"/>
  <c r="F525" i="7"/>
  <c r="G525" i="7"/>
  <c r="H525" i="7"/>
  <c r="I525" i="7"/>
  <c r="J525" i="7"/>
  <c r="K525" i="7"/>
  <c r="L525" i="7"/>
  <c r="M525" i="7"/>
  <c r="N525" i="7"/>
  <c r="O525" i="7"/>
  <c r="P525" i="7"/>
  <c r="Q525" i="7"/>
  <c r="R525" i="7"/>
  <c r="S525" i="7"/>
  <c r="D526" i="7"/>
  <c r="E526" i="7"/>
  <c r="F526" i="7"/>
  <c r="G526" i="7"/>
  <c r="H526" i="7"/>
  <c r="I526" i="7"/>
  <c r="J526" i="7"/>
  <c r="K526" i="7"/>
  <c r="L526" i="7"/>
  <c r="M526" i="7"/>
  <c r="N526" i="7"/>
  <c r="O526" i="7"/>
  <c r="P526" i="7"/>
  <c r="Q526" i="7"/>
  <c r="R526" i="7"/>
  <c r="S526" i="7"/>
  <c r="E487" i="7"/>
  <c r="F487" i="7"/>
  <c r="G487" i="7"/>
  <c r="H487" i="7"/>
  <c r="I487" i="7"/>
  <c r="J487" i="7"/>
  <c r="K487" i="7"/>
  <c r="L487" i="7"/>
  <c r="M487" i="7"/>
  <c r="N487" i="7"/>
  <c r="O487" i="7"/>
  <c r="P487" i="7"/>
  <c r="Q487" i="7"/>
  <c r="R487" i="7"/>
  <c r="S487" i="7"/>
  <c r="D487" i="7"/>
  <c r="D445" i="7"/>
  <c r="E445" i="7"/>
  <c r="F445" i="7"/>
  <c r="G445" i="7"/>
  <c r="H445" i="7"/>
  <c r="I445" i="7"/>
  <c r="J445" i="7"/>
  <c r="K445" i="7"/>
  <c r="L445" i="7"/>
  <c r="M445" i="7"/>
  <c r="N445" i="7"/>
  <c r="O445" i="7"/>
  <c r="P445" i="7"/>
  <c r="Q445" i="7"/>
  <c r="R445" i="7"/>
  <c r="S445" i="7"/>
  <c r="D446" i="7"/>
  <c r="E446" i="7"/>
  <c r="F446" i="7"/>
  <c r="G446" i="7"/>
  <c r="H446" i="7"/>
  <c r="I446" i="7"/>
  <c r="J446" i="7"/>
  <c r="K446" i="7"/>
  <c r="L446" i="7"/>
  <c r="M446" i="7"/>
  <c r="N446" i="7"/>
  <c r="O446" i="7"/>
  <c r="P446" i="7"/>
  <c r="Q446" i="7"/>
  <c r="R446" i="7"/>
  <c r="S446" i="7"/>
  <c r="D447" i="7"/>
  <c r="E447" i="7"/>
  <c r="F447" i="7"/>
  <c r="G447" i="7"/>
  <c r="H447" i="7"/>
  <c r="I447" i="7"/>
  <c r="J447" i="7"/>
  <c r="K447" i="7"/>
  <c r="L447" i="7"/>
  <c r="M447" i="7"/>
  <c r="N447" i="7"/>
  <c r="O447" i="7"/>
  <c r="P447" i="7"/>
  <c r="Q447" i="7"/>
  <c r="R447" i="7"/>
  <c r="S447" i="7"/>
  <c r="D448" i="7"/>
  <c r="E448" i="7"/>
  <c r="F448" i="7"/>
  <c r="G448" i="7"/>
  <c r="H448" i="7"/>
  <c r="I448" i="7"/>
  <c r="J448" i="7"/>
  <c r="K448" i="7"/>
  <c r="L448" i="7"/>
  <c r="M448" i="7"/>
  <c r="N448" i="7"/>
  <c r="O448" i="7"/>
  <c r="P448" i="7"/>
  <c r="Q448" i="7"/>
  <c r="R448" i="7"/>
  <c r="S448" i="7"/>
  <c r="D449" i="7"/>
  <c r="E449" i="7"/>
  <c r="F449" i="7"/>
  <c r="G449" i="7"/>
  <c r="H449" i="7"/>
  <c r="I449" i="7"/>
  <c r="J449" i="7"/>
  <c r="K449" i="7"/>
  <c r="L449" i="7"/>
  <c r="M449" i="7"/>
  <c r="N449" i="7"/>
  <c r="O449" i="7"/>
  <c r="P449" i="7"/>
  <c r="Q449" i="7"/>
  <c r="R449" i="7"/>
  <c r="S449" i="7"/>
  <c r="D450" i="7"/>
  <c r="E450" i="7"/>
  <c r="F450" i="7"/>
  <c r="G450" i="7"/>
  <c r="H450" i="7"/>
  <c r="I450" i="7"/>
  <c r="J450" i="7"/>
  <c r="K450" i="7"/>
  <c r="L450" i="7"/>
  <c r="M450" i="7"/>
  <c r="N450" i="7"/>
  <c r="O450" i="7"/>
  <c r="P450" i="7"/>
  <c r="Q450" i="7"/>
  <c r="R450" i="7"/>
  <c r="S450" i="7"/>
  <c r="D451" i="7"/>
  <c r="E451" i="7"/>
  <c r="F451" i="7"/>
  <c r="G451" i="7"/>
  <c r="H451" i="7"/>
  <c r="I451" i="7"/>
  <c r="J451" i="7"/>
  <c r="K451" i="7"/>
  <c r="L451" i="7"/>
  <c r="M451" i="7"/>
  <c r="N451" i="7"/>
  <c r="O451" i="7"/>
  <c r="P451" i="7"/>
  <c r="Q451" i="7"/>
  <c r="R451" i="7"/>
  <c r="S451" i="7"/>
  <c r="D452" i="7"/>
  <c r="E452" i="7"/>
  <c r="F452" i="7"/>
  <c r="G452" i="7"/>
  <c r="H452" i="7"/>
  <c r="I452" i="7"/>
  <c r="J452" i="7"/>
  <c r="K452" i="7"/>
  <c r="L452" i="7"/>
  <c r="M452" i="7"/>
  <c r="N452" i="7"/>
  <c r="O452" i="7"/>
  <c r="P452" i="7"/>
  <c r="Q452" i="7"/>
  <c r="R452" i="7"/>
  <c r="S452" i="7"/>
  <c r="D453" i="7"/>
  <c r="E453" i="7"/>
  <c r="F453" i="7"/>
  <c r="G453" i="7"/>
  <c r="H453" i="7"/>
  <c r="I453" i="7"/>
  <c r="J453" i="7"/>
  <c r="K453" i="7"/>
  <c r="L453" i="7"/>
  <c r="M453" i="7"/>
  <c r="N453" i="7"/>
  <c r="O453" i="7"/>
  <c r="P453" i="7"/>
  <c r="Q453" i="7"/>
  <c r="R453" i="7"/>
  <c r="S453" i="7"/>
  <c r="D454" i="7"/>
  <c r="E454" i="7"/>
  <c r="F454" i="7"/>
  <c r="G454" i="7"/>
  <c r="H454" i="7"/>
  <c r="I454" i="7"/>
  <c r="J454" i="7"/>
  <c r="K454" i="7"/>
  <c r="L454" i="7"/>
  <c r="M454" i="7"/>
  <c r="N454" i="7"/>
  <c r="O454" i="7"/>
  <c r="P454" i="7"/>
  <c r="Q454" i="7"/>
  <c r="R454" i="7"/>
  <c r="S454" i="7"/>
  <c r="D455" i="7"/>
  <c r="E455" i="7"/>
  <c r="F455" i="7"/>
  <c r="G455" i="7"/>
  <c r="H455" i="7"/>
  <c r="I455" i="7"/>
  <c r="J455" i="7"/>
  <c r="K455" i="7"/>
  <c r="L455" i="7"/>
  <c r="M455" i="7"/>
  <c r="N455" i="7"/>
  <c r="O455" i="7"/>
  <c r="P455" i="7"/>
  <c r="Q455" i="7"/>
  <c r="R455" i="7"/>
  <c r="S455" i="7"/>
  <c r="D456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D457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D458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D459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D460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D461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D462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D463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D464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D465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D466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D467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D468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D469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D470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D471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D472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D473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D474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D475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D476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D477" i="7"/>
  <c r="E477" i="7"/>
  <c r="F477" i="7"/>
  <c r="G477" i="7"/>
  <c r="H477" i="7"/>
  <c r="I477" i="7"/>
  <c r="J477" i="7"/>
  <c r="K477" i="7"/>
  <c r="L477" i="7"/>
  <c r="M477" i="7"/>
  <c r="N477" i="7"/>
  <c r="O477" i="7"/>
  <c r="P477" i="7"/>
  <c r="Q477" i="7"/>
  <c r="R477" i="7"/>
  <c r="S477" i="7"/>
  <c r="D478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D479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D480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D481" i="7"/>
  <c r="E481" i="7"/>
  <c r="F481" i="7"/>
  <c r="G481" i="7"/>
  <c r="H481" i="7"/>
  <c r="I481" i="7"/>
  <c r="J481" i="7"/>
  <c r="K481" i="7"/>
  <c r="L481" i="7"/>
  <c r="M481" i="7"/>
  <c r="N481" i="7"/>
  <c r="O481" i="7"/>
  <c r="P481" i="7"/>
  <c r="Q481" i="7"/>
  <c r="R481" i="7"/>
  <c r="S481" i="7"/>
  <c r="D482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D483" i="7"/>
  <c r="E483" i="7"/>
  <c r="F483" i="7"/>
  <c r="G483" i="7"/>
  <c r="H483" i="7"/>
  <c r="I483" i="7"/>
  <c r="J483" i="7"/>
  <c r="K483" i="7"/>
  <c r="L483" i="7"/>
  <c r="M483" i="7"/>
  <c r="N483" i="7"/>
  <c r="O483" i="7"/>
  <c r="P483" i="7"/>
  <c r="Q483" i="7"/>
  <c r="R483" i="7"/>
  <c r="S483" i="7"/>
  <c r="E444" i="7"/>
  <c r="F444" i="7"/>
  <c r="G444" i="7"/>
  <c r="H444" i="7"/>
  <c r="I444" i="7"/>
  <c r="J444" i="7"/>
  <c r="K444" i="7"/>
  <c r="L444" i="7"/>
  <c r="M444" i="7"/>
  <c r="N444" i="7"/>
  <c r="O444" i="7"/>
  <c r="P444" i="7"/>
  <c r="Q444" i="7"/>
  <c r="R444" i="7"/>
  <c r="S444" i="7"/>
  <c r="D444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F174" i="5"/>
  <c r="AL1098" i="7"/>
  <c r="AK1098" i="7"/>
  <c r="AJ1098" i="7"/>
  <c r="AI1098" i="7"/>
  <c r="AH1098" i="7"/>
  <c r="AG1098" i="7"/>
  <c r="AF1098" i="7"/>
  <c r="AE1098" i="7"/>
  <c r="AD1098" i="7"/>
  <c r="AC1098" i="7"/>
  <c r="AB1098" i="7"/>
  <c r="AA1098" i="7"/>
  <c r="Z1098" i="7"/>
  <c r="Y1098" i="7"/>
  <c r="X1098" i="7"/>
  <c r="W1098" i="7"/>
  <c r="AL1097" i="7"/>
  <c r="AK1097" i="7"/>
  <c r="AJ1097" i="7"/>
  <c r="AI1097" i="7"/>
  <c r="AH1097" i="7"/>
  <c r="AG1097" i="7"/>
  <c r="AF1097" i="7"/>
  <c r="AE1097" i="7"/>
  <c r="AD1097" i="7"/>
  <c r="AC1097" i="7"/>
  <c r="AB1097" i="7"/>
  <c r="AA1097" i="7"/>
  <c r="Z1097" i="7"/>
  <c r="Y1097" i="7"/>
  <c r="X1097" i="7"/>
  <c r="W1097" i="7"/>
  <c r="AL1096" i="7"/>
  <c r="AK1096" i="7"/>
  <c r="AJ1096" i="7"/>
  <c r="AI1096" i="7"/>
  <c r="AH1096" i="7"/>
  <c r="AG1096" i="7"/>
  <c r="AF1096" i="7"/>
  <c r="AE1096" i="7"/>
  <c r="AD1096" i="7"/>
  <c r="AC1096" i="7"/>
  <c r="AB1096" i="7"/>
  <c r="AA1096" i="7"/>
  <c r="Z1096" i="7"/>
  <c r="Y1096" i="7"/>
  <c r="X1096" i="7"/>
  <c r="W1096" i="7"/>
  <c r="AL1095" i="7"/>
  <c r="AK1095" i="7"/>
  <c r="AJ1095" i="7"/>
  <c r="AI1095" i="7"/>
  <c r="AH1095" i="7"/>
  <c r="AG1095" i="7"/>
  <c r="AF1095" i="7"/>
  <c r="AE1095" i="7"/>
  <c r="AD1095" i="7"/>
  <c r="AC1095" i="7"/>
  <c r="AB1095" i="7"/>
  <c r="AA1095" i="7"/>
  <c r="Z1095" i="7"/>
  <c r="Y1095" i="7"/>
  <c r="X1095" i="7"/>
  <c r="W1095" i="7"/>
  <c r="AL1094" i="7"/>
  <c r="AK1094" i="7"/>
  <c r="AJ1094" i="7"/>
  <c r="AI1094" i="7"/>
  <c r="AH1094" i="7"/>
  <c r="AG1094" i="7"/>
  <c r="AF1094" i="7"/>
  <c r="AE1094" i="7"/>
  <c r="AD1094" i="7"/>
  <c r="AC1094" i="7"/>
  <c r="AB1094" i="7"/>
  <c r="AA1094" i="7"/>
  <c r="Z1094" i="7"/>
  <c r="Y1094" i="7"/>
  <c r="X1094" i="7"/>
  <c r="W1094" i="7"/>
  <c r="AL1093" i="7"/>
  <c r="AK1093" i="7"/>
  <c r="AJ1093" i="7"/>
  <c r="AI1093" i="7"/>
  <c r="AH1093" i="7"/>
  <c r="AG1093" i="7"/>
  <c r="AF1093" i="7"/>
  <c r="AE1093" i="7"/>
  <c r="AD1093" i="7"/>
  <c r="AC1093" i="7"/>
  <c r="AB1093" i="7"/>
  <c r="AA1093" i="7"/>
  <c r="Z1093" i="7"/>
  <c r="Y1093" i="7"/>
  <c r="X1093" i="7"/>
  <c r="W1093" i="7"/>
  <c r="AL1092" i="7"/>
  <c r="AK1092" i="7"/>
  <c r="AJ1092" i="7"/>
  <c r="AI1092" i="7"/>
  <c r="AH1092" i="7"/>
  <c r="AG1092" i="7"/>
  <c r="AF1092" i="7"/>
  <c r="AE1092" i="7"/>
  <c r="AD1092" i="7"/>
  <c r="AC1092" i="7"/>
  <c r="AB1092" i="7"/>
  <c r="AA1092" i="7"/>
  <c r="Z1092" i="7"/>
  <c r="Y1092" i="7"/>
  <c r="X1092" i="7"/>
  <c r="W1092" i="7"/>
  <c r="AL1091" i="7"/>
  <c r="AK1091" i="7"/>
  <c r="AJ1091" i="7"/>
  <c r="AI1091" i="7"/>
  <c r="AH1091" i="7"/>
  <c r="AG1091" i="7"/>
  <c r="AF1091" i="7"/>
  <c r="AE1091" i="7"/>
  <c r="AD1091" i="7"/>
  <c r="AC1091" i="7"/>
  <c r="AB1091" i="7"/>
  <c r="AA1091" i="7"/>
  <c r="Z1091" i="7"/>
  <c r="Y1091" i="7"/>
  <c r="X1091" i="7"/>
  <c r="W1091" i="7"/>
  <c r="AL1090" i="7"/>
  <c r="AK1090" i="7"/>
  <c r="AJ1090" i="7"/>
  <c r="AI1090" i="7"/>
  <c r="AH1090" i="7"/>
  <c r="AG1090" i="7"/>
  <c r="AF1090" i="7"/>
  <c r="AE1090" i="7"/>
  <c r="AD1090" i="7"/>
  <c r="AC1090" i="7"/>
  <c r="AB1090" i="7"/>
  <c r="AA1090" i="7"/>
  <c r="Z1090" i="7"/>
  <c r="Y1090" i="7"/>
  <c r="X1090" i="7"/>
  <c r="W1090" i="7"/>
  <c r="AL1089" i="7"/>
  <c r="AK1089" i="7"/>
  <c r="AJ1089" i="7"/>
  <c r="AI1089" i="7"/>
  <c r="AH1089" i="7"/>
  <c r="AG1089" i="7"/>
  <c r="AF1089" i="7"/>
  <c r="AE1089" i="7"/>
  <c r="AD1089" i="7"/>
  <c r="AC1089" i="7"/>
  <c r="AB1089" i="7"/>
  <c r="AA1089" i="7"/>
  <c r="Z1089" i="7"/>
  <c r="Y1089" i="7"/>
  <c r="X1089" i="7"/>
  <c r="W1089" i="7"/>
  <c r="AL1088" i="7"/>
  <c r="AK1088" i="7"/>
  <c r="AJ1088" i="7"/>
  <c r="AI1088" i="7"/>
  <c r="AH1088" i="7"/>
  <c r="AG1088" i="7"/>
  <c r="AF1088" i="7"/>
  <c r="AE1088" i="7"/>
  <c r="AD1088" i="7"/>
  <c r="AC1088" i="7"/>
  <c r="AB1088" i="7"/>
  <c r="AA1088" i="7"/>
  <c r="Z1088" i="7"/>
  <c r="Y1088" i="7"/>
  <c r="X1088" i="7"/>
  <c r="W1088" i="7"/>
  <c r="AL1087" i="7"/>
  <c r="AK1087" i="7"/>
  <c r="AJ1087" i="7"/>
  <c r="AI1087" i="7"/>
  <c r="AH1087" i="7"/>
  <c r="AG1087" i="7"/>
  <c r="AF1087" i="7"/>
  <c r="AE1087" i="7"/>
  <c r="AD1087" i="7"/>
  <c r="AC1087" i="7"/>
  <c r="AB1087" i="7"/>
  <c r="AA1087" i="7"/>
  <c r="Z1087" i="7"/>
  <c r="Y1087" i="7"/>
  <c r="X1087" i="7"/>
  <c r="W1087" i="7"/>
  <c r="AL1086" i="7"/>
  <c r="AK1086" i="7"/>
  <c r="AJ1086" i="7"/>
  <c r="AI1086" i="7"/>
  <c r="AH1086" i="7"/>
  <c r="AG1086" i="7"/>
  <c r="AF1086" i="7"/>
  <c r="AE1086" i="7"/>
  <c r="AD1086" i="7"/>
  <c r="AC1086" i="7"/>
  <c r="AB1086" i="7"/>
  <c r="AA1086" i="7"/>
  <c r="Z1086" i="7"/>
  <c r="Y1086" i="7"/>
  <c r="X1086" i="7"/>
  <c r="W1086" i="7"/>
  <c r="AL1085" i="7"/>
  <c r="AK1085" i="7"/>
  <c r="AJ1085" i="7"/>
  <c r="AI1085" i="7"/>
  <c r="AH1085" i="7"/>
  <c r="AG1085" i="7"/>
  <c r="AF1085" i="7"/>
  <c r="AE1085" i="7"/>
  <c r="AD1085" i="7"/>
  <c r="AC1085" i="7"/>
  <c r="AB1085" i="7"/>
  <c r="AA1085" i="7"/>
  <c r="Z1085" i="7"/>
  <c r="Y1085" i="7"/>
  <c r="X1085" i="7"/>
  <c r="W1085" i="7"/>
  <c r="AL1084" i="7"/>
  <c r="AK1084" i="7"/>
  <c r="AJ1084" i="7"/>
  <c r="AI1084" i="7"/>
  <c r="AH1084" i="7"/>
  <c r="AG1084" i="7"/>
  <c r="AF1084" i="7"/>
  <c r="AE1084" i="7"/>
  <c r="AD1084" i="7"/>
  <c r="AC1084" i="7"/>
  <c r="AB1084" i="7"/>
  <c r="AA1084" i="7"/>
  <c r="Z1084" i="7"/>
  <c r="Y1084" i="7"/>
  <c r="X1084" i="7"/>
  <c r="W1084" i="7"/>
  <c r="AL1083" i="7"/>
  <c r="AK1083" i="7"/>
  <c r="AJ1083" i="7"/>
  <c r="AI1083" i="7"/>
  <c r="AH1083" i="7"/>
  <c r="AG1083" i="7"/>
  <c r="AF1083" i="7"/>
  <c r="AE1083" i="7"/>
  <c r="AD1083" i="7"/>
  <c r="AC1083" i="7"/>
  <c r="AB1083" i="7"/>
  <c r="AA1083" i="7"/>
  <c r="Z1083" i="7"/>
  <c r="Y1083" i="7"/>
  <c r="X1083" i="7"/>
  <c r="W1083" i="7"/>
  <c r="AL1082" i="7"/>
  <c r="AK1082" i="7"/>
  <c r="AJ1082" i="7"/>
  <c r="AI1082" i="7"/>
  <c r="AH1082" i="7"/>
  <c r="AG1082" i="7"/>
  <c r="AF1082" i="7"/>
  <c r="AE1082" i="7"/>
  <c r="AD1082" i="7"/>
  <c r="AC1082" i="7"/>
  <c r="AB1082" i="7"/>
  <c r="AA1082" i="7"/>
  <c r="Z1082" i="7"/>
  <c r="Y1082" i="7"/>
  <c r="X1082" i="7"/>
  <c r="W1082" i="7"/>
  <c r="AL1081" i="7"/>
  <c r="AK1081" i="7"/>
  <c r="AJ1081" i="7"/>
  <c r="AI1081" i="7"/>
  <c r="AH1081" i="7"/>
  <c r="AG1081" i="7"/>
  <c r="AF1081" i="7"/>
  <c r="AE1081" i="7"/>
  <c r="AD1081" i="7"/>
  <c r="AC1081" i="7"/>
  <c r="AB1081" i="7"/>
  <c r="AA1081" i="7"/>
  <c r="Z1081" i="7"/>
  <c r="Y1081" i="7"/>
  <c r="X1081" i="7"/>
  <c r="W1081" i="7"/>
  <c r="AL1080" i="7"/>
  <c r="AK1080" i="7"/>
  <c r="AJ1080" i="7"/>
  <c r="AI1080" i="7"/>
  <c r="AH1080" i="7"/>
  <c r="AG1080" i="7"/>
  <c r="AF1080" i="7"/>
  <c r="AE1080" i="7"/>
  <c r="AD1080" i="7"/>
  <c r="AC1080" i="7"/>
  <c r="AB1080" i="7"/>
  <c r="AA1080" i="7"/>
  <c r="Z1080" i="7"/>
  <c r="Y1080" i="7"/>
  <c r="X1080" i="7"/>
  <c r="W1080" i="7"/>
  <c r="AL1079" i="7"/>
  <c r="AK1079" i="7"/>
  <c r="AJ1079" i="7"/>
  <c r="AI1079" i="7"/>
  <c r="AH1079" i="7"/>
  <c r="AG1079" i="7"/>
  <c r="AF1079" i="7"/>
  <c r="AE1079" i="7"/>
  <c r="AD1079" i="7"/>
  <c r="AC1079" i="7"/>
  <c r="AB1079" i="7"/>
  <c r="AA1079" i="7"/>
  <c r="Z1079" i="7"/>
  <c r="Y1079" i="7"/>
  <c r="X1079" i="7"/>
  <c r="W1079" i="7"/>
  <c r="AL1078" i="7"/>
  <c r="AK1078" i="7"/>
  <c r="AJ1078" i="7"/>
  <c r="AI1078" i="7"/>
  <c r="AH1078" i="7"/>
  <c r="AG1078" i="7"/>
  <c r="AF1078" i="7"/>
  <c r="AE1078" i="7"/>
  <c r="AD1078" i="7"/>
  <c r="AC1078" i="7"/>
  <c r="AB1078" i="7"/>
  <c r="AA1078" i="7"/>
  <c r="Z1078" i="7"/>
  <c r="Y1078" i="7"/>
  <c r="X1078" i="7"/>
  <c r="W1078" i="7"/>
  <c r="AL1077" i="7"/>
  <c r="AK1077" i="7"/>
  <c r="AJ1077" i="7"/>
  <c r="AI1077" i="7"/>
  <c r="AH1077" i="7"/>
  <c r="AG1077" i="7"/>
  <c r="AF1077" i="7"/>
  <c r="AE1077" i="7"/>
  <c r="AD1077" i="7"/>
  <c r="AC1077" i="7"/>
  <c r="AB1077" i="7"/>
  <c r="AA1077" i="7"/>
  <c r="Z1077" i="7"/>
  <c r="Y1077" i="7"/>
  <c r="X1077" i="7"/>
  <c r="W1077" i="7"/>
  <c r="AL1076" i="7"/>
  <c r="AK1076" i="7"/>
  <c r="AJ1076" i="7"/>
  <c r="AI1076" i="7"/>
  <c r="AH1076" i="7"/>
  <c r="AG1076" i="7"/>
  <c r="AF1076" i="7"/>
  <c r="AE1076" i="7"/>
  <c r="AD1076" i="7"/>
  <c r="AC1076" i="7"/>
  <c r="AB1076" i="7"/>
  <c r="AA1076" i="7"/>
  <c r="Z1076" i="7"/>
  <c r="Y1076" i="7"/>
  <c r="X1076" i="7"/>
  <c r="W1076" i="7"/>
  <c r="AL1075" i="7"/>
  <c r="AK1075" i="7"/>
  <c r="AJ1075" i="7"/>
  <c r="AI1075" i="7"/>
  <c r="AH1075" i="7"/>
  <c r="AG1075" i="7"/>
  <c r="AF1075" i="7"/>
  <c r="AE1075" i="7"/>
  <c r="AD1075" i="7"/>
  <c r="AC1075" i="7"/>
  <c r="AB1075" i="7"/>
  <c r="AA1075" i="7"/>
  <c r="Z1075" i="7"/>
  <c r="Y1075" i="7"/>
  <c r="X1075" i="7"/>
  <c r="W1075" i="7"/>
  <c r="AL1074" i="7"/>
  <c r="AK1074" i="7"/>
  <c r="AJ1074" i="7"/>
  <c r="AI1074" i="7"/>
  <c r="AH1074" i="7"/>
  <c r="AG1074" i="7"/>
  <c r="AF1074" i="7"/>
  <c r="AE1074" i="7"/>
  <c r="AD1074" i="7"/>
  <c r="AC1074" i="7"/>
  <c r="AB1074" i="7"/>
  <c r="AA1074" i="7"/>
  <c r="Z1074" i="7"/>
  <c r="Y1074" i="7"/>
  <c r="X1074" i="7"/>
  <c r="W1074" i="7"/>
  <c r="AL1073" i="7"/>
  <c r="AK1073" i="7"/>
  <c r="AJ1073" i="7"/>
  <c r="AI1073" i="7"/>
  <c r="AH1073" i="7"/>
  <c r="AG1073" i="7"/>
  <c r="AF1073" i="7"/>
  <c r="AE1073" i="7"/>
  <c r="AD1073" i="7"/>
  <c r="AC1073" i="7"/>
  <c r="AB1073" i="7"/>
  <c r="AA1073" i="7"/>
  <c r="Z1073" i="7"/>
  <c r="Y1073" i="7"/>
  <c r="X1073" i="7"/>
  <c r="W1073" i="7"/>
  <c r="AL1072" i="7"/>
  <c r="AK1072" i="7"/>
  <c r="AJ1072" i="7"/>
  <c r="AI1072" i="7"/>
  <c r="AH1072" i="7"/>
  <c r="AG1072" i="7"/>
  <c r="AF1072" i="7"/>
  <c r="AE1072" i="7"/>
  <c r="AD1072" i="7"/>
  <c r="AC1072" i="7"/>
  <c r="AB1072" i="7"/>
  <c r="AA1072" i="7"/>
  <c r="Z1072" i="7"/>
  <c r="Y1072" i="7"/>
  <c r="X1072" i="7"/>
  <c r="W1072" i="7"/>
  <c r="AL1071" i="7"/>
  <c r="AK1071" i="7"/>
  <c r="AJ1071" i="7"/>
  <c r="AI1071" i="7"/>
  <c r="AH1071" i="7"/>
  <c r="AG1071" i="7"/>
  <c r="AF1071" i="7"/>
  <c r="AE1071" i="7"/>
  <c r="AD1071" i="7"/>
  <c r="AC1071" i="7"/>
  <c r="AB1071" i="7"/>
  <c r="AA1071" i="7"/>
  <c r="Z1071" i="7"/>
  <c r="Y1071" i="7"/>
  <c r="X1071" i="7"/>
  <c r="W1071" i="7"/>
  <c r="AL1070" i="7"/>
  <c r="AK1070" i="7"/>
  <c r="AJ1070" i="7"/>
  <c r="AI1070" i="7"/>
  <c r="AH1070" i="7"/>
  <c r="AG1070" i="7"/>
  <c r="AF1070" i="7"/>
  <c r="AE1070" i="7"/>
  <c r="AD1070" i="7"/>
  <c r="AC1070" i="7"/>
  <c r="AB1070" i="7"/>
  <c r="AA1070" i="7"/>
  <c r="Z1070" i="7"/>
  <c r="Y1070" i="7"/>
  <c r="X1070" i="7"/>
  <c r="W1070" i="7"/>
  <c r="AL1069" i="7"/>
  <c r="AK1069" i="7"/>
  <c r="AJ1069" i="7"/>
  <c r="AI1069" i="7"/>
  <c r="AH1069" i="7"/>
  <c r="AG1069" i="7"/>
  <c r="AF1069" i="7"/>
  <c r="AE1069" i="7"/>
  <c r="AD1069" i="7"/>
  <c r="AC1069" i="7"/>
  <c r="AB1069" i="7"/>
  <c r="AA1069" i="7"/>
  <c r="Z1069" i="7"/>
  <c r="Y1069" i="7"/>
  <c r="X1069" i="7"/>
  <c r="W1069" i="7"/>
  <c r="AL1068" i="7"/>
  <c r="AK1068" i="7"/>
  <c r="AJ1068" i="7"/>
  <c r="AI1068" i="7"/>
  <c r="AH1068" i="7"/>
  <c r="AG1068" i="7"/>
  <c r="AF1068" i="7"/>
  <c r="AE1068" i="7"/>
  <c r="AD1068" i="7"/>
  <c r="AC1068" i="7"/>
  <c r="AB1068" i="7"/>
  <c r="AA1068" i="7"/>
  <c r="Z1068" i="7"/>
  <c r="Y1068" i="7"/>
  <c r="X1068" i="7"/>
  <c r="W1068" i="7"/>
  <c r="AL1067" i="7"/>
  <c r="AK1067" i="7"/>
  <c r="AJ1067" i="7"/>
  <c r="AI1067" i="7"/>
  <c r="AH1067" i="7"/>
  <c r="AG1067" i="7"/>
  <c r="AF1067" i="7"/>
  <c r="AE1067" i="7"/>
  <c r="AD1067" i="7"/>
  <c r="AC1067" i="7"/>
  <c r="AB1067" i="7"/>
  <c r="AA1067" i="7"/>
  <c r="Z1067" i="7"/>
  <c r="Y1067" i="7"/>
  <c r="X1067" i="7"/>
  <c r="W1067" i="7"/>
  <c r="AL1066" i="7"/>
  <c r="AK1066" i="7"/>
  <c r="AJ1066" i="7"/>
  <c r="AI1066" i="7"/>
  <c r="AH1066" i="7"/>
  <c r="AG1066" i="7"/>
  <c r="AF1066" i="7"/>
  <c r="AE1066" i="7"/>
  <c r="AD1066" i="7"/>
  <c r="AC1066" i="7"/>
  <c r="AB1066" i="7"/>
  <c r="AA1066" i="7"/>
  <c r="Z1066" i="7"/>
  <c r="Y1066" i="7"/>
  <c r="X1066" i="7"/>
  <c r="W1066" i="7"/>
  <c r="AL1065" i="7"/>
  <c r="AK1065" i="7"/>
  <c r="AJ1065" i="7"/>
  <c r="AI1065" i="7"/>
  <c r="AH1065" i="7"/>
  <c r="AG1065" i="7"/>
  <c r="AF1065" i="7"/>
  <c r="AE1065" i="7"/>
  <c r="AD1065" i="7"/>
  <c r="AC1065" i="7"/>
  <c r="AB1065" i="7"/>
  <c r="AA1065" i="7"/>
  <c r="Z1065" i="7"/>
  <c r="Y1065" i="7"/>
  <c r="X1065" i="7"/>
  <c r="W1065" i="7"/>
  <c r="AL1064" i="7"/>
  <c r="AK1064" i="7"/>
  <c r="AJ1064" i="7"/>
  <c r="AI1064" i="7"/>
  <c r="AH1064" i="7"/>
  <c r="AG1064" i="7"/>
  <c r="AF1064" i="7"/>
  <c r="AE1064" i="7"/>
  <c r="AD1064" i="7"/>
  <c r="AC1064" i="7"/>
  <c r="AB1064" i="7"/>
  <c r="AA1064" i="7"/>
  <c r="Z1064" i="7"/>
  <c r="Y1064" i="7"/>
  <c r="X1064" i="7"/>
  <c r="W1064" i="7"/>
  <c r="AL1063" i="7"/>
  <c r="AK1063" i="7"/>
  <c r="AJ1063" i="7"/>
  <c r="AI1063" i="7"/>
  <c r="AH1063" i="7"/>
  <c r="AG1063" i="7"/>
  <c r="AF1063" i="7"/>
  <c r="AE1063" i="7"/>
  <c r="AD1063" i="7"/>
  <c r="AC1063" i="7"/>
  <c r="AB1063" i="7"/>
  <c r="AA1063" i="7"/>
  <c r="Z1063" i="7"/>
  <c r="Y1063" i="7"/>
  <c r="X1063" i="7"/>
  <c r="W1063" i="7"/>
  <c r="AL1062" i="7"/>
  <c r="AK1062" i="7"/>
  <c r="AJ1062" i="7"/>
  <c r="AI1062" i="7"/>
  <c r="AH1062" i="7"/>
  <c r="AG1062" i="7"/>
  <c r="AF1062" i="7"/>
  <c r="AE1062" i="7"/>
  <c r="AD1062" i="7"/>
  <c r="AC1062" i="7"/>
  <c r="AB1062" i="7"/>
  <c r="AA1062" i="7"/>
  <c r="Z1062" i="7"/>
  <c r="Y1062" i="7"/>
  <c r="X1062" i="7"/>
  <c r="W1062" i="7"/>
  <c r="AL1061" i="7"/>
  <c r="AK1061" i="7"/>
  <c r="AJ1061" i="7"/>
  <c r="AI1061" i="7"/>
  <c r="AH1061" i="7"/>
  <c r="AG1061" i="7"/>
  <c r="AF1061" i="7"/>
  <c r="AE1061" i="7"/>
  <c r="AD1061" i="7"/>
  <c r="AC1061" i="7"/>
  <c r="AB1061" i="7"/>
  <c r="AA1061" i="7"/>
  <c r="Z1061" i="7"/>
  <c r="Y1061" i="7"/>
  <c r="X1061" i="7"/>
  <c r="W1061" i="7"/>
  <c r="AL1060" i="7"/>
  <c r="AK1060" i="7"/>
  <c r="AJ1060" i="7"/>
  <c r="AI1060" i="7"/>
  <c r="AH1060" i="7"/>
  <c r="AG1060" i="7"/>
  <c r="AF1060" i="7"/>
  <c r="AE1060" i="7"/>
  <c r="AD1060" i="7"/>
  <c r="AC1060" i="7"/>
  <c r="AB1060" i="7"/>
  <c r="AA1060" i="7"/>
  <c r="Z1060" i="7"/>
  <c r="Y1060" i="7"/>
  <c r="X1060" i="7"/>
  <c r="W1060" i="7"/>
  <c r="AL1059" i="7"/>
  <c r="AK1059" i="7"/>
  <c r="AJ1059" i="7"/>
  <c r="AI1059" i="7"/>
  <c r="AH1059" i="7"/>
  <c r="AG1059" i="7"/>
  <c r="AF1059" i="7"/>
  <c r="AE1059" i="7"/>
  <c r="AD1059" i="7"/>
  <c r="AC1059" i="7"/>
  <c r="AB1059" i="7"/>
  <c r="AA1059" i="7"/>
  <c r="Z1059" i="7"/>
  <c r="Y1059" i="7"/>
  <c r="X1059" i="7"/>
  <c r="W1059" i="7"/>
  <c r="AL1054" i="7"/>
  <c r="AK1054" i="7"/>
  <c r="AJ1054" i="7"/>
  <c r="AI1054" i="7"/>
  <c r="AH1054" i="7"/>
  <c r="AG1054" i="7"/>
  <c r="AF1054" i="7"/>
  <c r="AE1054" i="7"/>
  <c r="AD1054" i="7"/>
  <c r="AC1054" i="7"/>
  <c r="AB1054" i="7"/>
  <c r="AA1054" i="7"/>
  <c r="Z1054" i="7"/>
  <c r="Y1054" i="7"/>
  <c r="X1054" i="7"/>
  <c r="W1054" i="7"/>
  <c r="AL1053" i="7"/>
  <c r="AK1053" i="7"/>
  <c r="AJ1053" i="7"/>
  <c r="AI1053" i="7"/>
  <c r="AH1053" i="7"/>
  <c r="AG1053" i="7"/>
  <c r="AF1053" i="7"/>
  <c r="AE1053" i="7"/>
  <c r="AD1053" i="7"/>
  <c r="AC1053" i="7"/>
  <c r="AB1053" i="7"/>
  <c r="AA1053" i="7"/>
  <c r="Z1053" i="7"/>
  <c r="Y1053" i="7"/>
  <c r="X1053" i="7"/>
  <c r="W1053" i="7"/>
  <c r="AL1052" i="7"/>
  <c r="AK1052" i="7"/>
  <c r="AJ1052" i="7"/>
  <c r="AI1052" i="7"/>
  <c r="AH1052" i="7"/>
  <c r="AG1052" i="7"/>
  <c r="AF1052" i="7"/>
  <c r="AE1052" i="7"/>
  <c r="AD1052" i="7"/>
  <c r="AC1052" i="7"/>
  <c r="AB1052" i="7"/>
  <c r="AA1052" i="7"/>
  <c r="Z1052" i="7"/>
  <c r="Y1052" i="7"/>
  <c r="X1052" i="7"/>
  <c r="W1052" i="7"/>
  <c r="AL1051" i="7"/>
  <c r="AK1051" i="7"/>
  <c r="AJ1051" i="7"/>
  <c r="AI1051" i="7"/>
  <c r="AH1051" i="7"/>
  <c r="AG1051" i="7"/>
  <c r="AF1051" i="7"/>
  <c r="AE1051" i="7"/>
  <c r="AD1051" i="7"/>
  <c r="AC1051" i="7"/>
  <c r="AB1051" i="7"/>
  <c r="AA1051" i="7"/>
  <c r="Z1051" i="7"/>
  <c r="Y1051" i="7"/>
  <c r="X1051" i="7"/>
  <c r="W1051" i="7"/>
  <c r="AL1050" i="7"/>
  <c r="AK1050" i="7"/>
  <c r="AJ1050" i="7"/>
  <c r="AI1050" i="7"/>
  <c r="AH1050" i="7"/>
  <c r="AG1050" i="7"/>
  <c r="AF1050" i="7"/>
  <c r="AE1050" i="7"/>
  <c r="AD1050" i="7"/>
  <c r="AC1050" i="7"/>
  <c r="AB1050" i="7"/>
  <c r="AA1050" i="7"/>
  <c r="Z1050" i="7"/>
  <c r="Y1050" i="7"/>
  <c r="X1050" i="7"/>
  <c r="W1050" i="7"/>
  <c r="AL1049" i="7"/>
  <c r="AK1049" i="7"/>
  <c r="AJ1049" i="7"/>
  <c r="AI1049" i="7"/>
  <c r="AH1049" i="7"/>
  <c r="AG1049" i="7"/>
  <c r="AF1049" i="7"/>
  <c r="AE1049" i="7"/>
  <c r="AD1049" i="7"/>
  <c r="AC1049" i="7"/>
  <c r="AB1049" i="7"/>
  <c r="AA1049" i="7"/>
  <c r="Z1049" i="7"/>
  <c r="Y1049" i="7"/>
  <c r="X1049" i="7"/>
  <c r="W1049" i="7"/>
  <c r="AL1048" i="7"/>
  <c r="AK1048" i="7"/>
  <c r="AJ1048" i="7"/>
  <c r="AI1048" i="7"/>
  <c r="AH1048" i="7"/>
  <c r="AG1048" i="7"/>
  <c r="AF1048" i="7"/>
  <c r="AE1048" i="7"/>
  <c r="AD1048" i="7"/>
  <c r="AC1048" i="7"/>
  <c r="AB1048" i="7"/>
  <c r="AA1048" i="7"/>
  <c r="Z1048" i="7"/>
  <c r="Y1048" i="7"/>
  <c r="X1048" i="7"/>
  <c r="W1048" i="7"/>
  <c r="AL1047" i="7"/>
  <c r="AK1047" i="7"/>
  <c r="AJ1047" i="7"/>
  <c r="AI1047" i="7"/>
  <c r="AH1047" i="7"/>
  <c r="AG1047" i="7"/>
  <c r="AF1047" i="7"/>
  <c r="AE1047" i="7"/>
  <c r="AD1047" i="7"/>
  <c r="AC1047" i="7"/>
  <c r="AB1047" i="7"/>
  <c r="AA1047" i="7"/>
  <c r="Z1047" i="7"/>
  <c r="Y1047" i="7"/>
  <c r="X1047" i="7"/>
  <c r="W1047" i="7"/>
  <c r="AL1046" i="7"/>
  <c r="AK1046" i="7"/>
  <c r="AJ1046" i="7"/>
  <c r="AI1046" i="7"/>
  <c r="AH1046" i="7"/>
  <c r="AG1046" i="7"/>
  <c r="AF1046" i="7"/>
  <c r="AE1046" i="7"/>
  <c r="AD1046" i="7"/>
  <c r="AC1046" i="7"/>
  <c r="AB1046" i="7"/>
  <c r="AA1046" i="7"/>
  <c r="Z1046" i="7"/>
  <c r="Y1046" i="7"/>
  <c r="X1046" i="7"/>
  <c r="W1046" i="7"/>
  <c r="AL1045" i="7"/>
  <c r="AK1045" i="7"/>
  <c r="AJ1045" i="7"/>
  <c r="AI1045" i="7"/>
  <c r="AH1045" i="7"/>
  <c r="AG1045" i="7"/>
  <c r="AF1045" i="7"/>
  <c r="AE1045" i="7"/>
  <c r="AD1045" i="7"/>
  <c r="AC1045" i="7"/>
  <c r="AB1045" i="7"/>
  <c r="AA1045" i="7"/>
  <c r="Z1045" i="7"/>
  <c r="Y1045" i="7"/>
  <c r="X1045" i="7"/>
  <c r="W1045" i="7"/>
  <c r="AL1044" i="7"/>
  <c r="AK1044" i="7"/>
  <c r="AJ1044" i="7"/>
  <c r="AI1044" i="7"/>
  <c r="AH1044" i="7"/>
  <c r="AG1044" i="7"/>
  <c r="AF1044" i="7"/>
  <c r="AE1044" i="7"/>
  <c r="AD1044" i="7"/>
  <c r="AC1044" i="7"/>
  <c r="AB1044" i="7"/>
  <c r="AA1044" i="7"/>
  <c r="Z1044" i="7"/>
  <c r="Y1044" i="7"/>
  <c r="X1044" i="7"/>
  <c r="W1044" i="7"/>
  <c r="AL1043" i="7"/>
  <c r="AK1043" i="7"/>
  <c r="AJ1043" i="7"/>
  <c r="AI1043" i="7"/>
  <c r="AH1043" i="7"/>
  <c r="AG1043" i="7"/>
  <c r="AF1043" i="7"/>
  <c r="AE1043" i="7"/>
  <c r="AD1043" i="7"/>
  <c r="AC1043" i="7"/>
  <c r="AB1043" i="7"/>
  <c r="AA1043" i="7"/>
  <c r="Z1043" i="7"/>
  <c r="Y1043" i="7"/>
  <c r="X1043" i="7"/>
  <c r="W1043" i="7"/>
  <c r="AL1042" i="7"/>
  <c r="AK1042" i="7"/>
  <c r="AJ1042" i="7"/>
  <c r="AI1042" i="7"/>
  <c r="AH1042" i="7"/>
  <c r="AG1042" i="7"/>
  <c r="AF1042" i="7"/>
  <c r="AE1042" i="7"/>
  <c r="AD1042" i="7"/>
  <c r="AC1042" i="7"/>
  <c r="AB1042" i="7"/>
  <c r="AA1042" i="7"/>
  <c r="Z1042" i="7"/>
  <c r="Y1042" i="7"/>
  <c r="X1042" i="7"/>
  <c r="W1042" i="7"/>
  <c r="AL1041" i="7"/>
  <c r="AK1041" i="7"/>
  <c r="AJ1041" i="7"/>
  <c r="AI1041" i="7"/>
  <c r="AH1041" i="7"/>
  <c r="AG1041" i="7"/>
  <c r="AF1041" i="7"/>
  <c r="AE1041" i="7"/>
  <c r="AD1041" i="7"/>
  <c r="AC1041" i="7"/>
  <c r="AB1041" i="7"/>
  <c r="AA1041" i="7"/>
  <c r="Z1041" i="7"/>
  <c r="Y1041" i="7"/>
  <c r="X1041" i="7"/>
  <c r="W1041" i="7"/>
  <c r="AL1040" i="7"/>
  <c r="AK1040" i="7"/>
  <c r="AJ1040" i="7"/>
  <c r="AI1040" i="7"/>
  <c r="AH1040" i="7"/>
  <c r="AG1040" i="7"/>
  <c r="AF1040" i="7"/>
  <c r="AE1040" i="7"/>
  <c r="AD1040" i="7"/>
  <c r="AC1040" i="7"/>
  <c r="AB1040" i="7"/>
  <c r="AA1040" i="7"/>
  <c r="Z1040" i="7"/>
  <c r="Y1040" i="7"/>
  <c r="X1040" i="7"/>
  <c r="W1040" i="7"/>
  <c r="AL1039" i="7"/>
  <c r="AK1039" i="7"/>
  <c r="AJ1039" i="7"/>
  <c r="AI1039" i="7"/>
  <c r="AH1039" i="7"/>
  <c r="AG1039" i="7"/>
  <c r="AF1039" i="7"/>
  <c r="AE1039" i="7"/>
  <c r="AD1039" i="7"/>
  <c r="AC1039" i="7"/>
  <c r="AB1039" i="7"/>
  <c r="AA1039" i="7"/>
  <c r="Z1039" i="7"/>
  <c r="Y1039" i="7"/>
  <c r="X1039" i="7"/>
  <c r="W1039" i="7"/>
  <c r="AL1038" i="7"/>
  <c r="AK1038" i="7"/>
  <c r="AJ1038" i="7"/>
  <c r="AI1038" i="7"/>
  <c r="AH1038" i="7"/>
  <c r="AG1038" i="7"/>
  <c r="AF1038" i="7"/>
  <c r="AE1038" i="7"/>
  <c r="AD1038" i="7"/>
  <c r="AC1038" i="7"/>
  <c r="AB1038" i="7"/>
  <c r="AA1038" i="7"/>
  <c r="Z1038" i="7"/>
  <c r="Y1038" i="7"/>
  <c r="X1038" i="7"/>
  <c r="W1038" i="7"/>
  <c r="AL1037" i="7"/>
  <c r="AK1037" i="7"/>
  <c r="AJ1037" i="7"/>
  <c r="AI1037" i="7"/>
  <c r="AH1037" i="7"/>
  <c r="AG1037" i="7"/>
  <c r="AF1037" i="7"/>
  <c r="AE1037" i="7"/>
  <c r="AD1037" i="7"/>
  <c r="AC1037" i="7"/>
  <c r="AB1037" i="7"/>
  <c r="AA1037" i="7"/>
  <c r="Z1037" i="7"/>
  <c r="Y1037" i="7"/>
  <c r="X1037" i="7"/>
  <c r="W1037" i="7"/>
  <c r="AL1036" i="7"/>
  <c r="AK1036" i="7"/>
  <c r="AJ1036" i="7"/>
  <c r="AI1036" i="7"/>
  <c r="AH1036" i="7"/>
  <c r="AG1036" i="7"/>
  <c r="AF1036" i="7"/>
  <c r="AE1036" i="7"/>
  <c r="AD1036" i="7"/>
  <c r="AC1036" i="7"/>
  <c r="AB1036" i="7"/>
  <c r="AA1036" i="7"/>
  <c r="Z1036" i="7"/>
  <c r="Y1036" i="7"/>
  <c r="X1036" i="7"/>
  <c r="W1036" i="7"/>
  <c r="AL1035" i="7"/>
  <c r="AK1035" i="7"/>
  <c r="AJ1035" i="7"/>
  <c r="AI1035" i="7"/>
  <c r="AH1035" i="7"/>
  <c r="AG1035" i="7"/>
  <c r="AF1035" i="7"/>
  <c r="AE1035" i="7"/>
  <c r="AD1035" i="7"/>
  <c r="AC1035" i="7"/>
  <c r="AB1035" i="7"/>
  <c r="AA1035" i="7"/>
  <c r="Z1035" i="7"/>
  <c r="Y1035" i="7"/>
  <c r="X1035" i="7"/>
  <c r="W1035" i="7"/>
  <c r="AL1034" i="7"/>
  <c r="AK1034" i="7"/>
  <c r="AJ1034" i="7"/>
  <c r="AI1034" i="7"/>
  <c r="AH1034" i="7"/>
  <c r="AG1034" i="7"/>
  <c r="AF1034" i="7"/>
  <c r="AE1034" i="7"/>
  <c r="AD1034" i="7"/>
  <c r="AC1034" i="7"/>
  <c r="AB1034" i="7"/>
  <c r="AA1034" i="7"/>
  <c r="Z1034" i="7"/>
  <c r="Y1034" i="7"/>
  <c r="X1034" i="7"/>
  <c r="W1034" i="7"/>
  <c r="AL1033" i="7"/>
  <c r="AK1033" i="7"/>
  <c r="AJ1033" i="7"/>
  <c r="AI1033" i="7"/>
  <c r="AH1033" i="7"/>
  <c r="AG1033" i="7"/>
  <c r="AF1033" i="7"/>
  <c r="AE1033" i="7"/>
  <c r="AD1033" i="7"/>
  <c r="AC1033" i="7"/>
  <c r="AB1033" i="7"/>
  <c r="AA1033" i="7"/>
  <c r="Z1033" i="7"/>
  <c r="Y1033" i="7"/>
  <c r="X1033" i="7"/>
  <c r="W1033" i="7"/>
  <c r="AL1032" i="7"/>
  <c r="AK1032" i="7"/>
  <c r="AJ1032" i="7"/>
  <c r="AI1032" i="7"/>
  <c r="AH1032" i="7"/>
  <c r="AG1032" i="7"/>
  <c r="AF1032" i="7"/>
  <c r="AE1032" i="7"/>
  <c r="AD1032" i="7"/>
  <c r="AC1032" i="7"/>
  <c r="AB1032" i="7"/>
  <c r="AA1032" i="7"/>
  <c r="Z1032" i="7"/>
  <c r="Y1032" i="7"/>
  <c r="X1032" i="7"/>
  <c r="W1032" i="7"/>
  <c r="AL1031" i="7"/>
  <c r="AK1031" i="7"/>
  <c r="AJ1031" i="7"/>
  <c r="AI1031" i="7"/>
  <c r="AH1031" i="7"/>
  <c r="AG1031" i="7"/>
  <c r="AF1031" i="7"/>
  <c r="AE1031" i="7"/>
  <c r="AD1031" i="7"/>
  <c r="AC1031" i="7"/>
  <c r="AB1031" i="7"/>
  <c r="AA1031" i="7"/>
  <c r="Z1031" i="7"/>
  <c r="Y1031" i="7"/>
  <c r="X1031" i="7"/>
  <c r="W1031" i="7"/>
  <c r="AL1030" i="7"/>
  <c r="AK1030" i="7"/>
  <c r="AJ1030" i="7"/>
  <c r="AI1030" i="7"/>
  <c r="AH1030" i="7"/>
  <c r="AG1030" i="7"/>
  <c r="AF1030" i="7"/>
  <c r="AE1030" i="7"/>
  <c r="AD1030" i="7"/>
  <c r="AC1030" i="7"/>
  <c r="AB1030" i="7"/>
  <c r="AA1030" i="7"/>
  <c r="Z1030" i="7"/>
  <c r="Y1030" i="7"/>
  <c r="X1030" i="7"/>
  <c r="W1030" i="7"/>
  <c r="AL1029" i="7"/>
  <c r="AK1029" i="7"/>
  <c r="AJ1029" i="7"/>
  <c r="AI1029" i="7"/>
  <c r="AH1029" i="7"/>
  <c r="AG1029" i="7"/>
  <c r="AF1029" i="7"/>
  <c r="AE1029" i="7"/>
  <c r="AD1029" i="7"/>
  <c r="AC1029" i="7"/>
  <c r="AB1029" i="7"/>
  <c r="AA1029" i="7"/>
  <c r="Z1029" i="7"/>
  <c r="Y1029" i="7"/>
  <c r="X1029" i="7"/>
  <c r="W1029" i="7"/>
  <c r="AL1028" i="7"/>
  <c r="AK1028" i="7"/>
  <c r="AJ1028" i="7"/>
  <c r="AI1028" i="7"/>
  <c r="AH1028" i="7"/>
  <c r="AG1028" i="7"/>
  <c r="AF1028" i="7"/>
  <c r="AE1028" i="7"/>
  <c r="AD1028" i="7"/>
  <c r="AC1028" i="7"/>
  <c r="AB1028" i="7"/>
  <c r="AA1028" i="7"/>
  <c r="Z1028" i="7"/>
  <c r="Y1028" i="7"/>
  <c r="X1028" i="7"/>
  <c r="W1028" i="7"/>
  <c r="AL1027" i="7"/>
  <c r="AK1027" i="7"/>
  <c r="AJ1027" i="7"/>
  <c r="AI1027" i="7"/>
  <c r="AH1027" i="7"/>
  <c r="AG1027" i="7"/>
  <c r="AF1027" i="7"/>
  <c r="AE1027" i="7"/>
  <c r="AD1027" i="7"/>
  <c r="AC1027" i="7"/>
  <c r="AB1027" i="7"/>
  <c r="AA1027" i="7"/>
  <c r="Z1027" i="7"/>
  <c r="Y1027" i="7"/>
  <c r="X1027" i="7"/>
  <c r="W1027" i="7"/>
  <c r="AL1026" i="7"/>
  <c r="AK1026" i="7"/>
  <c r="AJ1026" i="7"/>
  <c r="AI1026" i="7"/>
  <c r="AH1026" i="7"/>
  <c r="AG1026" i="7"/>
  <c r="AF1026" i="7"/>
  <c r="AE1026" i="7"/>
  <c r="AD1026" i="7"/>
  <c r="AC1026" i="7"/>
  <c r="AB1026" i="7"/>
  <c r="AA1026" i="7"/>
  <c r="Z1026" i="7"/>
  <c r="Y1026" i="7"/>
  <c r="X1026" i="7"/>
  <c r="W1026" i="7"/>
  <c r="AL1025" i="7"/>
  <c r="AK1025" i="7"/>
  <c r="AJ1025" i="7"/>
  <c r="AI1025" i="7"/>
  <c r="AH1025" i="7"/>
  <c r="AG1025" i="7"/>
  <c r="AF1025" i="7"/>
  <c r="AE1025" i="7"/>
  <c r="AD1025" i="7"/>
  <c r="AC1025" i="7"/>
  <c r="AB1025" i="7"/>
  <c r="AA1025" i="7"/>
  <c r="Z1025" i="7"/>
  <c r="Y1025" i="7"/>
  <c r="X1025" i="7"/>
  <c r="W1025" i="7"/>
  <c r="AL1024" i="7"/>
  <c r="AK1024" i="7"/>
  <c r="AJ1024" i="7"/>
  <c r="AI1024" i="7"/>
  <c r="AH1024" i="7"/>
  <c r="AG1024" i="7"/>
  <c r="AF1024" i="7"/>
  <c r="AE1024" i="7"/>
  <c r="AD1024" i="7"/>
  <c r="AC1024" i="7"/>
  <c r="AB1024" i="7"/>
  <c r="AA1024" i="7"/>
  <c r="Z1024" i="7"/>
  <c r="Y1024" i="7"/>
  <c r="X1024" i="7"/>
  <c r="W1024" i="7"/>
  <c r="AL1023" i="7"/>
  <c r="AK1023" i="7"/>
  <c r="AJ1023" i="7"/>
  <c r="AI1023" i="7"/>
  <c r="AH1023" i="7"/>
  <c r="AG1023" i="7"/>
  <c r="AF1023" i="7"/>
  <c r="AE1023" i="7"/>
  <c r="AD1023" i="7"/>
  <c r="AC1023" i="7"/>
  <c r="AB1023" i="7"/>
  <c r="AA1023" i="7"/>
  <c r="Z1023" i="7"/>
  <c r="Y1023" i="7"/>
  <c r="X1023" i="7"/>
  <c r="W1023" i="7"/>
  <c r="AL1022" i="7"/>
  <c r="AK1022" i="7"/>
  <c r="AJ1022" i="7"/>
  <c r="AI1022" i="7"/>
  <c r="AH1022" i="7"/>
  <c r="AG1022" i="7"/>
  <c r="AF1022" i="7"/>
  <c r="AE1022" i="7"/>
  <c r="AD1022" i="7"/>
  <c r="AC1022" i="7"/>
  <c r="AB1022" i="7"/>
  <c r="AA1022" i="7"/>
  <c r="Z1022" i="7"/>
  <c r="Y1022" i="7"/>
  <c r="X1022" i="7"/>
  <c r="W1022" i="7"/>
  <c r="AL1021" i="7"/>
  <c r="AK1021" i="7"/>
  <c r="AJ1021" i="7"/>
  <c r="AI1021" i="7"/>
  <c r="AH1021" i="7"/>
  <c r="AG1021" i="7"/>
  <c r="AF1021" i="7"/>
  <c r="AE1021" i="7"/>
  <c r="AD1021" i="7"/>
  <c r="AC1021" i="7"/>
  <c r="AB1021" i="7"/>
  <c r="AA1021" i="7"/>
  <c r="Z1021" i="7"/>
  <c r="Y1021" i="7"/>
  <c r="X1021" i="7"/>
  <c r="W1021" i="7"/>
  <c r="AL1020" i="7"/>
  <c r="AK1020" i="7"/>
  <c r="AJ1020" i="7"/>
  <c r="AI1020" i="7"/>
  <c r="AH1020" i="7"/>
  <c r="AG1020" i="7"/>
  <c r="AF1020" i="7"/>
  <c r="AE1020" i="7"/>
  <c r="AD1020" i="7"/>
  <c r="AC1020" i="7"/>
  <c r="AB1020" i="7"/>
  <c r="AA1020" i="7"/>
  <c r="Z1020" i="7"/>
  <c r="Y1020" i="7"/>
  <c r="X1020" i="7"/>
  <c r="W1020" i="7"/>
  <c r="AL1019" i="7"/>
  <c r="AK1019" i="7"/>
  <c r="AJ1019" i="7"/>
  <c r="AI1019" i="7"/>
  <c r="AH1019" i="7"/>
  <c r="AG1019" i="7"/>
  <c r="AF1019" i="7"/>
  <c r="AE1019" i="7"/>
  <c r="AD1019" i="7"/>
  <c r="AC1019" i="7"/>
  <c r="AB1019" i="7"/>
  <c r="AA1019" i="7"/>
  <c r="Z1019" i="7"/>
  <c r="Y1019" i="7"/>
  <c r="X1019" i="7"/>
  <c r="W1019" i="7"/>
  <c r="AL1018" i="7"/>
  <c r="AK1018" i="7"/>
  <c r="AJ1018" i="7"/>
  <c r="AI1018" i="7"/>
  <c r="AH1018" i="7"/>
  <c r="AG1018" i="7"/>
  <c r="AF1018" i="7"/>
  <c r="AE1018" i="7"/>
  <c r="AD1018" i="7"/>
  <c r="AC1018" i="7"/>
  <c r="AB1018" i="7"/>
  <c r="AA1018" i="7"/>
  <c r="Z1018" i="7"/>
  <c r="Y1018" i="7"/>
  <c r="X1018" i="7"/>
  <c r="W1018" i="7"/>
  <c r="AL1017" i="7"/>
  <c r="AK1017" i="7"/>
  <c r="AJ1017" i="7"/>
  <c r="AI1017" i="7"/>
  <c r="AH1017" i="7"/>
  <c r="AG1017" i="7"/>
  <c r="AF1017" i="7"/>
  <c r="AE1017" i="7"/>
  <c r="AD1017" i="7"/>
  <c r="AC1017" i="7"/>
  <c r="AB1017" i="7"/>
  <c r="AA1017" i="7"/>
  <c r="Z1017" i="7"/>
  <c r="Y1017" i="7"/>
  <c r="X1017" i="7"/>
  <c r="W1017" i="7"/>
  <c r="AL1016" i="7"/>
  <c r="AK1016" i="7"/>
  <c r="AJ1016" i="7"/>
  <c r="AI1016" i="7"/>
  <c r="AH1016" i="7"/>
  <c r="AG1016" i="7"/>
  <c r="AF1016" i="7"/>
  <c r="AE1016" i="7"/>
  <c r="AD1016" i="7"/>
  <c r="AC1016" i="7"/>
  <c r="AB1016" i="7"/>
  <c r="AA1016" i="7"/>
  <c r="Z1016" i="7"/>
  <c r="Y1016" i="7"/>
  <c r="X1016" i="7"/>
  <c r="W1016" i="7"/>
  <c r="AL1015" i="7"/>
  <c r="AK1015" i="7"/>
  <c r="AJ1015" i="7"/>
  <c r="AI1015" i="7"/>
  <c r="AH1015" i="7"/>
  <c r="AG1015" i="7"/>
  <c r="AF1015" i="7"/>
  <c r="AE1015" i="7"/>
  <c r="AD1015" i="7"/>
  <c r="AC1015" i="7"/>
  <c r="AB1015" i="7"/>
  <c r="AA1015" i="7"/>
  <c r="Z1015" i="7"/>
  <c r="Y1015" i="7"/>
  <c r="X1015" i="7"/>
  <c r="W1015" i="7"/>
  <c r="AL1010" i="7"/>
  <c r="AK1010" i="7"/>
  <c r="AJ1010" i="7"/>
  <c r="AI1010" i="7"/>
  <c r="AH1010" i="7"/>
  <c r="AG1010" i="7"/>
  <c r="AF1010" i="7"/>
  <c r="AE1010" i="7"/>
  <c r="AD1010" i="7"/>
  <c r="AC1010" i="7"/>
  <c r="AB1010" i="7"/>
  <c r="AA1010" i="7"/>
  <c r="Z1010" i="7"/>
  <c r="Y1010" i="7"/>
  <c r="X1010" i="7"/>
  <c r="W1010" i="7"/>
  <c r="AL1009" i="7"/>
  <c r="AK1009" i="7"/>
  <c r="AJ1009" i="7"/>
  <c r="AI1009" i="7"/>
  <c r="AH1009" i="7"/>
  <c r="AG1009" i="7"/>
  <c r="AF1009" i="7"/>
  <c r="AE1009" i="7"/>
  <c r="AD1009" i="7"/>
  <c r="AC1009" i="7"/>
  <c r="AB1009" i="7"/>
  <c r="AA1009" i="7"/>
  <c r="Z1009" i="7"/>
  <c r="Y1009" i="7"/>
  <c r="X1009" i="7"/>
  <c r="W1009" i="7"/>
  <c r="AL1008" i="7"/>
  <c r="AK1008" i="7"/>
  <c r="AJ1008" i="7"/>
  <c r="AI1008" i="7"/>
  <c r="AH1008" i="7"/>
  <c r="AG1008" i="7"/>
  <c r="AF1008" i="7"/>
  <c r="AE1008" i="7"/>
  <c r="AD1008" i="7"/>
  <c r="AC1008" i="7"/>
  <c r="AB1008" i="7"/>
  <c r="AA1008" i="7"/>
  <c r="Z1008" i="7"/>
  <c r="Y1008" i="7"/>
  <c r="X1008" i="7"/>
  <c r="W1008" i="7"/>
  <c r="AL1007" i="7"/>
  <c r="AK1007" i="7"/>
  <c r="AJ1007" i="7"/>
  <c r="AI1007" i="7"/>
  <c r="AH1007" i="7"/>
  <c r="AG1007" i="7"/>
  <c r="AF1007" i="7"/>
  <c r="AE1007" i="7"/>
  <c r="AD1007" i="7"/>
  <c r="AC1007" i="7"/>
  <c r="AB1007" i="7"/>
  <c r="AA1007" i="7"/>
  <c r="Z1007" i="7"/>
  <c r="Y1007" i="7"/>
  <c r="X1007" i="7"/>
  <c r="W1007" i="7"/>
  <c r="AL1006" i="7"/>
  <c r="AK1006" i="7"/>
  <c r="AJ1006" i="7"/>
  <c r="AI1006" i="7"/>
  <c r="AH1006" i="7"/>
  <c r="AG1006" i="7"/>
  <c r="AF1006" i="7"/>
  <c r="AE1006" i="7"/>
  <c r="AD1006" i="7"/>
  <c r="AC1006" i="7"/>
  <c r="AB1006" i="7"/>
  <c r="AA1006" i="7"/>
  <c r="Z1006" i="7"/>
  <c r="Y1006" i="7"/>
  <c r="X1006" i="7"/>
  <c r="W1006" i="7"/>
  <c r="AL1005" i="7"/>
  <c r="AK1005" i="7"/>
  <c r="AJ1005" i="7"/>
  <c r="AI1005" i="7"/>
  <c r="AH1005" i="7"/>
  <c r="AG1005" i="7"/>
  <c r="AF1005" i="7"/>
  <c r="AE1005" i="7"/>
  <c r="AD1005" i="7"/>
  <c r="AC1005" i="7"/>
  <c r="AB1005" i="7"/>
  <c r="AA1005" i="7"/>
  <c r="Z1005" i="7"/>
  <c r="Y1005" i="7"/>
  <c r="X1005" i="7"/>
  <c r="W1005" i="7"/>
  <c r="AL1004" i="7"/>
  <c r="AK1004" i="7"/>
  <c r="AJ1004" i="7"/>
  <c r="AI1004" i="7"/>
  <c r="AH1004" i="7"/>
  <c r="AG1004" i="7"/>
  <c r="AF1004" i="7"/>
  <c r="AE1004" i="7"/>
  <c r="AD1004" i="7"/>
  <c r="AC1004" i="7"/>
  <c r="AB1004" i="7"/>
  <c r="AA1004" i="7"/>
  <c r="Z1004" i="7"/>
  <c r="Y1004" i="7"/>
  <c r="X1004" i="7"/>
  <c r="W1004" i="7"/>
  <c r="AL1003" i="7"/>
  <c r="AK1003" i="7"/>
  <c r="AJ1003" i="7"/>
  <c r="AI1003" i="7"/>
  <c r="AH1003" i="7"/>
  <c r="AG1003" i="7"/>
  <c r="AF1003" i="7"/>
  <c r="AE1003" i="7"/>
  <c r="AD1003" i="7"/>
  <c r="AC1003" i="7"/>
  <c r="AB1003" i="7"/>
  <c r="AA1003" i="7"/>
  <c r="Z1003" i="7"/>
  <c r="Y1003" i="7"/>
  <c r="X1003" i="7"/>
  <c r="W1003" i="7"/>
  <c r="AL1002" i="7"/>
  <c r="AK1002" i="7"/>
  <c r="AJ1002" i="7"/>
  <c r="AI1002" i="7"/>
  <c r="AH1002" i="7"/>
  <c r="AG1002" i="7"/>
  <c r="AF1002" i="7"/>
  <c r="AE1002" i="7"/>
  <c r="AD1002" i="7"/>
  <c r="AC1002" i="7"/>
  <c r="AB1002" i="7"/>
  <c r="AA1002" i="7"/>
  <c r="Z1002" i="7"/>
  <c r="Y1002" i="7"/>
  <c r="X1002" i="7"/>
  <c r="W1002" i="7"/>
  <c r="AL1001" i="7"/>
  <c r="AK1001" i="7"/>
  <c r="AJ1001" i="7"/>
  <c r="AI1001" i="7"/>
  <c r="AH1001" i="7"/>
  <c r="AG1001" i="7"/>
  <c r="AF1001" i="7"/>
  <c r="AE1001" i="7"/>
  <c r="AD1001" i="7"/>
  <c r="AC1001" i="7"/>
  <c r="AB1001" i="7"/>
  <c r="AA1001" i="7"/>
  <c r="Z1001" i="7"/>
  <c r="Y1001" i="7"/>
  <c r="X1001" i="7"/>
  <c r="W1001" i="7"/>
  <c r="AL1000" i="7"/>
  <c r="AK1000" i="7"/>
  <c r="AJ1000" i="7"/>
  <c r="AI1000" i="7"/>
  <c r="AH1000" i="7"/>
  <c r="AG1000" i="7"/>
  <c r="AF1000" i="7"/>
  <c r="AE1000" i="7"/>
  <c r="AD1000" i="7"/>
  <c r="AC1000" i="7"/>
  <c r="AB1000" i="7"/>
  <c r="AA1000" i="7"/>
  <c r="Z1000" i="7"/>
  <c r="Y1000" i="7"/>
  <c r="X1000" i="7"/>
  <c r="W1000" i="7"/>
  <c r="AL999" i="7"/>
  <c r="AK999" i="7"/>
  <c r="AJ999" i="7"/>
  <c r="AI999" i="7"/>
  <c r="AH999" i="7"/>
  <c r="AG999" i="7"/>
  <c r="AF999" i="7"/>
  <c r="AE999" i="7"/>
  <c r="AD999" i="7"/>
  <c r="AC999" i="7"/>
  <c r="AB999" i="7"/>
  <c r="AA999" i="7"/>
  <c r="Z999" i="7"/>
  <c r="Y999" i="7"/>
  <c r="X999" i="7"/>
  <c r="W999" i="7"/>
  <c r="AL998" i="7"/>
  <c r="AK998" i="7"/>
  <c r="AJ998" i="7"/>
  <c r="AI998" i="7"/>
  <c r="AH998" i="7"/>
  <c r="AG998" i="7"/>
  <c r="AF998" i="7"/>
  <c r="AE998" i="7"/>
  <c r="AD998" i="7"/>
  <c r="AC998" i="7"/>
  <c r="AB998" i="7"/>
  <c r="AA998" i="7"/>
  <c r="Z998" i="7"/>
  <c r="Y998" i="7"/>
  <c r="X998" i="7"/>
  <c r="W998" i="7"/>
  <c r="AL997" i="7"/>
  <c r="AK997" i="7"/>
  <c r="AJ997" i="7"/>
  <c r="AI997" i="7"/>
  <c r="AH997" i="7"/>
  <c r="AG997" i="7"/>
  <c r="AF997" i="7"/>
  <c r="AE997" i="7"/>
  <c r="AD997" i="7"/>
  <c r="AC997" i="7"/>
  <c r="AB997" i="7"/>
  <c r="AA997" i="7"/>
  <c r="Z997" i="7"/>
  <c r="Y997" i="7"/>
  <c r="X997" i="7"/>
  <c r="W997" i="7"/>
  <c r="AL996" i="7"/>
  <c r="AK996" i="7"/>
  <c r="AJ996" i="7"/>
  <c r="AI996" i="7"/>
  <c r="AH996" i="7"/>
  <c r="AG996" i="7"/>
  <c r="AF996" i="7"/>
  <c r="AE996" i="7"/>
  <c r="AD996" i="7"/>
  <c r="AC996" i="7"/>
  <c r="AB996" i="7"/>
  <c r="AA996" i="7"/>
  <c r="Z996" i="7"/>
  <c r="Y996" i="7"/>
  <c r="X996" i="7"/>
  <c r="W996" i="7"/>
  <c r="AL995" i="7"/>
  <c r="AK995" i="7"/>
  <c r="AJ995" i="7"/>
  <c r="AI995" i="7"/>
  <c r="AH995" i="7"/>
  <c r="AG995" i="7"/>
  <c r="AF995" i="7"/>
  <c r="AE995" i="7"/>
  <c r="AD995" i="7"/>
  <c r="AC995" i="7"/>
  <c r="AB995" i="7"/>
  <c r="AA995" i="7"/>
  <c r="Z995" i="7"/>
  <c r="Y995" i="7"/>
  <c r="X995" i="7"/>
  <c r="W995" i="7"/>
  <c r="AL994" i="7"/>
  <c r="AK994" i="7"/>
  <c r="AJ994" i="7"/>
  <c r="AI994" i="7"/>
  <c r="AH994" i="7"/>
  <c r="AG994" i="7"/>
  <c r="AF994" i="7"/>
  <c r="AE994" i="7"/>
  <c r="AD994" i="7"/>
  <c r="AC994" i="7"/>
  <c r="AB994" i="7"/>
  <c r="AA994" i="7"/>
  <c r="Z994" i="7"/>
  <c r="Y994" i="7"/>
  <c r="X994" i="7"/>
  <c r="W994" i="7"/>
  <c r="AL993" i="7"/>
  <c r="AK993" i="7"/>
  <c r="AJ993" i="7"/>
  <c r="AI993" i="7"/>
  <c r="AH993" i="7"/>
  <c r="AG993" i="7"/>
  <c r="AF993" i="7"/>
  <c r="AE993" i="7"/>
  <c r="AD993" i="7"/>
  <c r="AC993" i="7"/>
  <c r="AB993" i="7"/>
  <c r="AA993" i="7"/>
  <c r="Z993" i="7"/>
  <c r="Y993" i="7"/>
  <c r="X993" i="7"/>
  <c r="W993" i="7"/>
  <c r="AL992" i="7"/>
  <c r="AK992" i="7"/>
  <c r="AJ992" i="7"/>
  <c r="AI992" i="7"/>
  <c r="AH992" i="7"/>
  <c r="AG992" i="7"/>
  <c r="AF992" i="7"/>
  <c r="AE992" i="7"/>
  <c r="AD992" i="7"/>
  <c r="AC992" i="7"/>
  <c r="AB992" i="7"/>
  <c r="AA992" i="7"/>
  <c r="Z992" i="7"/>
  <c r="Y992" i="7"/>
  <c r="X992" i="7"/>
  <c r="W992" i="7"/>
  <c r="AL991" i="7"/>
  <c r="AK991" i="7"/>
  <c r="AJ991" i="7"/>
  <c r="AI991" i="7"/>
  <c r="AH991" i="7"/>
  <c r="AG991" i="7"/>
  <c r="AF991" i="7"/>
  <c r="AE991" i="7"/>
  <c r="AD991" i="7"/>
  <c r="AC991" i="7"/>
  <c r="AB991" i="7"/>
  <c r="AA991" i="7"/>
  <c r="Z991" i="7"/>
  <c r="Y991" i="7"/>
  <c r="X991" i="7"/>
  <c r="W991" i="7"/>
  <c r="AL990" i="7"/>
  <c r="AK990" i="7"/>
  <c r="AJ990" i="7"/>
  <c r="AI990" i="7"/>
  <c r="AH990" i="7"/>
  <c r="AG990" i="7"/>
  <c r="AF990" i="7"/>
  <c r="AE990" i="7"/>
  <c r="AD990" i="7"/>
  <c r="AC990" i="7"/>
  <c r="AB990" i="7"/>
  <c r="AA990" i="7"/>
  <c r="Z990" i="7"/>
  <c r="Y990" i="7"/>
  <c r="X990" i="7"/>
  <c r="W990" i="7"/>
  <c r="AL989" i="7"/>
  <c r="AK989" i="7"/>
  <c r="AJ989" i="7"/>
  <c r="AI989" i="7"/>
  <c r="AH989" i="7"/>
  <c r="AG989" i="7"/>
  <c r="AF989" i="7"/>
  <c r="AE989" i="7"/>
  <c r="AD989" i="7"/>
  <c r="AC989" i="7"/>
  <c r="AB989" i="7"/>
  <c r="AA989" i="7"/>
  <c r="Z989" i="7"/>
  <c r="Y989" i="7"/>
  <c r="X989" i="7"/>
  <c r="W989" i="7"/>
  <c r="AL988" i="7"/>
  <c r="AK988" i="7"/>
  <c r="AJ988" i="7"/>
  <c r="AI988" i="7"/>
  <c r="AH988" i="7"/>
  <c r="AG988" i="7"/>
  <c r="AF988" i="7"/>
  <c r="AE988" i="7"/>
  <c r="AD988" i="7"/>
  <c r="AC988" i="7"/>
  <c r="AB988" i="7"/>
  <c r="AA988" i="7"/>
  <c r="Z988" i="7"/>
  <c r="Y988" i="7"/>
  <c r="X988" i="7"/>
  <c r="W988" i="7"/>
  <c r="AL987" i="7"/>
  <c r="AK987" i="7"/>
  <c r="AJ987" i="7"/>
  <c r="AI987" i="7"/>
  <c r="AH987" i="7"/>
  <c r="AG987" i="7"/>
  <c r="AF987" i="7"/>
  <c r="AE987" i="7"/>
  <c r="AD987" i="7"/>
  <c r="AC987" i="7"/>
  <c r="AB987" i="7"/>
  <c r="AA987" i="7"/>
  <c r="Z987" i="7"/>
  <c r="Y987" i="7"/>
  <c r="X987" i="7"/>
  <c r="W987" i="7"/>
  <c r="AL986" i="7"/>
  <c r="AK986" i="7"/>
  <c r="AJ986" i="7"/>
  <c r="AI986" i="7"/>
  <c r="AH986" i="7"/>
  <c r="AG986" i="7"/>
  <c r="AF986" i="7"/>
  <c r="AE986" i="7"/>
  <c r="AD986" i="7"/>
  <c r="AC986" i="7"/>
  <c r="AB986" i="7"/>
  <c r="AA986" i="7"/>
  <c r="Z986" i="7"/>
  <c r="Y986" i="7"/>
  <c r="X986" i="7"/>
  <c r="W986" i="7"/>
  <c r="AL985" i="7"/>
  <c r="AK985" i="7"/>
  <c r="AJ985" i="7"/>
  <c r="AI985" i="7"/>
  <c r="AH985" i="7"/>
  <c r="AG985" i="7"/>
  <c r="AF985" i="7"/>
  <c r="AE985" i="7"/>
  <c r="AD985" i="7"/>
  <c r="AC985" i="7"/>
  <c r="AB985" i="7"/>
  <c r="AA985" i="7"/>
  <c r="Z985" i="7"/>
  <c r="Y985" i="7"/>
  <c r="X985" i="7"/>
  <c r="W985" i="7"/>
  <c r="AL984" i="7"/>
  <c r="AK984" i="7"/>
  <c r="AJ984" i="7"/>
  <c r="AI984" i="7"/>
  <c r="AH984" i="7"/>
  <c r="AG984" i="7"/>
  <c r="AF984" i="7"/>
  <c r="AE984" i="7"/>
  <c r="AD984" i="7"/>
  <c r="AC984" i="7"/>
  <c r="AB984" i="7"/>
  <c r="AA984" i="7"/>
  <c r="Z984" i="7"/>
  <c r="Y984" i="7"/>
  <c r="X984" i="7"/>
  <c r="W984" i="7"/>
  <c r="AL983" i="7"/>
  <c r="AK983" i="7"/>
  <c r="AJ983" i="7"/>
  <c r="AI983" i="7"/>
  <c r="AH983" i="7"/>
  <c r="AG983" i="7"/>
  <c r="AF983" i="7"/>
  <c r="AE983" i="7"/>
  <c r="AD983" i="7"/>
  <c r="AC983" i="7"/>
  <c r="AB983" i="7"/>
  <c r="AA983" i="7"/>
  <c r="Z983" i="7"/>
  <c r="Y983" i="7"/>
  <c r="X983" i="7"/>
  <c r="W983" i="7"/>
  <c r="AL982" i="7"/>
  <c r="AK982" i="7"/>
  <c r="AJ982" i="7"/>
  <c r="AI982" i="7"/>
  <c r="AH982" i="7"/>
  <c r="AG982" i="7"/>
  <c r="AF982" i="7"/>
  <c r="AE982" i="7"/>
  <c r="AD982" i="7"/>
  <c r="AC982" i="7"/>
  <c r="AB982" i="7"/>
  <c r="AA982" i="7"/>
  <c r="Z982" i="7"/>
  <c r="Y982" i="7"/>
  <c r="X982" i="7"/>
  <c r="W982" i="7"/>
  <c r="AL981" i="7"/>
  <c r="AK981" i="7"/>
  <c r="AJ981" i="7"/>
  <c r="AI981" i="7"/>
  <c r="AH981" i="7"/>
  <c r="AG981" i="7"/>
  <c r="AF981" i="7"/>
  <c r="AE981" i="7"/>
  <c r="AD981" i="7"/>
  <c r="AC981" i="7"/>
  <c r="AB981" i="7"/>
  <c r="AA981" i="7"/>
  <c r="Z981" i="7"/>
  <c r="Y981" i="7"/>
  <c r="X981" i="7"/>
  <c r="W981" i="7"/>
  <c r="AL980" i="7"/>
  <c r="AK980" i="7"/>
  <c r="AJ980" i="7"/>
  <c r="AI980" i="7"/>
  <c r="AH980" i="7"/>
  <c r="AG980" i="7"/>
  <c r="AF980" i="7"/>
  <c r="AE980" i="7"/>
  <c r="AD980" i="7"/>
  <c r="AC980" i="7"/>
  <c r="AB980" i="7"/>
  <c r="AA980" i="7"/>
  <c r="Z980" i="7"/>
  <c r="Y980" i="7"/>
  <c r="X980" i="7"/>
  <c r="W980" i="7"/>
  <c r="AL979" i="7"/>
  <c r="AK979" i="7"/>
  <c r="AJ979" i="7"/>
  <c r="AI979" i="7"/>
  <c r="AH979" i="7"/>
  <c r="AG979" i="7"/>
  <c r="AF979" i="7"/>
  <c r="AE979" i="7"/>
  <c r="AD979" i="7"/>
  <c r="AC979" i="7"/>
  <c r="AB979" i="7"/>
  <c r="AA979" i="7"/>
  <c r="Z979" i="7"/>
  <c r="Y979" i="7"/>
  <c r="X979" i="7"/>
  <c r="W979" i="7"/>
  <c r="AL978" i="7"/>
  <c r="AK978" i="7"/>
  <c r="AJ978" i="7"/>
  <c r="AI978" i="7"/>
  <c r="AH978" i="7"/>
  <c r="AG978" i="7"/>
  <c r="AF978" i="7"/>
  <c r="AE978" i="7"/>
  <c r="AD978" i="7"/>
  <c r="AC978" i="7"/>
  <c r="AB978" i="7"/>
  <c r="AA978" i="7"/>
  <c r="Z978" i="7"/>
  <c r="Y978" i="7"/>
  <c r="X978" i="7"/>
  <c r="W978" i="7"/>
  <c r="AL977" i="7"/>
  <c r="AK977" i="7"/>
  <c r="AJ977" i="7"/>
  <c r="AI977" i="7"/>
  <c r="AH977" i="7"/>
  <c r="AG977" i="7"/>
  <c r="AF977" i="7"/>
  <c r="AE977" i="7"/>
  <c r="AD977" i="7"/>
  <c r="AC977" i="7"/>
  <c r="AB977" i="7"/>
  <c r="AA977" i="7"/>
  <c r="Z977" i="7"/>
  <c r="Y977" i="7"/>
  <c r="X977" i="7"/>
  <c r="W977" i="7"/>
  <c r="AL976" i="7"/>
  <c r="AK976" i="7"/>
  <c r="AJ976" i="7"/>
  <c r="AI976" i="7"/>
  <c r="AH976" i="7"/>
  <c r="AG976" i="7"/>
  <c r="AF976" i="7"/>
  <c r="AE976" i="7"/>
  <c r="AD976" i="7"/>
  <c r="AC976" i="7"/>
  <c r="AB976" i="7"/>
  <c r="AA976" i="7"/>
  <c r="Z976" i="7"/>
  <c r="Y976" i="7"/>
  <c r="X976" i="7"/>
  <c r="W976" i="7"/>
  <c r="AL975" i="7"/>
  <c r="AK975" i="7"/>
  <c r="AJ975" i="7"/>
  <c r="AI975" i="7"/>
  <c r="AH975" i="7"/>
  <c r="AG975" i="7"/>
  <c r="AF975" i="7"/>
  <c r="AE975" i="7"/>
  <c r="AD975" i="7"/>
  <c r="AC975" i="7"/>
  <c r="AB975" i="7"/>
  <c r="AA975" i="7"/>
  <c r="Z975" i="7"/>
  <c r="Y975" i="7"/>
  <c r="X975" i="7"/>
  <c r="W975" i="7"/>
  <c r="AL974" i="7"/>
  <c r="AK974" i="7"/>
  <c r="AJ974" i="7"/>
  <c r="AI974" i="7"/>
  <c r="AH974" i="7"/>
  <c r="AG974" i="7"/>
  <c r="AF974" i="7"/>
  <c r="AE974" i="7"/>
  <c r="AD974" i="7"/>
  <c r="AC974" i="7"/>
  <c r="AB974" i="7"/>
  <c r="AA974" i="7"/>
  <c r="Z974" i="7"/>
  <c r="Y974" i="7"/>
  <c r="X974" i="7"/>
  <c r="W974" i="7"/>
  <c r="AL973" i="7"/>
  <c r="AK973" i="7"/>
  <c r="AJ973" i="7"/>
  <c r="AI973" i="7"/>
  <c r="AH973" i="7"/>
  <c r="AG973" i="7"/>
  <c r="AF973" i="7"/>
  <c r="AE973" i="7"/>
  <c r="AD973" i="7"/>
  <c r="AC973" i="7"/>
  <c r="AB973" i="7"/>
  <c r="AA973" i="7"/>
  <c r="Z973" i="7"/>
  <c r="Y973" i="7"/>
  <c r="X973" i="7"/>
  <c r="W973" i="7"/>
  <c r="AL972" i="7"/>
  <c r="AK972" i="7"/>
  <c r="AJ972" i="7"/>
  <c r="AI972" i="7"/>
  <c r="AH972" i="7"/>
  <c r="AG972" i="7"/>
  <c r="AF972" i="7"/>
  <c r="AE972" i="7"/>
  <c r="AD972" i="7"/>
  <c r="AC972" i="7"/>
  <c r="AB972" i="7"/>
  <c r="AA972" i="7"/>
  <c r="Z972" i="7"/>
  <c r="Y972" i="7"/>
  <c r="X972" i="7"/>
  <c r="W972" i="7"/>
  <c r="AL971" i="7"/>
  <c r="AK971" i="7"/>
  <c r="AJ971" i="7"/>
  <c r="AI971" i="7"/>
  <c r="AH971" i="7"/>
  <c r="AG971" i="7"/>
  <c r="AF971" i="7"/>
  <c r="AE971" i="7"/>
  <c r="AD971" i="7"/>
  <c r="AC971" i="7"/>
  <c r="AB971" i="7"/>
  <c r="AA971" i="7"/>
  <c r="Z971" i="7"/>
  <c r="Y971" i="7"/>
  <c r="X971" i="7"/>
  <c r="W971" i="7"/>
  <c r="AL966" i="7"/>
  <c r="AK966" i="7"/>
  <c r="AJ966" i="7"/>
  <c r="AI966" i="7"/>
  <c r="AH966" i="7"/>
  <c r="AG966" i="7"/>
  <c r="AF966" i="7"/>
  <c r="AE966" i="7"/>
  <c r="AD966" i="7"/>
  <c r="AC966" i="7"/>
  <c r="AB966" i="7"/>
  <c r="AA966" i="7"/>
  <c r="Z966" i="7"/>
  <c r="Y966" i="7"/>
  <c r="X966" i="7"/>
  <c r="W966" i="7"/>
  <c r="AL965" i="7"/>
  <c r="AK965" i="7"/>
  <c r="AJ965" i="7"/>
  <c r="AI965" i="7"/>
  <c r="AH965" i="7"/>
  <c r="AG965" i="7"/>
  <c r="AF965" i="7"/>
  <c r="AE965" i="7"/>
  <c r="AD965" i="7"/>
  <c r="AC965" i="7"/>
  <c r="AB965" i="7"/>
  <c r="AA965" i="7"/>
  <c r="Z965" i="7"/>
  <c r="Y965" i="7"/>
  <c r="X965" i="7"/>
  <c r="W965" i="7"/>
  <c r="AL964" i="7"/>
  <c r="AK964" i="7"/>
  <c r="AJ964" i="7"/>
  <c r="AI964" i="7"/>
  <c r="AH964" i="7"/>
  <c r="AG964" i="7"/>
  <c r="AF964" i="7"/>
  <c r="AE964" i="7"/>
  <c r="AD964" i="7"/>
  <c r="AC964" i="7"/>
  <c r="AB964" i="7"/>
  <c r="AA964" i="7"/>
  <c r="Z964" i="7"/>
  <c r="Y964" i="7"/>
  <c r="X964" i="7"/>
  <c r="W964" i="7"/>
  <c r="AL963" i="7"/>
  <c r="AK963" i="7"/>
  <c r="AJ963" i="7"/>
  <c r="AI963" i="7"/>
  <c r="AH963" i="7"/>
  <c r="AG963" i="7"/>
  <c r="AF963" i="7"/>
  <c r="AE963" i="7"/>
  <c r="AD963" i="7"/>
  <c r="AC963" i="7"/>
  <c r="AB963" i="7"/>
  <c r="AA963" i="7"/>
  <c r="Z963" i="7"/>
  <c r="Y963" i="7"/>
  <c r="X963" i="7"/>
  <c r="W963" i="7"/>
  <c r="AL962" i="7"/>
  <c r="AK962" i="7"/>
  <c r="AJ962" i="7"/>
  <c r="AI962" i="7"/>
  <c r="AH962" i="7"/>
  <c r="AG962" i="7"/>
  <c r="AF962" i="7"/>
  <c r="AE962" i="7"/>
  <c r="AD962" i="7"/>
  <c r="AC962" i="7"/>
  <c r="AB962" i="7"/>
  <c r="AA962" i="7"/>
  <c r="Z962" i="7"/>
  <c r="Y962" i="7"/>
  <c r="X962" i="7"/>
  <c r="W962" i="7"/>
  <c r="AL961" i="7"/>
  <c r="AK961" i="7"/>
  <c r="AJ961" i="7"/>
  <c r="AI961" i="7"/>
  <c r="AH961" i="7"/>
  <c r="AG961" i="7"/>
  <c r="AF961" i="7"/>
  <c r="AE961" i="7"/>
  <c r="AD961" i="7"/>
  <c r="AC961" i="7"/>
  <c r="AB961" i="7"/>
  <c r="AA961" i="7"/>
  <c r="Z961" i="7"/>
  <c r="Y961" i="7"/>
  <c r="X961" i="7"/>
  <c r="W961" i="7"/>
  <c r="AL960" i="7"/>
  <c r="AK960" i="7"/>
  <c r="AJ960" i="7"/>
  <c r="AI960" i="7"/>
  <c r="AH960" i="7"/>
  <c r="AG960" i="7"/>
  <c r="AF960" i="7"/>
  <c r="AE960" i="7"/>
  <c r="AD960" i="7"/>
  <c r="AC960" i="7"/>
  <c r="AB960" i="7"/>
  <c r="AA960" i="7"/>
  <c r="Z960" i="7"/>
  <c r="Y960" i="7"/>
  <c r="X960" i="7"/>
  <c r="W960" i="7"/>
  <c r="AL959" i="7"/>
  <c r="AK959" i="7"/>
  <c r="AJ959" i="7"/>
  <c r="AI959" i="7"/>
  <c r="AH959" i="7"/>
  <c r="AG959" i="7"/>
  <c r="AF959" i="7"/>
  <c r="AE959" i="7"/>
  <c r="AD959" i="7"/>
  <c r="AC959" i="7"/>
  <c r="AB959" i="7"/>
  <c r="AA959" i="7"/>
  <c r="Z959" i="7"/>
  <c r="Y959" i="7"/>
  <c r="X959" i="7"/>
  <c r="W959" i="7"/>
  <c r="AL958" i="7"/>
  <c r="AK958" i="7"/>
  <c r="AJ958" i="7"/>
  <c r="AI958" i="7"/>
  <c r="AH958" i="7"/>
  <c r="AG958" i="7"/>
  <c r="AF958" i="7"/>
  <c r="AE958" i="7"/>
  <c r="AD958" i="7"/>
  <c r="AC958" i="7"/>
  <c r="AB958" i="7"/>
  <c r="AA958" i="7"/>
  <c r="Z958" i="7"/>
  <c r="Y958" i="7"/>
  <c r="X958" i="7"/>
  <c r="W958" i="7"/>
  <c r="AL957" i="7"/>
  <c r="AK957" i="7"/>
  <c r="AJ957" i="7"/>
  <c r="AI957" i="7"/>
  <c r="AH957" i="7"/>
  <c r="AG957" i="7"/>
  <c r="AF957" i="7"/>
  <c r="AE957" i="7"/>
  <c r="AD957" i="7"/>
  <c r="AC957" i="7"/>
  <c r="AB957" i="7"/>
  <c r="AA957" i="7"/>
  <c r="Z957" i="7"/>
  <c r="Y957" i="7"/>
  <c r="X957" i="7"/>
  <c r="W957" i="7"/>
  <c r="AL956" i="7"/>
  <c r="AK956" i="7"/>
  <c r="AJ956" i="7"/>
  <c r="AI956" i="7"/>
  <c r="AH956" i="7"/>
  <c r="AG956" i="7"/>
  <c r="AF956" i="7"/>
  <c r="AE956" i="7"/>
  <c r="AD956" i="7"/>
  <c r="AC956" i="7"/>
  <c r="AB956" i="7"/>
  <c r="AA956" i="7"/>
  <c r="Z956" i="7"/>
  <c r="Y956" i="7"/>
  <c r="X956" i="7"/>
  <c r="W956" i="7"/>
  <c r="AL955" i="7"/>
  <c r="AK955" i="7"/>
  <c r="AJ955" i="7"/>
  <c r="AI955" i="7"/>
  <c r="AH955" i="7"/>
  <c r="AG955" i="7"/>
  <c r="AF955" i="7"/>
  <c r="AE955" i="7"/>
  <c r="AD955" i="7"/>
  <c r="AC955" i="7"/>
  <c r="AB955" i="7"/>
  <c r="AA955" i="7"/>
  <c r="Z955" i="7"/>
  <c r="Y955" i="7"/>
  <c r="X955" i="7"/>
  <c r="W955" i="7"/>
  <c r="AL954" i="7"/>
  <c r="AK954" i="7"/>
  <c r="AJ954" i="7"/>
  <c r="AI954" i="7"/>
  <c r="AH954" i="7"/>
  <c r="AG954" i="7"/>
  <c r="AF954" i="7"/>
  <c r="AE954" i="7"/>
  <c r="AD954" i="7"/>
  <c r="AC954" i="7"/>
  <c r="AB954" i="7"/>
  <c r="AA954" i="7"/>
  <c r="Z954" i="7"/>
  <c r="Y954" i="7"/>
  <c r="X954" i="7"/>
  <c r="W954" i="7"/>
  <c r="AL953" i="7"/>
  <c r="AK953" i="7"/>
  <c r="AJ953" i="7"/>
  <c r="AI953" i="7"/>
  <c r="AH953" i="7"/>
  <c r="AG953" i="7"/>
  <c r="AF953" i="7"/>
  <c r="AE953" i="7"/>
  <c r="AD953" i="7"/>
  <c r="AC953" i="7"/>
  <c r="AB953" i="7"/>
  <c r="AA953" i="7"/>
  <c r="Z953" i="7"/>
  <c r="Y953" i="7"/>
  <c r="X953" i="7"/>
  <c r="W953" i="7"/>
  <c r="AL952" i="7"/>
  <c r="AK952" i="7"/>
  <c r="AJ952" i="7"/>
  <c r="AI952" i="7"/>
  <c r="AH952" i="7"/>
  <c r="AG952" i="7"/>
  <c r="AF952" i="7"/>
  <c r="AE952" i="7"/>
  <c r="AD952" i="7"/>
  <c r="AC952" i="7"/>
  <c r="AB952" i="7"/>
  <c r="AA952" i="7"/>
  <c r="Z952" i="7"/>
  <c r="Y952" i="7"/>
  <c r="X952" i="7"/>
  <c r="W952" i="7"/>
  <c r="AL951" i="7"/>
  <c r="AK951" i="7"/>
  <c r="AJ951" i="7"/>
  <c r="AI951" i="7"/>
  <c r="AH951" i="7"/>
  <c r="AG951" i="7"/>
  <c r="AF951" i="7"/>
  <c r="AE951" i="7"/>
  <c r="AD951" i="7"/>
  <c r="AC951" i="7"/>
  <c r="AB951" i="7"/>
  <c r="AA951" i="7"/>
  <c r="Z951" i="7"/>
  <c r="Y951" i="7"/>
  <c r="X951" i="7"/>
  <c r="W951" i="7"/>
  <c r="AL950" i="7"/>
  <c r="AK950" i="7"/>
  <c r="AJ950" i="7"/>
  <c r="AI950" i="7"/>
  <c r="AH950" i="7"/>
  <c r="AG950" i="7"/>
  <c r="AF950" i="7"/>
  <c r="AE950" i="7"/>
  <c r="AD950" i="7"/>
  <c r="AC950" i="7"/>
  <c r="AB950" i="7"/>
  <c r="AA950" i="7"/>
  <c r="Z950" i="7"/>
  <c r="Y950" i="7"/>
  <c r="X950" i="7"/>
  <c r="W950" i="7"/>
  <c r="AL949" i="7"/>
  <c r="AK949" i="7"/>
  <c r="AJ949" i="7"/>
  <c r="AI949" i="7"/>
  <c r="AH949" i="7"/>
  <c r="AG949" i="7"/>
  <c r="AF949" i="7"/>
  <c r="AE949" i="7"/>
  <c r="AD949" i="7"/>
  <c r="AC949" i="7"/>
  <c r="AB949" i="7"/>
  <c r="AA949" i="7"/>
  <c r="Z949" i="7"/>
  <c r="Y949" i="7"/>
  <c r="X949" i="7"/>
  <c r="W949" i="7"/>
  <c r="AL948" i="7"/>
  <c r="AK948" i="7"/>
  <c r="AJ948" i="7"/>
  <c r="AI948" i="7"/>
  <c r="AH948" i="7"/>
  <c r="AG948" i="7"/>
  <c r="AF948" i="7"/>
  <c r="AE948" i="7"/>
  <c r="AD948" i="7"/>
  <c r="AC948" i="7"/>
  <c r="AB948" i="7"/>
  <c r="AA948" i="7"/>
  <c r="Z948" i="7"/>
  <c r="Y948" i="7"/>
  <c r="X948" i="7"/>
  <c r="W948" i="7"/>
  <c r="AL947" i="7"/>
  <c r="AK947" i="7"/>
  <c r="AJ947" i="7"/>
  <c r="AI947" i="7"/>
  <c r="AH947" i="7"/>
  <c r="AG947" i="7"/>
  <c r="AF947" i="7"/>
  <c r="AE947" i="7"/>
  <c r="AD947" i="7"/>
  <c r="AC947" i="7"/>
  <c r="AB947" i="7"/>
  <c r="AA947" i="7"/>
  <c r="Z947" i="7"/>
  <c r="Y947" i="7"/>
  <c r="X947" i="7"/>
  <c r="W947" i="7"/>
  <c r="AL946" i="7"/>
  <c r="AK946" i="7"/>
  <c r="AJ946" i="7"/>
  <c r="AI946" i="7"/>
  <c r="AH946" i="7"/>
  <c r="AG946" i="7"/>
  <c r="AF946" i="7"/>
  <c r="AE946" i="7"/>
  <c r="AD946" i="7"/>
  <c r="AC946" i="7"/>
  <c r="AB946" i="7"/>
  <c r="AA946" i="7"/>
  <c r="Z946" i="7"/>
  <c r="Y946" i="7"/>
  <c r="X946" i="7"/>
  <c r="W946" i="7"/>
  <c r="AL945" i="7"/>
  <c r="AK945" i="7"/>
  <c r="AJ945" i="7"/>
  <c r="AI945" i="7"/>
  <c r="AH945" i="7"/>
  <c r="AG945" i="7"/>
  <c r="AF945" i="7"/>
  <c r="AE945" i="7"/>
  <c r="AD945" i="7"/>
  <c r="AC945" i="7"/>
  <c r="AB945" i="7"/>
  <c r="AA945" i="7"/>
  <c r="Z945" i="7"/>
  <c r="Y945" i="7"/>
  <c r="X945" i="7"/>
  <c r="W945" i="7"/>
  <c r="AL944" i="7"/>
  <c r="AK944" i="7"/>
  <c r="AJ944" i="7"/>
  <c r="AI944" i="7"/>
  <c r="AH944" i="7"/>
  <c r="AG944" i="7"/>
  <c r="AF944" i="7"/>
  <c r="AE944" i="7"/>
  <c r="AD944" i="7"/>
  <c r="AC944" i="7"/>
  <c r="AB944" i="7"/>
  <c r="AA944" i="7"/>
  <c r="Z944" i="7"/>
  <c r="Y944" i="7"/>
  <c r="X944" i="7"/>
  <c r="W944" i="7"/>
  <c r="AL943" i="7"/>
  <c r="AK943" i="7"/>
  <c r="AJ943" i="7"/>
  <c r="AI943" i="7"/>
  <c r="AH943" i="7"/>
  <c r="AG943" i="7"/>
  <c r="AF943" i="7"/>
  <c r="AE943" i="7"/>
  <c r="AD943" i="7"/>
  <c r="AC943" i="7"/>
  <c r="AB943" i="7"/>
  <c r="AA943" i="7"/>
  <c r="Z943" i="7"/>
  <c r="Y943" i="7"/>
  <c r="X943" i="7"/>
  <c r="W943" i="7"/>
  <c r="AL942" i="7"/>
  <c r="AK942" i="7"/>
  <c r="AJ942" i="7"/>
  <c r="AI942" i="7"/>
  <c r="AH942" i="7"/>
  <c r="AG942" i="7"/>
  <c r="AF942" i="7"/>
  <c r="AE942" i="7"/>
  <c r="AD942" i="7"/>
  <c r="AC942" i="7"/>
  <c r="AB942" i="7"/>
  <c r="AA942" i="7"/>
  <c r="Z942" i="7"/>
  <c r="Y942" i="7"/>
  <c r="X942" i="7"/>
  <c r="W942" i="7"/>
  <c r="AL941" i="7"/>
  <c r="AK941" i="7"/>
  <c r="AJ941" i="7"/>
  <c r="AI941" i="7"/>
  <c r="AH941" i="7"/>
  <c r="AG941" i="7"/>
  <c r="AF941" i="7"/>
  <c r="AE941" i="7"/>
  <c r="AD941" i="7"/>
  <c r="AC941" i="7"/>
  <c r="AB941" i="7"/>
  <c r="AA941" i="7"/>
  <c r="Z941" i="7"/>
  <c r="Y941" i="7"/>
  <c r="X941" i="7"/>
  <c r="W941" i="7"/>
  <c r="AL940" i="7"/>
  <c r="AK940" i="7"/>
  <c r="AJ940" i="7"/>
  <c r="AI940" i="7"/>
  <c r="AH940" i="7"/>
  <c r="AG940" i="7"/>
  <c r="AF940" i="7"/>
  <c r="AE940" i="7"/>
  <c r="AD940" i="7"/>
  <c r="AC940" i="7"/>
  <c r="AB940" i="7"/>
  <c r="AA940" i="7"/>
  <c r="Z940" i="7"/>
  <c r="Y940" i="7"/>
  <c r="X940" i="7"/>
  <c r="W940" i="7"/>
  <c r="AL939" i="7"/>
  <c r="AK939" i="7"/>
  <c r="AJ939" i="7"/>
  <c r="AI939" i="7"/>
  <c r="AH939" i="7"/>
  <c r="AG939" i="7"/>
  <c r="AF939" i="7"/>
  <c r="AE939" i="7"/>
  <c r="AD939" i="7"/>
  <c r="AC939" i="7"/>
  <c r="AB939" i="7"/>
  <c r="AA939" i="7"/>
  <c r="Z939" i="7"/>
  <c r="Y939" i="7"/>
  <c r="X939" i="7"/>
  <c r="W939" i="7"/>
  <c r="AL938" i="7"/>
  <c r="AK938" i="7"/>
  <c r="AJ938" i="7"/>
  <c r="AI938" i="7"/>
  <c r="AH938" i="7"/>
  <c r="AG938" i="7"/>
  <c r="AF938" i="7"/>
  <c r="AE938" i="7"/>
  <c r="AD938" i="7"/>
  <c r="AC938" i="7"/>
  <c r="AB938" i="7"/>
  <c r="AA938" i="7"/>
  <c r="Z938" i="7"/>
  <c r="Y938" i="7"/>
  <c r="X938" i="7"/>
  <c r="W938" i="7"/>
  <c r="AL937" i="7"/>
  <c r="AK937" i="7"/>
  <c r="AJ937" i="7"/>
  <c r="AI937" i="7"/>
  <c r="AH937" i="7"/>
  <c r="AG937" i="7"/>
  <c r="AF937" i="7"/>
  <c r="AE937" i="7"/>
  <c r="AD937" i="7"/>
  <c r="AC937" i="7"/>
  <c r="AB937" i="7"/>
  <c r="AA937" i="7"/>
  <c r="Z937" i="7"/>
  <c r="Y937" i="7"/>
  <c r="X937" i="7"/>
  <c r="W937" i="7"/>
  <c r="AL936" i="7"/>
  <c r="AK936" i="7"/>
  <c r="AJ936" i="7"/>
  <c r="AI936" i="7"/>
  <c r="AH936" i="7"/>
  <c r="AG936" i="7"/>
  <c r="AF936" i="7"/>
  <c r="AE936" i="7"/>
  <c r="AD936" i="7"/>
  <c r="AC936" i="7"/>
  <c r="AB936" i="7"/>
  <c r="AA936" i="7"/>
  <c r="Z936" i="7"/>
  <c r="Y936" i="7"/>
  <c r="X936" i="7"/>
  <c r="W936" i="7"/>
  <c r="AL935" i="7"/>
  <c r="AK935" i="7"/>
  <c r="AJ935" i="7"/>
  <c r="AI935" i="7"/>
  <c r="AH935" i="7"/>
  <c r="AG935" i="7"/>
  <c r="AF935" i="7"/>
  <c r="AE935" i="7"/>
  <c r="AD935" i="7"/>
  <c r="AC935" i="7"/>
  <c r="AB935" i="7"/>
  <c r="AA935" i="7"/>
  <c r="Z935" i="7"/>
  <c r="Y935" i="7"/>
  <c r="X935" i="7"/>
  <c r="W935" i="7"/>
  <c r="AL934" i="7"/>
  <c r="AK934" i="7"/>
  <c r="AJ934" i="7"/>
  <c r="AI934" i="7"/>
  <c r="AH934" i="7"/>
  <c r="AG934" i="7"/>
  <c r="AF934" i="7"/>
  <c r="AE934" i="7"/>
  <c r="AD934" i="7"/>
  <c r="AC934" i="7"/>
  <c r="AB934" i="7"/>
  <c r="AA934" i="7"/>
  <c r="Z934" i="7"/>
  <c r="Y934" i="7"/>
  <c r="X934" i="7"/>
  <c r="W934" i="7"/>
  <c r="AL933" i="7"/>
  <c r="AK933" i="7"/>
  <c r="AJ933" i="7"/>
  <c r="AI933" i="7"/>
  <c r="AH933" i="7"/>
  <c r="AG933" i="7"/>
  <c r="AF933" i="7"/>
  <c r="AE933" i="7"/>
  <c r="AD933" i="7"/>
  <c r="AC933" i="7"/>
  <c r="AB933" i="7"/>
  <c r="AA933" i="7"/>
  <c r="Z933" i="7"/>
  <c r="Y933" i="7"/>
  <c r="X933" i="7"/>
  <c r="W933" i="7"/>
  <c r="AL932" i="7"/>
  <c r="AK932" i="7"/>
  <c r="AJ932" i="7"/>
  <c r="AI932" i="7"/>
  <c r="AH932" i="7"/>
  <c r="AG932" i="7"/>
  <c r="AF932" i="7"/>
  <c r="AE932" i="7"/>
  <c r="AD932" i="7"/>
  <c r="AC932" i="7"/>
  <c r="AB932" i="7"/>
  <c r="AA932" i="7"/>
  <c r="Z932" i="7"/>
  <c r="Y932" i="7"/>
  <c r="X932" i="7"/>
  <c r="W932" i="7"/>
  <c r="AL931" i="7"/>
  <c r="AK931" i="7"/>
  <c r="AJ931" i="7"/>
  <c r="AI931" i="7"/>
  <c r="AH931" i="7"/>
  <c r="AG931" i="7"/>
  <c r="AF931" i="7"/>
  <c r="AE931" i="7"/>
  <c r="AD931" i="7"/>
  <c r="AC931" i="7"/>
  <c r="AB931" i="7"/>
  <c r="AA931" i="7"/>
  <c r="Z931" i="7"/>
  <c r="Y931" i="7"/>
  <c r="X931" i="7"/>
  <c r="W931" i="7"/>
  <c r="AL930" i="7"/>
  <c r="AK930" i="7"/>
  <c r="AJ930" i="7"/>
  <c r="AI930" i="7"/>
  <c r="AH930" i="7"/>
  <c r="AG930" i="7"/>
  <c r="AF930" i="7"/>
  <c r="AE930" i="7"/>
  <c r="AD930" i="7"/>
  <c r="AC930" i="7"/>
  <c r="AB930" i="7"/>
  <c r="AA930" i="7"/>
  <c r="Z930" i="7"/>
  <c r="Y930" i="7"/>
  <c r="X930" i="7"/>
  <c r="W930" i="7"/>
  <c r="AL929" i="7"/>
  <c r="AK929" i="7"/>
  <c r="AJ929" i="7"/>
  <c r="AI929" i="7"/>
  <c r="AH929" i="7"/>
  <c r="AG929" i="7"/>
  <c r="AF929" i="7"/>
  <c r="AE929" i="7"/>
  <c r="AD929" i="7"/>
  <c r="AC929" i="7"/>
  <c r="AB929" i="7"/>
  <c r="AA929" i="7"/>
  <c r="Z929" i="7"/>
  <c r="Y929" i="7"/>
  <c r="X929" i="7"/>
  <c r="W929" i="7"/>
  <c r="AL928" i="7"/>
  <c r="AK928" i="7"/>
  <c r="AJ928" i="7"/>
  <c r="AI928" i="7"/>
  <c r="AH928" i="7"/>
  <c r="AG928" i="7"/>
  <c r="AF928" i="7"/>
  <c r="AE928" i="7"/>
  <c r="AD928" i="7"/>
  <c r="AC928" i="7"/>
  <c r="AB928" i="7"/>
  <c r="AA928" i="7"/>
  <c r="Z928" i="7"/>
  <c r="Y928" i="7"/>
  <c r="X928" i="7"/>
  <c r="W928" i="7"/>
  <c r="AL927" i="7"/>
  <c r="AK927" i="7"/>
  <c r="AJ927" i="7"/>
  <c r="AI927" i="7"/>
  <c r="AH927" i="7"/>
  <c r="AG927" i="7"/>
  <c r="AF927" i="7"/>
  <c r="AE927" i="7"/>
  <c r="AD927" i="7"/>
  <c r="AC927" i="7"/>
  <c r="AB927" i="7"/>
  <c r="AA927" i="7"/>
  <c r="Z927" i="7"/>
  <c r="Y927" i="7"/>
  <c r="X927" i="7"/>
  <c r="W927" i="7"/>
  <c r="AL922" i="7"/>
  <c r="AK922" i="7"/>
  <c r="AJ922" i="7"/>
  <c r="AI922" i="7"/>
  <c r="AH922" i="7"/>
  <c r="AG922" i="7"/>
  <c r="AF922" i="7"/>
  <c r="AE922" i="7"/>
  <c r="AD922" i="7"/>
  <c r="AC922" i="7"/>
  <c r="AB922" i="7"/>
  <c r="AA922" i="7"/>
  <c r="Z922" i="7"/>
  <c r="Y922" i="7"/>
  <c r="X922" i="7"/>
  <c r="W922" i="7"/>
  <c r="AL921" i="7"/>
  <c r="AK921" i="7"/>
  <c r="AJ921" i="7"/>
  <c r="AI921" i="7"/>
  <c r="AH921" i="7"/>
  <c r="AG921" i="7"/>
  <c r="AF921" i="7"/>
  <c r="AE921" i="7"/>
  <c r="AD921" i="7"/>
  <c r="AC921" i="7"/>
  <c r="AB921" i="7"/>
  <c r="AA921" i="7"/>
  <c r="Z921" i="7"/>
  <c r="Y921" i="7"/>
  <c r="X921" i="7"/>
  <c r="W921" i="7"/>
  <c r="AL920" i="7"/>
  <c r="AK920" i="7"/>
  <c r="AJ920" i="7"/>
  <c r="AI920" i="7"/>
  <c r="AH920" i="7"/>
  <c r="AG920" i="7"/>
  <c r="AF920" i="7"/>
  <c r="AE920" i="7"/>
  <c r="AD920" i="7"/>
  <c r="AC920" i="7"/>
  <c r="AB920" i="7"/>
  <c r="AA920" i="7"/>
  <c r="Z920" i="7"/>
  <c r="Y920" i="7"/>
  <c r="X920" i="7"/>
  <c r="W920" i="7"/>
  <c r="AL919" i="7"/>
  <c r="AK919" i="7"/>
  <c r="AJ919" i="7"/>
  <c r="AI919" i="7"/>
  <c r="AH919" i="7"/>
  <c r="AG919" i="7"/>
  <c r="AF919" i="7"/>
  <c r="AE919" i="7"/>
  <c r="AD919" i="7"/>
  <c r="AC919" i="7"/>
  <c r="AB919" i="7"/>
  <c r="AA919" i="7"/>
  <c r="Z919" i="7"/>
  <c r="Y919" i="7"/>
  <c r="X919" i="7"/>
  <c r="W919" i="7"/>
  <c r="AL918" i="7"/>
  <c r="AK918" i="7"/>
  <c r="AJ918" i="7"/>
  <c r="AI918" i="7"/>
  <c r="AH918" i="7"/>
  <c r="AG918" i="7"/>
  <c r="AF918" i="7"/>
  <c r="AE918" i="7"/>
  <c r="AD918" i="7"/>
  <c r="AC918" i="7"/>
  <c r="AB918" i="7"/>
  <c r="AA918" i="7"/>
  <c r="Z918" i="7"/>
  <c r="Y918" i="7"/>
  <c r="X918" i="7"/>
  <c r="W918" i="7"/>
  <c r="AL917" i="7"/>
  <c r="AK917" i="7"/>
  <c r="AJ917" i="7"/>
  <c r="AI917" i="7"/>
  <c r="AH917" i="7"/>
  <c r="AG917" i="7"/>
  <c r="AF917" i="7"/>
  <c r="AE917" i="7"/>
  <c r="AD917" i="7"/>
  <c r="AC917" i="7"/>
  <c r="AB917" i="7"/>
  <c r="AA917" i="7"/>
  <c r="Z917" i="7"/>
  <c r="Y917" i="7"/>
  <c r="X917" i="7"/>
  <c r="W917" i="7"/>
  <c r="AL916" i="7"/>
  <c r="AK916" i="7"/>
  <c r="AJ916" i="7"/>
  <c r="AI916" i="7"/>
  <c r="AH916" i="7"/>
  <c r="AG916" i="7"/>
  <c r="AF916" i="7"/>
  <c r="AE916" i="7"/>
  <c r="AD916" i="7"/>
  <c r="AC916" i="7"/>
  <c r="AB916" i="7"/>
  <c r="AA916" i="7"/>
  <c r="Z916" i="7"/>
  <c r="Y916" i="7"/>
  <c r="X916" i="7"/>
  <c r="W916" i="7"/>
  <c r="AL915" i="7"/>
  <c r="AK915" i="7"/>
  <c r="AJ915" i="7"/>
  <c r="AI915" i="7"/>
  <c r="AH915" i="7"/>
  <c r="AG915" i="7"/>
  <c r="AF915" i="7"/>
  <c r="AE915" i="7"/>
  <c r="AD915" i="7"/>
  <c r="AC915" i="7"/>
  <c r="AB915" i="7"/>
  <c r="AA915" i="7"/>
  <c r="Z915" i="7"/>
  <c r="Y915" i="7"/>
  <c r="X915" i="7"/>
  <c r="W915" i="7"/>
  <c r="AL914" i="7"/>
  <c r="AK914" i="7"/>
  <c r="AJ914" i="7"/>
  <c r="AI914" i="7"/>
  <c r="AH914" i="7"/>
  <c r="AG914" i="7"/>
  <c r="AF914" i="7"/>
  <c r="AE914" i="7"/>
  <c r="AD914" i="7"/>
  <c r="AC914" i="7"/>
  <c r="AB914" i="7"/>
  <c r="AA914" i="7"/>
  <c r="Z914" i="7"/>
  <c r="Y914" i="7"/>
  <c r="X914" i="7"/>
  <c r="W914" i="7"/>
  <c r="AL913" i="7"/>
  <c r="AK913" i="7"/>
  <c r="AJ913" i="7"/>
  <c r="AI913" i="7"/>
  <c r="AH913" i="7"/>
  <c r="AG913" i="7"/>
  <c r="AF913" i="7"/>
  <c r="AE913" i="7"/>
  <c r="AD913" i="7"/>
  <c r="AC913" i="7"/>
  <c r="AB913" i="7"/>
  <c r="AA913" i="7"/>
  <c r="Z913" i="7"/>
  <c r="Y913" i="7"/>
  <c r="X913" i="7"/>
  <c r="W913" i="7"/>
  <c r="AL912" i="7"/>
  <c r="AK912" i="7"/>
  <c r="AJ912" i="7"/>
  <c r="AI912" i="7"/>
  <c r="AH912" i="7"/>
  <c r="AG912" i="7"/>
  <c r="AF912" i="7"/>
  <c r="AE912" i="7"/>
  <c r="AD912" i="7"/>
  <c r="AC912" i="7"/>
  <c r="AB912" i="7"/>
  <c r="AA912" i="7"/>
  <c r="Z912" i="7"/>
  <c r="Y912" i="7"/>
  <c r="X912" i="7"/>
  <c r="W912" i="7"/>
  <c r="AL911" i="7"/>
  <c r="AK911" i="7"/>
  <c r="AJ911" i="7"/>
  <c r="AI911" i="7"/>
  <c r="AH911" i="7"/>
  <c r="AG911" i="7"/>
  <c r="AF911" i="7"/>
  <c r="AE911" i="7"/>
  <c r="AD911" i="7"/>
  <c r="AC911" i="7"/>
  <c r="AB911" i="7"/>
  <c r="AA911" i="7"/>
  <c r="Z911" i="7"/>
  <c r="Y911" i="7"/>
  <c r="X911" i="7"/>
  <c r="W911" i="7"/>
  <c r="AL910" i="7"/>
  <c r="AK910" i="7"/>
  <c r="AJ910" i="7"/>
  <c r="AI910" i="7"/>
  <c r="AH910" i="7"/>
  <c r="AG910" i="7"/>
  <c r="AF910" i="7"/>
  <c r="AE910" i="7"/>
  <c r="AD910" i="7"/>
  <c r="AC910" i="7"/>
  <c r="AB910" i="7"/>
  <c r="AA910" i="7"/>
  <c r="Z910" i="7"/>
  <c r="Y910" i="7"/>
  <c r="X910" i="7"/>
  <c r="W910" i="7"/>
  <c r="AL909" i="7"/>
  <c r="AK909" i="7"/>
  <c r="AJ909" i="7"/>
  <c r="AI909" i="7"/>
  <c r="AH909" i="7"/>
  <c r="AG909" i="7"/>
  <c r="AF909" i="7"/>
  <c r="AE909" i="7"/>
  <c r="AD909" i="7"/>
  <c r="AC909" i="7"/>
  <c r="AB909" i="7"/>
  <c r="AA909" i="7"/>
  <c r="Z909" i="7"/>
  <c r="Y909" i="7"/>
  <c r="X909" i="7"/>
  <c r="W909" i="7"/>
  <c r="AL908" i="7"/>
  <c r="AK908" i="7"/>
  <c r="AJ908" i="7"/>
  <c r="AI908" i="7"/>
  <c r="AH908" i="7"/>
  <c r="AG908" i="7"/>
  <c r="AF908" i="7"/>
  <c r="AE908" i="7"/>
  <c r="AD908" i="7"/>
  <c r="AC908" i="7"/>
  <c r="AB908" i="7"/>
  <c r="AA908" i="7"/>
  <c r="Z908" i="7"/>
  <c r="Y908" i="7"/>
  <c r="X908" i="7"/>
  <c r="W908" i="7"/>
  <c r="AL907" i="7"/>
  <c r="AK907" i="7"/>
  <c r="AJ907" i="7"/>
  <c r="AI907" i="7"/>
  <c r="AH907" i="7"/>
  <c r="AG907" i="7"/>
  <c r="AF907" i="7"/>
  <c r="AE907" i="7"/>
  <c r="AD907" i="7"/>
  <c r="AC907" i="7"/>
  <c r="AB907" i="7"/>
  <c r="AA907" i="7"/>
  <c r="Z907" i="7"/>
  <c r="Y907" i="7"/>
  <c r="X907" i="7"/>
  <c r="W907" i="7"/>
  <c r="AL906" i="7"/>
  <c r="AK906" i="7"/>
  <c r="AJ906" i="7"/>
  <c r="AI906" i="7"/>
  <c r="AH906" i="7"/>
  <c r="AG906" i="7"/>
  <c r="AF906" i="7"/>
  <c r="AE906" i="7"/>
  <c r="AD906" i="7"/>
  <c r="AC906" i="7"/>
  <c r="AB906" i="7"/>
  <c r="AA906" i="7"/>
  <c r="Z906" i="7"/>
  <c r="Y906" i="7"/>
  <c r="X906" i="7"/>
  <c r="W906" i="7"/>
  <c r="AL905" i="7"/>
  <c r="AK905" i="7"/>
  <c r="AJ905" i="7"/>
  <c r="AI905" i="7"/>
  <c r="AH905" i="7"/>
  <c r="AG905" i="7"/>
  <c r="AF905" i="7"/>
  <c r="AE905" i="7"/>
  <c r="AD905" i="7"/>
  <c r="AC905" i="7"/>
  <c r="AB905" i="7"/>
  <c r="AA905" i="7"/>
  <c r="Z905" i="7"/>
  <c r="Y905" i="7"/>
  <c r="X905" i="7"/>
  <c r="W905" i="7"/>
  <c r="AL904" i="7"/>
  <c r="AK904" i="7"/>
  <c r="AJ904" i="7"/>
  <c r="AI904" i="7"/>
  <c r="AH904" i="7"/>
  <c r="AG904" i="7"/>
  <c r="AF904" i="7"/>
  <c r="AE904" i="7"/>
  <c r="AD904" i="7"/>
  <c r="AC904" i="7"/>
  <c r="AB904" i="7"/>
  <c r="AA904" i="7"/>
  <c r="Z904" i="7"/>
  <c r="Y904" i="7"/>
  <c r="X904" i="7"/>
  <c r="W904" i="7"/>
  <c r="AL903" i="7"/>
  <c r="AK903" i="7"/>
  <c r="AJ903" i="7"/>
  <c r="AI903" i="7"/>
  <c r="AH903" i="7"/>
  <c r="AG903" i="7"/>
  <c r="AF903" i="7"/>
  <c r="AE903" i="7"/>
  <c r="AD903" i="7"/>
  <c r="AC903" i="7"/>
  <c r="AB903" i="7"/>
  <c r="AA903" i="7"/>
  <c r="Z903" i="7"/>
  <c r="Y903" i="7"/>
  <c r="X903" i="7"/>
  <c r="W903" i="7"/>
  <c r="AL902" i="7"/>
  <c r="AK902" i="7"/>
  <c r="AJ902" i="7"/>
  <c r="AI902" i="7"/>
  <c r="AH902" i="7"/>
  <c r="AG902" i="7"/>
  <c r="AF902" i="7"/>
  <c r="AE902" i="7"/>
  <c r="AD902" i="7"/>
  <c r="AC902" i="7"/>
  <c r="AB902" i="7"/>
  <c r="AA902" i="7"/>
  <c r="Z902" i="7"/>
  <c r="Y902" i="7"/>
  <c r="X902" i="7"/>
  <c r="W902" i="7"/>
  <c r="AL901" i="7"/>
  <c r="AK901" i="7"/>
  <c r="AJ901" i="7"/>
  <c r="AI901" i="7"/>
  <c r="AH901" i="7"/>
  <c r="AG901" i="7"/>
  <c r="AF901" i="7"/>
  <c r="AE901" i="7"/>
  <c r="AD901" i="7"/>
  <c r="AC901" i="7"/>
  <c r="AB901" i="7"/>
  <c r="AA901" i="7"/>
  <c r="Z901" i="7"/>
  <c r="Y901" i="7"/>
  <c r="X901" i="7"/>
  <c r="W901" i="7"/>
  <c r="AL900" i="7"/>
  <c r="AK900" i="7"/>
  <c r="AJ900" i="7"/>
  <c r="AI900" i="7"/>
  <c r="AH900" i="7"/>
  <c r="AG900" i="7"/>
  <c r="AF900" i="7"/>
  <c r="AE900" i="7"/>
  <c r="AD900" i="7"/>
  <c r="AC900" i="7"/>
  <c r="AB900" i="7"/>
  <c r="AA900" i="7"/>
  <c r="Z900" i="7"/>
  <c r="Y900" i="7"/>
  <c r="X900" i="7"/>
  <c r="W900" i="7"/>
  <c r="AL899" i="7"/>
  <c r="AK899" i="7"/>
  <c r="AJ899" i="7"/>
  <c r="AI899" i="7"/>
  <c r="AH899" i="7"/>
  <c r="AG899" i="7"/>
  <c r="AF899" i="7"/>
  <c r="AE899" i="7"/>
  <c r="AD899" i="7"/>
  <c r="AC899" i="7"/>
  <c r="AB899" i="7"/>
  <c r="AA899" i="7"/>
  <c r="Z899" i="7"/>
  <c r="Y899" i="7"/>
  <c r="X899" i="7"/>
  <c r="W899" i="7"/>
  <c r="AL898" i="7"/>
  <c r="AK898" i="7"/>
  <c r="AJ898" i="7"/>
  <c r="AI898" i="7"/>
  <c r="AH898" i="7"/>
  <c r="AG898" i="7"/>
  <c r="AF898" i="7"/>
  <c r="AE898" i="7"/>
  <c r="AD898" i="7"/>
  <c r="AC898" i="7"/>
  <c r="AB898" i="7"/>
  <c r="AA898" i="7"/>
  <c r="Z898" i="7"/>
  <c r="Y898" i="7"/>
  <c r="X898" i="7"/>
  <c r="W898" i="7"/>
  <c r="AL897" i="7"/>
  <c r="AK897" i="7"/>
  <c r="AJ897" i="7"/>
  <c r="AI897" i="7"/>
  <c r="AH897" i="7"/>
  <c r="AG897" i="7"/>
  <c r="AF897" i="7"/>
  <c r="AE897" i="7"/>
  <c r="AD897" i="7"/>
  <c r="AC897" i="7"/>
  <c r="AB897" i="7"/>
  <c r="AA897" i="7"/>
  <c r="Z897" i="7"/>
  <c r="Y897" i="7"/>
  <c r="X897" i="7"/>
  <c r="W897" i="7"/>
  <c r="AL896" i="7"/>
  <c r="AK896" i="7"/>
  <c r="AJ896" i="7"/>
  <c r="AI896" i="7"/>
  <c r="AH896" i="7"/>
  <c r="AG896" i="7"/>
  <c r="AF896" i="7"/>
  <c r="AE896" i="7"/>
  <c r="AD896" i="7"/>
  <c r="AC896" i="7"/>
  <c r="AB896" i="7"/>
  <c r="AA896" i="7"/>
  <c r="Z896" i="7"/>
  <c r="Y896" i="7"/>
  <c r="X896" i="7"/>
  <c r="W896" i="7"/>
  <c r="AL895" i="7"/>
  <c r="AK895" i="7"/>
  <c r="AJ895" i="7"/>
  <c r="AI895" i="7"/>
  <c r="AH895" i="7"/>
  <c r="AG895" i="7"/>
  <c r="AF895" i="7"/>
  <c r="AE895" i="7"/>
  <c r="AD895" i="7"/>
  <c r="AC895" i="7"/>
  <c r="AB895" i="7"/>
  <c r="AA895" i="7"/>
  <c r="Z895" i="7"/>
  <c r="Y895" i="7"/>
  <c r="X895" i="7"/>
  <c r="W895" i="7"/>
  <c r="AL894" i="7"/>
  <c r="AK894" i="7"/>
  <c r="AJ894" i="7"/>
  <c r="AI894" i="7"/>
  <c r="AH894" i="7"/>
  <c r="AG894" i="7"/>
  <c r="AF894" i="7"/>
  <c r="AE894" i="7"/>
  <c r="AD894" i="7"/>
  <c r="AC894" i="7"/>
  <c r="AB894" i="7"/>
  <c r="AA894" i="7"/>
  <c r="Z894" i="7"/>
  <c r="Y894" i="7"/>
  <c r="X894" i="7"/>
  <c r="W894" i="7"/>
  <c r="AL893" i="7"/>
  <c r="AK893" i="7"/>
  <c r="AJ893" i="7"/>
  <c r="AI893" i="7"/>
  <c r="AH893" i="7"/>
  <c r="AG893" i="7"/>
  <c r="AF893" i="7"/>
  <c r="AE893" i="7"/>
  <c r="AD893" i="7"/>
  <c r="AC893" i="7"/>
  <c r="AB893" i="7"/>
  <c r="AA893" i="7"/>
  <c r="Z893" i="7"/>
  <c r="Y893" i="7"/>
  <c r="X893" i="7"/>
  <c r="W893" i="7"/>
  <c r="AL892" i="7"/>
  <c r="AK892" i="7"/>
  <c r="AJ892" i="7"/>
  <c r="AI892" i="7"/>
  <c r="AH892" i="7"/>
  <c r="AG892" i="7"/>
  <c r="AF892" i="7"/>
  <c r="AE892" i="7"/>
  <c r="AD892" i="7"/>
  <c r="AC892" i="7"/>
  <c r="AB892" i="7"/>
  <c r="AA892" i="7"/>
  <c r="Z892" i="7"/>
  <c r="Y892" i="7"/>
  <c r="X892" i="7"/>
  <c r="W892" i="7"/>
  <c r="AL891" i="7"/>
  <c r="AK891" i="7"/>
  <c r="AJ891" i="7"/>
  <c r="AI891" i="7"/>
  <c r="AH891" i="7"/>
  <c r="AG891" i="7"/>
  <c r="AF891" i="7"/>
  <c r="AE891" i="7"/>
  <c r="AD891" i="7"/>
  <c r="AC891" i="7"/>
  <c r="AB891" i="7"/>
  <c r="AA891" i="7"/>
  <c r="Z891" i="7"/>
  <c r="Y891" i="7"/>
  <c r="X891" i="7"/>
  <c r="W891" i="7"/>
  <c r="AL890" i="7"/>
  <c r="AK890" i="7"/>
  <c r="AJ890" i="7"/>
  <c r="AI890" i="7"/>
  <c r="AH890" i="7"/>
  <c r="AG890" i="7"/>
  <c r="AF890" i="7"/>
  <c r="AE890" i="7"/>
  <c r="AD890" i="7"/>
  <c r="AC890" i="7"/>
  <c r="AB890" i="7"/>
  <c r="AA890" i="7"/>
  <c r="Z890" i="7"/>
  <c r="Y890" i="7"/>
  <c r="X890" i="7"/>
  <c r="W890" i="7"/>
  <c r="AL889" i="7"/>
  <c r="AK889" i="7"/>
  <c r="AJ889" i="7"/>
  <c r="AI889" i="7"/>
  <c r="AH889" i="7"/>
  <c r="AG889" i="7"/>
  <c r="AF889" i="7"/>
  <c r="AE889" i="7"/>
  <c r="AD889" i="7"/>
  <c r="AC889" i="7"/>
  <c r="AB889" i="7"/>
  <c r="AA889" i="7"/>
  <c r="Z889" i="7"/>
  <c r="Y889" i="7"/>
  <c r="X889" i="7"/>
  <c r="W889" i="7"/>
  <c r="AL888" i="7"/>
  <c r="AK888" i="7"/>
  <c r="AJ888" i="7"/>
  <c r="AI888" i="7"/>
  <c r="AH888" i="7"/>
  <c r="AG888" i="7"/>
  <c r="AF888" i="7"/>
  <c r="AE888" i="7"/>
  <c r="AD888" i="7"/>
  <c r="AC888" i="7"/>
  <c r="AB888" i="7"/>
  <c r="AA888" i="7"/>
  <c r="Z888" i="7"/>
  <c r="Y888" i="7"/>
  <c r="X888" i="7"/>
  <c r="W888" i="7"/>
  <c r="AL887" i="7"/>
  <c r="AK887" i="7"/>
  <c r="AJ887" i="7"/>
  <c r="AI887" i="7"/>
  <c r="AH887" i="7"/>
  <c r="AG887" i="7"/>
  <c r="AF887" i="7"/>
  <c r="AE887" i="7"/>
  <c r="AD887" i="7"/>
  <c r="AC887" i="7"/>
  <c r="AB887" i="7"/>
  <c r="AA887" i="7"/>
  <c r="Z887" i="7"/>
  <c r="Y887" i="7"/>
  <c r="X887" i="7"/>
  <c r="W887" i="7"/>
  <c r="AL886" i="7"/>
  <c r="AK886" i="7"/>
  <c r="AJ886" i="7"/>
  <c r="AI886" i="7"/>
  <c r="AH886" i="7"/>
  <c r="AG886" i="7"/>
  <c r="AF886" i="7"/>
  <c r="AE886" i="7"/>
  <c r="AD886" i="7"/>
  <c r="AC886" i="7"/>
  <c r="AB886" i="7"/>
  <c r="AA886" i="7"/>
  <c r="Z886" i="7"/>
  <c r="Y886" i="7"/>
  <c r="X886" i="7"/>
  <c r="W886" i="7"/>
  <c r="AL885" i="7"/>
  <c r="AK885" i="7"/>
  <c r="AJ885" i="7"/>
  <c r="AI885" i="7"/>
  <c r="AH885" i="7"/>
  <c r="AG885" i="7"/>
  <c r="AF885" i="7"/>
  <c r="AE885" i="7"/>
  <c r="AD885" i="7"/>
  <c r="AC885" i="7"/>
  <c r="AB885" i="7"/>
  <c r="AA885" i="7"/>
  <c r="Z885" i="7"/>
  <c r="Y885" i="7"/>
  <c r="X885" i="7"/>
  <c r="W885" i="7"/>
  <c r="AL884" i="7"/>
  <c r="AK884" i="7"/>
  <c r="AJ884" i="7"/>
  <c r="AI884" i="7"/>
  <c r="AH884" i="7"/>
  <c r="AG884" i="7"/>
  <c r="AF884" i="7"/>
  <c r="AE884" i="7"/>
  <c r="AD884" i="7"/>
  <c r="AC884" i="7"/>
  <c r="AB884" i="7"/>
  <c r="AA884" i="7"/>
  <c r="Z884" i="7"/>
  <c r="Y884" i="7"/>
  <c r="X884" i="7"/>
  <c r="W884" i="7"/>
  <c r="AL883" i="7"/>
  <c r="AK883" i="7"/>
  <c r="AJ883" i="7"/>
  <c r="AI883" i="7"/>
  <c r="AH883" i="7"/>
  <c r="AG883" i="7"/>
  <c r="AF883" i="7"/>
  <c r="AE883" i="7"/>
  <c r="AD883" i="7"/>
  <c r="AC883" i="7"/>
  <c r="AB883" i="7"/>
  <c r="AA883" i="7"/>
  <c r="Z883" i="7"/>
  <c r="Y883" i="7"/>
  <c r="X883" i="7"/>
  <c r="W883" i="7"/>
  <c r="AL878" i="7"/>
  <c r="AK878" i="7"/>
  <c r="AJ878" i="7"/>
  <c r="AI878" i="7"/>
  <c r="AH878" i="7"/>
  <c r="AG878" i="7"/>
  <c r="AF878" i="7"/>
  <c r="AE878" i="7"/>
  <c r="AD878" i="7"/>
  <c r="AC878" i="7"/>
  <c r="AB878" i="7"/>
  <c r="AA878" i="7"/>
  <c r="Z878" i="7"/>
  <c r="Y878" i="7"/>
  <c r="X878" i="7"/>
  <c r="W878" i="7"/>
  <c r="AL877" i="7"/>
  <c r="AK877" i="7"/>
  <c r="AJ877" i="7"/>
  <c r="AI877" i="7"/>
  <c r="AH877" i="7"/>
  <c r="AG877" i="7"/>
  <c r="AF877" i="7"/>
  <c r="AE877" i="7"/>
  <c r="AD877" i="7"/>
  <c r="AC877" i="7"/>
  <c r="AB877" i="7"/>
  <c r="AA877" i="7"/>
  <c r="Z877" i="7"/>
  <c r="Y877" i="7"/>
  <c r="X877" i="7"/>
  <c r="W877" i="7"/>
  <c r="AL876" i="7"/>
  <c r="AK876" i="7"/>
  <c r="AJ876" i="7"/>
  <c r="AI876" i="7"/>
  <c r="AH876" i="7"/>
  <c r="AG876" i="7"/>
  <c r="AF876" i="7"/>
  <c r="AE876" i="7"/>
  <c r="AD876" i="7"/>
  <c r="AC876" i="7"/>
  <c r="AB876" i="7"/>
  <c r="AA876" i="7"/>
  <c r="Z876" i="7"/>
  <c r="Y876" i="7"/>
  <c r="X876" i="7"/>
  <c r="W876" i="7"/>
  <c r="AL875" i="7"/>
  <c r="AK875" i="7"/>
  <c r="AJ875" i="7"/>
  <c r="AI875" i="7"/>
  <c r="AH875" i="7"/>
  <c r="AG875" i="7"/>
  <c r="AF875" i="7"/>
  <c r="AE875" i="7"/>
  <c r="AD875" i="7"/>
  <c r="AC875" i="7"/>
  <c r="AB875" i="7"/>
  <c r="AA875" i="7"/>
  <c r="Z875" i="7"/>
  <c r="Y875" i="7"/>
  <c r="X875" i="7"/>
  <c r="W875" i="7"/>
  <c r="AL874" i="7"/>
  <c r="AK874" i="7"/>
  <c r="AJ874" i="7"/>
  <c r="AI874" i="7"/>
  <c r="AH874" i="7"/>
  <c r="AG874" i="7"/>
  <c r="AF874" i="7"/>
  <c r="AE874" i="7"/>
  <c r="AD874" i="7"/>
  <c r="AC874" i="7"/>
  <c r="AB874" i="7"/>
  <c r="AA874" i="7"/>
  <c r="Z874" i="7"/>
  <c r="Y874" i="7"/>
  <c r="X874" i="7"/>
  <c r="W874" i="7"/>
  <c r="AL873" i="7"/>
  <c r="AK873" i="7"/>
  <c r="AJ873" i="7"/>
  <c r="AI873" i="7"/>
  <c r="AH873" i="7"/>
  <c r="AG873" i="7"/>
  <c r="AF873" i="7"/>
  <c r="AE873" i="7"/>
  <c r="AD873" i="7"/>
  <c r="AC873" i="7"/>
  <c r="AB873" i="7"/>
  <c r="AA873" i="7"/>
  <c r="Z873" i="7"/>
  <c r="Y873" i="7"/>
  <c r="X873" i="7"/>
  <c r="W873" i="7"/>
  <c r="AL872" i="7"/>
  <c r="AK872" i="7"/>
  <c r="AJ872" i="7"/>
  <c r="AI872" i="7"/>
  <c r="AH872" i="7"/>
  <c r="AG872" i="7"/>
  <c r="AF872" i="7"/>
  <c r="AE872" i="7"/>
  <c r="AD872" i="7"/>
  <c r="AC872" i="7"/>
  <c r="AB872" i="7"/>
  <c r="AA872" i="7"/>
  <c r="Z872" i="7"/>
  <c r="Y872" i="7"/>
  <c r="X872" i="7"/>
  <c r="W872" i="7"/>
  <c r="AL871" i="7"/>
  <c r="AK871" i="7"/>
  <c r="AJ871" i="7"/>
  <c r="AI871" i="7"/>
  <c r="AH871" i="7"/>
  <c r="AG871" i="7"/>
  <c r="AF871" i="7"/>
  <c r="AE871" i="7"/>
  <c r="AD871" i="7"/>
  <c r="AC871" i="7"/>
  <c r="AB871" i="7"/>
  <c r="AA871" i="7"/>
  <c r="Z871" i="7"/>
  <c r="Y871" i="7"/>
  <c r="X871" i="7"/>
  <c r="W871" i="7"/>
  <c r="AL870" i="7"/>
  <c r="AK870" i="7"/>
  <c r="AJ870" i="7"/>
  <c r="AI870" i="7"/>
  <c r="AH870" i="7"/>
  <c r="AG870" i="7"/>
  <c r="AF870" i="7"/>
  <c r="AE870" i="7"/>
  <c r="AD870" i="7"/>
  <c r="AC870" i="7"/>
  <c r="AB870" i="7"/>
  <c r="AA870" i="7"/>
  <c r="Z870" i="7"/>
  <c r="Y870" i="7"/>
  <c r="X870" i="7"/>
  <c r="W870" i="7"/>
  <c r="AL869" i="7"/>
  <c r="AK869" i="7"/>
  <c r="AJ869" i="7"/>
  <c r="AI869" i="7"/>
  <c r="AH869" i="7"/>
  <c r="AG869" i="7"/>
  <c r="AF869" i="7"/>
  <c r="AE869" i="7"/>
  <c r="AD869" i="7"/>
  <c r="AC869" i="7"/>
  <c r="AB869" i="7"/>
  <c r="AA869" i="7"/>
  <c r="Z869" i="7"/>
  <c r="Y869" i="7"/>
  <c r="X869" i="7"/>
  <c r="W869" i="7"/>
  <c r="AL868" i="7"/>
  <c r="AK868" i="7"/>
  <c r="AJ868" i="7"/>
  <c r="AI868" i="7"/>
  <c r="AH868" i="7"/>
  <c r="AG868" i="7"/>
  <c r="AF868" i="7"/>
  <c r="AE868" i="7"/>
  <c r="AD868" i="7"/>
  <c r="AC868" i="7"/>
  <c r="AB868" i="7"/>
  <c r="AA868" i="7"/>
  <c r="Z868" i="7"/>
  <c r="Y868" i="7"/>
  <c r="X868" i="7"/>
  <c r="W868" i="7"/>
  <c r="AL867" i="7"/>
  <c r="AK867" i="7"/>
  <c r="AJ867" i="7"/>
  <c r="AI867" i="7"/>
  <c r="AH867" i="7"/>
  <c r="AG867" i="7"/>
  <c r="AF867" i="7"/>
  <c r="AE867" i="7"/>
  <c r="AD867" i="7"/>
  <c r="AC867" i="7"/>
  <c r="AB867" i="7"/>
  <c r="AA867" i="7"/>
  <c r="Z867" i="7"/>
  <c r="Y867" i="7"/>
  <c r="X867" i="7"/>
  <c r="W867" i="7"/>
  <c r="AL866" i="7"/>
  <c r="AK866" i="7"/>
  <c r="AJ866" i="7"/>
  <c r="AI866" i="7"/>
  <c r="AH866" i="7"/>
  <c r="AG866" i="7"/>
  <c r="AF866" i="7"/>
  <c r="AE866" i="7"/>
  <c r="AD866" i="7"/>
  <c r="AC866" i="7"/>
  <c r="AB866" i="7"/>
  <c r="AA866" i="7"/>
  <c r="Z866" i="7"/>
  <c r="Y866" i="7"/>
  <c r="X866" i="7"/>
  <c r="W866" i="7"/>
  <c r="AL865" i="7"/>
  <c r="AK865" i="7"/>
  <c r="AJ865" i="7"/>
  <c r="AI865" i="7"/>
  <c r="AH865" i="7"/>
  <c r="AG865" i="7"/>
  <c r="AF865" i="7"/>
  <c r="AE865" i="7"/>
  <c r="AD865" i="7"/>
  <c r="AC865" i="7"/>
  <c r="AB865" i="7"/>
  <c r="AA865" i="7"/>
  <c r="Z865" i="7"/>
  <c r="Y865" i="7"/>
  <c r="X865" i="7"/>
  <c r="W865" i="7"/>
  <c r="AL864" i="7"/>
  <c r="AK864" i="7"/>
  <c r="AJ864" i="7"/>
  <c r="AI864" i="7"/>
  <c r="AH864" i="7"/>
  <c r="AG864" i="7"/>
  <c r="AF864" i="7"/>
  <c r="AE864" i="7"/>
  <c r="AD864" i="7"/>
  <c r="AC864" i="7"/>
  <c r="AB864" i="7"/>
  <c r="AA864" i="7"/>
  <c r="Z864" i="7"/>
  <c r="Y864" i="7"/>
  <c r="X864" i="7"/>
  <c r="W864" i="7"/>
  <c r="AL863" i="7"/>
  <c r="AK863" i="7"/>
  <c r="AJ863" i="7"/>
  <c r="AI863" i="7"/>
  <c r="AH863" i="7"/>
  <c r="AG863" i="7"/>
  <c r="AF863" i="7"/>
  <c r="AE863" i="7"/>
  <c r="AD863" i="7"/>
  <c r="AC863" i="7"/>
  <c r="AB863" i="7"/>
  <c r="AA863" i="7"/>
  <c r="Z863" i="7"/>
  <c r="Y863" i="7"/>
  <c r="X863" i="7"/>
  <c r="W863" i="7"/>
  <c r="AL862" i="7"/>
  <c r="AK862" i="7"/>
  <c r="AJ862" i="7"/>
  <c r="AI862" i="7"/>
  <c r="AH862" i="7"/>
  <c r="AG862" i="7"/>
  <c r="AF862" i="7"/>
  <c r="AE862" i="7"/>
  <c r="AD862" i="7"/>
  <c r="AC862" i="7"/>
  <c r="AB862" i="7"/>
  <c r="AA862" i="7"/>
  <c r="Z862" i="7"/>
  <c r="Y862" i="7"/>
  <c r="X862" i="7"/>
  <c r="W862" i="7"/>
  <c r="AL861" i="7"/>
  <c r="AK861" i="7"/>
  <c r="AJ861" i="7"/>
  <c r="AI861" i="7"/>
  <c r="AH861" i="7"/>
  <c r="AG861" i="7"/>
  <c r="AF861" i="7"/>
  <c r="AE861" i="7"/>
  <c r="AD861" i="7"/>
  <c r="AC861" i="7"/>
  <c r="AB861" i="7"/>
  <c r="AA861" i="7"/>
  <c r="Z861" i="7"/>
  <c r="Y861" i="7"/>
  <c r="X861" i="7"/>
  <c r="W861" i="7"/>
  <c r="AL860" i="7"/>
  <c r="AK860" i="7"/>
  <c r="AJ860" i="7"/>
  <c r="AI860" i="7"/>
  <c r="AH860" i="7"/>
  <c r="AG860" i="7"/>
  <c r="AF860" i="7"/>
  <c r="AE860" i="7"/>
  <c r="AD860" i="7"/>
  <c r="AC860" i="7"/>
  <c r="AB860" i="7"/>
  <c r="AA860" i="7"/>
  <c r="Z860" i="7"/>
  <c r="Y860" i="7"/>
  <c r="X860" i="7"/>
  <c r="W860" i="7"/>
  <c r="AL859" i="7"/>
  <c r="AK859" i="7"/>
  <c r="AJ859" i="7"/>
  <c r="AI859" i="7"/>
  <c r="AH859" i="7"/>
  <c r="AG859" i="7"/>
  <c r="AF859" i="7"/>
  <c r="AE859" i="7"/>
  <c r="AD859" i="7"/>
  <c r="AC859" i="7"/>
  <c r="AB859" i="7"/>
  <c r="AA859" i="7"/>
  <c r="Z859" i="7"/>
  <c r="Y859" i="7"/>
  <c r="X859" i="7"/>
  <c r="W859" i="7"/>
  <c r="AL858" i="7"/>
  <c r="AK858" i="7"/>
  <c r="AJ858" i="7"/>
  <c r="AI858" i="7"/>
  <c r="AH858" i="7"/>
  <c r="AG858" i="7"/>
  <c r="AF858" i="7"/>
  <c r="AE858" i="7"/>
  <c r="AD858" i="7"/>
  <c r="AC858" i="7"/>
  <c r="AB858" i="7"/>
  <c r="AA858" i="7"/>
  <c r="Z858" i="7"/>
  <c r="Y858" i="7"/>
  <c r="X858" i="7"/>
  <c r="W858" i="7"/>
  <c r="AL857" i="7"/>
  <c r="AK857" i="7"/>
  <c r="AJ857" i="7"/>
  <c r="AI857" i="7"/>
  <c r="AH857" i="7"/>
  <c r="AG857" i="7"/>
  <c r="AF857" i="7"/>
  <c r="AE857" i="7"/>
  <c r="AD857" i="7"/>
  <c r="AC857" i="7"/>
  <c r="AB857" i="7"/>
  <c r="AA857" i="7"/>
  <c r="Z857" i="7"/>
  <c r="Y857" i="7"/>
  <c r="X857" i="7"/>
  <c r="W857" i="7"/>
  <c r="AL856" i="7"/>
  <c r="AK856" i="7"/>
  <c r="AJ856" i="7"/>
  <c r="AI856" i="7"/>
  <c r="AH856" i="7"/>
  <c r="AG856" i="7"/>
  <c r="AF856" i="7"/>
  <c r="AE856" i="7"/>
  <c r="AD856" i="7"/>
  <c r="AC856" i="7"/>
  <c r="AB856" i="7"/>
  <c r="AA856" i="7"/>
  <c r="Z856" i="7"/>
  <c r="Y856" i="7"/>
  <c r="X856" i="7"/>
  <c r="W856" i="7"/>
  <c r="AL855" i="7"/>
  <c r="AK855" i="7"/>
  <c r="AJ855" i="7"/>
  <c r="AI855" i="7"/>
  <c r="AH855" i="7"/>
  <c r="AG855" i="7"/>
  <c r="AF855" i="7"/>
  <c r="AE855" i="7"/>
  <c r="AD855" i="7"/>
  <c r="AC855" i="7"/>
  <c r="AB855" i="7"/>
  <c r="AA855" i="7"/>
  <c r="Z855" i="7"/>
  <c r="Y855" i="7"/>
  <c r="X855" i="7"/>
  <c r="W855" i="7"/>
  <c r="AL854" i="7"/>
  <c r="AK854" i="7"/>
  <c r="AJ854" i="7"/>
  <c r="AI854" i="7"/>
  <c r="AH854" i="7"/>
  <c r="AG854" i="7"/>
  <c r="AF854" i="7"/>
  <c r="AE854" i="7"/>
  <c r="AD854" i="7"/>
  <c r="AC854" i="7"/>
  <c r="AB854" i="7"/>
  <c r="AA854" i="7"/>
  <c r="Z854" i="7"/>
  <c r="Y854" i="7"/>
  <c r="X854" i="7"/>
  <c r="W854" i="7"/>
  <c r="AL853" i="7"/>
  <c r="AK853" i="7"/>
  <c r="AJ853" i="7"/>
  <c r="AI853" i="7"/>
  <c r="AH853" i="7"/>
  <c r="AG853" i="7"/>
  <c r="AF853" i="7"/>
  <c r="AE853" i="7"/>
  <c r="AD853" i="7"/>
  <c r="AC853" i="7"/>
  <c r="AB853" i="7"/>
  <c r="AA853" i="7"/>
  <c r="Z853" i="7"/>
  <c r="Y853" i="7"/>
  <c r="X853" i="7"/>
  <c r="W853" i="7"/>
  <c r="AL852" i="7"/>
  <c r="AK852" i="7"/>
  <c r="AJ852" i="7"/>
  <c r="AI852" i="7"/>
  <c r="AH852" i="7"/>
  <c r="AG852" i="7"/>
  <c r="AF852" i="7"/>
  <c r="AE852" i="7"/>
  <c r="AD852" i="7"/>
  <c r="AC852" i="7"/>
  <c r="AB852" i="7"/>
  <c r="AA852" i="7"/>
  <c r="Z852" i="7"/>
  <c r="Y852" i="7"/>
  <c r="X852" i="7"/>
  <c r="W852" i="7"/>
  <c r="AL851" i="7"/>
  <c r="AK851" i="7"/>
  <c r="AJ851" i="7"/>
  <c r="AI851" i="7"/>
  <c r="AH851" i="7"/>
  <c r="AG851" i="7"/>
  <c r="AF851" i="7"/>
  <c r="AE851" i="7"/>
  <c r="AD851" i="7"/>
  <c r="AC851" i="7"/>
  <c r="AB851" i="7"/>
  <c r="AA851" i="7"/>
  <c r="Z851" i="7"/>
  <c r="Y851" i="7"/>
  <c r="X851" i="7"/>
  <c r="W851" i="7"/>
  <c r="AL850" i="7"/>
  <c r="AK850" i="7"/>
  <c r="AJ850" i="7"/>
  <c r="AI850" i="7"/>
  <c r="AH850" i="7"/>
  <c r="AG850" i="7"/>
  <c r="AF850" i="7"/>
  <c r="AE850" i="7"/>
  <c r="AD850" i="7"/>
  <c r="AC850" i="7"/>
  <c r="AB850" i="7"/>
  <c r="AA850" i="7"/>
  <c r="Z850" i="7"/>
  <c r="Y850" i="7"/>
  <c r="X850" i="7"/>
  <c r="W850" i="7"/>
  <c r="AL849" i="7"/>
  <c r="AK849" i="7"/>
  <c r="AJ849" i="7"/>
  <c r="AI849" i="7"/>
  <c r="AH849" i="7"/>
  <c r="AG849" i="7"/>
  <c r="AF849" i="7"/>
  <c r="AE849" i="7"/>
  <c r="AD849" i="7"/>
  <c r="AC849" i="7"/>
  <c r="AB849" i="7"/>
  <c r="AA849" i="7"/>
  <c r="Z849" i="7"/>
  <c r="Y849" i="7"/>
  <c r="X849" i="7"/>
  <c r="W849" i="7"/>
  <c r="AL848" i="7"/>
  <c r="AK848" i="7"/>
  <c r="AJ848" i="7"/>
  <c r="AI848" i="7"/>
  <c r="AH848" i="7"/>
  <c r="AG848" i="7"/>
  <c r="AF848" i="7"/>
  <c r="AE848" i="7"/>
  <c r="AD848" i="7"/>
  <c r="AC848" i="7"/>
  <c r="AB848" i="7"/>
  <c r="AA848" i="7"/>
  <c r="Z848" i="7"/>
  <c r="Y848" i="7"/>
  <c r="X848" i="7"/>
  <c r="W848" i="7"/>
  <c r="AL847" i="7"/>
  <c r="AK847" i="7"/>
  <c r="AJ847" i="7"/>
  <c r="AI847" i="7"/>
  <c r="AH847" i="7"/>
  <c r="AG847" i="7"/>
  <c r="AF847" i="7"/>
  <c r="AE847" i="7"/>
  <c r="AD847" i="7"/>
  <c r="AC847" i="7"/>
  <c r="AB847" i="7"/>
  <c r="AA847" i="7"/>
  <c r="Z847" i="7"/>
  <c r="Y847" i="7"/>
  <c r="X847" i="7"/>
  <c r="W847" i="7"/>
  <c r="AL846" i="7"/>
  <c r="AK846" i="7"/>
  <c r="AJ846" i="7"/>
  <c r="AI846" i="7"/>
  <c r="AH846" i="7"/>
  <c r="AG846" i="7"/>
  <c r="AF846" i="7"/>
  <c r="AE846" i="7"/>
  <c r="AD846" i="7"/>
  <c r="AC846" i="7"/>
  <c r="AB846" i="7"/>
  <c r="AA846" i="7"/>
  <c r="Z846" i="7"/>
  <c r="Y846" i="7"/>
  <c r="X846" i="7"/>
  <c r="W846" i="7"/>
  <c r="AL845" i="7"/>
  <c r="AK845" i="7"/>
  <c r="AJ845" i="7"/>
  <c r="AI845" i="7"/>
  <c r="AH845" i="7"/>
  <c r="AG845" i="7"/>
  <c r="AF845" i="7"/>
  <c r="AE845" i="7"/>
  <c r="AD845" i="7"/>
  <c r="AC845" i="7"/>
  <c r="AB845" i="7"/>
  <c r="AA845" i="7"/>
  <c r="Z845" i="7"/>
  <c r="Y845" i="7"/>
  <c r="X845" i="7"/>
  <c r="W845" i="7"/>
  <c r="AL844" i="7"/>
  <c r="AK844" i="7"/>
  <c r="AJ844" i="7"/>
  <c r="AI844" i="7"/>
  <c r="AH844" i="7"/>
  <c r="AG844" i="7"/>
  <c r="AF844" i="7"/>
  <c r="AE844" i="7"/>
  <c r="AD844" i="7"/>
  <c r="AC844" i="7"/>
  <c r="AB844" i="7"/>
  <c r="AA844" i="7"/>
  <c r="Z844" i="7"/>
  <c r="Y844" i="7"/>
  <c r="X844" i="7"/>
  <c r="W844" i="7"/>
  <c r="AL843" i="7"/>
  <c r="AK843" i="7"/>
  <c r="AJ843" i="7"/>
  <c r="AI843" i="7"/>
  <c r="AH843" i="7"/>
  <c r="AG843" i="7"/>
  <c r="AF843" i="7"/>
  <c r="AE843" i="7"/>
  <c r="AD843" i="7"/>
  <c r="AC843" i="7"/>
  <c r="AB843" i="7"/>
  <c r="AA843" i="7"/>
  <c r="Z843" i="7"/>
  <c r="Y843" i="7"/>
  <c r="X843" i="7"/>
  <c r="W843" i="7"/>
  <c r="AL842" i="7"/>
  <c r="AK842" i="7"/>
  <c r="AJ842" i="7"/>
  <c r="AI842" i="7"/>
  <c r="AH842" i="7"/>
  <c r="AG842" i="7"/>
  <c r="AF842" i="7"/>
  <c r="AE842" i="7"/>
  <c r="AD842" i="7"/>
  <c r="AC842" i="7"/>
  <c r="AB842" i="7"/>
  <c r="AA842" i="7"/>
  <c r="Z842" i="7"/>
  <c r="Y842" i="7"/>
  <c r="X842" i="7"/>
  <c r="W842" i="7"/>
  <c r="AL841" i="7"/>
  <c r="AK841" i="7"/>
  <c r="AJ841" i="7"/>
  <c r="AI841" i="7"/>
  <c r="AH841" i="7"/>
  <c r="AG841" i="7"/>
  <c r="AF841" i="7"/>
  <c r="AE841" i="7"/>
  <c r="AD841" i="7"/>
  <c r="AC841" i="7"/>
  <c r="AB841" i="7"/>
  <c r="AA841" i="7"/>
  <c r="Z841" i="7"/>
  <c r="Y841" i="7"/>
  <c r="X841" i="7"/>
  <c r="W841" i="7"/>
  <c r="AL840" i="7"/>
  <c r="AK840" i="7"/>
  <c r="AJ840" i="7"/>
  <c r="AI840" i="7"/>
  <c r="AH840" i="7"/>
  <c r="AG840" i="7"/>
  <c r="AF840" i="7"/>
  <c r="AE840" i="7"/>
  <c r="AD840" i="7"/>
  <c r="AC840" i="7"/>
  <c r="AB840" i="7"/>
  <c r="AA840" i="7"/>
  <c r="Z840" i="7"/>
  <c r="Y840" i="7"/>
  <c r="X840" i="7"/>
  <c r="W840" i="7"/>
  <c r="AL839" i="7"/>
  <c r="AK839" i="7"/>
  <c r="AJ839" i="7"/>
  <c r="AI839" i="7"/>
  <c r="AH839" i="7"/>
  <c r="AG839" i="7"/>
  <c r="AF839" i="7"/>
  <c r="AE839" i="7"/>
  <c r="AD839" i="7"/>
  <c r="AC839" i="7"/>
  <c r="AB839" i="7"/>
  <c r="AA839" i="7"/>
  <c r="Z839" i="7"/>
  <c r="Y839" i="7"/>
  <c r="X839" i="7"/>
  <c r="W839" i="7"/>
  <c r="AL834" i="7"/>
  <c r="AK834" i="7"/>
  <c r="AJ834" i="7"/>
  <c r="AI834" i="7"/>
  <c r="AH834" i="7"/>
  <c r="AG834" i="7"/>
  <c r="AF834" i="7"/>
  <c r="AE834" i="7"/>
  <c r="AD834" i="7"/>
  <c r="AC834" i="7"/>
  <c r="AB834" i="7"/>
  <c r="AA834" i="7"/>
  <c r="Z834" i="7"/>
  <c r="Y834" i="7"/>
  <c r="X834" i="7"/>
  <c r="W834" i="7"/>
  <c r="AL833" i="7"/>
  <c r="AK833" i="7"/>
  <c r="AJ833" i="7"/>
  <c r="AI833" i="7"/>
  <c r="AH833" i="7"/>
  <c r="AG833" i="7"/>
  <c r="AF833" i="7"/>
  <c r="AE833" i="7"/>
  <c r="AD833" i="7"/>
  <c r="AC833" i="7"/>
  <c r="AB833" i="7"/>
  <c r="AA833" i="7"/>
  <c r="Z833" i="7"/>
  <c r="Y833" i="7"/>
  <c r="X833" i="7"/>
  <c r="W833" i="7"/>
  <c r="AL832" i="7"/>
  <c r="AK832" i="7"/>
  <c r="AJ832" i="7"/>
  <c r="AI832" i="7"/>
  <c r="AH832" i="7"/>
  <c r="AG832" i="7"/>
  <c r="AF832" i="7"/>
  <c r="AE832" i="7"/>
  <c r="AD832" i="7"/>
  <c r="AC832" i="7"/>
  <c r="AB832" i="7"/>
  <c r="AA832" i="7"/>
  <c r="Z832" i="7"/>
  <c r="Y832" i="7"/>
  <c r="X832" i="7"/>
  <c r="W832" i="7"/>
  <c r="AL831" i="7"/>
  <c r="AK831" i="7"/>
  <c r="AJ831" i="7"/>
  <c r="AI831" i="7"/>
  <c r="AH831" i="7"/>
  <c r="AG831" i="7"/>
  <c r="AF831" i="7"/>
  <c r="AE831" i="7"/>
  <c r="AD831" i="7"/>
  <c r="AC831" i="7"/>
  <c r="AB831" i="7"/>
  <c r="AA831" i="7"/>
  <c r="Z831" i="7"/>
  <c r="Y831" i="7"/>
  <c r="X831" i="7"/>
  <c r="W831" i="7"/>
  <c r="AL830" i="7"/>
  <c r="AK830" i="7"/>
  <c r="AJ830" i="7"/>
  <c r="AI830" i="7"/>
  <c r="AH830" i="7"/>
  <c r="AG830" i="7"/>
  <c r="AF830" i="7"/>
  <c r="AE830" i="7"/>
  <c r="AD830" i="7"/>
  <c r="AC830" i="7"/>
  <c r="AB830" i="7"/>
  <c r="AA830" i="7"/>
  <c r="Z830" i="7"/>
  <c r="Y830" i="7"/>
  <c r="X830" i="7"/>
  <c r="W830" i="7"/>
  <c r="AL829" i="7"/>
  <c r="AK829" i="7"/>
  <c r="AJ829" i="7"/>
  <c r="AI829" i="7"/>
  <c r="AH829" i="7"/>
  <c r="AG829" i="7"/>
  <c r="AF829" i="7"/>
  <c r="AE829" i="7"/>
  <c r="AD829" i="7"/>
  <c r="AC829" i="7"/>
  <c r="AB829" i="7"/>
  <c r="AA829" i="7"/>
  <c r="Z829" i="7"/>
  <c r="Y829" i="7"/>
  <c r="X829" i="7"/>
  <c r="W829" i="7"/>
  <c r="AL828" i="7"/>
  <c r="AK828" i="7"/>
  <c r="AJ828" i="7"/>
  <c r="AI828" i="7"/>
  <c r="AH828" i="7"/>
  <c r="AG828" i="7"/>
  <c r="AF828" i="7"/>
  <c r="AE828" i="7"/>
  <c r="AD828" i="7"/>
  <c r="AC828" i="7"/>
  <c r="AB828" i="7"/>
  <c r="AA828" i="7"/>
  <c r="Z828" i="7"/>
  <c r="Y828" i="7"/>
  <c r="X828" i="7"/>
  <c r="W828" i="7"/>
  <c r="AL827" i="7"/>
  <c r="AK827" i="7"/>
  <c r="AJ827" i="7"/>
  <c r="AI827" i="7"/>
  <c r="AH827" i="7"/>
  <c r="AG827" i="7"/>
  <c r="AF827" i="7"/>
  <c r="AE827" i="7"/>
  <c r="AD827" i="7"/>
  <c r="AC827" i="7"/>
  <c r="AB827" i="7"/>
  <c r="AA827" i="7"/>
  <c r="Z827" i="7"/>
  <c r="Y827" i="7"/>
  <c r="X827" i="7"/>
  <c r="W827" i="7"/>
  <c r="AL826" i="7"/>
  <c r="AK826" i="7"/>
  <c r="AJ826" i="7"/>
  <c r="AI826" i="7"/>
  <c r="AH826" i="7"/>
  <c r="AG826" i="7"/>
  <c r="AF826" i="7"/>
  <c r="AE826" i="7"/>
  <c r="AD826" i="7"/>
  <c r="AC826" i="7"/>
  <c r="AB826" i="7"/>
  <c r="AA826" i="7"/>
  <c r="Z826" i="7"/>
  <c r="Y826" i="7"/>
  <c r="X826" i="7"/>
  <c r="W826" i="7"/>
  <c r="AL825" i="7"/>
  <c r="AK825" i="7"/>
  <c r="AJ825" i="7"/>
  <c r="AI825" i="7"/>
  <c r="AH825" i="7"/>
  <c r="AG825" i="7"/>
  <c r="AF825" i="7"/>
  <c r="AE825" i="7"/>
  <c r="AD825" i="7"/>
  <c r="AC825" i="7"/>
  <c r="AB825" i="7"/>
  <c r="AA825" i="7"/>
  <c r="Z825" i="7"/>
  <c r="Y825" i="7"/>
  <c r="X825" i="7"/>
  <c r="W825" i="7"/>
  <c r="AL824" i="7"/>
  <c r="AK824" i="7"/>
  <c r="AJ824" i="7"/>
  <c r="AI824" i="7"/>
  <c r="AH824" i="7"/>
  <c r="AG824" i="7"/>
  <c r="AF824" i="7"/>
  <c r="AE824" i="7"/>
  <c r="AD824" i="7"/>
  <c r="AC824" i="7"/>
  <c r="AB824" i="7"/>
  <c r="AA824" i="7"/>
  <c r="Z824" i="7"/>
  <c r="Y824" i="7"/>
  <c r="X824" i="7"/>
  <c r="W824" i="7"/>
  <c r="AL823" i="7"/>
  <c r="AK823" i="7"/>
  <c r="AJ823" i="7"/>
  <c r="AI823" i="7"/>
  <c r="AH823" i="7"/>
  <c r="AG823" i="7"/>
  <c r="AF823" i="7"/>
  <c r="AE823" i="7"/>
  <c r="AD823" i="7"/>
  <c r="AC823" i="7"/>
  <c r="AB823" i="7"/>
  <c r="AA823" i="7"/>
  <c r="Z823" i="7"/>
  <c r="Y823" i="7"/>
  <c r="X823" i="7"/>
  <c r="W823" i="7"/>
  <c r="AL822" i="7"/>
  <c r="AK822" i="7"/>
  <c r="AJ822" i="7"/>
  <c r="AI822" i="7"/>
  <c r="AH822" i="7"/>
  <c r="AG822" i="7"/>
  <c r="AF822" i="7"/>
  <c r="AE822" i="7"/>
  <c r="AD822" i="7"/>
  <c r="AC822" i="7"/>
  <c r="AB822" i="7"/>
  <c r="AA822" i="7"/>
  <c r="Z822" i="7"/>
  <c r="Y822" i="7"/>
  <c r="X822" i="7"/>
  <c r="W822" i="7"/>
  <c r="AL821" i="7"/>
  <c r="AK821" i="7"/>
  <c r="AJ821" i="7"/>
  <c r="AI821" i="7"/>
  <c r="AH821" i="7"/>
  <c r="AG821" i="7"/>
  <c r="AF821" i="7"/>
  <c r="AE821" i="7"/>
  <c r="AD821" i="7"/>
  <c r="AC821" i="7"/>
  <c r="AB821" i="7"/>
  <c r="AA821" i="7"/>
  <c r="Z821" i="7"/>
  <c r="Y821" i="7"/>
  <c r="X821" i="7"/>
  <c r="W821" i="7"/>
  <c r="AL820" i="7"/>
  <c r="AK820" i="7"/>
  <c r="AJ820" i="7"/>
  <c r="AI820" i="7"/>
  <c r="AH820" i="7"/>
  <c r="AG820" i="7"/>
  <c r="AF820" i="7"/>
  <c r="AE820" i="7"/>
  <c r="AD820" i="7"/>
  <c r="AC820" i="7"/>
  <c r="AB820" i="7"/>
  <c r="AA820" i="7"/>
  <c r="Z820" i="7"/>
  <c r="Y820" i="7"/>
  <c r="X820" i="7"/>
  <c r="W820" i="7"/>
  <c r="AL819" i="7"/>
  <c r="AK819" i="7"/>
  <c r="AJ819" i="7"/>
  <c r="AI819" i="7"/>
  <c r="AH819" i="7"/>
  <c r="AG819" i="7"/>
  <c r="AF819" i="7"/>
  <c r="AE819" i="7"/>
  <c r="AD819" i="7"/>
  <c r="AC819" i="7"/>
  <c r="AB819" i="7"/>
  <c r="AA819" i="7"/>
  <c r="Z819" i="7"/>
  <c r="Y819" i="7"/>
  <c r="X819" i="7"/>
  <c r="W819" i="7"/>
  <c r="AL818" i="7"/>
  <c r="AK818" i="7"/>
  <c r="AJ818" i="7"/>
  <c r="AI818" i="7"/>
  <c r="AH818" i="7"/>
  <c r="AG818" i="7"/>
  <c r="AF818" i="7"/>
  <c r="AE818" i="7"/>
  <c r="AD818" i="7"/>
  <c r="AC818" i="7"/>
  <c r="AB818" i="7"/>
  <c r="AA818" i="7"/>
  <c r="Z818" i="7"/>
  <c r="Y818" i="7"/>
  <c r="X818" i="7"/>
  <c r="W818" i="7"/>
  <c r="AL817" i="7"/>
  <c r="AK817" i="7"/>
  <c r="AJ817" i="7"/>
  <c r="AI817" i="7"/>
  <c r="AH817" i="7"/>
  <c r="AG817" i="7"/>
  <c r="AF817" i="7"/>
  <c r="AE817" i="7"/>
  <c r="AD817" i="7"/>
  <c r="AC817" i="7"/>
  <c r="AB817" i="7"/>
  <c r="AA817" i="7"/>
  <c r="Z817" i="7"/>
  <c r="Y817" i="7"/>
  <c r="X817" i="7"/>
  <c r="W817" i="7"/>
  <c r="AL816" i="7"/>
  <c r="AK816" i="7"/>
  <c r="AJ816" i="7"/>
  <c r="AI816" i="7"/>
  <c r="AH816" i="7"/>
  <c r="AG816" i="7"/>
  <c r="AF816" i="7"/>
  <c r="AE816" i="7"/>
  <c r="AD816" i="7"/>
  <c r="AC816" i="7"/>
  <c r="AB816" i="7"/>
  <c r="AA816" i="7"/>
  <c r="Z816" i="7"/>
  <c r="Y816" i="7"/>
  <c r="X816" i="7"/>
  <c r="W816" i="7"/>
  <c r="AL815" i="7"/>
  <c r="AK815" i="7"/>
  <c r="AJ815" i="7"/>
  <c r="AI815" i="7"/>
  <c r="AH815" i="7"/>
  <c r="AG815" i="7"/>
  <c r="AF815" i="7"/>
  <c r="AE815" i="7"/>
  <c r="AD815" i="7"/>
  <c r="AC815" i="7"/>
  <c r="AB815" i="7"/>
  <c r="AA815" i="7"/>
  <c r="Z815" i="7"/>
  <c r="Y815" i="7"/>
  <c r="X815" i="7"/>
  <c r="W815" i="7"/>
  <c r="AL814" i="7"/>
  <c r="AK814" i="7"/>
  <c r="AJ814" i="7"/>
  <c r="AI814" i="7"/>
  <c r="AH814" i="7"/>
  <c r="AG814" i="7"/>
  <c r="AF814" i="7"/>
  <c r="AE814" i="7"/>
  <c r="AD814" i="7"/>
  <c r="AC814" i="7"/>
  <c r="AB814" i="7"/>
  <c r="AA814" i="7"/>
  <c r="Z814" i="7"/>
  <c r="Y814" i="7"/>
  <c r="X814" i="7"/>
  <c r="W814" i="7"/>
  <c r="AL813" i="7"/>
  <c r="AK813" i="7"/>
  <c r="AJ813" i="7"/>
  <c r="AI813" i="7"/>
  <c r="AH813" i="7"/>
  <c r="AG813" i="7"/>
  <c r="AF813" i="7"/>
  <c r="AE813" i="7"/>
  <c r="AD813" i="7"/>
  <c r="AC813" i="7"/>
  <c r="AB813" i="7"/>
  <c r="AA813" i="7"/>
  <c r="Z813" i="7"/>
  <c r="Y813" i="7"/>
  <c r="X813" i="7"/>
  <c r="W813" i="7"/>
  <c r="AL812" i="7"/>
  <c r="AK812" i="7"/>
  <c r="AJ812" i="7"/>
  <c r="AI812" i="7"/>
  <c r="AH812" i="7"/>
  <c r="AG812" i="7"/>
  <c r="AF812" i="7"/>
  <c r="AE812" i="7"/>
  <c r="AD812" i="7"/>
  <c r="AC812" i="7"/>
  <c r="AB812" i="7"/>
  <c r="AA812" i="7"/>
  <c r="Z812" i="7"/>
  <c r="Y812" i="7"/>
  <c r="X812" i="7"/>
  <c r="W812" i="7"/>
  <c r="AL811" i="7"/>
  <c r="AK811" i="7"/>
  <c r="AJ811" i="7"/>
  <c r="AI811" i="7"/>
  <c r="AH811" i="7"/>
  <c r="AG811" i="7"/>
  <c r="AF811" i="7"/>
  <c r="AE811" i="7"/>
  <c r="AD811" i="7"/>
  <c r="AC811" i="7"/>
  <c r="AB811" i="7"/>
  <c r="AA811" i="7"/>
  <c r="Z811" i="7"/>
  <c r="Y811" i="7"/>
  <c r="X811" i="7"/>
  <c r="W811" i="7"/>
  <c r="AL810" i="7"/>
  <c r="AK810" i="7"/>
  <c r="AJ810" i="7"/>
  <c r="AI810" i="7"/>
  <c r="AH810" i="7"/>
  <c r="AG810" i="7"/>
  <c r="AF810" i="7"/>
  <c r="AE810" i="7"/>
  <c r="AD810" i="7"/>
  <c r="AC810" i="7"/>
  <c r="AB810" i="7"/>
  <c r="AA810" i="7"/>
  <c r="Z810" i="7"/>
  <c r="Y810" i="7"/>
  <c r="X810" i="7"/>
  <c r="W810" i="7"/>
  <c r="AL809" i="7"/>
  <c r="AK809" i="7"/>
  <c r="AJ809" i="7"/>
  <c r="AI809" i="7"/>
  <c r="AH809" i="7"/>
  <c r="AG809" i="7"/>
  <c r="AF809" i="7"/>
  <c r="AE809" i="7"/>
  <c r="AD809" i="7"/>
  <c r="AC809" i="7"/>
  <c r="AB809" i="7"/>
  <c r="AA809" i="7"/>
  <c r="Z809" i="7"/>
  <c r="Y809" i="7"/>
  <c r="X809" i="7"/>
  <c r="W809" i="7"/>
  <c r="AL808" i="7"/>
  <c r="AK808" i="7"/>
  <c r="AJ808" i="7"/>
  <c r="AI808" i="7"/>
  <c r="AH808" i="7"/>
  <c r="AG808" i="7"/>
  <c r="AF808" i="7"/>
  <c r="AE808" i="7"/>
  <c r="AD808" i="7"/>
  <c r="AC808" i="7"/>
  <c r="AB808" i="7"/>
  <c r="AA808" i="7"/>
  <c r="Z808" i="7"/>
  <c r="Y808" i="7"/>
  <c r="X808" i="7"/>
  <c r="W808" i="7"/>
  <c r="AL807" i="7"/>
  <c r="AK807" i="7"/>
  <c r="AJ807" i="7"/>
  <c r="AI807" i="7"/>
  <c r="AH807" i="7"/>
  <c r="AG807" i="7"/>
  <c r="AF807" i="7"/>
  <c r="AE807" i="7"/>
  <c r="AD807" i="7"/>
  <c r="AC807" i="7"/>
  <c r="AB807" i="7"/>
  <c r="AA807" i="7"/>
  <c r="Z807" i="7"/>
  <c r="Y807" i="7"/>
  <c r="X807" i="7"/>
  <c r="W807" i="7"/>
  <c r="AL806" i="7"/>
  <c r="AK806" i="7"/>
  <c r="AJ806" i="7"/>
  <c r="AI806" i="7"/>
  <c r="AH806" i="7"/>
  <c r="AG806" i="7"/>
  <c r="AF806" i="7"/>
  <c r="AE806" i="7"/>
  <c r="AD806" i="7"/>
  <c r="AC806" i="7"/>
  <c r="AB806" i="7"/>
  <c r="AA806" i="7"/>
  <c r="Z806" i="7"/>
  <c r="Y806" i="7"/>
  <c r="X806" i="7"/>
  <c r="W806" i="7"/>
  <c r="AL805" i="7"/>
  <c r="AK805" i="7"/>
  <c r="AJ805" i="7"/>
  <c r="AI805" i="7"/>
  <c r="AH805" i="7"/>
  <c r="AG805" i="7"/>
  <c r="AF805" i="7"/>
  <c r="AE805" i="7"/>
  <c r="AD805" i="7"/>
  <c r="AC805" i="7"/>
  <c r="AB805" i="7"/>
  <c r="AA805" i="7"/>
  <c r="Z805" i="7"/>
  <c r="Y805" i="7"/>
  <c r="X805" i="7"/>
  <c r="W805" i="7"/>
  <c r="AL804" i="7"/>
  <c r="AK804" i="7"/>
  <c r="AJ804" i="7"/>
  <c r="AI804" i="7"/>
  <c r="AH804" i="7"/>
  <c r="AG804" i="7"/>
  <c r="AF804" i="7"/>
  <c r="AE804" i="7"/>
  <c r="AD804" i="7"/>
  <c r="AC804" i="7"/>
  <c r="AB804" i="7"/>
  <c r="AA804" i="7"/>
  <c r="Z804" i="7"/>
  <c r="Y804" i="7"/>
  <c r="X804" i="7"/>
  <c r="W804" i="7"/>
  <c r="AL803" i="7"/>
  <c r="AK803" i="7"/>
  <c r="AJ803" i="7"/>
  <c r="AI803" i="7"/>
  <c r="AH803" i="7"/>
  <c r="AG803" i="7"/>
  <c r="AF803" i="7"/>
  <c r="AE803" i="7"/>
  <c r="AD803" i="7"/>
  <c r="AC803" i="7"/>
  <c r="AB803" i="7"/>
  <c r="AA803" i="7"/>
  <c r="Z803" i="7"/>
  <c r="Y803" i="7"/>
  <c r="X803" i="7"/>
  <c r="W803" i="7"/>
  <c r="AL802" i="7"/>
  <c r="AK802" i="7"/>
  <c r="AJ802" i="7"/>
  <c r="AI802" i="7"/>
  <c r="AH802" i="7"/>
  <c r="AG802" i="7"/>
  <c r="AF802" i="7"/>
  <c r="AE802" i="7"/>
  <c r="AD802" i="7"/>
  <c r="AC802" i="7"/>
  <c r="AB802" i="7"/>
  <c r="AA802" i="7"/>
  <c r="Z802" i="7"/>
  <c r="Y802" i="7"/>
  <c r="X802" i="7"/>
  <c r="W802" i="7"/>
  <c r="AL801" i="7"/>
  <c r="AK801" i="7"/>
  <c r="AJ801" i="7"/>
  <c r="AI801" i="7"/>
  <c r="AH801" i="7"/>
  <c r="AG801" i="7"/>
  <c r="AF801" i="7"/>
  <c r="AE801" i="7"/>
  <c r="AD801" i="7"/>
  <c r="AC801" i="7"/>
  <c r="AB801" i="7"/>
  <c r="AA801" i="7"/>
  <c r="Z801" i="7"/>
  <c r="Y801" i="7"/>
  <c r="X801" i="7"/>
  <c r="W801" i="7"/>
  <c r="AL800" i="7"/>
  <c r="AK800" i="7"/>
  <c r="AJ800" i="7"/>
  <c r="AI800" i="7"/>
  <c r="AH800" i="7"/>
  <c r="AG800" i="7"/>
  <c r="AF800" i="7"/>
  <c r="AE800" i="7"/>
  <c r="AD800" i="7"/>
  <c r="AC800" i="7"/>
  <c r="AB800" i="7"/>
  <c r="AA800" i="7"/>
  <c r="Z800" i="7"/>
  <c r="Y800" i="7"/>
  <c r="X800" i="7"/>
  <c r="W800" i="7"/>
  <c r="AL799" i="7"/>
  <c r="AK799" i="7"/>
  <c r="AJ799" i="7"/>
  <c r="AI799" i="7"/>
  <c r="AH799" i="7"/>
  <c r="AG799" i="7"/>
  <c r="AF799" i="7"/>
  <c r="AE799" i="7"/>
  <c r="AD799" i="7"/>
  <c r="AC799" i="7"/>
  <c r="AB799" i="7"/>
  <c r="AA799" i="7"/>
  <c r="Z799" i="7"/>
  <c r="Y799" i="7"/>
  <c r="X799" i="7"/>
  <c r="W799" i="7"/>
  <c r="AL798" i="7"/>
  <c r="AK798" i="7"/>
  <c r="AJ798" i="7"/>
  <c r="AI798" i="7"/>
  <c r="AH798" i="7"/>
  <c r="AG798" i="7"/>
  <c r="AF798" i="7"/>
  <c r="AE798" i="7"/>
  <c r="AD798" i="7"/>
  <c r="AC798" i="7"/>
  <c r="AB798" i="7"/>
  <c r="AA798" i="7"/>
  <c r="Z798" i="7"/>
  <c r="Y798" i="7"/>
  <c r="X798" i="7"/>
  <c r="W798" i="7"/>
  <c r="AL797" i="7"/>
  <c r="AK797" i="7"/>
  <c r="AJ797" i="7"/>
  <c r="AI797" i="7"/>
  <c r="AH797" i="7"/>
  <c r="AG797" i="7"/>
  <c r="AF797" i="7"/>
  <c r="AE797" i="7"/>
  <c r="AD797" i="7"/>
  <c r="AC797" i="7"/>
  <c r="AB797" i="7"/>
  <c r="AA797" i="7"/>
  <c r="Z797" i="7"/>
  <c r="Y797" i="7"/>
  <c r="X797" i="7"/>
  <c r="W797" i="7"/>
  <c r="AL796" i="7"/>
  <c r="AK796" i="7"/>
  <c r="AJ796" i="7"/>
  <c r="AI796" i="7"/>
  <c r="AH796" i="7"/>
  <c r="AG796" i="7"/>
  <c r="AF796" i="7"/>
  <c r="AE796" i="7"/>
  <c r="AD796" i="7"/>
  <c r="AC796" i="7"/>
  <c r="AB796" i="7"/>
  <c r="AA796" i="7"/>
  <c r="Z796" i="7"/>
  <c r="Y796" i="7"/>
  <c r="X796" i="7"/>
  <c r="W796" i="7"/>
  <c r="AL795" i="7"/>
  <c r="AK795" i="7"/>
  <c r="AJ795" i="7"/>
  <c r="AI795" i="7"/>
  <c r="AH795" i="7"/>
  <c r="AG795" i="7"/>
  <c r="AF795" i="7"/>
  <c r="AE795" i="7"/>
  <c r="AD795" i="7"/>
  <c r="AC795" i="7"/>
  <c r="AB795" i="7"/>
  <c r="AA795" i="7"/>
  <c r="Z795" i="7"/>
  <c r="Y795" i="7"/>
  <c r="X795" i="7"/>
  <c r="W795" i="7"/>
  <c r="AL790" i="7"/>
  <c r="AK790" i="7"/>
  <c r="AJ790" i="7"/>
  <c r="AI790" i="7"/>
  <c r="AH790" i="7"/>
  <c r="AG790" i="7"/>
  <c r="AF790" i="7"/>
  <c r="AE790" i="7"/>
  <c r="AD790" i="7"/>
  <c r="AC790" i="7"/>
  <c r="AB790" i="7"/>
  <c r="AA790" i="7"/>
  <c r="Z790" i="7"/>
  <c r="Y790" i="7"/>
  <c r="X790" i="7"/>
  <c r="W790" i="7"/>
  <c r="AL789" i="7"/>
  <c r="AK789" i="7"/>
  <c r="AJ789" i="7"/>
  <c r="AI789" i="7"/>
  <c r="AH789" i="7"/>
  <c r="AG789" i="7"/>
  <c r="AF789" i="7"/>
  <c r="AE789" i="7"/>
  <c r="AD789" i="7"/>
  <c r="AC789" i="7"/>
  <c r="AB789" i="7"/>
  <c r="AA789" i="7"/>
  <c r="Z789" i="7"/>
  <c r="Y789" i="7"/>
  <c r="X789" i="7"/>
  <c r="W789" i="7"/>
  <c r="AL788" i="7"/>
  <c r="AK788" i="7"/>
  <c r="AJ788" i="7"/>
  <c r="AI788" i="7"/>
  <c r="AH788" i="7"/>
  <c r="AG788" i="7"/>
  <c r="AF788" i="7"/>
  <c r="AE788" i="7"/>
  <c r="AD788" i="7"/>
  <c r="AC788" i="7"/>
  <c r="AB788" i="7"/>
  <c r="AA788" i="7"/>
  <c r="Z788" i="7"/>
  <c r="Y788" i="7"/>
  <c r="X788" i="7"/>
  <c r="W788" i="7"/>
  <c r="AL787" i="7"/>
  <c r="AK787" i="7"/>
  <c r="AJ787" i="7"/>
  <c r="AI787" i="7"/>
  <c r="AH787" i="7"/>
  <c r="AG787" i="7"/>
  <c r="AF787" i="7"/>
  <c r="AE787" i="7"/>
  <c r="AD787" i="7"/>
  <c r="AC787" i="7"/>
  <c r="AB787" i="7"/>
  <c r="AA787" i="7"/>
  <c r="Z787" i="7"/>
  <c r="Y787" i="7"/>
  <c r="X787" i="7"/>
  <c r="W787" i="7"/>
  <c r="AL786" i="7"/>
  <c r="AK786" i="7"/>
  <c r="AJ786" i="7"/>
  <c r="AI786" i="7"/>
  <c r="AH786" i="7"/>
  <c r="AG786" i="7"/>
  <c r="AF786" i="7"/>
  <c r="AE786" i="7"/>
  <c r="AD786" i="7"/>
  <c r="AC786" i="7"/>
  <c r="AB786" i="7"/>
  <c r="AA786" i="7"/>
  <c r="Z786" i="7"/>
  <c r="Y786" i="7"/>
  <c r="X786" i="7"/>
  <c r="W786" i="7"/>
  <c r="AL785" i="7"/>
  <c r="AK785" i="7"/>
  <c r="AJ785" i="7"/>
  <c r="AI785" i="7"/>
  <c r="AH785" i="7"/>
  <c r="AG785" i="7"/>
  <c r="AF785" i="7"/>
  <c r="AE785" i="7"/>
  <c r="AD785" i="7"/>
  <c r="AC785" i="7"/>
  <c r="AB785" i="7"/>
  <c r="AA785" i="7"/>
  <c r="Z785" i="7"/>
  <c r="Y785" i="7"/>
  <c r="X785" i="7"/>
  <c r="W785" i="7"/>
  <c r="AL784" i="7"/>
  <c r="AK784" i="7"/>
  <c r="AJ784" i="7"/>
  <c r="AI784" i="7"/>
  <c r="AH784" i="7"/>
  <c r="AG784" i="7"/>
  <c r="AF784" i="7"/>
  <c r="AE784" i="7"/>
  <c r="AD784" i="7"/>
  <c r="AC784" i="7"/>
  <c r="AB784" i="7"/>
  <c r="AA784" i="7"/>
  <c r="Z784" i="7"/>
  <c r="Y784" i="7"/>
  <c r="X784" i="7"/>
  <c r="W784" i="7"/>
  <c r="AL783" i="7"/>
  <c r="AK783" i="7"/>
  <c r="AJ783" i="7"/>
  <c r="AI783" i="7"/>
  <c r="AH783" i="7"/>
  <c r="AG783" i="7"/>
  <c r="AF783" i="7"/>
  <c r="AE783" i="7"/>
  <c r="AD783" i="7"/>
  <c r="AC783" i="7"/>
  <c r="AB783" i="7"/>
  <c r="AA783" i="7"/>
  <c r="Z783" i="7"/>
  <c r="Y783" i="7"/>
  <c r="X783" i="7"/>
  <c r="W783" i="7"/>
  <c r="AL782" i="7"/>
  <c r="AK782" i="7"/>
  <c r="AJ782" i="7"/>
  <c r="AI782" i="7"/>
  <c r="AH782" i="7"/>
  <c r="AG782" i="7"/>
  <c r="AF782" i="7"/>
  <c r="AE782" i="7"/>
  <c r="AD782" i="7"/>
  <c r="AC782" i="7"/>
  <c r="AB782" i="7"/>
  <c r="AA782" i="7"/>
  <c r="Z782" i="7"/>
  <c r="Y782" i="7"/>
  <c r="X782" i="7"/>
  <c r="W782" i="7"/>
  <c r="AL781" i="7"/>
  <c r="AK781" i="7"/>
  <c r="AJ781" i="7"/>
  <c r="AI781" i="7"/>
  <c r="AH781" i="7"/>
  <c r="AG781" i="7"/>
  <c r="AF781" i="7"/>
  <c r="AE781" i="7"/>
  <c r="AD781" i="7"/>
  <c r="AC781" i="7"/>
  <c r="AB781" i="7"/>
  <c r="AA781" i="7"/>
  <c r="Z781" i="7"/>
  <c r="Y781" i="7"/>
  <c r="X781" i="7"/>
  <c r="W781" i="7"/>
  <c r="AL780" i="7"/>
  <c r="AK780" i="7"/>
  <c r="AJ780" i="7"/>
  <c r="AI780" i="7"/>
  <c r="AH780" i="7"/>
  <c r="AG780" i="7"/>
  <c r="AF780" i="7"/>
  <c r="AE780" i="7"/>
  <c r="AD780" i="7"/>
  <c r="AC780" i="7"/>
  <c r="AB780" i="7"/>
  <c r="AA780" i="7"/>
  <c r="Z780" i="7"/>
  <c r="Y780" i="7"/>
  <c r="X780" i="7"/>
  <c r="W780" i="7"/>
  <c r="AL779" i="7"/>
  <c r="AK779" i="7"/>
  <c r="AJ779" i="7"/>
  <c r="AI779" i="7"/>
  <c r="AH779" i="7"/>
  <c r="AG779" i="7"/>
  <c r="AF779" i="7"/>
  <c r="AE779" i="7"/>
  <c r="AD779" i="7"/>
  <c r="AC779" i="7"/>
  <c r="AB779" i="7"/>
  <c r="AA779" i="7"/>
  <c r="Z779" i="7"/>
  <c r="Y779" i="7"/>
  <c r="X779" i="7"/>
  <c r="W779" i="7"/>
  <c r="AL778" i="7"/>
  <c r="AK778" i="7"/>
  <c r="AJ778" i="7"/>
  <c r="AI778" i="7"/>
  <c r="AH778" i="7"/>
  <c r="AG778" i="7"/>
  <c r="AF778" i="7"/>
  <c r="AE778" i="7"/>
  <c r="AD778" i="7"/>
  <c r="AC778" i="7"/>
  <c r="AB778" i="7"/>
  <c r="AA778" i="7"/>
  <c r="Z778" i="7"/>
  <c r="Y778" i="7"/>
  <c r="X778" i="7"/>
  <c r="W778" i="7"/>
  <c r="AL777" i="7"/>
  <c r="AK777" i="7"/>
  <c r="AJ777" i="7"/>
  <c r="AI777" i="7"/>
  <c r="AH777" i="7"/>
  <c r="AG777" i="7"/>
  <c r="AF777" i="7"/>
  <c r="AE777" i="7"/>
  <c r="AD777" i="7"/>
  <c r="AC777" i="7"/>
  <c r="AB777" i="7"/>
  <c r="AA777" i="7"/>
  <c r="Z777" i="7"/>
  <c r="Y777" i="7"/>
  <c r="X777" i="7"/>
  <c r="W777" i="7"/>
  <c r="AL776" i="7"/>
  <c r="AK776" i="7"/>
  <c r="AJ776" i="7"/>
  <c r="AI776" i="7"/>
  <c r="AH776" i="7"/>
  <c r="AG776" i="7"/>
  <c r="AF776" i="7"/>
  <c r="AE776" i="7"/>
  <c r="AD776" i="7"/>
  <c r="AC776" i="7"/>
  <c r="AB776" i="7"/>
  <c r="AA776" i="7"/>
  <c r="Z776" i="7"/>
  <c r="Y776" i="7"/>
  <c r="X776" i="7"/>
  <c r="W776" i="7"/>
  <c r="AL775" i="7"/>
  <c r="AK775" i="7"/>
  <c r="AJ775" i="7"/>
  <c r="AI775" i="7"/>
  <c r="AH775" i="7"/>
  <c r="AG775" i="7"/>
  <c r="AF775" i="7"/>
  <c r="AE775" i="7"/>
  <c r="AD775" i="7"/>
  <c r="AC775" i="7"/>
  <c r="AB775" i="7"/>
  <c r="AA775" i="7"/>
  <c r="Z775" i="7"/>
  <c r="Y775" i="7"/>
  <c r="X775" i="7"/>
  <c r="W775" i="7"/>
  <c r="AL774" i="7"/>
  <c r="AK774" i="7"/>
  <c r="AJ774" i="7"/>
  <c r="AI774" i="7"/>
  <c r="AH774" i="7"/>
  <c r="AG774" i="7"/>
  <c r="AF774" i="7"/>
  <c r="AE774" i="7"/>
  <c r="AD774" i="7"/>
  <c r="AC774" i="7"/>
  <c r="AB774" i="7"/>
  <c r="AA774" i="7"/>
  <c r="Z774" i="7"/>
  <c r="Y774" i="7"/>
  <c r="X774" i="7"/>
  <c r="W774" i="7"/>
  <c r="AL773" i="7"/>
  <c r="AK773" i="7"/>
  <c r="AJ773" i="7"/>
  <c r="AI773" i="7"/>
  <c r="AH773" i="7"/>
  <c r="AG773" i="7"/>
  <c r="AF773" i="7"/>
  <c r="AE773" i="7"/>
  <c r="AD773" i="7"/>
  <c r="AC773" i="7"/>
  <c r="AB773" i="7"/>
  <c r="AA773" i="7"/>
  <c r="Z773" i="7"/>
  <c r="Y773" i="7"/>
  <c r="X773" i="7"/>
  <c r="W773" i="7"/>
  <c r="AL772" i="7"/>
  <c r="AK772" i="7"/>
  <c r="AJ772" i="7"/>
  <c r="AI772" i="7"/>
  <c r="AH772" i="7"/>
  <c r="AG772" i="7"/>
  <c r="AF772" i="7"/>
  <c r="AE772" i="7"/>
  <c r="AD772" i="7"/>
  <c r="AC772" i="7"/>
  <c r="AB772" i="7"/>
  <c r="AA772" i="7"/>
  <c r="Z772" i="7"/>
  <c r="Y772" i="7"/>
  <c r="X772" i="7"/>
  <c r="W772" i="7"/>
  <c r="AL771" i="7"/>
  <c r="AK771" i="7"/>
  <c r="AJ771" i="7"/>
  <c r="AI771" i="7"/>
  <c r="AH771" i="7"/>
  <c r="AG771" i="7"/>
  <c r="AF771" i="7"/>
  <c r="AE771" i="7"/>
  <c r="AD771" i="7"/>
  <c r="AC771" i="7"/>
  <c r="AB771" i="7"/>
  <c r="AA771" i="7"/>
  <c r="Z771" i="7"/>
  <c r="Y771" i="7"/>
  <c r="X771" i="7"/>
  <c r="W771" i="7"/>
  <c r="AL770" i="7"/>
  <c r="AK770" i="7"/>
  <c r="AJ770" i="7"/>
  <c r="AI770" i="7"/>
  <c r="AH770" i="7"/>
  <c r="AG770" i="7"/>
  <c r="AF770" i="7"/>
  <c r="AE770" i="7"/>
  <c r="AD770" i="7"/>
  <c r="AC770" i="7"/>
  <c r="AB770" i="7"/>
  <c r="AA770" i="7"/>
  <c r="Z770" i="7"/>
  <c r="Y770" i="7"/>
  <c r="X770" i="7"/>
  <c r="W770" i="7"/>
  <c r="AL769" i="7"/>
  <c r="AK769" i="7"/>
  <c r="AJ769" i="7"/>
  <c r="AI769" i="7"/>
  <c r="AH769" i="7"/>
  <c r="AG769" i="7"/>
  <c r="AF769" i="7"/>
  <c r="AE769" i="7"/>
  <c r="AD769" i="7"/>
  <c r="AC769" i="7"/>
  <c r="AB769" i="7"/>
  <c r="AA769" i="7"/>
  <c r="Z769" i="7"/>
  <c r="Y769" i="7"/>
  <c r="X769" i="7"/>
  <c r="W769" i="7"/>
  <c r="AL768" i="7"/>
  <c r="AK768" i="7"/>
  <c r="AJ768" i="7"/>
  <c r="AI768" i="7"/>
  <c r="AH768" i="7"/>
  <c r="AG768" i="7"/>
  <c r="AF768" i="7"/>
  <c r="AE768" i="7"/>
  <c r="AD768" i="7"/>
  <c r="AC768" i="7"/>
  <c r="AB768" i="7"/>
  <c r="AA768" i="7"/>
  <c r="Z768" i="7"/>
  <c r="Y768" i="7"/>
  <c r="X768" i="7"/>
  <c r="W768" i="7"/>
  <c r="AL767" i="7"/>
  <c r="AK767" i="7"/>
  <c r="AJ767" i="7"/>
  <c r="AI767" i="7"/>
  <c r="AH767" i="7"/>
  <c r="AG767" i="7"/>
  <c r="AF767" i="7"/>
  <c r="AE767" i="7"/>
  <c r="AD767" i="7"/>
  <c r="AC767" i="7"/>
  <c r="AB767" i="7"/>
  <c r="AA767" i="7"/>
  <c r="Z767" i="7"/>
  <c r="Y767" i="7"/>
  <c r="X767" i="7"/>
  <c r="W767" i="7"/>
  <c r="AL766" i="7"/>
  <c r="AK766" i="7"/>
  <c r="AJ766" i="7"/>
  <c r="AI766" i="7"/>
  <c r="AH766" i="7"/>
  <c r="AG766" i="7"/>
  <c r="AF766" i="7"/>
  <c r="AE766" i="7"/>
  <c r="AD766" i="7"/>
  <c r="AC766" i="7"/>
  <c r="AB766" i="7"/>
  <c r="AA766" i="7"/>
  <c r="Z766" i="7"/>
  <c r="Y766" i="7"/>
  <c r="X766" i="7"/>
  <c r="W766" i="7"/>
  <c r="AL765" i="7"/>
  <c r="AK765" i="7"/>
  <c r="AJ765" i="7"/>
  <c r="AI765" i="7"/>
  <c r="AH765" i="7"/>
  <c r="AG765" i="7"/>
  <c r="AF765" i="7"/>
  <c r="AE765" i="7"/>
  <c r="AD765" i="7"/>
  <c r="AC765" i="7"/>
  <c r="AB765" i="7"/>
  <c r="AA765" i="7"/>
  <c r="Z765" i="7"/>
  <c r="Y765" i="7"/>
  <c r="X765" i="7"/>
  <c r="W765" i="7"/>
  <c r="AL764" i="7"/>
  <c r="AK764" i="7"/>
  <c r="AJ764" i="7"/>
  <c r="AI764" i="7"/>
  <c r="AH764" i="7"/>
  <c r="AG764" i="7"/>
  <c r="AF764" i="7"/>
  <c r="AE764" i="7"/>
  <c r="AD764" i="7"/>
  <c r="AC764" i="7"/>
  <c r="AB764" i="7"/>
  <c r="AA764" i="7"/>
  <c r="Z764" i="7"/>
  <c r="Y764" i="7"/>
  <c r="X764" i="7"/>
  <c r="W764" i="7"/>
  <c r="AL763" i="7"/>
  <c r="AK763" i="7"/>
  <c r="AJ763" i="7"/>
  <c r="AI763" i="7"/>
  <c r="AH763" i="7"/>
  <c r="AG763" i="7"/>
  <c r="AF763" i="7"/>
  <c r="AE763" i="7"/>
  <c r="AD763" i="7"/>
  <c r="AC763" i="7"/>
  <c r="AB763" i="7"/>
  <c r="AA763" i="7"/>
  <c r="Z763" i="7"/>
  <c r="Y763" i="7"/>
  <c r="X763" i="7"/>
  <c r="W763" i="7"/>
  <c r="AL762" i="7"/>
  <c r="AK762" i="7"/>
  <c r="AJ762" i="7"/>
  <c r="AI762" i="7"/>
  <c r="AH762" i="7"/>
  <c r="AG762" i="7"/>
  <c r="AF762" i="7"/>
  <c r="AE762" i="7"/>
  <c r="AD762" i="7"/>
  <c r="AC762" i="7"/>
  <c r="AB762" i="7"/>
  <c r="AA762" i="7"/>
  <c r="Z762" i="7"/>
  <c r="Y762" i="7"/>
  <c r="X762" i="7"/>
  <c r="W762" i="7"/>
  <c r="AL761" i="7"/>
  <c r="AK761" i="7"/>
  <c r="AJ761" i="7"/>
  <c r="AI761" i="7"/>
  <c r="AH761" i="7"/>
  <c r="AG761" i="7"/>
  <c r="AF761" i="7"/>
  <c r="AE761" i="7"/>
  <c r="AD761" i="7"/>
  <c r="AC761" i="7"/>
  <c r="AB761" i="7"/>
  <c r="AA761" i="7"/>
  <c r="Z761" i="7"/>
  <c r="Y761" i="7"/>
  <c r="X761" i="7"/>
  <c r="W761" i="7"/>
  <c r="AL760" i="7"/>
  <c r="AK760" i="7"/>
  <c r="AJ760" i="7"/>
  <c r="AI760" i="7"/>
  <c r="AH760" i="7"/>
  <c r="AG760" i="7"/>
  <c r="AF760" i="7"/>
  <c r="AE760" i="7"/>
  <c r="AD760" i="7"/>
  <c r="AC760" i="7"/>
  <c r="AB760" i="7"/>
  <c r="AA760" i="7"/>
  <c r="Z760" i="7"/>
  <c r="Y760" i="7"/>
  <c r="X760" i="7"/>
  <c r="W760" i="7"/>
  <c r="AL759" i="7"/>
  <c r="AK759" i="7"/>
  <c r="AJ759" i="7"/>
  <c r="AI759" i="7"/>
  <c r="AH759" i="7"/>
  <c r="AG759" i="7"/>
  <c r="AF759" i="7"/>
  <c r="AE759" i="7"/>
  <c r="AD759" i="7"/>
  <c r="AC759" i="7"/>
  <c r="AB759" i="7"/>
  <c r="AA759" i="7"/>
  <c r="Z759" i="7"/>
  <c r="Y759" i="7"/>
  <c r="X759" i="7"/>
  <c r="W759" i="7"/>
  <c r="AL758" i="7"/>
  <c r="AK758" i="7"/>
  <c r="AJ758" i="7"/>
  <c r="AI758" i="7"/>
  <c r="AH758" i="7"/>
  <c r="AG758" i="7"/>
  <c r="AF758" i="7"/>
  <c r="AE758" i="7"/>
  <c r="AD758" i="7"/>
  <c r="AC758" i="7"/>
  <c r="AB758" i="7"/>
  <c r="AA758" i="7"/>
  <c r="Z758" i="7"/>
  <c r="Y758" i="7"/>
  <c r="X758" i="7"/>
  <c r="W758" i="7"/>
  <c r="AL757" i="7"/>
  <c r="AK757" i="7"/>
  <c r="AJ757" i="7"/>
  <c r="AI757" i="7"/>
  <c r="AH757" i="7"/>
  <c r="AG757" i="7"/>
  <c r="AF757" i="7"/>
  <c r="AE757" i="7"/>
  <c r="AD757" i="7"/>
  <c r="AC757" i="7"/>
  <c r="AB757" i="7"/>
  <c r="AA757" i="7"/>
  <c r="Z757" i="7"/>
  <c r="Y757" i="7"/>
  <c r="X757" i="7"/>
  <c r="W757" i="7"/>
  <c r="AL756" i="7"/>
  <c r="AK756" i="7"/>
  <c r="AJ756" i="7"/>
  <c r="AI756" i="7"/>
  <c r="AH756" i="7"/>
  <c r="AG756" i="7"/>
  <c r="AF756" i="7"/>
  <c r="AE756" i="7"/>
  <c r="AD756" i="7"/>
  <c r="AC756" i="7"/>
  <c r="AB756" i="7"/>
  <c r="AA756" i="7"/>
  <c r="Z756" i="7"/>
  <c r="Y756" i="7"/>
  <c r="X756" i="7"/>
  <c r="W756" i="7"/>
  <c r="AL755" i="7"/>
  <c r="AK755" i="7"/>
  <c r="AJ755" i="7"/>
  <c r="AI755" i="7"/>
  <c r="AH755" i="7"/>
  <c r="AG755" i="7"/>
  <c r="AF755" i="7"/>
  <c r="AE755" i="7"/>
  <c r="AD755" i="7"/>
  <c r="AC755" i="7"/>
  <c r="AB755" i="7"/>
  <c r="AA755" i="7"/>
  <c r="Z755" i="7"/>
  <c r="Y755" i="7"/>
  <c r="X755" i="7"/>
  <c r="W755" i="7"/>
  <c r="AL754" i="7"/>
  <c r="AK754" i="7"/>
  <c r="AJ754" i="7"/>
  <c r="AI754" i="7"/>
  <c r="AH754" i="7"/>
  <c r="AG754" i="7"/>
  <c r="AF754" i="7"/>
  <c r="AE754" i="7"/>
  <c r="AD754" i="7"/>
  <c r="AC754" i="7"/>
  <c r="AB754" i="7"/>
  <c r="AA754" i="7"/>
  <c r="Z754" i="7"/>
  <c r="Y754" i="7"/>
  <c r="X754" i="7"/>
  <c r="W754" i="7"/>
  <c r="AL753" i="7"/>
  <c r="AK753" i="7"/>
  <c r="AJ753" i="7"/>
  <c r="AI753" i="7"/>
  <c r="AH753" i="7"/>
  <c r="AG753" i="7"/>
  <c r="AF753" i="7"/>
  <c r="AE753" i="7"/>
  <c r="AD753" i="7"/>
  <c r="AC753" i="7"/>
  <c r="AB753" i="7"/>
  <c r="AA753" i="7"/>
  <c r="Z753" i="7"/>
  <c r="Y753" i="7"/>
  <c r="X753" i="7"/>
  <c r="W753" i="7"/>
  <c r="AL752" i="7"/>
  <c r="AK752" i="7"/>
  <c r="AJ752" i="7"/>
  <c r="AI752" i="7"/>
  <c r="AH752" i="7"/>
  <c r="AG752" i="7"/>
  <c r="AF752" i="7"/>
  <c r="AE752" i="7"/>
  <c r="AD752" i="7"/>
  <c r="AC752" i="7"/>
  <c r="AB752" i="7"/>
  <c r="AA752" i="7"/>
  <c r="Z752" i="7"/>
  <c r="Y752" i="7"/>
  <c r="X752" i="7"/>
  <c r="W752" i="7"/>
  <c r="AL751" i="7"/>
  <c r="AK751" i="7"/>
  <c r="AJ751" i="7"/>
  <c r="AI751" i="7"/>
  <c r="AH751" i="7"/>
  <c r="AG751" i="7"/>
  <c r="AF751" i="7"/>
  <c r="AE751" i="7"/>
  <c r="AD751" i="7"/>
  <c r="AC751" i="7"/>
  <c r="AB751" i="7"/>
  <c r="AA751" i="7"/>
  <c r="Z751" i="7"/>
  <c r="Y751" i="7"/>
  <c r="X751" i="7"/>
  <c r="W751" i="7"/>
  <c r="AL746" i="7"/>
  <c r="AK746" i="7"/>
  <c r="AJ746" i="7"/>
  <c r="AI746" i="7"/>
  <c r="AH746" i="7"/>
  <c r="AG746" i="7"/>
  <c r="AF746" i="7"/>
  <c r="AE746" i="7"/>
  <c r="AD746" i="7"/>
  <c r="AC746" i="7"/>
  <c r="AB746" i="7"/>
  <c r="AA746" i="7"/>
  <c r="Z746" i="7"/>
  <c r="Y746" i="7"/>
  <c r="X746" i="7"/>
  <c r="W746" i="7"/>
  <c r="AL745" i="7"/>
  <c r="AK745" i="7"/>
  <c r="AJ745" i="7"/>
  <c r="AI745" i="7"/>
  <c r="AH745" i="7"/>
  <c r="AG745" i="7"/>
  <c r="AF745" i="7"/>
  <c r="AE745" i="7"/>
  <c r="AD745" i="7"/>
  <c r="AC745" i="7"/>
  <c r="AB745" i="7"/>
  <c r="AA745" i="7"/>
  <c r="Z745" i="7"/>
  <c r="Y745" i="7"/>
  <c r="X745" i="7"/>
  <c r="W745" i="7"/>
  <c r="AL744" i="7"/>
  <c r="AK744" i="7"/>
  <c r="AJ744" i="7"/>
  <c r="AI744" i="7"/>
  <c r="AH744" i="7"/>
  <c r="AG744" i="7"/>
  <c r="AF744" i="7"/>
  <c r="AE744" i="7"/>
  <c r="AD744" i="7"/>
  <c r="AC744" i="7"/>
  <c r="AB744" i="7"/>
  <c r="AA744" i="7"/>
  <c r="Z744" i="7"/>
  <c r="Y744" i="7"/>
  <c r="X744" i="7"/>
  <c r="W744" i="7"/>
  <c r="AL743" i="7"/>
  <c r="AK743" i="7"/>
  <c r="AJ743" i="7"/>
  <c r="AI743" i="7"/>
  <c r="AH743" i="7"/>
  <c r="AG743" i="7"/>
  <c r="AF743" i="7"/>
  <c r="AE743" i="7"/>
  <c r="AD743" i="7"/>
  <c r="AC743" i="7"/>
  <c r="AB743" i="7"/>
  <c r="AA743" i="7"/>
  <c r="Z743" i="7"/>
  <c r="Y743" i="7"/>
  <c r="X743" i="7"/>
  <c r="W743" i="7"/>
  <c r="AL742" i="7"/>
  <c r="AK742" i="7"/>
  <c r="AJ742" i="7"/>
  <c r="AI742" i="7"/>
  <c r="AH742" i="7"/>
  <c r="AG742" i="7"/>
  <c r="AF742" i="7"/>
  <c r="AE742" i="7"/>
  <c r="AD742" i="7"/>
  <c r="AC742" i="7"/>
  <c r="AB742" i="7"/>
  <c r="AA742" i="7"/>
  <c r="Z742" i="7"/>
  <c r="Y742" i="7"/>
  <c r="X742" i="7"/>
  <c r="W742" i="7"/>
  <c r="AL741" i="7"/>
  <c r="AK741" i="7"/>
  <c r="AJ741" i="7"/>
  <c r="AI741" i="7"/>
  <c r="AH741" i="7"/>
  <c r="AG741" i="7"/>
  <c r="AF741" i="7"/>
  <c r="AE741" i="7"/>
  <c r="AD741" i="7"/>
  <c r="AC741" i="7"/>
  <c r="AB741" i="7"/>
  <c r="AA741" i="7"/>
  <c r="Z741" i="7"/>
  <c r="Y741" i="7"/>
  <c r="X741" i="7"/>
  <c r="W741" i="7"/>
  <c r="AL740" i="7"/>
  <c r="AK740" i="7"/>
  <c r="AJ740" i="7"/>
  <c r="AI740" i="7"/>
  <c r="AH740" i="7"/>
  <c r="AG740" i="7"/>
  <c r="AF740" i="7"/>
  <c r="AE740" i="7"/>
  <c r="AD740" i="7"/>
  <c r="AC740" i="7"/>
  <c r="AB740" i="7"/>
  <c r="AA740" i="7"/>
  <c r="Z740" i="7"/>
  <c r="Y740" i="7"/>
  <c r="X740" i="7"/>
  <c r="W740" i="7"/>
  <c r="AL739" i="7"/>
  <c r="AK739" i="7"/>
  <c r="AJ739" i="7"/>
  <c r="AI739" i="7"/>
  <c r="AH739" i="7"/>
  <c r="AG739" i="7"/>
  <c r="AF739" i="7"/>
  <c r="AE739" i="7"/>
  <c r="AD739" i="7"/>
  <c r="AC739" i="7"/>
  <c r="AB739" i="7"/>
  <c r="AA739" i="7"/>
  <c r="Z739" i="7"/>
  <c r="Y739" i="7"/>
  <c r="X739" i="7"/>
  <c r="W739" i="7"/>
  <c r="AL738" i="7"/>
  <c r="AK738" i="7"/>
  <c r="AJ738" i="7"/>
  <c r="AI738" i="7"/>
  <c r="AH738" i="7"/>
  <c r="AG738" i="7"/>
  <c r="AF738" i="7"/>
  <c r="AE738" i="7"/>
  <c r="AD738" i="7"/>
  <c r="AC738" i="7"/>
  <c r="AB738" i="7"/>
  <c r="AA738" i="7"/>
  <c r="Z738" i="7"/>
  <c r="Y738" i="7"/>
  <c r="X738" i="7"/>
  <c r="W738" i="7"/>
  <c r="AL737" i="7"/>
  <c r="AK737" i="7"/>
  <c r="AJ737" i="7"/>
  <c r="AI737" i="7"/>
  <c r="AH737" i="7"/>
  <c r="AG737" i="7"/>
  <c r="AF737" i="7"/>
  <c r="AE737" i="7"/>
  <c r="AD737" i="7"/>
  <c r="AC737" i="7"/>
  <c r="AB737" i="7"/>
  <c r="AA737" i="7"/>
  <c r="Z737" i="7"/>
  <c r="Y737" i="7"/>
  <c r="X737" i="7"/>
  <c r="W737" i="7"/>
  <c r="AL736" i="7"/>
  <c r="AK736" i="7"/>
  <c r="AJ736" i="7"/>
  <c r="AI736" i="7"/>
  <c r="AH736" i="7"/>
  <c r="AG736" i="7"/>
  <c r="AF736" i="7"/>
  <c r="AE736" i="7"/>
  <c r="AD736" i="7"/>
  <c r="AC736" i="7"/>
  <c r="AB736" i="7"/>
  <c r="AA736" i="7"/>
  <c r="Z736" i="7"/>
  <c r="Y736" i="7"/>
  <c r="X736" i="7"/>
  <c r="W736" i="7"/>
  <c r="AL735" i="7"/>
  <c r="AK735" i="7"/>
  <c r="AJ735" i="7"/>
  <c r="AI735" i="7"/>
  <c r="AH735" i="7"/>
  <c r="AG735" i="7"/>
  <c r="AF735" i="7"/>
  <c r="AE735" i="7"/>
  <c r="AD735" i="7"/>
  <c r="AC735" i="7"/>
  <c r="AB735" i="7"/>
  <c r="AA735" i="7"/>
  <c r="Z735" i="7"/>
  <c r="Y735" i="7"/>
  <c r="X735" i="7"/>
  <c r="W735" i="7"/>
  <c r="AL734" i="7"/>
  <c r="AK734" i="7"/>
  <c r="AJ734" i="7"/>
  <c r="AI734" i="7"/>
  <c r="AH734" i="7"/>
  <c r="AG734" i="7"/>
  <c r="AF734" i="7"/>
  <c r="AE734" i="7"/>
  <c r="AD734" i="7"/>
  <c r="AC734" i="7"/>
  <c r="AB734" i="7"/>
  <c r="AA734" i="7"/>
  <c r="Z734" i="7"/>
  <c r="Y734" i="7"/>
  <c r="X734" i="7"/>
  <c r="W734" i="7"/>
  <c r="AL733" i="7"/>
  <c r="AK733" i="7"/>
  <c r="AJ733" i="7"/>
  <c r="AI733" i="7"/>
  <c r="AH733" i="7"/>
  <c r="AG733" i="7"/>
  <c r="AF733" i="7"/>
  <c r="AE733" i="7"/>
  <c r="AD733" i="7"/>
  <c r="AC733" i="7"/>
  <c r="AB733" i="7"/>
  <c r="AA733" i="7"/>
  <c r="Z733" i="7"/>
  <c r="Y733" i="7"/>
  <c r="X733" i="7"/>
  <c r="W733" i="7"/>
  <c r="AL732" i="7"/>
  <c r="AK732" i="7"/>
  <c r="AJ732" i="7"/>
  <c r="AI732" i="7"/>
  <c r="AH732" i="7"/>
  <c r="AG732" i="7"/>
  <c r="AF732" i="7"/>
  <c r="AE732" i="7"/>
  <c r="AD732" i="7"/>
  <c r="AC732" i="7"/>
  <c r="AB732" i="7"/>
  <c r="AA732" i="7"/>
  <c r="Z732" i="7"/>
  <c r="Y732" i="7"/>
  <c r="X732" i="7"/>
  <c r="W732" i="7"/>
  <c r="AL731" i="7"/>
  <c r="AK731" i="7"/>
  <c r="AJ731" i="7"/>
  <c r="AI731" i="7"/>
  <c r="AH731" i="7"/>
  <c r="AG731" i="7"/>
  <c r="AF731" i="7"/>
  <c r="AE731" i="7"/>
  <c r="AD731" i="7"/>
  <c r="AC731" i="7"/>
  <c r="AB731" i="7"/>
  <c r="AA731" i="7"/>
  <c r="Z731" i="7"/>
  <c r="Y731" i="7"/>
  <c r="X731" i="7"/>
  <c r="W731" i="7"/>
  <c r="AL730" i="7"/>
  <c r="AK730" i="7"/>
  <c r="AJ730" i="7"/>
  <c r="AI730" i="7"/>
  <c r="AH730" i="7"/>
  <c r="AG730" i="7"/>
  <c r="AF730" i="7"/>
  <c r="AE730" i="7"/>
  <c r="AD730" i="7"/>
  <c r="AC730" i="7"/>
  <c r="AB730" i="7"/>
  <c r="AA730" i="7"/>
  <c r="Z730" i="7"/>
  <c r="Y730" i="7"/>
  <c r="X730" i="7"/>
  <c r="W730" i="7"/>
  <c r="AL729" i="7"/>
  <c r="AK729" i="7"/>
  <c r="AJ729" i="7"/>
  <c r="AI729" i="7"/>
  <c r="AH729" i="7"/>
  <c r="AG729" i="7"/>
  <c r="AF729" i="7"/>
  <c r="AE729" i="7"/>
  <c r="AD729" i="7"/>
  <c r="AC729" i="7"/>
  <c r="AB729" i="7"/>
  <c r="AA729" i="7"/>
  <c r="Z729" i="7"/>
  <c r="Y729" i="7"/>
  <c r="X729" i="7"/>
  <c r="W729" i="7"/>
  <c r="AL728" i="7"/>
  <c r="AK728" i="7"/>
  <c r="AJ728" i="7"/>
  <c r="AI728" i="7"/>
  <c r="AH728" i="7"/>
  <c r="AG728" i="7"/>
  <c r="AF728" i="7"/>
  <c r="AE728" i="7"/>
  <c r="AD728" i="7"/>
  <c r="AC728" i="7"/>
  <c r="AB728" i="7"/>
  <c r="AA728" i="7"/>
  <c r="Z728" i="7"/>
  <c r="Y728" i="7"/>
  <c r="X728" i="7"/>
  <c r="W728" i="7"/>
  <c r="AL727" i="7"/>
  <c r="AK727" i="7"/>
  <c r="AJ727" i="7"/>
  <c r="AI727" i="7"/>
  <c r="AH727" i="7"/>
  <c r="AG727" i="7"/>
  <c r="AF727" i="7"/>
  <c r="AE727" i="7"/>
  <c r="AD727" i="7"/>
  <c r="AC727" i="7"/>
  <c r="AB727" i="7"/>
  <c r="AA727" i="7"/>
  <c r="Z727" i="7"/>
  <c r="Y727" i="7"/>
  <c r="X727" i="7"/>
  <c r="W727" i="7"/>
  <c r="AL726" i="7"/>
  <c r="AK726" i="7"/>
  <c r="AJ726" i="7"/>
  <c r="AI726" i="7"/>
  <c r="AH726" i="7"/>
  <c r="AG726" i="7"/>
  <c r="AF726" i="7"/>
  <c r="AE726" i="7"/>
  <c r="AD726" i="7"/>
  <c r="AC726" i="7"/>
  <c r="AB726" i="7"/>
  <c r="AA726" i="7"/>
  <c r="Z726" i="7"/>
  <c r="Y726" i="7"/>
  <c r="X726" i="7"/>
  <c r="W726" i="7"/>
  <c r="AL725" i="7"/>
  <c r="AK725" i="7"/>
  <c r="AJ725" i="7"/>
  <c r="AI725" i="7"/>
  <c r="AH725" i="7"/>
  <c r="AG725" i="7"/>
  <c r="AF725" i="7"/>
  <c r="AE725" i="7"/>
  <c r="AD725" i="7"/>
  <c r="AC725" i="7"/>
  <c r="AB725" i="7"/>
  <c r="AA725" i="7"/>
  <c r="Z725" i="7"/>
  <c r="Y725" i="7"/>
  <c r="X725" i="7"/>
  <c r="W725" i="7"/>
  <c r="AL724" i="7"/>
  <c r="AK724" i="7"/>
  <c r="AJ724" i="7"/>
  <c r="AI724" i="7"/>
  <c r="AH724" i="7"/>
  <c r="AG724" i="7"/>
  <c r="AF724" i="7"/>
  <c r="AE724" i="7"/>
  <c r="AD724" i="7"/>
  <c r="AC724" i="7"/>
  <c r="AB724" i="7"/>
  <c r="AA724" i="7"/>
  <c r="Z724" i="7"/>
  <c r="Y724" i="7"/>
  <c r="X724" i="7"/>
  <c r="W724" i="7"/>
  <c r="AL723" i="7"/>
  <c r="AK723" i="7"/>
  <c r="AJ723" i="7"/>
  <c r="AI723" i="7"/>
  <c r="AH723" i="7"/>
  <c r="AG723" i="7"/>
  <c r="AF723" i="7"/>
  <c r="AE723" i="7"/>
  <c r="AD723" i="7"/>
  <c r="AC723" i="7"/>
  <c r="AB723" i="7"/>
  <c r="AA723" i="7"/>
  <c r="Z723" i="7"/>
  <c r="Y723" i="7"/>
  <c r="X723" i="7"/>
  <c r="W723" i="7"/>
  <c r="AL722" i="7"/>
  <c r="AK722" i="7"/>
  <c r="AJ722" i="7"/>
  <c r="AI722" i="7"/>
  <c r="AH722" i="7"/>
  <c r="AG722" i="7"/>
  <c r="AF722" i="7"/>
  <c r="AE722" i="7"/>
  <c r="AD722" i="7"/>
  <c r="AC722" i="7"/>
  <c r="AB722" i="7"/>
  <c r="AA722" i="7"/>
  <c r="Z722" i="7"/>
  <c r="Y722" i="7"/>
  <c r="X722" i="7"/>
  <c r="W722" i="7"/>
  <c r="AL721" i="7"/>
  <c r="AK721" i="7"/>
  <c r="AJ721" i="7"/>
  <c r="AI721" i="7"/>
  <c r="AH721" i="7"/>
  <c r="AG721" i="7"/>
  <c r="AF721" i="7"/>
  <c r="AE721" i="7"/>
  <c r="AD721" i="7"/>
  <c r="AC721" i="7"/>
  <c r="AB721" i="7"/>
  <c r="AA721" i="7"/>
  <c r="Z721" i="7"/>
  <c r="Y721" i="7"/>
  <c r="X721" i="7"/>
  <c r="W721" i="7"/>
  <c r="AL720" i="7"/>
  <c r="AK720" i="7"/>
  <c r="AJ720" i="7"/>
  <c r="AI720" i="7"/>
  <c r="AH720" i="7"/>
  <c r="AG720" i="7"/>
  <c r="AF720" i="7"/>
  <c r="AE720" i="7"/>
  <c r="AD720" i="7"/>
  <c r="AC720" i="7"/>
  <c r="AB720" i="7"/>
  <c r="AA720" i="7"/>
  <c r="Z720" i="7"/>
  <c r="Y720" i="7"/>
  <c r="X720" i="7"/>
  <c r="W720" i="7"/>
  <c r="AL719" i="7"/>
  <c r="AK719" i="7"/>
  <c r="AJ719" i="7"/>
  <c r="AI719" i="7"/>
  <c r="AH719" i="7"/>
  <c r="AG719" i="7"/>
  <c r="AF719" i="7"/>
  <c r="AE719" i="7"/>
  <c r="AD719" i="7"/>
  <c r="AC719" i="7"/>
  <c r="AB719" i="7"/>
  <c r="AA719" i="7"/>
  <c r="Z719" i="7"/>
  <c r="Y719" i="7"/>
  <c r="X719" i="7"/>
  <c r="W719" i="7"/>
  <c r="AL718" i="7"/>
  <c r="AK718" i="7"/>
  <c r="AJ718" i="7"/>
  <c r="AI718" i="7"/>
  <c r="AH718" i="7"/>
  <c r="AG718" i="7"/>
  <c r="AF718" i="7"/>
  <c r="AE718" i="7"/>
  <c r="AD718" i="7"/>
  <c r="AC718" i="7"/>
  <c r="AB718" i="7"/>
  <c r="AA718" i="7"/>
  <c r="Z718" i="7"/>
  <c r="Y718" i="7"/>
  <c r="X718" i="7"/>
  <c r="W718" i="7"/>
  <c r="AL717" i="7"/>
  <c r="AK717" i="7"/>
  <c r="AJ717" i="7"/>
  <c r="AI717" i="7"/>
  <c r="AH717" i="7"/>
  <c r="AG717" i="7"/>
  <c r="AF717" i="7"/>
  <c r="AE717" i="7"/>
  <c r="AD717" i="7"/>
  <c r="AC717" i="7"/>
  <c r="AB717" i="7"/>
  <c r="AA717" i="7"/>
  <c r="Z717" i="7"/>
  <c r="Y717" i="7"/>
  <c r="X717" i="7"/>
  <c r="W717" i="7"/>
  <c r="AL716" i="7"/>
  <c r="AK716" i="7"/>
  <c r="AJ716" i="7"/>
  <c r="AI716" i="7"/>
  <c r="AH716" i="7"/>
  <c r="AG716" i="7"/>
  <c r="AF716" i="7"/>
  <c r="AE716" i="7"/>
  <c r="AD716" i="7"/>
  <c r="AC716" i="7"/>
  <c r="AB716" i="7"/>
  <c r="AA716" i="7"/>
  <c r="Z716" i="7"/>
  <c r="Y716" i="7"/>
  <c r="X716" i="7"/>
  <c r="W716" i="7"/>
  <c r="AL715" i="7"/>
  <c r="AK715" i="7"/>
  <c r="AJ715" i="7"/>
  <c r="AI715" i="7"/>
  <c r="AH715" i="7"/>
  <c r="AG715" i="7"/>
  <c r="AF715" i="7"/>
  <c r="AE715" i="7"/>
  <c r="AD715" i="7"/>
  <c r="AC715" i="7"/>
  <c r="AB715" i="7"/>
  <c r="AA715" i="7"/>
  <c r="Z715" i="7"/>
  <c r="Y715" i="7"/>
  <c r="X715" i="7"/>
  <c r="W715" i="7"/>
  <c r="AL714" i="7"/>
  <c r="AK714" i="7"/>
  <c r="AJ714" i="7"/>
  <c r="AI714" i="7"/>
  <c r="AH714" i="7"/>
  <c r="AG714" i="7"/>
  <c r="AF714" i="7"/>
  <c r="AE714" i="7"/>
  <c r="AD714" i="7"/>
  <c r="AC714" i="7"/>
  <c r="AB714" i="7"/>
  <c r="AA714" i="7"/>
  <c r="Z714" i="7"/>
  <c r="Y714" i="7"/>
  <c r="X714" i="7"/>
  <c r="W714" i="7"/>
  <c r="AL713" i="7"/>
  <c r="AK713" i="7"/>
  <c r="AJ713" i="7"/>
  <c r="AI713" i="7"/>
  <c r="AH713" i="7"/>
  <c r="AG713" i="7"/>
  <c r="AF713" i="7"/>
  <c r="AE713" i="7"/>
  <c r="AD713" i="7"/>
  <c r="AC713" i="7"/>
  <c r="AB713" i="7"/>
  <c r="AA713" i="7"/>
  <c r="Z713" i="7"/>
  <c r="Y713" i="7"/>
  <c r="X713" i="7"/>
  <c r="W713" i="7"/>
  <c r="AL712" i="7"/>
  <c r="AK712" i="7"/>
  <c r="AJ712" i="7"/>
  <c r="AI712" i="7"/>
  <c r="AH712" i="7"/>
  <c r="AG712" i="7"/>
  <c r="AF712" i="7"/>
  <c r="AE712" i="7"/>
  <c r="AD712" i="7"/>
  <c r="AC712" i="7"/>
  <c r="AB712" i="7"/>
  <c r="AA712" i="7"/>
  <c r="Z712" i="7"/>
  <c r="Y712" i="7"/>
  <c r="X712" i="7"/>
  <c r="W712" i="7"/>
  <c r="AL711" i="7"/>
  <c r="AK711" i="7"/>
  <c r="AJ711" i="7"/>
  <c r="AI711" i="7"/>
  <c r="AH711" i="7"/>
  <c r="AG711" i="7"/>
  <c r="AF711" i="7"/>
  <c r="AE711" i="7"/>
  <c r="AD711" i="7"/>
  <c r="AC711" i="7"/>
  <c r="AB711" i="7"/>
  <c r="AA711" i="7"/>
  <c r="Z711" i="7"/>
  <c r="Y711" i="7"/>
  <c r="X711" i="7"/>
  <c r="W711" i="7"/>
  <c r="AL710" i="7"/>
  <c r="AK710" i="7"/>
  <c r="AJ710" i="7"/>
  <c r="AI710" i="7"/>
  <c r="AH710" i="7"/>
  <c r="AG710" i="7"/>
  <c r="AF710" i="7"/>
  <c r="AE710" i="7"/>
  <c r="AD710" i="7"/>
  <c r="AC710" i="7"/>
  <c r="AB710" i="7"/>
  <c r="AA710" i="7"/>
  <c r="Z710" i="7"/>
  <c r="Y710" i="7"/>
  <c r="X710" i="7"/>
  <c r="W710" i="7"/>
  <c r="AL709" i="7"/>
  <c r="AK709" i="7"/>
  <c r="AJ709" i="7"/>
  <c r="AI709" i="7"/>
  <c r="AH709" i="7"/>
  <c r="AG709" i="7"/>
  <c r="AF709" i="7"/>
  <c r="AE709" i="7"/>
  <c r="AD709" i="7"/>
  <c r="AC709" i="7"/>
  <c r="AB709" i="7"/>
  <c r="AA709" i="7"/>
  <c r="Z709" i="7"/>
  <c r="Y709" i="7"/>
  <c r="X709" i="7"/>
  <c r="W709" i="7"/>
  <c r="AL708" i="7"/>
  <c r="AK708" i="7"/>
  <c r="AJ708" i="7"/>
  <c r="AI708" i="7"/>
  <c r="AH708" i="7"/>
  <c r="AG708" i="7"/>
  <c r="AF708" i="7"/>
  <c r="AE708" i="7"/>
  <c r="AD708" i="7"/>
  <c r="AC708" i="7"/>
  <c r="AB708" i="7"/>
  <c r="AA708" i="7"/>
  <c r="Z708" i="7"/>
  <c r="Y708" i="7"/>
  <c r="X708" i="7"/>
  <c r="W708" i="7"/>
  <c r="AL707" i="7"/>
  <c r="AK707" i="7"/>
  <c r="AJ707" i="7"/>
  <c r="AI707" i="7"/>
  <c r="AH707" i="7"/>
  <c r="AG707" i="7"/>
  <c r="AF707" i="7"/>
  <c r="AE707" i="7"/>
  <c r="AD707" i="7"/>
  <c r="AC707" i="7"/>
  <c r="AB707" i="7"/>
  <c r="AA707" i="7"/>
  <c r="Z707" i="7"/>
  <c r="Y707" i="7"/>
  <c r="X707" i="7"/>
  <c r="W707" i="7"/>
  <c r="AL702" i="7"/>
  <c r="AK702" i="7"/>
  <c r="AJ702" i="7"/>
  <c r="AI702" i="7"/>
  <c r="AH702" i="7"/>
  <c r="AG702" i="7"/>
  <c r="AF702" i="7"/>
  <c r="AE702" i="7"/>
  <c r="AD702" i="7"/>
  <c r="AC702" i="7"/>
  <c r="AB702" i="7"/>
  <c r="AA702" i="7"/>
  <c r="Z702" i="7"/>
  <c r="Y702" i="7"/>
  <c r="X702" i="7"/>
  <c r="W702" i="7"/>
  <c r="AL701" i="7"/>
  <c r="AK701" i="7"/>
  <c r="AJ701" i="7"/>
  <c r="AI701" i="7"/>
  <c r="AH701" i="7"/>
  <c r="AG701" i="7"/>
  <c r="AF701" i="7"/>
  <c r="AE701" i="7"/>
  <c r="AD701" i="7"/>
  <c r="AC701" i="7"/>
  <c r="AB701" i="7"/>
  <c r="AA701" i="7"/>
  <c r="Z701" i="7"/>
  <c r="Y701" i="7"/>
  <c r="X701" i="7"/>
  <c r="W701" i="7"/>
  <c r="AL700" i="7"/>
  <c r="AK700" i="7"/>
  <c r="AJ700" i="7"/>
  <c r="AI700" i="7"/>
  <c r="AH700" i="7"/>
  <c r="AG700" i="7"/>
  <c r="AF700" i="7"/>
  <c r="AE700" i="7"/>
  <c r="AD700" i="7"/>
  <c r="AC700" i="7"/>
  <c r="AB700" i="7"/>
  <c r="AA700" i="7"/>
  <c r="Z700" i="7"/>
  <c r="Y700" i="7"/>
  <c r="X700" i="7"/>
  <c r="W700" i="7"/>
  <c r="AL699" i="7"/>
  <c r="AK699" i="7"/>
  <c r="AJ699" i="7"/>
  <c r="AI699" i="7"/>
  <c r="AH699" i="7"/>
  <c r="AG699" i="7"/>
  <c r="AF699" i="7"/>
  <c r="AE699" i="7"/>
  <c r="AD699" i="7"/>
  <c r="AC699" i="7"/>
  <c r="AB699" i="7"/>
  <c r="AA699" i="7"/>
  <c r="Z699" i="7"/>
  <c r="Y699" i="7"/>
  <c r="X699" i="7"/>
  <c r="W699" i="7"/>
  <c r="AL698" i="7"/>
  <c r="AK698" i="7"/>
  <c r="AJ698" i="7"/>
  <c r="AI698" i="7"/>
  <c r="AH698" i="7"/>
  <c r="AG698" i="7"/>
  <c r="AF698" i="7"/>
  <c r="AE698" i="7"/>
  <c r="AD698" i="7"/>
  <c r="AC698" i="7"/>
  <c r="AB698" i="7"/>
  <c r="AA698" i="7"/>
  <c r="Z698" i="7"/>
  <c r="Y698" i="7"/>
  <c r="X698" i="7"/>
  <c r="W698" i="7"/>
  <c r="AL697" i="7"/>
  <c r="AK697" i="7"/>
  <c r="AJ697" i="7"/>
  <c r="AI697" i="7"/>
  <c r="AH697" i="7"/>
  <c r="AG697" i="7"/>
  <c r="AF697" i="7"/>
  <c r="AE697" i="7"/>
  <c r="AD697" i="7"/>
  <c r="AC697" i="7"/>
  <c r="AB697" i="7"/>
  <c r="AA697" i="7"/>
  <c r="Z697" i="7"/>
  <c r="Y697" i="7"/>
  <c r="X697" i="7"/>
  <c r="W697" i="7"/>
  <c r="AL696" i="7"/>
  <c r="AK696" i="7"/>
  <c r="AJ696" i="7"/>
  <c r="AI696" i="7"/>
  <c r="AH696" i="7"/>
  <c r="AG696" i="7"/>
  <c r="AF696" i="7"/>
  <c r="AE696" i="7"/>
  <c r="AD696" i="7"/>
  <c r="AC696" i="7"/>
  <c r="AB696" i="7"/>
  <c r="AA696" i="7"/>
  <c r="Z696" i="7"/>
  <c r="Y696" i="7"/>
  <c r="X696" i="7"/>
  <c r="W696" i="7"/>
  <c r="AL695" i="7"/>
  <c r="AK695" i="7"/>
  <c r="AJ695" i="7"/>
  <c r="AI695" i="7"/>
  <c r="AH695" i="7"/>
  <c r="AG695" i="7"/>
  <c r="AF695" i="7"/>
  <c r="AE695" i="7"/>
  <c r="AD695" i="7"/>
  <c r="AC695" i="7"/>
  <c r="AB695" i="7"/>
  <c r="AA695" i="7"/>
  <c r="Z695" i="7"/>
  <c r="Y695" i="7"/>
  <c r="X695" i="7"/>
  <c r="W695" i="7"/>
  <c r="AL694" i="7"/>
  <c r="AK694" i="7"/>
  <c r="AJ694" i="7"/>
  <c r="AI694" i="7"/>
  <c r="AH694" i="7"/>
  <c r="AG694" i="7"/>
  <c r="AF694" i="7"/>
  <c r="AE694" i="7"/>
  <c r="AD694" i="7"/>
  <c r="AC694" i="7"/>
  <c r="AB694" i="7"/>
  <c r="AA694" i="7"/>
  <c r="Z694" i="7"/>
  <c r="Y694" i="7"/>
  <c r="X694" i="7"/>
  <c r="W694" i="7"/>
  <c r="AL693" i="7"/>
  <c r="AK693" i="7"/>
  <c r="AJ693" i="7"/>
  <c r="AI693" i="7"/>
  <c r="AH693" i="7"/>
  <c r="AG693" i="7"/>
  <c r="AF693" i="7"/>
  <c r="AE693" i="7"/>
  <c r="AD693" i="7"/>
  <c r="AC693" i="7"/>
  <c r="AB693" i="7"/>
  <c r="AA693" i="7"/>
  <c r="Z693" i="7"/>
  <c r="Y693" i="7"/>
  <c r="X693" i="7"/>
  <c r="W693" i="7"/>
  <c r="AL692" i="7"/>
  <c r="AK692" i="7"/>
  <c r="AJ692" i="7"/>
  <c r="AI692" i="7"/>
  <c r="AH692" i="7"/>
  <c r="AG692" i="7"/>
  <c r="AF692" i="7"/>
  <c r="AE692" i="7"/>
  <c r="AD692" i="7"/>
  <c r="AC692" i="7"/>
  <c r="AB692" i="7"/>
  <c r="AA692" i="7"/>
  <c r="Z692" i="7"/>
  <c r="Y692" i="7"/>
  <c r="X692" i="7"/>
  <c r="W692" i="7"/>
  <c r="AL691" i="7"/>
  <c r="AK691" i="7"/>
  <c r="AJ691" i="7"/>
  <c r="AI691" i="7"/>
  <c r="AH691" i="7"/>
  <c r="AG691" i="7"/>
  <c r="AF691" i="7"/>
  <c r="AE691" i="7"/>
  <c r="AD691" i="7"/>
  <c r="AC691" i="7"/>
  <c r="AB691" i="7"/>
  <c r="AA691" i="7"/>
  <c r="Z691" i="7"/>
  <c r="Y691" i="7"/>
  <c r="X691" i="7"/>
  <c r="W691" i="7"/>
  <c r="AL690" i="7"/>
  <c r="AK690" i="7"/>
  <c r="AJ690" i="7"/>
  <c r="AI690" i="7"/>
  <c r="AH690" i="7"/>
  <c r="AG690" i="7"/>
  <c r="AF690" i="7"/>
  <c r="AE690" i="7"/>
  <c r="AD690" i="7"/>
  <c r="AC690" i="7"/>
  <c r="AB690" i="7"/>
  <c r="AA690" i="7"/>
  <c r="Z690" i="7"/>
  <c r="Y690" i="7"/>
  <c r="X690" i="7"/>
  <c r="W690" i="7"/>
  <c r="AL689" i="7"/>
  <c r="AK689" i="7"/>
  <c r="AJ689" i="7"/>
  <c r="AI689" i="7"/>
  <c r="AH689" i="7"/>
  <c r="AG689" i="7"/>
  <c r="AF689" i="7"/>
  <c r="AE689" i="7"/>
  <c r="AD689" i="7"/>
  <c r="AC689" i="7"/>
  <c r="AB689" i="7"/>
  <c r="AA689" i="7"/>
  <c r="Z689" i="7"/>
  <c r="Y689" i="7"/>
  <c r="X689" i="7"/>
  <c r="W689" i="7"/>
  <c r="AL688" i="7"/>
  <c r="AK688" i="7"/>
  <c r="AJ688" i="7"/>
  <c r="AI688" i="7"/>
  <c r="AH688" i="7"/>
  <c r="AG688" i="7"/>
  <c r="AF688" i="7"/>
  <c r="AE688" i="7"/>
  <c r="AD688" i="7"/>
  <c r="AC688" i="7"/>
  <c r="AB688" i="7"/>
  <c r="AA688" i="7"/>
  <c r="Z688" i="7"/>
  <c r="Y688" i="7"/>
  <c r="X688" i="7"/>
  <c r="W688" i="7"/>
  <c r="AL687" i="7"/>
  <c r="AK687" i="7"/>
  <c r="AJ687" i="7"/>
  <c r="AI687" i="7"/>
  <c r="AH687" i="7"/>
  <c r="AG687" i="7"/>
  <c r="AF687" i="7"/>
  <c r="AE687" i="7"/>
  <c r="AD687" i="7"/>
  <c r="AC687" i="7"/>
  <c r="AB687" i="7"/>
  <c r="AA687" i="7"/>
  <c r="Z687" i="7"/>
  <c r="Y687" i="7"/>
  <c r="X687" i="7"/>
  <c r="W687" i="7"/>
  <c r="AL686" i="7"/>
  <c r="AK686" i="7"/>
  <c r="AJ686" i="7"/>
  <c r="AI686" i="7"/>
  <c r="AH686" i="7"/>
  <c r="AG686" i="7"/>
  <c r="AF686" i="7"/>
  <c r="AE686" i="7"/>
  <c r="AD686" i="7"/>
  <c r="AC686" i="7"/>
  <c r="AB686" i="7"/>
  <c r="AA686" i="7"/>
  <c r="Z686" i="7"/>
  <c r="Y686" i="7"/>
  <c r="X686" i="7"/>
  <c r="W686" i="7"/>
  <c r="AL685" i="7"/>
  <c r="AK685" i="7"/>
  <c r="AJ685" i="7"/>
  <c r="AI685" i="7"/>
  <c r="AH685" i="7"/>
  <c r="AG685" i="7"/>
  <c r="AF685" i="7"/>
  <c r="AE685" i="7"/>
  <c r="AD685" i="7"/>
  <c r="AC685" i="7"/>
  <c r="AB685" i="7"/>
  <c r="AA685" i="7"/>
  <c r="Z685" i="7"/>
  <c r="Y685" i="7"/>
  <c r="X685" i="7"/>
  <c r="W685" i="7"/>
  <c r="AL684" i="7"/>
  <c r="AK684" i="7"/>
  <c r="AJ684" i="7"/>
  <c r="AI684" i="7"/>
  <c r="AH684" i="7"/>
  <c r="AG684" i="7"/>
  <c r="AF684" i="7"/>
  <c r="AE684" i="7"/>
  <c r="AD684" i="7"/>
  <c r="AC684" i="7"/>
  <c r="AB684" i="7"/>
  <c r="AA684" i="7"/>
  <c r="Z684" i="7"/>
  <c r="Y684" i="7"/>
  <c r="X684" i="7"/>
  <c r="W684" i="7"/>
  <c r="AL683" i="7"/>
  <c r="AK683" i="7"/>
  <c r="AJ683" i="7"/>
  <c r="AI683" i="7"/>
  <c r="AH683" i="7"/>
  <c r="AG683" i="7"/>
  <c r="AF683" i="7"/>
  <c r="AE683" i="7"/>
  <c r="AD683" i="7"/>
  <c r="AC683" i="7"/>
  <c r="AB683" i="7"/>
  <c r="AA683" i="7"/>
  <c r="Z683" i="7"/>
  <c r="Y683" i="7"/>
  <c r="X683" i="7"/>
  <c r="W683" i="7"/>
  <c r="AL682" i="7"/>
  <c r="AK682" i="7"/>
  <c r="AJ682" i="7"/>
  <c r="AI682" i="7"/>
  <c r="AH682" i="7"/>
  <c r="AG682" i="7"/>
  <c r="AF682" i="7"/>
  <c r="AE682" i="7"/>
  <c r="AD682" i="7"/>
  <c r="AC682" i="7"/>
  <c r="AB682" i="7"/>
  <c r="AA682" i="7"/>
  <c r="Z682" i="7"/>
  <c r="Y682" i="7"/>
  <c r="X682" i="7"/>
  <c r="W682" i="7"/>
  <c r="AL681" i="7"/>
  <c r="AK681" i="7"/>
  <c r="AJ681" i="7"/>
  <c r="AI681" i="7"/>
  <c r="AH681" i="7"/>
  <c r="AG681" i="7"/>
  <c r="AF681" i="7"/>
  <c r="AE681" i="7"/>
  <c r="AD681" i="7"/>
  <c r="AC681" i="7"/>
  <c r="AB681" i="7"/>
  <c r="AA681" i="7"/>
  <c r="Z681" i="7"/>
  <c r="Y681" i="7"/>
  <c r="X681" i="7"/>
  <c r="W681" i="7"/>
  <c r="AL680" i="7"/>
  <c r="AK680" i="7"/>
  <c r="AJ680" i="7"/>
  <c r="AI680" i="7"/>
  <c r="AH680" i="7"/>
  <c r="AG680" i="7"/>
  <c r="AF680" i="7"/>
  <c r="AE680" i="7"/>
  <c r="AD680" i="7"/>
  <c r="AC680" i="7"/>
  <c r="AB680" i="7"/>
  <c r="AA680" i="7"/>
  <c r="Z680" i="7"/>
  <c r="Y680" i="7"/>
  <c r="X680" i="7"/>
  <c r="W680" i="7"/>
  <c r="AL679" i="7"/>
  <c r="AK679" i="7"/>
  <c r="AJ679" i="7"/>
  <c r="AI679" i="7"/>
  <c r="AH679" i="7"/>
  <c r="AG679" i="7"/>
  <c r="AF679" i="7"/>
  <c r="AE679" i="7"/>
  <c r="AD679" i="7"/>
  <c r="AC679" i="7"/>
  <c r="AB679" i="7"/>
  <c r="AA679" i="7"/>
  <c r="Z679" i="7"/>
  <c r="Y679" i="7"/>
  <c r="X679" i="7"/>
  <c r="W679" i="7"/>
  <c r="AL678" i="7"/>
  <c r="AK678" i="7"/>
  <c r="AJ678" i="7"/>
  <c r="AI678" i="7"/>
  <c r="AH678" i="7"/>
  <c r="AG678" i="7"/>
  <c r="AF678" i="7"/>
  <c r="AE678" i="7"/>
  <c r="AD678" i="7"/>
  <c r="AC678" i="7"/>
  <c r="AB678" i="7"/>
  <c r="AA678" i="7"/>
  <c r="Z678" i="7"/>
  <c r="Y678" i="7"/>
  <c r="X678" i="7"/>
  <c r="W678" i="7"/>
  <c r="AL677" i="7"/>
  <c r="AK677" i="7"/>
  <c r="AJ677" i="7"/>
  <c r="AI677" i="7"/>
  <c r="AH677" i="7"/>
  <c r="AG677" i="7"/>
  <c r="AF677" i="7"/>
  <c r="AE677" i="7"/>
  <c r="AD677" i="7"/>
  <c r="AC677" i="7"/>
  <c r="AB677" i="7"/>
  <c r="AA677" i="7"/>
  <c r="Z677" i="7"/>
  <c r="Y677" i="7"/>
  <c r="X677" i="7"/>
  <c r="W677" i="7"/>
  <c r="AL676" i="7"/>
  <c r="AK676" i="7"/>
  <c r="AJ676" i="7"/>
  <c r="AI676" i="7"/>
  <c r="AH676" i="7"/>
  <c r="AG676" i="7"/>
  <c r="AF676" i="7"/>
  <c r="AE676" i="7"/>
  <c r="AD676" i="7"/>
  <c r="AC676" i="7"/>
  <c r="AB676" i="7"/>
  <c r="AA676" i="7"/>
  <c r="Z676" i="7"/>
  <c r="Y676" i="7"/>
  <c r="X676" i="7"/>
  <c r="W676" i="7"/>
  <c r="AL675" i="7"/>
  <c r="AK675" i="7"/>
  <c r="AJ675" i="7"/>
  <c r="AI675" i="7"/>
  <c r="AH675" i="7"/>
  <c r="AG675" i="7"/>
  <c r="AF675" i="7"/>
  <c r="AE675" i="7"/>
  <c r="AD675" i="7"/>
  <c r="AC675" i="7"/>
  <c r="AB675" i="7"/>
  <c r="AA675" i="7"/>
  <c r="Z675" i="7"/>
  <c r="Y675" i="7"/>
  <c r="X675" i="7"/>
  <c r="W675" i="7"/>
  <c r="AL674" i="7"/>
  <c r="AK674" i="7"/>
  <c r="AJ674" i="7"/>
  <c r="AI674" i="7"/>
  <c r="AH674" i="7"/>
  <c r="AG674" i="7"/>
  <c r="AF674" i="7"/>
  <c r="AE674" i="7"/>
  <c r="AD674" i="7"/>
  <c r="AC674" i="7"/>
  <c r="AB674" i="7"/>
  <c r="AA674" i="7"/>
  <c r="Z674" i="7"/>
  <c r="Y674" i="7"/>
  <c r="X674" i="7"/>
  <c r="W674" i="7"/>
  <c r="AL673" i="7"/>
  <c r="AK673" i="7"/>
  <c r="AJ673" i="7"/>
  <c r="AI673" i="7"/>
  <c r="AH673" i="7"/>
  <c r="AG673" i="7"/>
  <c r="AF673" i="7"/>
  <c r="AE673" i="7"/>
  <c r="AD673" i="7"/>
  <c r="AC673" i="7"/>
  <c r="AB673" i="7"/>
  <c r="AA673" i="7"/>
  <c r="Z673" i="7"/>
  <c r="Y673" i="7"/>
  <c r="X673" i="7"/>
  <c r="W673" i="7"/>
  <c r="AL672" i="7"/>
  <c r="AK672" i="7"/>
  <c r="AJ672" i="7"/>
  <c r="AI672" i="7"/>
  <c r="AH672" i="7"/>
  <c r="AG672" i="7"/>
  <c r="AF672" i="7"/>
  <c r="AE672" i="7"/>
  <c r="AD672" i="7"/>
  <c r="AC672" i="7"/>
  <c r="AB672" i="7"/>
  <c r="AA672" i="7"/>
  <c r="Z672" i="7"/>
  <c r="Y672" i="7"/>
  <c r="X672" i="7"/>
  <c r="W672" i="7"/>
  <c r="AL671" i="7"/>
  <c r="AK671" i="7"/>
  <c r="AJ671" i="7"/>
  <c r="AI671" i="7"/>
  <c r="AH671" i="7"/>
  <c r="AG671" i="7"/>
  <c r="AF671" i="7"/>
  <c r="AE671" i="7"/>
  <c r="AD671" i="7"/>
  <c r="AC671" i="7"/>
  <c r="AB671" i="7"/>
  <c r="AA671" i="7"/>
  <c r="Z671" i="7"/>
  <c r="Y671" i="7"/>
  <c r="X671" i="7"/>
  <c r="W671" i="7"/>
  <c r="AL670" i="7"/>
  <c r="AK670" i="7"/>
  <c r="AJ670" i="7"/>
  <c r="AI670" i="7"/>
  <c r="AH670" i="7"/>
  <c r="AG670" i="7"/>
  <c r="AF670" i="7"/>
  <c r="AE670" i="7"/>
  <c r="AD670" i="7"/>
  <c r="AC670" i="7"/>
  <c r="AB670" i="7"/>
  <c r="AA670" i="7"/>
  <c r="Z670" i="7"/>
  <c r="Y670" i="7"/>
  <c r="X670" i="7"/>
  <c r="W670" i="7"/>
  <c r="AL669" i="7"/>
  <c r="AK669" i="7"/>
  <c r="AJ669" i="7"/>
  <c r="AI669" i="7"/>
  <c r="AH669" i="7"/>
  <c r="AG669" i="7"/>
  <c r="AF669" i="7"/>
  <c r="AE669" i="7"/>
  <c r="AD669" i="7"/>
  <c r="AC669" i="7"/>
  <c r="AB669" i="7"/>
  <c r="AA669" i="7"/>
  <c r="Z669" i="7"/>
  <c r="Y669" i="7"/>
  <c r="X669" i="7"/>
  <c r="W669" i="7"/>
  <c r="AL668" i="7"/>
  <c r="AK668" i="7"/>
  <c r="AJ668" i="7"/>
  <c r="AI668" i="7"/>
  <c r="AH668" i="7"/>
  <c r="AG668" i="7"/>
  <c r="AF668" i="7"/>
  <c r="AE668" i="7"/>
  <c r="AD668" i="7"/>
  <c r="AC668" i="7"/>
  <c r="AB668" i="7"/>
  <c r="AA668" i="7"/>
  <c r="Z668" i="7"/>
  <c r="Y668" i="7"/>
  <c r="X668" i="7"/>
  <c r="W668" i="7"/>
  <c r="AL667" i="7"/>
  <c r="AK667" i="7"/>
  <c r="AJ667" i="7"/>
  <c r="AI667" i="7"/>
  <c r="AH667" i="7"/>
  <c r="AG667" i="7"/>
  <c r="AF667" i="7"/>
  <c r="AE667" i="7"/>
  <c r="AD667" i="7"/>
  <c r="AC667" i="7"/>
  <c r="AB667" i="7"/>
  <c r="AA667" i="7"/>
  <c r="Z667" i="7"/>
  <c r="Y667" i="7"/>
  <c r="X667" i="7"/>
  <c r="W667" i="7"/>
  <c r="AL666" i="7"/>
  <c r="AK666" i="7"/>
  <c r="AJ666" i="7"/>
  <c r="AI666" i="7"/>
  <c r="AH666" i="7"/>
  <c r="AG666" i="7"/>
  <c r="AF666" i="7"/>
  <c r="AE666" i="7"/>
  <c r="AD666" i="7"/>
  <c r="AC666" i="7"/>
  <c r="AB666" i="7"/>
  <c r="AA666" i="7"/>
  <c r="Z666" i="7"/>
  <c r="Y666" i="7"/>
  <c r="X666" i="7"/>
  <c r="W666" i="7"/>
  <c r="AL665" i="7"/>
  <c r="AK665" i="7"/>
  <c r="AJ665" i="7"/>
  <c r="AI665" i="7"/>
  <c r="AH665" i="7"/>
  <c r="AG665" i="7"/>
  <c r="AF665" i="7"/>
  <c r="AE665" i="7"/>
  <c r="AD665" i="7"/>
  <c r="AC665" i="7"/>
  <c r="AB665" i="7"/>
  <c r="AA665" i="7"/>
  <c r="Z665" i="7"/>
  <c r="Y665" i="7"/>
  <c r="X665" i="7"/>
  <c r="W665" i="7"/>
  <c r="AL664" i="7"/>
  <c r="AK664" i="7"/>
  <c r="AJ664" i="7"/>
  <c r="AI664" i="7"/>
  <c r="AH664" i="7"/>
  <c r="AG664" i="7"/>
  <c r="AF664" i="7"/>
  <c r="AE664" i="7"/>
  <c r="AD664" i="7"/>
  <c r="AC664" i="7"/>
  <c r="AB664" i="7"/>
  <c r="AA664" i="7"/>
  <c r="Z664" i="7"/>
  <c r="Y664" i="7"/>
  <c r="X664" i="7"/>
  <c r="W664" i="7"/>
  <c r="AL663" i="7"/>
  <c r="AK663" i="7"/>
  <c r="AJ663" i="7"/>
  <c r="AI663" i="7"/>
  <c r="AH663" i="7"/>
  <c r="AG663" i="7"/>
  <c r="AF663" i="7"/>
  <c r="AE663" i="7"/>
  <c r="AD663" i="7"/>
  <c r="AC663" i="7"/>
  <c r="AB663" i="7"/>
  <c r="AA663" i="7"/>
  <c r="Z663" i="7"/>
  <c r="Y663" i="7"/>
  <c r="X663" i="7"/>
  <c r="W663" i="7"/>
  <c r="AL658" i="7"/>
  <c r="AK658" i="7"/>
  <c r="AJ658" i="7"/>
  <c r="AI658" i="7"/>
  <c r="AH658" i="7"/>
  <c r="AG658" i="7"/>
  <c r="AF658" i="7"/>
  <c r="AE658" i="7"/>
  <c r="AD658" i="7"/>
  <c r="AC658" i="7"/>
  <c r="AB658" i="7"/>
  <c r="AA658" i="7"/>
  <c r="Z658" i="7"/>
  <c r="Y658" i="7"/>
  <c r="X658" i="7"/>
  <c r="W658" i="7"/>
  <c r="AL657" i="7"/>
  <c r="AK657" i="7"/>
  <c r="AJ657" i="7"/>
  <c r="AI657" i="7"/>
  <c r="AH657" i="7"/>
  <c r="AG657" i="7"/>
  <c r="AF657" i="7"/>
  <c r="AE657" i="7"/>
  <c r="AD657" i="7"/>
  <c r="AC657" i="7"/>
  <c r="AB657" i="7"/>
  <c r="AA657" i="7"/>
  <c r="Z657" i="7"/>
  <c r="Y657" i="7"/>
  <c r="X657" i="7"/>
  <c r="W657" i="7"/>
  <c r="AL656" i="7"/>
  <c r="AK656" i="7"/>
  <c r="AJ656" i="7"/>
  <c r="AI656" i="7"/>
  <c r="AH656" i="7"/>
  <c r="AG656" i="7"/>
  <c r="AF656" i="7"/>
  <c r="AE656" i="7"/>
  <c r="AD656" i="7"/>
  <c r="AC656" i="7"/>
  <c r="AB656" i="7"/>
  <c r="AA656" i="7"/>
  <c r="Z656" i="7"/>
  <c r="Y656" i="7"/>
  <c r="X656" i="7"/>
  <c r="W656" i="7"/>
  <c r="AL655" i="7"/>
  <c r="AK655" i="7"/>
  <c r="AJ655" i="7"/>
  <c r="AI655" i="7"/>
  <c r="AH655" i="7"/>
  <c r="AG655" i="7"/>
  <c r="AF655" i="7"/>
  <c r="AE655" i="7"/>
  <c r="AD655" i="7"/>
  <c r="AC655" i="7"/>
  <c r="AB655" i="7"/>
  <c r="AA655" i="7"/>
  <c r="Z655" i="7"/>
  <c r="Y655" i="7"/>
  <c r="X655" i="7"/>
  <c r="W655" i="7"/>
  <c r="AL654" i="7"/>
  <c r="AK654" i="7"/>
  <c r="AJ654" i="7"/>
  <c r="AI654" i="7"/>
  <c r="AH654" i="7"/>
  <c r="AG654" i="7"/>
  <c r="AF654" i="7"/>
  <c r="AE654" i="7"/>
  <c r="AD654" i="7"/>
  <c r="AC654" i="7"/>
  <c r="AB654" i="7"/>
  <c r="AA654" i="7"/>
  <c r="Z654" i="7"/>
  <c r="Y654" i="7"/>
  <c r="X654" i="7"/>
  <c r="W654" i="7"/>
  <c r="AL653" i="7"/>
  <c r="AK653" i="7"/>
  <c r="AJ653" i="7"/>
  <c r="AI653" i="7"/>
  <c r="AH653" i="7"/>
  <c r="AG653" i="7"/>
  <c r="AF653" i="7"/>
  <c r="AE653" i="7"/>
  <c r="AD653" i="7"/>
  <c r="AC653" i="7"/>
  <c r="AB653" i="7"/>
  <c r="AA653" i="7"/>
  <c r="Z653" i="7"/>
  <c r="Y653" i="7"/>
  <c r="X653" i="7"/>
  <c r="W653" i="7"/>
  <c r="AL652" i="7"/>
  <c r="AK652" i="7"/>
  <c r="AJ652" i="7"/>
  <c r="AI652" i="7"/>
  <c r="AH652" i="7"/>
  <c r="AG652" i="7"/>
  <c r="AF652" i="7"/>
  <c r="AE652" i="7"/>
  <c r="AD652" i="7"/>
  <c r="AC652" i="7"/>
  <c r="AB652" i="7"/>
  <c r="AA652" i="7"/>
  <c r="Z652" i="7"/>
  <c r="Y652" i="7"/>
  <c r="X652" i="7"/>
  <c r="W652" i="7"/>
  <c r="AL651" i="7"/>
  <c r="AK651" i="7"/>
  <c r="AJ651" i="7"/>
  <c r="AI651" i="7"/>
  <c r="AH651" i="7"/>
  <c r="AG651" i="7"/>
  <c r="AF651" i="7"/>
  <c r="AE651" i="7"/>
  <c r="AD651" i="7"/>
  <c r="AC651" i="7"/>
  <c r="AB651" i="7"/>
  <c r="AA651" i="7"/>
  <c r="Z651" i="7"/>
  <c r="Y651" i="7"/>
  <c r="X651" i="7"/>
  <c r="W651" i="7"/>
  <c r="AL650" i="7"/>
  <c r="AK650" i="7"/>
  <c r="AJ650" i="7"/>
  <c r="AI650" i="7"/>
  <c r="AH650" i="7"/>
  <c r="AG650" i="7"/>
  <c r="AF650" i="7"/>
  <c r="AE650" i="7"/>
  <c r="AD650" i="7"/>
  <c r="AC650" i="7"/>
  <c r="AB650" i="7"/>
  <c r="AA650" i="7"/>
  <c r="Z650" i="7"/>
  <c r="Y650" i="7"/>
  <c r="X650" i="7"/>
  <c r="W650" i="7"/>
  <c r="AL649" i="7"/>
  <c r="AK649" i="7"/>
  <c r="AJ649" i="7"/>
  <c r="AI649" i="7"/>
  <c r="AH649" i="7"/>
  <c r="AG649" i="7"/>
  <c r="AF649" i="7"/>
  <c r="AE649" i="7"/>
  <c r="AD649" i="7"/>
  <c r="AC649" i="7"/>
  <c r="AB649" i="7"/>
  <c r="AA649" i="7"/>
  <c r="Z649" i="7"/>
  <c r="Y649" i="7"/>
  <c r="X649" i="7"/>
  <c r="W649" i="7"/>
  <c r="AL648" i="7"/>
  <c r="AK648" i="7"/>
  <c r="AJ648" i="7"/>
  <c r="AI648" i="7"/>
  <c r="AH648" i="7"/>
  <c r="AG648" i="7"/>
  <c r="AF648" i="7"/>
  <c r="AE648" i="7"/>
  <c r="AD648" i="7"/>
  <c r="AC648" i="7"/>
  <c r="AB648" i="7"/>
  <c r="AA648" i="7"/>
  <c r="Z648" i="7"/>
  <c r="Y648" i="7"/>
  <c r="X648" i="7"/>
  <c r="W648" i="7"/>
  <c r="AL647" i="7"/>
  <c r="AK647" i="7"/>
  <c r="AJ647" i="7"/>
  <c r="AI647" i="7"/>
  <c r="AH647" i="7"/>
  <c r="AG647" i="7"/>
  <c r="AF647" i="7"/>
  <c r="AE647" i="7"/>
  <c r="AD647" i="7"/>
  <c r="AC647" i="7"/>
  <c r="AB647" i="7"/>
  <c r="AA647" i="7"/>
  <c r="Z647" i="7"/>
  <c r="Y647" i="7"/>
  <c r="X647" i="7"/>
  <c r="W647" i="7"/>
  <c r="AL646" i="7"/>
  <c r="AK646" i="7"/>
  <c r="AJ646" i="7"/>
  <c r="AI646" i="7"/>
  <c r="AH646" i="7"/>
  <c r="AG646" i="7"/>
  <c r="AF646" i="7"/>
  <c r="AE646" i="7"/>
  <c r="AD646" i="7"/>
  <c r="AC646" i="7"/>
  <c r="AB646" i="7"/>
  <c r="AA646" i="7"/>
  <c r="Z646" i="7"/>
  <c r="Y646" i="7"/>
  <c r="X646" i="7"/>
  <c r="W646" i="7"/>
  <c r="AL645" i="7"/>
  <c r="AK645" i="7"/>
  <c r="AJ645" i="7"/>
  <c r="AI645" i="7"/>
  <c r="AH645" i="7"/>
  <c r="AG645" i="7"/>
  <c r="AF645" i="7"/>
  <c r="AE645" i="7"/>
  <c r="AD645" i="7"/>
  <c r="AC645" i="7"/>
  <c r="AB645" i="7"/>
  <c r="AA645" i="7"/>
  <c r="Z645" i="7"/>
  <c r="Y645" i="7"/>
  <c r="X645" i="7"/>
  <c r="W645" i="7"/>
  <c r="AL644" i="7"/>
  <c r="AK644" i="7"/>
  <c r="AJ644" i="7"/>
  <c r="AI644" i="7"/>
  <c r="AH644" i="7"/>
  <c r="AG644" i="7"/>
  <c r="AF644" i="7"/>
  <c r="AE644" i="7"/>
  <c r="AD644" i="7"/>
  <c r="AC644" i="7"/>
  <c r="AB644" i="7"/>
  <c r="AA644" i="7"/>
  <c r="Z644" i="7"/>
  <c r="Y644" i="7"/>
  <c r="X644" i="7"/>
  <c r="W644" i="7"/>
  <c r="AL643" i="7"/>
  <c r="AK643" i="7"/>
  <c r="AJ643" i="7"/>
  <c r="AI643" i="7"/>
  <c r="AH643" i="7"/>
  <c r="AG643" i="7"/>
  <c r="AF643" i="7"/>
  <c r="AE643" i="7"/>
  <c r="AD643" i="7"/>
  <c r="AC643" i="7"/>
  <c r="AB643" i="7"/>
  <c r="AA643" i="7"/>
  <c r="Z643" i="7"/>
  <c r="Y643" i="7"/>
  <c r="X643" i="7"/>
  <c r="W643" i="7"/>
  <c r="AL642" i="7"/>
  <c r="AK642" i="7"/>
  <c r="AJ642" i="7"/>
  <c r="AI642" i="7"/>
  <c r="AH642" i="7"/>
  <c r="AG642" i="7"/>
  <c r="AF642" i="7"/>
  <c r="AE642" i="7"/>
  <c r="AD642" i="7"/>
  <c r="AC642" i="7"/>
  <c r="AB642" i="7"/>
  <c r="AA642" i="7"/>
  <c r="Z642" i="7"/>
  <c r="Y642" i="7"/>
  <c r="X642" i="7"/>
  <c r="W642" i="7"/>
  <c r="AL641" i="7"/>
  <c r="AK641" i="7"/>
  <c r="AJ641" i="7"/>
  <c r="AI641" i="7"/>
  <c r="AH641" i="7"/>
  <c r="AG641" i="7"/>
  <c r="AF641" i="7"/>
  <c r="AE641" i="7"/>
  <c r="AD641" i="7"/>
  <c r="AC641" i="7"/>
  <c r="AB641" i="7"/>
  <c r="AA641" i="7"/>
  <c r="Z641" i="7"/>
  <c r="Y641" i="7"/>
  <c r="X641" i="7"/>
  <c r="W641" i="7"/>
  <c r="AL640" i="7"/>
  <c r="AK640" i="7"/>
  <c r="AJ640" i="7"/>
  <c r="AI640" i="7"/>
  <c r="AH640" i="7"/>
  <c r="AG640" i="7"/>
  <c r="AF640" i="7"/>
  <c r="AE640" i="7"/>
  <c r="AD640" i="7"/>
  <c r="AC640" i="7"/>
  <c r="AB640" i="7"/>
  <c r="AA640" i="7"/>
  <c r="Z640" i="7"/>
  <c r="Y640" i="7"/>
  <c r="X640" i="7"/>
  <c r="W640" i="7"/>
  <c r="AL639" i="7"/>
  <c r="AK639" i="7"/>
  <c r="AJ639" i="7"/>
  <c r="AI639" i="7"/>
  <c r="AH639" i="7"/>
  <c r="AG639" i="7"/>
  <c r="AF639" i="7"/>
  <c r="AE639" i="7"/>
  <c r="AD639" i="7"/>
  <c r="AC639" i="7"/>
  <c r="AB639" i="7"/>
  <c r="AA639" i="7"/>
  <c r="Z639" i="7"/>
  <c r="Y639" i="7"/>
  <c r="X639" i="7"/>
  <c r="W639" i="7"/>
  <c r="AL638" i="7"/>
  <c r="AK638" i="7"/>
  <c r="AJ638" i="7"/>
  <c r="AI638" i="7"/>
  <c r="AH638" i="7"/>
  <c r="AG638" i="7"/>
  <c r="AF638" i="7"/>
  <c r="AE638" i="7"/>
  <c r="AD638" i="7"/>
  <c r="AC638" i="7"/>
  <c r="AB638" i="7"/>
  <c r="AA638" i="7"/>
  <c r="Z638" i="7"/>
  <c r="Y638" i="7"/>
  <c r="X638" i="7"/>
  <c r="W638" i="7"/>
  <c r="AL637" i="7"/>
  <c r="AK637" i="7"/>
  <c r="AJ637" i="7"/>
  <c r="AI637" i="7"/>
  <c r="AH637" i="7"/>
  <c r="AG637" i="7"/>
  <c r="AF637" i="7"/>
  <c r="AE637" i="7"/>
  <c r="AD637" i="7"/>
  <c r="AC637" i="7"/>
  <c r="AB637" i="7"/>
  <c r="AA637" i="7"/>
  <c r="Z637" i="7"/>
  <c r="Y637" i="7"/>
  <c r="X637" i="7"/>
  <c r="W637" i="7"/>
  <c r="AL636" i="7"/>
  <c r="AK636" i="7"/>
  <c r="AJ636" i="7"/>
  <c r="AI636" i="7"/>
  <c r="AH636" i="7"/>
  <c r="AG636" i="7"/>
  <c r="AF636" i="7"/>
  <c r="AE636" i="7"/>
  <c r="AD636" i="7"/>
  <c r="AC636" i="7"/>
  <c r="AB636" i="7"/>
  <c r="AA636" i="7"/>
  <c r="Z636" i="7"/>
  <c r="Y636" i="7"/>
  <c r="X636" i="7"/>
  <c r="W636" i="7"/>
  <c r="AL635" i="7"/>
  <c r="AK635" i="7"/>
  <c r="AJ635" i="7"/>
  <c r="AI635" i="7"/>
  <c r="AH635" i="7"/>
  <c r="AG635" i="7"/>
  <c r="AF635" i="7"/>
  <c r="AE635" i="7"/>
  <c r="AD635" i="7"/>
  <c r="AC635" i="7"/>
  <c r="AB635" i="7"/>
  <c r="AA635" i="7"/>
  <c r="Z635" i="7"/>
  <c r="Y635" i="7"/>
  <c r="X635" i="7"/>
  <c r="W635" i="7"/>
  <c r="AL634" i="7"/>
  <c r="AK634" i="7"/>
  <c r="AJ634" i="7"/>
  <c r="AI634" i="7"/>
  <c r="AH634" i="7"/>
  <c r="AG634" i="7"/>
  <c r="AF634" i="7"/>
  <c r="AE634" i="7"/>
  <c r="AD634" i="7"/>
  <c r="AC634" i="7"/>
  <c r="AB634" i="7"/>
  <c r="AA634" i="7"/>
  <c r="Z634" i="7"/>
  <c r="Y634" i="7"/>
  <c r="X634" i="7"/>
  <c r="W634" i="7"/>
  <c r="AL633" i="7"/>
  <c r="AK633" i="7"/>
  <c r="AJ633" i="7"/>
  <c r="AI633" i="7"/>
  <c r="AH633" i="7"/>
  <c r="AG633" i="7"/>
  <c r="AF633" i="7"/>
  <c r="AE633" i="7"/>
  <c r="AD633" i="7"/>
  <c r="AC633" i="7"/>
  <c r="AB633" i="7"/>
  <c r="AA633" i="7"/>
  <c r="Z633" i="7"/>
  <c r="Y633" i="7"/>
  <c r="X633" i="7"/>
  <c r="W633" i="7"/>
  <c r="AL632" i="7"/>
  <c r="AK632" i="7"/>
  <c r="AJ632" i="7"/>
  <c r="AI632" i="7"/>
  <c r="AH632" i="7"/>
  <c r="AG632" i="7"/>
  <c r="AF632" i="7"/>
  <c r="AE632" i="7"/>
  <c r="AD632" i="7"/>
  <c r="AC632" i="7"/>
  <c r="AB632" i="7"/>
  <c r="AA632" i="7"/>
  <c r="Z632" i="7"/>
  <c r="Y632" i="7"/>
  <c r="X632" i="7"/>
  <c r="W632" i="7"/>
  <c r="AL631" i="7"/>
  <c r="AK631" i="7"/>
  <c r="AJ631" i="7"/>
  <c r="AI631" i="7"/>
  <c r="AH631" i="7"/>
  <c r="AG631" i="7"/>
  <c r="AF631" i="7"/>
  <c r="AE631" i="7"/>
  <c r="AD631" i="7"/>
  <c r="AC631" i="7"/>
  <c r="AB631" i="7"/>
  <c r="AA631" i="7"/>
  <c r="Z631" i="7"/>
  <c r="Y631" i="7"/>
  <c r="X631" i="7"/>
  <c r="W631" i="7"/>
  <c r="AL630" i="7"/>
  <c r="AK630" i="7"/>
  <c r="AJ630" i="7"/>
  <c r="AI630" i="7"/>
  <c r="AH630" i="7"/>
  <c r="AG630" i="7"/>
  <c r="AF630" i="7"/>
  <c r="AE630" i="7"/>
  <c r="AD630" i="7"/>
  <c r="AC630" i="7"/>
  <c r="AB630" i="7"/>
  <c r="AA630" i="7"/>
  <c r="Z630" i="7"/>
  <c r="Y630" i="7"/>
  <c r="X630" i="7"/>
  <c r="W630" i="7"/>
  <c r="AL629" i="7"/>
  <c r="AK629" i="7"/>
  <c r="AJ629" i="7"/>
  <c r="AI629" i="7"/>
  <c r="AH629" i="7"/>
  <c r="AG629" i="7"/>
  <c r="AF629" i="7"/>
  <c r="AE629" i="7"/>
  <c r="AD629" i="7"/>
  <c r="AC629" i="7"/>
  <c r="AB629" i="7"/>
  <c r="AA629" i="7"/>
  <c r="Z629" i="7"/>
  <c r="Y629" i="7"/>
  <c r="X629" i="7"/>
  <c r="W629" i="7"/>
  <c r="AL628" i="7"/>
  <c r="AK628" i="7"/>
  <c r="AJ628" i="7"/>
  <c r="AI628" i="7"/>
  <c r="AH628" i="7"/>
  <c r="AG628" i="7"/>
  <c r="AF628" i="7"/>
  <c r="AE628" i="7"/>
  <c r="AD628" i="7"/>
  <c r="AC628" i="7"/>
  <c r="AB628" i="7"/>
  <c r="AA628" i="7"/>
  <c r="Z628" i="7"/>
  <c r="Y628" i="7"/>
  <c r="X628" i="7"/>
  <c r="W628" i="7"/>
  <c r="AL627" i="7"/>
  <c r="AK627" i="7"/>
  <c r="AJ627" i="7"/>
  <c r="AI627" i="7"/>
  <c r="AH627" i="7"/>
  <c r="AG627" i="7"/>
  <c r="AF627" i="7"/>
  <c r="AE627" i="7"/>
  <c r="AD627" i="7"/>
  <c r="AC627" i="7"/>
  <c r="AB627" i="7"/>
  <c r="AA627" i="7"/>
  <c r="Z627" i="7"/>
  <c r="Y627" i="7"/>
  <c r="X627" i="7"/>
  <c r="W627" i="7"/>
  <c r="AL626" i="7"/>
  <c r="AK626" i="7"/>
  <c r="AJ626" i="7"/>
  <c r="AI626" i="7"/>
  <c r="AH626" i="7"/>
  <c r="AG626" i="7"/>
  <c r="AF626" i="7"/>
  <c r="AE626" i="7"/>
  <c r="AD626" i="7"/>
  <c r="AC626" i="7"/>
  <c r="AB626" i="7"/>
  <c r="AA626" i="7"/>
  <c r="Z626" i="7"/>
  <c r="Y626" i="7"/>
  <c r="X626" i="7"/>
  <c r="W626" i="7"/>
  <c r="AL625" i="7"/>
  <c r="AK625" i="7"/>
  <c r="AJ625" i="7"/>
  <c r="AI625" i="7"/>
  <c r="AH625" i="7"/>
  <c r="AG625" i="7"/>
  <c r="AF625" i="7"/>
  <c r="AE625" i="7"/>
  <c r="AD625" i="7"/>
  <c r="AC625" i="7"/>
  <c r="AB625" i="7"/>
  <c r="AA625" i="7"/>
  <c r="Z625" i="7"/>
  <c r="Y625" i="7"/>
  <c r="X625" i="7"/>
  <c r="W625" i="7"/>
  <c r="AL624" i="7"/>
  <c r="AK624" i="7"/>
  <c r="AJ624" i="7"/>
  <c r="AI624" i="7"/>
  <c r="AH624" i="7"/>
  <c r="AG624" i="7"/>
  <c r="AF624" i="7"/>
  <c r="AE624" i="7"/>
  <c r="AD624" i="7"/>
  <c r="AC624" i="7"/>
  <c r="AB624" i="7"/>
  <c r="AA624" i="7"/>
  <c r="Z624" i="7"/>
  <c r="Y624" i="7"/>
  <c r="X624" i="7"/>
  <c r="W624" i="7"/>
  <c r="AL623" i="7"/>
  <c r="AK623" i="7"/>
  <c r="AJ623" i="7"/>
  <c r="AI623" i="7"/>
  <c r="AH623" i="7"/>
  <c r="AG623" i="7"/>
  <c r="AF623" i="7"/>
  <c r="AE623" i="7"/>
  <c r="AD623" i="7"/>
  <c r="AC623" i="7"/>
  <c r="AB623" i="7"/>
  <c r="AA623" i="7"/>
  <c r="Z623" i="7"/>
  <c r="Y623" i="7"/>
  <c r="X623" i="7"/>
  <c r="W623" i="7"/>
  <c r="AL622" i="7"/>
  <c r="AK622" i="7"/>
  <c r="AJ622" i="7"/>
  <c r="AI622" i="7"/>
  <c r="AH622" i="7"/>
  <c r="AG622" i="7"/>
  <c r="AF622" i="7"/>
  <c r="AE622" i="7"/>
  <c r="AD622" i="7"/>
  <c r="AC622" i="7"/>
  <c r="AB622" i="7"/>
  <c r="AA622" i="7"/>
  <c r="Z622" i="7"/>
  <c r="Y622" i="7"/>
  <c r="X622" i="7"/>
  <c r="W622" i="7"/>
  <c r="AL621" i="7"/>
  <c r="AK621" i="7"/>
  <c r="AJ621" i="7"/>
  <c r="AI621" i="7"/>
  <c r="AH621" i="7"/>
  <c r="AG621" i="7"/>
  <c r="AF621" i="7"/>
  <c r="AE621" i="7"/>
  <c r="AD621" i="7"/>
  <c r="AC621" i="7"/>
  <c r="AB621" i="7"/>
  <c r="AA621" i="7"/>
  <c r="Z621" i="7"/>
  <c r="Y621" i="7"/>
  <c r="X621" i="7"/>
  <c r="W621" i="7"/>
  <c r="AL620" i="7"/>
  <c r="AK620" i="7"/>
  <c r="AJ620" i="7"/>
  <c r="AI620" i="7"/>
  <c r="AH620" i="7"/>
  <c r="AG620" i="7"/>
  <c r="AF620" i="7"/>
  <c r="AE620" i="7"/>
  <c r="AD620" i="7"/>
  <c r="AC620" i="7"/>
  <c r="AB620" i="7"/>
  <c r="AA620" i="7"/>
  <c r="Z620" i="7"/>
  <c r="Y620" i="7"/>
  <c r="X620" i="7"/>
  <c r="W620" i="7"/>
  <c r="AL619" i="7"/>
  <c r="AK619" i="7"/>
  <c r="AJ619" i="7"/>
  <c r="AI619" i="7"/>
  <c r="AH619" i="7"/>
  <c r="AG619" i="7"/>
  <c r="AF619" i="7"/>
  <c r="AE619" i="7"/>
  <c r="AD619" i="7"/>
  <c r="AC619" i="7"/>
  <c r="AB619" i="7"/>
  <c r="AA619" i="7"/>
  <c r="Z619" i="7"/>
  <c r="Y619" i="7"/>
  <c r="X619" i="7"/>
  <c r="W619" i="7"/>
  <c r="AL614" i="7"/>
  <c r="AK614" i="7"/>
  <c r="AJ614" i="7"/>
  <c r="AI614" i="7"/>
  <c r="AH614" i="7"/>
  <c r="AG614" i="7"/>
  <c r="AF614" i="7"/>
  <c r="AE614" i="7"/>
  <c r="AD614" i="7"/>
  <c r="AC614" i="7"/>
  <c r="AB614" i="7"/>
  <c r="AA614" i="7"/>
  <c r="Z614" i="7"/>
  <c r="Y614" i="7"/>
  <c r="X614" i="7"/>
  <c r="W614" i="7"/>
  <c r="AL613" i="7"/>
  <c r="AK613" i="7"/>
  <c r="AJ613" i="7"/>
  <c r="AI613" i="7"/>
  <c r="AH613" i="7"/>
  <c r="AG613" i="7"/>
  <c r="AF613" i="7"/>
  <c r="AE613" i="7"/>
  <c r="AD613" i="7"/>
  <c r="AC613" i="7"/>
  <c r="AB613" i="7"/>
  <c r="AA613" i="7"/>
  <c r="Z613" i="7"/>
  <c r="Y613" i="7"/>
  <c r="X613" i="7"/>
  <c r="W613" i="7"/>
  <c r="AL612" i="7"/>
  <c r="AK612" i="7"/>
  <c r="AJ612" i="7"/>
  <c r="AI612" i="7"/>
  <c r="AH612" i="7"/>
  <c r="AG612" i="7"/>
  <c r="AF612" i="7"/>
  <c r="AE612" i="7"/>
  <c r="AD612" i="7"/>
  <c r="AC612" i="7"/>
  <c r="AB612" i="7"/>
  <c r="AA612" i="7"/>
  <c r="Z612" i="7"/>
  <c r="Y612" i="7"/>
  <c r="X612" i="7"/>
  <c r="W612" i="7"/>
  <c r="AL611" i="7"/>
  <c r="AK611" i="7"/>
  <c r="AJ611" i="7"/>
  <c r="AI611" i="7"/>
  <c r="AH611" i="7"/>
  <c r="AG611" i="7"/>
  <c r="AF611" i="7"/>
  <c r="AE611" i="7"/>
  <c r="AD611" i="7"/>
  <c r="AC611" i="7"/>
  <c r="AB611" i="7"/>
  <c r="AA611" i="7"/>
  <c r="Z611" i="7"/>
  <c r="Y611" i="7"/>
  <c r="X611" i="7"/>
  <c r="W611" i="7"/>
  <c r="AL610" i="7"/>
  <c r="AK610" i="7"/>
  <c r="AJ610" i="7"/>
  <c r="AI610" i="7"/>
  <c r="AH610" i="7"/>
  <c r="AG610" i="7"/>
  <c r="AF610" i="7"/>
  <c r="AE610" i="7"/>
  <c r="AD610" i="7"/>
  <c r="AC610" i="7"/>
  <c r="AB610" i="7"/>
  <c r="AA610" i="7"/>
  <c r="Z610" i="7"/>
  <c r="Y610" i="7"/>
  <c r="X610" i="7"/>
  <c r="W610" i="7"/>
  <c r="AL609" i="7"/>
  <c r="AK609" i="7"/>
  <c r="AJ609" i="7"/>
  <c r="AI609" i="7"/>
  <c r="AH609" i="7"/>
  <c r="AG609" i="7"/>
  <c r="AF609" i="7"/>
  <c r="AE609" i="7"/>
  <c r="AD609" i="7"/>
  <c r="AC609" i="7"/>
  <c r="AB609" i="7"/>
  <c r="AA609" i="7"/>
  <c r="Z609" i="7"/>
  <c r="Y609" i="7"/>
  <c r="X609" i="7"/>
  <c r="W609" i="7"/>
  <c r="AL608" i="7"/>
  <c r="AK608" i="7"/>
  <c r="AJ608" i="7"/>
  <c r="AI608" i="7"/>
  <c r="AH608" i="7"/>
  <c r="AG608" i="7"/>
  <c r="AF608" i="7"/>
  <c r="AE608" i="7"/>
  <c r="AD608" i="7"/>
  <c r="AC608" i="7"/>
  <c r="AB608" i="7"/>
  <c r="AA608" i="7"/>
  <c r="Z608" i="7"/>
  <c r="Y608" i="7"/>
  <c r="X608" i="7"/>
  <c r="W608" i="7"/>
  <c r="AL607" i="7"/>
  <c r="AK607" i="7"/>
  <c r="AJ607" i="7"/>
  <c r="AI607" i="7"/>
  <c r="AH607" i="7"/>
  <c r="AG607" i="7"/>
  <c r="AF607" i="7"/>
  <c r="AE607" i="7"/>
  <c r="AD607" i="7"/>
  <c r="AC607" i="7"/>
  <c r="AB607" i="7"/>
  <c r="AA607" i="7"/>
  <c r="Z607" i="7"/>
  <c r="Y607" i="7"/>
  <c r="X607" i="7"/>
  <c r="W607" i="7"/>
  <c r="AL606" i="7"/>
  <c r="AK606" i="7"/>
  <c r="AJ606" i="7"/>
  <c r="AI606" i="7"/>
  <c r="AH606" i="7"/>
  <c r="AG606" i="7"/>
  <c r="AF606" i="7"/>
  <c r="AE606" i="7"/>
  <c r="AD606" i="7"/>
  <c r="AC606" i="7"/>
  <c r="AB606" i="7"/>
  <c r="AA606" i="7"/>
  <c r="Z606" i="7"/>
  <c r="Y606" i="7"/>
  <c r="X606" i="7"/>
  <c r="W606" i="7"/>
  <c r="AL605" i="7"/>
  <c r="AK605" i="7"/>
  <c r="AJ605" i="7"/>
  <c r="AI605" i="7"/>
  <c r="AH605" i="7"/>
  <c r="AG605" i="7"/>
  <c r="AF605" i="7"/>
  <c r="AE605" i="7"/>
  <c r="AD605" i="7"/>
  <c r="AC605" i="7"/>
  <c r="AB605" i="7"/>
  <c r="AA605" i="7"/>
  <c r="Z605" i="7"/>
  <c r="Y605" i="7"/>
  <c r="X605" i="7"/>
  <c r="W605" i="7"/>
  <c r="AL604" i="7"/>
  <c r="AK604" i="7"/>
  <c r="AJ604" i="7"/>
  <c r="AI604" i="7"/>
  <c r="AH604" i="7"/>
  <c r="AG604" i="7"/>
  <c r="AF604" i="7"/>
  <c r="AE604" i="7"/>
  <c r="AD604" i="7"/>
  <c r="AC604" i="7"/>
  <c r="AB604" i="7"/>
  <c r="AA604" i="7"/>
  <c r="Z604" i="7"/>
  <c r="Y604" i="7"/>
  <c r="X604" i="7"/>
  <c r="W604" i="7"/>
  <c r="AL603" i="7"/>
  <c r="AK603" i="7"/>
  <c r="AJ603" i="7"/>
  <c r="AI603" i="7"/>
  <c r="AH603" i="7"/>
  <c r="AG603" i="7"/>
  <c r="AF603" i="7"/>
  <c r="AE603" i="7"/>
  <c r="AD603" i="7"/>
  <c r="AC603" i="7"/>
  <c r="AB603" i="7"/>
  <c r="AA603" i="7"/>
  <c r="Z603" i="7"/>
  <c r="Y603" i="7"/>
  <c r="X603" i="7"/>
  <c r="W603" i="7"/>
  <c r="AL602" i="7"/>
  <c r="AK602" i="7"/>
  <c r="AJ602" i="7"/>
  <c r="AI602" i="7"/>
  <c r="AH602" i="7"/>
  <c r="AG602" i="7"/>
  <c r="AF602" i="7"/>
  <c r="AE602" i="7"/>
  <c r="AD602" i="7"/>
  <c r="AC602" i="7"/>
  <c r="AB602" i="7"/>
  <c r="AA602" i="7"/>
  <c r="Z602" i="7"/>
  <c r="Y602" i="7"/>
  <c r="X602" i="7"/>
  <c r="W602" i="7"/>
  <c r="AL601" i="7"/>
  <c r="AK601" i="7"/>
  <c r="AJ601" i="7"/>
  <c r="AI601" i="7"/>
  <c r="AH601" i="7"/>
  <c r="AG601" i="7"/>
  <c r="AF601" i="7"/>
  <c r="AE601" i="7"/>
  <c r="AD601" i="7"/>
  <c r="AC601" i="7"/>
  <c r="AB601" i="7"/>
  <c r="AA601" i="7"/>
  <c r="Z601" i="7"/>
  <c r="Y601" i="7"/>
  <c r="X601" i="7"/>
  <c r="W601" i="7"/>
  <c r="AL600" i="7"/>
  <c r="AK600" i="7"/>
  <c r="AJ600" i="7"/>
  <c r="AI600" i="7"/>
  <c r="AH600" i="7"/>
  <c r="AG600" i="7"/>
  <c r="AF600" i="7"/>
  <c r="AE600" i="7"/>
  <c r="AD600" i="7"/>
  <c r="AC600" i="7"/>
  <c r="AB600" i="7"/>
  <c r="AA600" i="7"/>
  <c r="Z600" i="7"/>
  <c r="Y600" i="7"/>
  <c r="X600" i="7"/>
  <c r="W600" i="7"/>
  <c r="AL599" i="7"/>
  <c r="AK599" i="7"/>
  <c r="AJ599" i="7"/>
  <c r="AI599" i="7"/>
  <c r="AH599" i="7"/>
  <c r="AG599" i="7"/>
  <c r="AF599" i="7"/>
  <c r="AE599" i="7"/>
  <c r="AD599" i="7"/>
  <c r="AC599" i="7"/>
  <c r="AB599" i="7"/>
  <c r="AA599" i="7"/>
  <c r="Z599" i="7"/>
  <c r="Y599" i="7"/>
  <c r="X599" i="7"/>
  <c r="W599" i="7"/>
  <c r="AL598" i="7"/>
  <c r="AK598" i="7"/>
  <c r="AJ598" i="7"/>
  <c r="AI598" i="7"/>
  <c r="AH598" i="7"/>
  <c r="AG598" i="7"/>
  <c r="AF598" i="7"/>
  <c r="AE598" i="7"/>
  <c r="AD598" i="7"/>
  <c r="AC598" i="7"/>
  <c r="AB598" i="7"/>
  <c r="AA598" i="7"/>
  <c r="Z598" i="7"/>
  <c r="Y598" i="7"/>
  <c r="X598" i="7"/>
  <c r="W598" i="7"/>
  <c r="AL597" i="7"/>
  <c r="AK597" i="7"/>
  <c r="AJ597" i="7"/>
  <c r="AI597" i="7"/>
  <c r="AH597" i="7"/>
  <c r="AG597" i="7"/>
  <c r="AF597" i="7"/>
  <c r="AE597" i="7"/>
  <c r="AD597" i="7"/>
  <c r="AC597" i="7"/>
  <c r="AB597" i="7"/>
  <c r="AA597" i="7"/>
  <c r="Z597" i="7"/>
  <c r="Y597" i="7"/>
  <c r="X597" i="7"/>
  <c r="W597" i="7"/>
  <c r="AL596" i="7"/>
  <c r="AK596" i="7"/>
  <c r="AJ596" i="7"/>
  <c r="AI596" i="7"/>
  <c r="AH596" i="7"/>
  <c r="AG596" i="7"/>
  <c r="AF596" i="7"/>
  <c r="AE596" i="7"/>
  <c r="AD596" i="7"/>
  <c r="AC596" i="7"/>
  <c r="AB596" i="7"/>
  <c r="AA596" i="7"/>
  <c r="Z596" i="7"/>
  <c r="Y596" i="7"/>
  <c r="X596" i="7"/>
  <c r="W596" i="7"/>
  <c r="AL595" i="7"/>
  <c r="AK595" i="7"/>
  <c r="AJ595" i="7"/>
  <c r="AI595" i="7"/>
  <c r="AH595" i="7"/>
  <c r="AG595" i="7"/>
  <c r="AF595" i="7"/>
  <c r="AE595" i="7"/>
  <c r="AD595" i="7"/>
  <c r="AC595" i="7"/>
  <c r="AB595" i="7"/>
  <c r="AA595" i="7"/>
  <c r="Z595" i="7"/>
  <c r="Y595" i="7"/>
  <c r="X595" i="7"/>
  <c r="W595" i="7"/>
  <c r="AL594" i="7"/>
  <c r="AK594" i="7"/>
  <c r="AJ594" i="7"/>
  <c r="AI594" i="7"/>
  <c r="AH594" i="7"/>
  <c r="AG594" i="7"/>
  <c r="AF594" i="7"/>
  <c r="AE594" i="7"/>
  <c r="AD594" i="7"/>
  <c r="AC594" i="7"/>
  <c r="AB594" i="7"/>
  <c r="AA594" i="7"/>
  <c r="Z594" i="7"/>
  <c r="Y594" i="7"/>
  <c r="X594" i="7"/>
  <c r="W594" i="7"/>
  <c r="AL593" i="7"/>
  <c r="AK593" i="7"/>
  <c r="AJ593" i="7"/>
  <c r="AI593" i="7"/>
  <c r="AH593" i="7"/>
  <c r="AG593" i="7"/>
  <c r="AF593" i="7"/>
  <c r="AE593" i="7"/>
  <c r="AD593" i="7"/>
  <c r="AC593" i="7"/>
  <c r="AB593" i="7"/>
  <c r="AA593" i="7"/>
  <c r="Z593" i="7"/>
  <c r="Y593" i="7"/>
  <c r="X593" i="7"/>
  <c r="W593" i="7"/>
  <c r="AL592" i="7"/>
  <c r="AK592" i="7"/>
  <c r="AJ592" i="7"/>
  <c r="AI592" i="7"/>
  <c r="AH592" i="7"/>
  <c r="AG592" i="7"/>
  <c r="AF592" i="7"/>
  <c r="AE592" i="7"/>
  <c r="AD592" i="7"/>
  <c r="AC592" i="7"/>
  <c r="AB592" i="7"/>
  <c r="AA592" i="7"/>
  <c r="Z592" i="7"/>
  <c r="Y592" i="7"/>
  <c r="X592" i="7"/>
  <c r="W592" i="7"/>
  <c r="AL591" i="7"/>
  <c r="AK591" i="7"/>
  <c r="AJ591" i="7"/>
  <c r="AI591" i="7"/>
  <c r="AH591" i="7"/>
  <c r="AG591" i="7"/>
  <c r="AF591" i="7"/>
  <c r="AE591" i="7"/>
  <c r="AD591" i="7"/>
  <c r="AC591" i="7"/>
  <c r="AB591" i="7"/>
  <c r="AA591" i="7"/>
  <c r="Z591" i="7"/>
  <c r="Y591" i="7"/>
  <c r="X591" i="7"/>
  <c r="W591" i="7"/>
  <c r="AL590" i="7"/>
  <c r="AK590" i="7"/>
  <c r="AJ590" i="7"/>
  <c r="AI590" i="7"/>
  <c r="AH590" i="7"/>
  <c r="AG590" i="7"/>
  <c r="AF590" i="7"/>
  <c r="AE590" i="7"/>
  <c r="AD590" i="7"/>
  <c r="AC590" i="7"/>
  <c r="AB590" i="7"/>
  <c r="AA590" i="7"/>
  <c r="Z590" i="7"/>
  <c r="Y590" i="7"/>
  <c r="X590" i="7"/>
  <c r="W590" i="7"/>
  <c r="AL589" i="7"/>
  <c r="AK589" i="7"/>
  <c r="AJ589" i="7"/>
  <c r="AI589" i="7"/>
  <c r="AH589" i="7"/>
  <c r="AG589" i="7"/>
  <c r="AF589" i="7"/>
  <c r="AE589" i="7"/>
  <c r="AD589" i="7"/>
  <c r="AC589" i="7"/>
  <c r="AB589" i="7"/>
  <c r="AA589" i="7"/>
  <c r="Z589" i="7"/>
  <c r="Y589" i="7"/>
  <c r="X589" i="7"/>
  <c r="W589" i="7"/>
  <c r="AL588" i="7"/>
  <c r="AK588" i="7"/>
  <c r="AJ588" i="7"/>
  <c r="AI588" i="7"/>
  <c r="AH588" i="7"/>
  <c r="AG588" i="7"/>
  <c r="AF588" i="7"/>
  <c r="AE588" i="7"/>
  <c r="AD588" i="7"/>
  <c r="AC588" i="7"/>
  <c r="AB588" i="7"/>
  <c r="AA588" i="7"/>
  <c r="Z588" i="7"/>
  <c r="Y588" i="7"/>
  <c r="X588" i="7"/>
  <c r="W588" i="7"/>
  <c r="AL587" i="7"/>
  <c r="AK587" i="7"/>
  <c r="AJ587" i="7"/>
  <c r="AI587" i="7"/>
  <c r="AH587" i="7"/>
  <c r="AG587" i="7"/>
  <c r="AF587" i="7"/>
  <c r="AE587" i="7"/>
  <c r="AD587" i="7"/>
  <c r="AC587" i="7"/>
  <c r="AB587" i="7"/>
  <c r="AA587" i="7"/>
  <c r="Z587" i="7"/>
  <c r="Y587" i="7"/>
  <c r="X587" i="7"/>
  <c r="W587" i="7"/>
  <c r="AL586" i="7"/>
  <c r="AK586" i="7"/>
  <c r="AJ586" i="7"/>
  <c r="AI586" i="7"/>
  <c r="AH586" i="7"/>
  <c r="AG586" i="7"/>
  <c r="AF586" i="7"/>
  <c r="AE586" i="7"/>
  <c r="AD586" i="7"/>
  <c r="AC586" i="7"/>
  <c r="AB586" i="7"/>
  <c r="AA586" i="7"/>
  <c r="Z586" i="7"/>
  <c r="Y586" i="7"/>
  <c r="X586" i="7"/>
  <c r="W586" i="7"/>
  <c r="AL585" i="7"/>
  <c r="AK585" i="7"/>
  <c r="AJ585" i="7"/>
  <c r="AI585" i="7"/>
  <c r="AH585" i="7"/>
  <c r="AG585" i="7"/>
  <c r="AF585" i="7"/>
  <c r="AE585" i="7"/>
  <c r="AD585" i="7"/>
  <c r="AC585" i="7"/>
  <c r="AB585" i="7"/>
  <c r="AA585" i="7"/>
  <c r="Z585" i="7"/>
  <c r="Y585" i="7"/>
  <c r="X585" i="7"/>
  <c r="W585" i="7"/>
  <c r="AL584" i="7"/>
  <c r="AK584" i="7"/>
  <c r="AJ584" i="7"/>
  <c r="AI584" i="7"/>
  <c r="AH584" i="7"/>
  <c r="AG584" i="7"/>
  <c r="AF584" i="7"/>
  <c r="AE584" i="7"/>
  <c r="AD584" i="7"/>
  <c r="AC584" i="7"/>
  <c r="AB584" i="7"/>
  <c r="AA584" i="7"/>
  <c r="Z584" i="7"/>
  <c r="Y584" i="7"/>
  <c r="X584" i="7"/>
  <c r="W584" i="7"/>
  <c r="AL583" i="7"/>
  <c r="AK583" i="7"/>
  <c r="AJ583" i="7"/>
  <c r="AI583" i="7"/>
  <c r="AH583" i="7"/>
  <c r="AG583" i="7"/>
  <c r="AF583" i="7"/>
  <c r="AE583" i="7"/>
  <c r="AD583" i="7"/>
  <c r="AC583" i="7"/>
  <c r="AB583" i="7"/>
  <c r="AA583" i="7"/>
  <c r="Z583" i="7"/>
  <c r="Y583" i="7"/>
  <c r="X583" i="7"/>
  <c r="W583" i="7"/>
  <c r="AL582" i="7"/>
  <c r="AK582" i="7"/>
  <c r="AJ582" i="7"/>
  <c r="AI582" i="7"/>
  <c r="AH582" i="7"/>
  <c r="AG582" i="7"/>
  <c r="AF582" i="7"/>
  <c r="AE582" i="7"/>
  <c r="AD582" i="7"/>
  <c r="AC582" i="7"/>
  <c r="AB582" i="7"/>
  <c r="AA582" i="7"/>
  <c r="Z582" i="7"/>
  <c r="Y582" i="7"/>
  <c r="X582" i="7"/>
  <c r="W582" i="7"/>
  <c r="AL581" i="7"/>
  <c r="AK581" i="7"/>
  <c r="AJ581" i="7"/>
  <c r="AI581" i="7"/>
  <c r="AH581" i="7"/>
  <c r="AG581" i="7"/>
  <c r="AF581" i="7"/>
  <c r="AE581" i="7"/>
  <c r="AD581" i="7"/>
  <c r="AC581" i="7"/>
  <c r="AB581" i="7"/>
  <c r="AA581" i="7"/>
  <c r="Z581" i="7"/>
  <c r="Y581" i="7"/>
  <c r="X581" i="7"/>
  <c r="W581" i="7"/>
  <c r="AL580" i="7"/>
  <c r="AK580" i="7"/>
  <c r="AJ580" i="7"/>
  <c r="AI580" i="7"/>
  <c r="AH580" i="7"/>
  <c r="AG580" i="7"/>
  <c r="AF580" i="7"/>
  <c r="AE580" i="7"/>
  <c r="AD580" i="7"/>
  <c r="AC580" i="7"/>
  <c r="AB580" i="7"/>
  <c r="AA580" i="7"/>
  <c r="Z580" i="7"/>
  <c r="Y580" i="7"/>
  <c r="X580" i="7"/>
  <c r="W580" i="7"/>
  <c r="AL579" i="7"/>
  <c r="AK579" i="7"/>
  <c r="AJ579" i="7"/>
  <c r="AI579" i="7"/>
  <c r="AH579" i="7"/>
  <c r="AG579" i="7"/>
  <c r="AF579" i="7"/>
  <c r="AE579" i="7"/>
  <c r="AD579" i="7"/>
  <c r="AC579" i="7"/>
  <c r="AB579" i="7"/>
  <c r="AA579" i="7"/>
  <c r="Z579" i="7"/>
  <c r="Y579" i="7"/>
  <c r="X579" i="7"/>
  <c r="W579" i="7"/>
  <c r="AL578" i="7"/>
  <c r="AK578" i="7"/>
  <c r="AJ578" i="7"/>
  <c r="AI578" i="7"/>
  <c r="AH578" i="7"/>
  <c r="AG578" i="7"/>
  <c r="AF578" i="7"/>
  <c r="AE578" i="7"/>
  <c r="AD578" i="7"/>
  <c r="AC578" i="7"/>
  <c r="AB578" i="7"/>
  <c r="AA578" i="7"/>
  <c r="Z578" i="7"/>
  <c r="Y578" i="7"/>
  <c r="X578" i="7"/>
  <c r="W578" i="7"/>
  <c r="AL577" i="7"/>
  <c r="AK577" i="7"/>
  <c r="AJ577" i="7"/>
  <c r="AI577" i="7"/>
  <c r="AH577" i="7"/>
  <c r="AG577" i="7"/>
  <c r="AF577" i="7"/>
  <c r="AE577" i="7"/>
  <c r="AD577" i="7"/>
  <c r="AC577" i="7"/>
  <c r="AB577" i="7"/>
  <c r="AA577" i="7"/>
  <c r="Z577" i="7"/>
  <c r="Y577" i="7"/>
  <c r="X577" i="7"/>
  <c r="W577" i="7"/>
  <c r="AL576" i="7"/>
  <c r="AK576" i="7"/>
  <c r="AJ576" i="7"/>
  <c r="AI576" i="7"/>
  <c r="AH576" i="7"/>
  <c r="AG576" i="7"/>
  <c r="AF576" i="7"/>
  <c r="AE576" i="7"/>
  <c r="AD576" i="7"/>
  <c r="AC576" i="7"/>
  <c r="AB576" i="7"/>
  <c r="AA576" i="7"/>
  <c r="Z576" i="7"/>
  <c r="Y576" i="7"/>
  <c r="X576" i="7"/>
  <c r="W576" i="7"/>
  <c r="AL575" i="7"/>
  <c r="AK575" i="7"/>
  <c r="AJ575" i="7"/>
  <c r="AI575" i="7"/>
  <c r="AH575" i="7"/>
  <c r="AG575" i="7"/>
  <c r="AF575" i="7"/>
  <c r="AE575" i="7"/>
  <c r="AD575" i="7"/>
  <c r="AC575" i="7"/>
  <c r="AB575" i="7"/>
  <c r="AA575" i="7"/>
  <c r="Z575" i="7"/>
  <c r="Y575" i="7"/>
  <c r="X575" i="7"/>
  <c r="W575" i="7"/>
  <c r="AL570" i="7"/>
  <c r="AK570" i="7"/>
  <c r="AJ570" i="7"/>
  <c r="AI570" i="7"/>
  <c r="AH570" i="7"/>
  <c r="AG570" i="7"/>
  <c r="AF570" i="7"/>
  <c r="AE570" i="7"/>
  <c r="AD570" i="7"/>
  <c r="AC570" i="7"/>
  <c r="AB570" i="7"/>
  <c r="AA570" i="7"/>
  <c r="Z570" i="7"/>
  <c r="Y570" i="7"/>
  <c r="X570" i="7"/>
  <c r="W570" i="7"/>
  <c r="AL569" i="7"/>
  <c r="AK569" i="7"/>
  <c r="AJ569" i="7"/>
  <c r="AI569" i="7"/>
  <c r="AH569" i="7"/>
  <c r="AG569" i="7"/>
  <c r="AF569" i="7"/>
  <c r="AE569" i="7"/>
  <c r="AD569" i="7"/>
  <c r="AC569" i="7"/>
  <c r="AB569" i="7"/>
  <c r="AA569" i="7"/>
  <c r="Z569" i="7"/>
  <c r="Y569" i="7"/>
  <c r="X569" i="7"/>
  <c r="W569" i="7"/>
  <c r="AL568" i="7"/>
  <c r="AK568" i="7"/>
  <c r="AJ568" i="7"/>
  <c r="AI568" i="7"/>
  <c r="AH568" i="7"/>
  <c r="AG568" i="7"/>
  <c r="AF568" i="7"/>
  <c r="AE568" i="7"/>
  <c r="AD568" i="7"/>
  <c r="AC568" i="7"/>
  <c r="AB568" i="7"/>
  <c r="AA568" i="7"/>
  <c r="Z568" i="7"/>
  <c r="Y568" i="7"/>
  <c r="X568" i="7"/>
  <c r="W568" i="7"/>
  <c r="AL567" i="7"/>
  <c r="AK567" i="7"/>
  <c r="AJ567" i="7"/>
  <c r="AI567" i="7"/>
  <c r="AH567" i="7"/>
  <c r="AG567" i="7"/>
  <c r="AF567" i="7"/>
  <c r="AE567" i="7"/>
  <c r="AD567" i="7"/>
  <c r="AC567" i="7"/>
  <c r="AB567" i="7"/>
  <c r="AA567" i="7"/>
  <c r="Z567" i="7"/>
  <c r="Y567" i="7"/>
  <c r="X567" i="7"/>
  <c r="W567" i="7"/>
  <c r="AL566" i="7"/>
  <c r="AK566" i="7"/>
  <c r="AJ566" i="7"/>
  <c r="AI566" i="7"/>
  <c r="AH566" i="7"/>
  <c r="AG566" i="7"/>
  <c r="AF566" i="7"/>
  <c r="AE566" i="7"/>
  <c r="AD566" i="7"/>
  <c r="AC566" i="7"/>
  <c r="AB566" i="7"/>
  <c r="AA566" i="7"/>
  <c r="Z566" i="7"/>
  <c r="Y566" i="7"/>
  <c r="X566" i="7"/>
  <c r="W566" i="7"/>
  <c r="AL565" i="7"/>
  <c r="AK565" i="7"/>
  <c r="AJ565" i="7"/>
  <c r="AI565" i="7"/>
  <c r="AH565" i="7"/>
  <c r="AG565" i="7"/>
  <c r="AF565" i="7"/>
  <c r="AE565" i="7"/>
  <c r="AD565" i="7"/>
  <c r="AC565" i="7"/>
  <c r="AB565" i="7"/>
  <c r="AA565" i="7"/>
  <c r="Z565" i="7"/>
  <c r="Y565" i="7"/>
  <c r="X565" i="7"/>
  <c r="W565" i="7"/>
  <c r="AL564" i="7"/>
  <c r="AK564" i="7"/>
  <c r="AJ564" i="7"/>
  <c r="AI564" i="7"/>
  <c r="AH564" i="7"/>
  <c r="AG564" i="7"/>
  <c r="AF564" i="7"/>
  <c r="AE564" i="7"/>
  <c r="AD564" i="7"/>
  <c r="AC564" i="7"/>
  <c r="AB564" i="7"/>
  <c r="AA564" i="7"/>
  <c r="Z564" i="7"/>
  <c r="Y564" i="7"/>
  <c r="X564" i="7"/>
  <c r="W564" i="7"/>
  <c r="AL563" i="7"/>
  <c r="AK563" i="7"/>
  <c r="AJ563" i="7"/>
  <c r="AI563" i="7"/>
  <c r="AH563" i="7"/>
  <c r="AG563" i="7"/>
  <c r="AF563" i="7"/>
  <c r="AE563" i="7"/>
  <c r="AD563" i="7"/>
  <c r="AC563" i="7"/>
  <c r="AB563" i="7"/>
  <c r="AA563" i="7"/>
  <c r="Z563" i="7"/>
  <c r="Y563" i="7"/>
  <c r="X563" i="7"/>
  <c r="W563" i="7"/>
  <c r="AL562" i="7"/>
  <c r="AK562" i="7"/>
  <c r="AJ562" i="7"/>
  <c r="AI562" i="7"/>
  <c r="AH562" i="7"/>
  <c r="AG562" i="7"/>
  <c r="AF562" i="7"/>
  <c r="AE562" i="7"/>
  <c r="AD562" i="7"/>
  <c r="AC562" i="7"/>
  <c r="AB562" i="7"/>
  <c r="AA562" i="7"/>
  <c r="Z562" i="7"/>
  <c r="Y562" i="7"/>
  <c r="X562" i="7"/>
  <c r="W562" i="7"/>
  <c r="AL561" i="7"/>
  <c r="AK561" i="7"/>
  <c r="AJ561" i="7"/>
  <c r="AI561" i="7"/>
  <c r="AH561" i="7"/>
  <c r="AG561" i="7"/>
  <c r="AF561" i="7"/>
  <c r="AE561" i="7"/>
  <c r="AD561" i="7"/>
  <c r="AC561" i="7"/>
  <c r="AB561" i="7"/>
  <c r="AA561" i="7"/>
  <c r="Z561" i="7"/>
  <c r="Y561" i="7"/>
  <c r="X561" i="7"/>
  <c r="W561" i="7"/>
  <c r="AL560" i="7"/>
  <c r="AK560" i="7"/>
  <c r="AJ560" i="7"/>
  <c r="AI560" i="7"/>
  <c r="AH560" i="7"/>
  <c r="AG560" i="7"/>
  <c r="AF560" i="7"/>
  <c r="AE560" i="7"/>
  <c r="AD560" i="7"/>
  <c r="AC560" i="7"/>
  <c r="AB560" i="7"/>
  <c r="AA560" i="7"/>
  <c r="Z560" i="7"/>
  <c r="Y560" i="7"/>
  <c r="X560" i="7"/>
  <c r="W560" i="7"/>
  <c r="AL559" i="7"/>
  <c r="AK559" i="7"/>
  <c r="AJ559" i="7"/>
  <c r="AI559" i="7"/>
  <c r="AH559" i="7"/>
  <c r="AG559" i="7"/>
  <c r="AF559" i="7"/>
  <c r="AE559" i="7"/>
  <c r="AD559" i="7"/>
  <c r="AC559" i="7"/>
  <c r="AB559" i="7"/>
  <c r="AA559" i="7"/>
  <c r="Z559" i="7"/>
  <c r="Y559" i="7"/>
  <c r="X559" i="7"/>
  <c r="W559" i="7"/>
  <c r="AL558" i="7"/>
  <c r="AK558" i="7"/>
  <c r="AJ558" i="7"/>
  <c r="AI558" i="7"/>
  <c r="AH558" i="7"/>
  <c r="AG558" i="7"/>
  <c r="AF558" i="7"/>
  <c r="AE558" i="7"/>
  <c r="AD558" i="7"/>
  <c r="AC558" i="7"/>
  <c r="AB558" i="7"/>
  <c r="AA558" i="7"/>
  <c r="Z558" i="7"/>
  <c r="Y558" i="7"/>
  <c r="X558" i="7"/>
  <c r="W558" i="7"/>
  <c r="AL557" i="7"/>
  <c r="AK557" i="7"/>
  <c r="AJ557" i="7"/>
  <c r="AI557" i="7"/>
  <c r="AH557" i="7"/>
  <c r="AG557" i="7"/>
  <c r="AF557" i="7"/>
  <c r="AE557" i="7"/>
  <c r="AD557" i="7"/>
  <c r="AC557" i="7"/>
  <c r="AB557" i="7"/>
  <c r="AA557" i="7"/>
  <c r="Z557" i="7"/>
  <c r="Y557" i="7"/>
  <c r="X557" i="7"/>
  <c r="W557" i="7"/>
  <c r="AL556" i="7"/>
  <c r="AK556" i="7"/>
  <c r="AJ556" i="7"/>
  <c r="AI556" i="7"/>
  <c r="AH556" i="7"/>
  <c r="AG556" i="7"/>
  <c r="AF556" i="7"/>
  <c r="AE556" i="7"/>
  <c r="AD556" i="7"/>
  <c r="AC556" i="7"/>
  <c r="AB556" i="7"/>
  <c r="AA556" i="7"/>
  <c r="Z556" i="7"/>
  <c r="Y556" i="7"/>
  <c r="X556" i="7"/>
  <c r="W556" i="7"/>
  <c r="AL555" i="7"/>
  <c r="AK555" i="7"/>
  <c r="AJ555" i="7"/>
  <c r="AI555" i="7"/>
  <c r="AH555" i="7"/>
  <c r="AG555" i="7"/>
  <c r="AF555" i="7"/>
  <c r="AE555" i="7"/>
  <c r="AD555" i="7"/>
  <c r="AC555" i="7"/>
  <c r="AB555" i="7"/>
  <c r="AA555" i="7"/>
  <c r="Z555" i="7"/>
  <c r="Y555" i="7"/>
  <c r="X555" i="7"/>
  <c r="W555" i="7"/>
  <c r="AL554" i="7"/>
  <c r="AK554" i="7"/>
  <c r="AJ554" i="7"/>
  <c r="AI554" i="7"/>
  <c r="AH554" i="7"/>
  <c r="AG554" i="7"/>
  <c r="AF554" i="7"/>
  <c r="AE554" i="7"/>
  <c r="AD554" i="7"/>
  <c r="AC554" i="7"/>
  <c r="AB554" i="7"/>
  <c r="AA554" i="7"/>
  <c r="Z554" i="7"/>
  <c r="Y554" i="7"/>
  <c r="X554" i="7"/>
  <c r="W554" i="7"/>
  <c r="AL553" i="7"/>
  <c r="AK553" i="7"/>
  <c r="AJ553" i="7"/>
  <c r="AI553" i="7"/>
  <c r="AH553" i="7"/>
  <c r="AG553" i="7"/>
  <c r="AF553" i="7"/>
  <c r="AE553" i="7"/>
  <c r="AD553" i="7"/>
  <c r="AC553" i="7"/>
  <c r="AB553" i="7"/>
  <c r="AA553" i="7"/>
  <c r="Z553" i="7"/>
  <c r="Y553" i="7"/>
  <c r="X553" i="7"/>
  <c r="W553" i="7"/>
  <c r="AL552" i="7"/>
  <c r="AK552" i="7"/>
  <c r="AJ552" i="7"/>
  <c r="AI552" i="7"/>
  <c r="AH552" i="7"/>
  <c r="AG552" i="7"/>
  <c r="AF552" i="7"/>
  <c r="AE552" i="7"/>
  <c r="AD552" i="7"/>
  <c r="AC552" i="7"/>
  <c r="AB552" i="7"/>
  <c r="AA552" i="7"/>
  <c r="Z552" i="7"/>
  <c r="Y552" i="7"/>
  <c r="X552" i="7"/>
  <c r="W552" i="7"/>
  <c r="AL551" i="7"/>
  <c r="AK551" i="7"/>
  <c r="AJ551" i="7"/>
  <c r="AI551" i="7"/>
  <c r="AH551" i="7"/>
  <c r="AG551" i="7"/>
  <c r="AF551" i="7"/>
  <c r="AE551" i="7"/>
  <c r="AD551" i="7"/>
  <c r="AC551" i="7"/>
  <c r="AB551" i="7"/>
  <c r="AA551" i="7"/>
  <c r="Z551" i="7"/>
  <c r="Y551" i="7"/>
  <c r="X551" i="7"/>
  <c r="W551" i="7"/>
  <c r="AL550" i="7"/>
  <c r="AK550" i="7"/>
  <c r="AJ550" i="7"/>
  <c r="AI550" i="7"/>
  <c r="AH550" i="7"/>
  <c r="AG550" i="7"/>
  <c r="AF550" i="7"/>
  <c r="AE550" i="7"/>
  <c r="AD550" i="7"/>
  <c r="AC550" i="7"/>
  <c r="AB550" i="7"/>
  <c r="AA550" i="7"/>
  <c r="Z550" i="7"/>
  <c r="Y550" i="7"/>
  <c r="X550" i="7"/>
  <c r="W550" i="7"/>
  <c r="AL549" i="7"/>
  <c r="AK549" i="7"/>
  <c r="AJ549" i="7"/>
  <c r="AI549" i="7"/>
  <c r="AH549" i="7"/>
  <c r="AG549" i="7"/>
  <c r="AF549" i="7"/>
  <c r="AE549" i="7"/>
  <c r="AD549" i="7"/>
  <c r="AC549" i="7"/>
  <c r="AB549" i="7"/>
  <c r="AA549" i="7"/>
  <c r="Z549" i="7"/>
  <c r="Y549" i="7"/>
  <c r="X549" i="7"/>
  <c r="W549" i="7"/>
  <c r="AL548" i="7"/>
  <c r="AK548" i="7"/>
  <c r="AJ548" i="7"/>
  <c r="AI548" i="7"/>
  <c r="AH548" i="7"/>
  <c r="AG548" i="7"/>
  <c r="AF548" i="7"/>
  <c r="AE548" i="7"/>
  <c r="AD548" i="7"/>
  <c r="AC548" i="7"/>
  <c r="AB548" i="7"/>
  <c r="AA548" i="7"/>
  <c r="Z548" i="7"/>
  <c r="Y548" i="7"/>
  <c r="X548" i="7"/>
  <c r="W548" i="7"/>
  <c r="AL547" i="7"/>
  <c r="AK547" i="7"/>
  <c r="AJ547" i="7"/>
  <c r="AI547" i="7"/>
  <c r="AH547" i="7"/>
  <c r="AG547" i="7"/>
  <c r="AF547" i="7"/>
  <c r="AE547" i="7"/>
  <c r="AD547" i="7"/>
  <c r="AC547" i="7"/>
  <c r="AB547" i="7"/>
  <c r="AA547" i="7"/>
  <c r="Z547" i="7"/>
  <c r="Y547" i="7"/>
  <c r="X547" i="7"/>
  <c r="W547" i="7"/>
  <c r="AL546" i="7"/>
  <c r="AK546" i="7"/>
  <c r="AJ546" i="7"/>
  <c r="AI546" i="7"/>
  <c r="AH546" i="7"/>
  <c r="AG546" i="7"/>
  <c r="AF546" i="7"/>
  <c r="AE546" i="7"/>
  <c r="AD546" i="7"/>
  <c r="AC546" i="7"/>
  <c r="AB546" i="7"/>
  <c r="AA546" i="7"/>
  <c r="Z546" i="7"/>
  <c r="Y546" i="7"/>
  <c r="X546" i="7"/>
  <c r="W546" i="7"/>
  <c r="AL545" i="7"/>
  <c r="AK545" i="7"/>
  <c r="AJ545" i="7"/>
  <c r="AI545" i="7"/>
  <c r="AH545" i="7"/>
  <c r="AG545" i="7"/>
  <c r="AF545" i="7"/>
  <c r="AE545" i="7"/>
  <c r="AD545" i="7"/>
  <c r="AC545" i="7"/>
  <c r="AB545" i="7"/>
  <c r="AA545" i="7"/>
  <c r="Z545" i="7"/>
  <c r="Y545" i="7"/>
  <c r="X545" i="7"/>
  <c r="W545" i="7"/>
  <c r="AL544" i="7"/>
  <c r="AK544" i="7"/>
  <c r="AJ544" i="7"/>
  <c r="AI544" i="7"/>
  <c r="AH544" i="7"/>
  <c r="AG544" i="7"/>
  <c r="AF544" i="7"/>
  <c r="AE544" i="7"/>
  <c r="AD544" i="7"/>
  <c r="AC544" i="7"/>
  <c r="AB544" i="7"/>
  <c r="AA544" i="7"/>
  <c r="Z544" i="7"/>
  <c r="Y544" i="7"/>
  <c r="X544" i="7"/>
  <c r="W544" i="7"/>
  <c r="AL543" i="7"/>
  <c r="AK543" i="7"/>
  <c r="AJ543" i="7"/>
  <c r="AI543" i="7"/>
  <c r="AH543" i="7"/>
  <c r="AG543" i="7"/>
  <c r="AF543" i="7"/>
  <c r="AE543" i="7"/>
  <c r="AD543" i="7"/>
  <c r="AC543" i="7"/>
  <c r="AB543" i="7"/>
  <c r="AA543" i="7"/>
  <c r="Z543" i="7"/>
  <c r="Y543" i="7"/>
  <c r="X543" i="7"/>
  <c r="W543" i="7"/>
  <c r="AL542" i="7"/>
  <c r="AK542" i="7"/>
  <c r="AJ542" i="7"/>
  <c r="AI542" i="7"/>
  <c r="AH542" i="7"/>
  <c r="AG542" i="7"/>
  <c r="AF542" i="7"/>
  <c r="AE542" i="7"/>
  <c r="AD542" i="7"/>
  <c r="AC542" i="7"/>
  <c r="AB542" i="7"/>
  <c r="AA542" i="7"/>
  <c r="Z542" i="7"/>
  <c r="Y542" i="7"/>
  <c r="X542" i="7"/>
  <c r="W542" i="7"/>
  <c r="AL541" i="7"/>
  <c r="AK541" i="7"/>
  <c r="AJ541" i="7"/>
  <c r="AI541" i="7"/>
  <c r="AH541" i="7"/>
  <c r="AG541" i="7"/>
  <c r="AF541" i="7"/>
  <c r="AE541" i="7"/>
  <c r="AD541" i="7"/>
  <c r="AC541" i="7"/>
  <c r="AB541" i="7"/>
  <c r="AA541" i="7"/>
  <c r="Z541" i="7"/>
  <c r="Y541" i="7"/>
  <c r="X541" i="7"/>
  <c r="W541" i="7"/>
  <c r="AL540" i="7"/>
  <c r="AK540" i="7"/>
  <c r="AJ540" i="7"/>
  <c r="AI540" i="7"/>
  <c r="AH540" i="7"/>
  <c r="AG540" i="7"/>
  <c r="AF540" i="7"/>
  <c r="AE540" i="7"/>
  <c r="AD540" i="7"/>
  <c r="AC540" i="7"/>
  <c r="AB540" i="7"/>
  <c r="AA540" i="7"/>
  <c r="Z540" i="7"/>
  <c r="Y540" i="7"/>
  <c r="X540" i="7"/>
  <c r="W540" i="7"/>
  <c r="AL539" i="7"/>
  <c r="AK539" i="7"/>
  <c r="AJ539" i="7"/>
  <c r="AI539" i="7"/>
  <c r="AH539" i="7"/>
  <c r="AG539" i="7"/>
  <c r="AF539" i="7"/>
  <c r="AE539" i="7"/>
  <c r="AD539" i="7"/>
  <c r="AC539" i="7"/>
  <c r="AB539" i="7"/>
  <c r="AA539" i="7"/>
  <c r="Z539" i="7"/>
  <c r="Y539" i="7"/>
  <c r="X539" i="7"/>
  <c r="W539" i="7"/>
  <c r="AL538" i="7"/>
  <c r="AK538" i="7"/>
  <c r="AJ538" i="7"/>
  <c r="AI538" i="7"/>
  <c r="AH538" i="7"/>
  <c r="AG538" i="7"/>
  <c r="AF538" i="7"/>
  <c r="AE538" i="7"/>
  <c r="AD538" i="7"/>
  <c r="AC538" i="7"/>
  <c r="AB538" i="7"/>
  <c r="AA538" i="7"/>
  <c r="Z538" i="7"/>
  <c r="Y538" i="7"/>
  <c r="X538" i="7"/>
  <c r="W538" i="7"/>
  <c r="AL537" i="7"/>
  <c r="AK537" i="7"/>
  <c r="AJ537" i="7"/>
  <c r="AI537" i="7"/>
  <c r="AH537" i="7"/>
  <c r="AG537" i="7"/>
  <c r="AF537" i="7"/>
  <c r="AE537" i="7"/>
  <c r="AD537" i="7"/>
  <c r="AC537" i="7"/>
  <c r="AB537" i="7"/>
  <c r="AA537" i="7"/>
  <c r="Z537" i="7"/>
  <c r="Y537" i="7"/>
  <c r="X537" i="7"/>
  <c r="W537" i="7"/>
  <c r="AL536" i="7"/>
  <c r="AK536" i="7"/>
  <c r="AJ536" i="7"/>
  <c r="AI536" i="7"/>
  <c r="AH536" i="7"/>
  <c r="AG536" i="7"/>
  <c r="AF536" i="7"/>
  <c r="AE536" i="7"/>
  <c r="AD536" i="7"/>
  <c r="AC536" i="7"/>
  <c r="AB536" i="7"/>
  <c r="AA536" i="7"/>
  <c r="Z536" i="7"/>
  <c r="Y536" i="7"/>
  <c r="X536" i="7"/>
  <c r="W536" i="7"/>
  <c r="AL535" i="7"/>
  <c r="AK535" i="7"/>
  <c r="AJ535" i="7"/>
  <c r="AI535" i="7"/>
  <c r="AH535" i="7"/>
  <c r="AG535" i="7"/>
  <c r="AF535" i="7"/>
  <c r="AE535" i="7"/>
  <c r="AD535" i="7"/>
  <c r="AC535" i="7"/>
  <c r="AB535" i="7"/>
  <c r="AA535" i="7"/>
  <c r="Z535" i="7"/>
  <c r="Y535" i="7"/>
  <c r="X535" i="7"/>
  <c r="W535" i="7"/>
  <c r="AL534" i="7"/>
  <c r="AK534" i="7"/>
  <c r="AJ534" i="7"/>
  <c r="AI534" i="7"/>
  <c r="AH534" i="7"/>
  <c r="AG534" i="7"/>
  <c r="AF534" i="7"/>
  <c r="AE534" i="7"/>
  <c r="AD534" i="7"/>
  <c r="AC534" i="7"/>
  <c r="AB534" i="7"/>
  <c r="AA534" i="7"/>
  <c r="Z534" i="7"/>
  <c r="Y534" i="7"/>
  <c r="X534" i="7"/>
  <c r="W534" i="7"/>
  <c r="AL533" i="7"/>
  <c r="AK533" i="7"/>
  <c r="AJ533" i="7"/>
  <c r="AI533" i="7"/>
  <c r="AH533" i="7"/>
  <c r="AG533" i="7"/>
  <c r="AF533" i="7"/>
  <c r="AE533" i="7"/>
  <c r="AD533" i="7"/>
  <c r="AC533" i="7"/>
  <c r="AB533" i="7"/>
  <c r="AA533" i="7"/>
  <c r="Z533" i="7"/>
  <c r="Y533" i="7"/>
  <c r="X533" i="7"/>
  <c r="W533" i="7"/>
  <c r="AL532" i="7"/>
  <c r="AK532" i="7"/>
  <c r="AJ532" i="7"/>
  <c r="AI532" i="7"/>
  <c r="AH532" i="7"/>
  <c r="AG532" i="7"/>
  <c r="AF532" i="7"/>
  <c r="AE532" i="7"/>
  <c r="AD532" i="7"/>
  <c r="AC532" i="7"/>
  <c r="AB532" i="7"/>
  <c r="AA532" i="7"/>
  <c r="Z532" i="7"/>
  <c r="Y532" i="7"/>
  <c r="X532" i="7"/>
  <c r="W532" i="7"/>
  <c r="AL531" i="7"/>
  <c r="AK531" i="7"/>
  <c r="AJ531" i="7"/>
  <c r="AI531" i="7"/>
  <c r="AH531" i="7"/>
  <c r="AG531" i="7"/>
  <c r="AF531" i="7"/>
  <c r="AE531" i="7"/>
  <c r="AD531" i="7"/>
  <c r="AC531" i="7"/>
  <c r="AB531" i="7"/>
  <c r="AA531" i="7"/>
  <c r="Z531" i="7"/>
  <c r="Y531" i="7"/>
  <c r="X531" i="7"/>
  <c r="W531" i="7"/>
  <c r="AL526" i="7"/>
  <c r="AK526" i="7"/>
  <c r="AJ526" i="7"/>
  <c r="AI526" i="7"/>
  <c r="AH526" i="7"/>
  <c r="AG526" i="7"/>
  <c r="AF526" i="7"/>
  <c r="AE526" i="7"/>
  <c r="AD526" i="7"/>
  <c r="AC526" i="7"/>
  <c r="AB526" i="7"/>
  <c r="AA526" i="7"/>
  <c r="Z526" i="7"/>
  <c r="Y526" i="7"/>
  <c r="X526" i="7"/>
  <c r="W526" i="7"/>
  <c r="AL525" i="7"/>
  <c r="AK525" i="7"/>
  <c r="AJ525" i="7"/>
  <c r="AI525" i="7"/>
  <c r="AH525" i="7"/>
  <c r="AG525" i="7"/>
  <c r="AF525" i="7"/>
  <c r="AE525" i="7"/>
  <c r="AD525" i="7"/>
  <c r="AC525" i="7"/>
  <c r="AB525" i="7"/>
  <c r="AA525" i="7"/>
  <c r="Z525" i="7"/>
  <c r="Y525" i="7"/>
  <c r="X525" i="7"/>
  <c r="W525" i="7"/>
  <c r="AL524" i="7"/>
  <c r="AK524" i="7"/>
  <c r="AJ524" i="7"/>
  <c r="AI524" i="7"/>
  <c r="AH524" i="7"/>
  <c r="AG524" i="7"/>
  <c r="AF524" i="7"/>
  <c r="AE524" i="7"/>
  <c r="AD524" i="7"/>
  <c r="AC524" i="7"/>
  <c r="AB524" i="7"/>
  <c r="AA524" i="7"/>
  <c r="Z524" i="7"/>
  <c r="Y524" i="7"/>
  <c r="X524" i="7"/>
  <c r="W524" i="7"/>
  <c r="AL523" i="7"/>
  <c r="AK523" i="7"/>
  <c r="AJ523" i="7"/>
  <c r="AI523" i="7"/>
  <c r="AH523" i="7"/>
  <c r="AG523" i="7"/>
  <c r="AF523" i="7"/>
  <c r="AE523" i="7"/>
  <c r="AD523" i="7"/>
  <c r="AC523" i="7"/>
  <c r="AB523" i="7"/>
  <c r="AA523" i="7"/>
  <c r="Z523" i="7"/>
  <c r="Y523" i="7"/>
  <c r="X523" i="7"/>
  <c r="W523" i="7"/>
  <c r="AL522" i="7"/>
  <c r="AK522" i="7"/>
  <c r="AJ522" i="7"/>
  <c r="AI522" i="7"/>
  <c r="AH522" i="7"/>
  <c r="AG522" i="7"/>
  <c r="AF522" i="7"/>
  <c r="AE522" i="7"/>
  <c r="AD522" i="7"/>
  <c r="AC522" i="7"/>
  <c r="AB522" i="7"/>
  <c r="AA522" i="7"/>
  <c r="Z522" i="7"/>
  <c r="Y522" i="7"/>
  <c r="X522" i="7"/>
  <c r="W522" i="7"/>
  <c r="AL521" i="7"/>
  <c r="AK521" i="7"/>
  <c r="AJ521" i="7"/>
  <c r="AI521" i="7"/>
  <c r="AH521" i="7"/>
  <c r="AG521" i="7"/>
  <c r="AF521" i="7"/>
  <c r="AE521" i="7"/>
  <c r="AD521" i="7"/>
  <c r="AC521" i="7"/>
  <c r="AB521" i="7"/>
  <c r="AA521" i="7"/>
  <c r="Z521" i="7"/>
  <c r="Y521" i="7"/>
  <c r="X521" i="7"/>
  <c r="W521" i="7"/>
  <c r="AL520" i="7"/>
  <c r="AK520" i="7"/>
  <c r="AJ520" i="7"/>
  <c r="AI520" i="7"/>
  <c r="AH520" i="7"/>
  <c r="AG520" i="7"/>
  <c r="AF520" i="7"/>
  <c r="AE520" i="7"/>
  <c r="AD520" i="7"/>
  <c r="AC520" i="7"/>
  <c r="AB520" i="7"/>
  <c r="AA520" i="7"/>
  <c r="Z520" i="7"/>
  <c r="Y520" i="7"/>
  <c r="X520" i="7"/>
  <c r="W520" i="7"/>
  <c r="AL519" i="7"/>
  <c r="AK519" i="7"/>
  <c r="AJ519" i="7"/>
  <c r="AI519" i="7"/>
  <c r="AH519" i="7"/>
  <c r="AG519" i="7"/>
  <c r="AF519" i="7"/>
  <c r="AE519" i="7"/>
  <c r="AD519" i="7"/>
  <c r="AC519" i="7"/>
  <c r="AB519" i="7"/>
  <c r="AA519" i="7"/>
  <c r="Z519" i="7"/>
  <c r="Y519" i="7"/>
  <c r="X519" i="7"/>
  <c r="W519" i="7"/>
  <c r="AL518" i="7"/>
  <c r="AK518" i="7"/>
  <c r="AJ518" i="7"/>
  <c r="AI518" i="7"/>
  <c r="AH518" i="7"/>
  <c r="AG518" i="7"/>
  <c r="AF518" i="7"/>
  <c r="AE518" i="7"/>
  <c r="AD518" i="7"/>
  <c r="AC518" i="7"/>
  <c r="AB518" i="7"/>
  <c r="AA518" i="7"/>
  <c r="Z518" i="7"/>
  <c r="Y518" i="7"/>
  <c r="X518" i="7"/>
  <c r="W518" i="7"/>
  <c r="AL517" i="7"/>
  <c r="AK517" i="7"/>
  <c r="AJ517" i="7"/>
  <c r="AI517" i="7"/>
  <c r="AH517" i="7"/>
  <c r="AG517" i="7"/>
  <c r="AF517" i="7"/>
  <c r="AE517" i="7"/>
  <c r="AD517" i="7"/>
  <c r="AC517" i="7"/>
  <c r="AB517" i="7"/>
  <c r="AA517" i="7"/>
  <c r="Z517" i="7"/>
  <c r="Y517" i="7"/>
  <c r="X517" i="7"/>
  <c r="W517" i="7"/>
  <c r="AL516" i="7"/>
  <c r="AK516" i="7"/>
  <c r="AJ516" i="7"/>
  <c r="AI516" i="7"/>
  <c r="AH516" i="7"/>
  <c r="AG516" i="7"/>
  <c r="AF516" i="7"/>
  <c r="AE516" i="7"/>
  <c r="AD516" i="7"/>
  <c r="AC516" i="7"/>
  <c r="AB516" i="7"/>
  <c r="AA516" i="7"/>
  <c r="Z516" i="7"/>
  <c r="Y516" i="7"/>
  <c r="X516" i="7"/>
  <c r="W516" i="7"/>
  <c r="AL515" i="7"/>
  <c r="AK515" i="7"/>
  <c r="AJ515" i="7"/>
  <c r="AI515" i="7"/>
  <c r="AH515" i="7"/>
  <c r="AG515" i="7"/>
  <c r="AF515" i="7"/>
  <c r="AE515" i="7"/>
  <c r="AD515" i="7"/>
  <c r="AC515" i="7"/>
  <c r="AB515" i="7"/>
  <c r="AA515" i="7"/>
  <c r="Z515" i="7"/>
  <c r="Y515" i="7"/>
  <c r="X515" i="7"/>
  <c r="W515" i="7"/>
  <c r="AL514" i="7"/>
  <c r="AK514" i="7"/>
  <c r="AJ514" i="7"/>
  <c r="AI514" i="7"/>
  <c r="AH514" i="7"/>
  <c r="AG514" i="7"/>
  <c r="AF514" i="7"/>
  <c r="AE514" i="7"/>
  <c r="AD514" i="7"/>
  <c r="AC514" i="7"/>
  <c r="AB514" i="7"/>
  <c r="AA514" i="7"/>
  <c r="Z514" i="7"/>
  <c r="Y514" i="7"/>
  <c r="X514" i="7"/>
  <c r="W514" i="7"/>
  <c r="AL513" i="7"/>
  <c r="AK513" i="7"/>
  <c r="AJ513" i="7"/>
  <c r="AI513" i="7"/>
  <c r="AH513" i="7"/>
  <c r="AG513" i="7"/>
  <c r="AF513" i="7"/>
  <c r="AE513" i="7"/>
  <c r="AD513" i="7"/>
  <c r="AC513" i="7"/>
  <c r="AB513" i="7"/>
  <c r="AA513" i="7"/>
  <c r="Z513" i="7"/>
  <c r="Y513" i="7"/>
  <c r="X513" i="7"/>
  <c r="W513" i="7"/>
  <c r="AL512" i="7"/>
  <c r="AK512" i="7"/>
  <c r="AJ512" i="7"/>
  <c r="AI512" i="7"/>
  <c r="AH512" i="7"/>
  <c r="AG512" i="7"/>
  <c r="AF512" i="7"/>
  <c r="AE512" i="7"/>
  <c r="AD512" i="7"/>
  <c r="AC512" i="7"/>
  <c r="AB512" i="7"/>
  <c r="AA512" i="7"/>
  <c r="Z512" i="7"/>
  <c r="Y512" i="7"/>
  <c r="X512" i="7"/>
  <c r="W512" i="7"/>
  <c r="AL511" i="7"/>
  <c r="AK511" i="7"/>
  <c r="AJ511" i="7"/>
  <c r="AI511" i="7"/>
  <c r="AH511" i="7"/>
  <c r="AG511" i="7"/>
  <c r="AF511" i="7"/>
  <c r="AE511" i="7"/>
  <c r="AD511" i="7"/>
  <c r="AC511" i="7"/>
  <c r="AB511" i="7"/>
  <c r="AA511" i="7"/>
  <c r="Z511" i="7"/>
  <c r="Y511" i="7"/>
  <c r="X511" i="7"/>
  <c r="W511" i="7"/>
  <c r="AL510" i="7"/>
  <c r="AK510" i="7"/>
  <c r="AJ510" i="7"/>
  <c r="AI510" i="7"/>
  <c r="AH510" i="7"/>
  <c r="AG510" i="7"/>
  <c r="AF510" i="7"/>
  <c r="AE510" i="7"/>
  <c r="AD510" i="7"/>
  <c r="AC510" i="7"/>
  <c r="AB510" i="7"/>
  <c r="AA510" i="7"/>
  <c r="Z510" i="7"/>
  <c r="Y510" i="7"/>
  <c r="X510" i="7"/>
  <c r="W510" i="7"/>
  <c r="AL509" i="7"/>
  <c r="AK509" i="7"/>
  <c r="AJ509" i="7"/>
  <c r="AI509" i="7"/>
  <c r="AH509" i="7"/>
  <c r="AG509" i="7"/>
  <c r="AF509" i="7"/>
  <c r="AE509" i="7"/>
  <c r="AD509" i="7"/>
  <c r="AC509" i="7"/>
  <c r="AB509" i="7"/>
  <c r="AA509" i="7"/>
  <c r="Z509" i="7"/>
  <c r="Y509" i="7"/>
  <c r="X509" i="7"/>
  <c r="W509" i="7"/>
  <c r="AL508" i="7"/>
  <c r="AK508" i="7"/>
  <c r="AJ508" i="7"/>
  <c r="AI508" i="7"/>
  <c r="AH508" i="7"/>
  <c r="AG508" i="7"/>
  <c r="AF508" i="7"/>
  <c r="AE508" i="7"/>
  <c r="AD508" i="7"/>
  <c r="AC508" i="7"/>
  <c r="AB508" i="7"/>
  <c r="AA508" i="7"/>
  <c r="Z508" i="7"/>
  <c r="Y508" i="7"/>
  <c r="X508" i="7"/>
  <c r="W508" i="7"/>
  <c r="AL507" i="7"/>
  <c r="AK507" i="7"/>
  <c r="AJ507" i="7"/>
  <c r="AI507" i="7"/>
  <c r="AH507" i="7"/>
  <c r="AG507" i="7"/>
  <c r="AF507" i="7"/>
  <c r="AE507" i="7"/>
  <c r="AD507" i="7"/>
  <c r="AC507" i="7"/>
  <c r="AB507" i="7"/>
  <c r="AA507" i="7"/>
  <c r="Z507" i="7"/>
  <c r="Y507" i="7"/>
  <c r="X507" i="7"/>
  <c r="W507" i="7"/>
  <c r="AL506" i="7"/>
  <c r="AK506" i="7"/>
  <c r="AJ506" i="7"/>
  <c r="AI506" i="7"/>
  <c r="AH506" i="7"/>
  <c r="AG506" i="7"/>
  <c r="AF506" i="7"/>
  <c r="AE506" i="7"/>
  <c r="AD506" i="7"/>
  <c r="AC506" i="7"/>
  <c r="AB506" i="7"/>
  <c r="AA506" i="7"/>
  <c r="Z506" i="7"/>
  <c r="Y506" i="7"/>
  <c r="X506" i="7"/>
  <c r="W506" i="7"/>
  <c r="AL505" i="7"/>
  <c r="AK505" i="7"/>
  <c r="AJ505" i="7"/>
  <c r="AI505" i="7"/>
  <c r="AH505" i="7"/>
  <c r="AG505" i="7"/>
  <c r="AF505" i="7"/>
  <c r="AE505" i="7"/>
  <c r="AD505" i="7"/>
  <c r="AC505" i="7"/>
  <c r="AB505" i="7"/>
  <c r="AA505" i="7"/>
  <c r="Z505" i="7"/>
  <c r="Y505" i="7"/>
  <c r="X505" i="7"/>
  <c r="W505" i="7"/>
  <c r="AL504" i="7"/>
  <c r="AK504" i="7"/>
  <c r="AJ504" i="7"/>
  <c r="AI504" i="7"/>
  <c r="AH504" i="7"/>
  <c r="AG504" i="7"/>
  <c r="AF504" i="7"/>
  <c r="AE504" i="7"/>
  <c r="AD504" i="7"/>
  <c r="AC504" i="7"/>
  <c r="AB504" i="7"/>
  <c r="AA504" i="7"/>
  <c r="Z504" i="7"/>
  <c r="Y504" i="7"/>
  <c r="X504" i="7"/>
  <c r="W504" i="7"/>
  <c r="AL503" i="7"/>
  <c r="AK503" i="7"/>
  <c r="AJ503" i="7"/>
  <c r="AI503" i="7"/>
  <c r="AH503" i="7"/>
  <c r="AG503" i="7"/>
  <c r="AF503" i="7"/>
  <c r="AE503" i="7"/>
  <c r="AD503" i="7"/>
  <c r="AC503" i="7"/>
  <c r="AB503" i="7"/>
  <c r="AA503" i="7"/>
  <c r="Z503" i="7"/>
  <c r="Y503" i="7"/>
  <c r="X503" i="7"/>
  <c r="W503" i="7"/>
  <c r="AL502" i="7"/>
  <c r="AK502" i="7"/>
  <c r="AJ502" i="7"/>
  <c r="AI502" i="7"/>
  <c r="AH502" i="7"/>
  <c r="AG502" i="7"/>
  <c r="AF502" i="7"/>
  <c r="AE502" i="7"/>
  <c r="AD502" i="7"/>
  <c r="AC502" i="7"/>
  <c r="AB502" i="7"/>
  <c r="AA502" i="7"/>
  <c r="Z502" i="7"/>
  <c r="Y502" i="7"/>
  <c r="X502" i="7"/>
  <c r="W502" i="7"/>
  <c r="AL501" i="7"/>
  <c r="AK501" i="7"/>
  <c r="AJ501" i="7"/>
  <c r="AI501" i="7"/>
  <c r="AH501" i="7"/>
  <c r="AG501" i="7"/>
  <c r="AF501" i="7"/>
  <c r="AE501" i="7"/>
  <c r="AD501" i="7"/>
  <c r="AC501" i="7"/>
  <c r="AB501" i="7"/>
  <c r="AA501" i="7"/>
  <c r="Z501" i="7"/>
  <c r="Y501" i="7"/>
  <c r="X501" i="7"/>
  <c r="W501" i="7"/>
  <c r="AL500" i="7"/>
  <c r="AK500" i="7"/>
  <c r="AJ500" i="7"/>
  <c r="AI500" i="7"/>
  <c r="AH500" i="7"/>
  <c r="AG500" i="7"/>
  <c r="AF500" i="7"/>
  <c r="AE500" i="7"/>
  <c r="AD500" i="7"/>
  <c r="AC500" i="7"/>
  <c r="AB500" i="7"/>
  <c r="AA500" i="7"/>
  <c r="Z500" i="7"/>
  <c r="Y500" i="7"/>
  <c r="X500" i="7"/>
  <c r="W500" i="7"/>
  <c r="AL499" i="7"/>
  <c r="AK499" i="7"/>
  <c r="AJ499" i="7"/>
  <c r="AI499" i="7"/>
  <c r="AH499" i="7"/>
  <c r="AG499" i="7"/>
  <c r="AF499" i="7"/>
  <c r="AE499" i="7"/>
  <c r="AD499" i="7"/>
  <c r="AC499" i="7"/>
  <c r="AB499" i="7"/>
  <c r="AA499" i="7"/>
  <c r="Z499" i="7"/>
  <c r="Y499" i="7"/>
  <c r="X499" i="7"/>
  <c r="W499" i="7"/>
  <c r="AL498" i="7"/>
  <c r="AK498" i="7"/>
  <c r="AJ498" i="7"/>
  <c r="AI498" i="7"/>
  <c r="AH498" i="7"/>
  <c r="AG498" i="7"/>
  <c r="AF498" i="7"/>
  <c r="AE498" i="7"/>
  <c r="AD498" i="7"/>
  <c r="AC498" i="7"/>
  <c r="AB498" i="7"/>
  <c r="AA498" i="7"/>
  <c r="Z498" i="7"/>
  <c r="Y498" i="7"/>
  <c r="X498" i="7"/>
  <c r="W498" i="7"/>
  <c r="AL497" i="7"/>
  <c r="AK497" i="7"/>
  <c r="AJ497" i="7"/>
  <c r="AI497" i="7"/>
  <c r="AH497" i="7"/>
  <c r="AG497" i="7"/>
  <c r="AF497" i="7"/>
  <c r="AE497" i="7"/>
  <c r="AD497" i="7"/>
  <c r="AC497" i="7"/>
  <c r="AB497" i="7"/>
  <c r="AA497" i="7"/>
  <c r="Z497" i="7"/>
  <c r="Y497" i="7"/>
  <c r="X497" i="7"/>
  <c r="W497" i="7"/>
  <c r="AL496" i="7"/>
  <c r="AK496" i="7"/>
  <c r="AJ496" i="7"/>
  <c r="AI496" i="7"/>
  <c r="AH496" i="7"/>
  <c r="AG496" i="7"/>
  <c r="AF496" i="7"/>
  <c r="AE496" i="7"/>
  <c r="AD496" i="7"/>
  <c r="AC496" i="7"/>
  <c r="AB496" i="7"/>
  <c r="AA496" i="7"/>
  <c r="Z496" i="7"/>
  <c r="Y496" i="7"/>
  <c r="X496" i="7"/>
  <c r="W496" i="7"/>
  <c r="AL495" i="7"/>
  <c r="AK495" i="7"/>
  <c r="AJ495" i="7"/>
  <c r="AI495" i="7"/>
  <c r="AH495" i="7"/>
  <c r="AG495" i="7"/>
  <c r="AF495" i="7"/>
  <c r="AE495" i="7"/>
  <c r="AD495" i="7"/>
  <c r="AC495" i="7"/>
  <c r="AB495" i="7"/>
  <c r="AA495" i="7"/>
  <c r="Z495" i="7"/>
  <c r="Y495" i="7"/>
  <c r="X495" i="7"/>
  <c r="W495" i="7"/>
  <c r="AL494" i="7"/>
  <c r="AK494" i="7"/>
  <c r="AJ494" i="7"/>
  <c r="AI494" i="7"/>
  <c r="AH494" i="7"/>
  <c r="AG494" i="7"/>
  <c r="AF494" i="7"/>
  <c r="AE494" i="7"/>
  <c r="AD494" i="7"/>
  <c r="AC494" i="7"/>
  <c r="AB494" i="7"/>
  <c r="AA494" i="7"/>
  <c r="Z494" i="7"/>
  <c r="Y494" i="7"/>
  <c r="X494" i="7"/>
  <c r="W494" i="7"/>
  <c r="AL493" i="7"/>
  <c r="AK493" i="7"/>
  <c r="AJ493" i="7"/>
  <c r="AI493" i="7"/>
  <c r="AH493" i="7"/>
  <c r="AG493" i="7"/>
  <c r="AF493" i="7"/>
  <c r="AE493" i="7"/>
  <c r="AD493" i="7"/>
  <c r="AC493" i="7"/>
  <c r="AB493" i="7"/>
  <c r="AA493" i="7"/>
  <c r="Z493" i="7"/>
  <c r="Y493" i="7"/>
  <c r="X493" i="7"/>
  <c r="W493" i="7"/>
  <c r="AL492" i="7"/>
  <c r="AK492" i="7"/>
  <c r="AJ492" i="7"/>
  <c r="AI492" i="7"/>
  <c r="AH492" i="7"/>
  <c r="AG492" i="7"/>
  <c r="AF492" i="7"/>
  <c r="AE492" i="7"/>
  <c r="AD492" i="7"/>
  <c r="AC492" i="7"/>
  <c r="AB492" i="7"/>
  <c r="AA492" i="7"/>
  <c r="Z492" i="7"/>
  <c r="Y492" i="7"/>
  <c r="X492" i="7"/>
  <c r="W492" i="7"/>
  <c r="AL491" i="7"/>
  <c r="AK491" i="7"/>
  <c r="AJ491" i="7"/>
  <c r="AI491" i="7"/>
  <c r="AH491" i="7"/>
  <c r="AG491" i="7"/>
  <c r="AF491" i="7"/>
  <c r="AE491" i="7"/>
  <c r="AD491" i="7"/>
  <c r="AC491" i="7"/>
  <c r="AB491" i="7"/>
  <c r="AA491" i="7"/>
  <c r="Z491" i="7"/>
  <c r="Y491" i="7"/>
  <c r="X491" i="7"/>
  <c r="W491" i="7"/>
  <c r="AL490" i="7"/>
  <c r="AK490" i="7"/>
  <c r="AJ490" i="7"/>
  <c r="AI490" i="7"/>
  <c r="AH490" i="7"/>
  <c r="AG490" i="7"/>
  <c r="AF490" i="7"/>
  <c r="AE490" i="7"/>
  <c r="AD490" i="7"/>
  <c r="AC490" i="7"/>
  <c r="AB490" i="7"/>
  <c r="AA490" i="7"/>
  <c r="Z490" i="7"/>
  <c r="Y490" i="7"/>
  <c r="X490" i="7"/>
  <c r="W490" i="7"/>
  <c r="AL489" i="7"/>
  <c r="AK489" i="7"/>
  <c r="AJ489" i="7"/>
  <c r="AI489" i="7"/>
  <c r="AH489" i="7"/>
  <c r="AG489" i="7"/>
  <c r="AF489" i="7"/>
  <c r="AE489" i="7"/>
  <c r="AD489" i="7"/>
  <c r="AC489" i="7"/>
  <c r="AB489" i="7"/>
  <c r="AA489" i="7"/>
  <c r="Z489" i="7"/>
  <c r="Y489" i="7"/>
  <c r="X489" i="7"/>
  <c r="W489" i="7"/>
  <c r="AL488" i="7"/>
  <c r="AK488" i="7"/>
  <c r="AJ488" i="7"/>
  <c r="AI488" i="7"/>
  <c r="AH488" i="7"/>
  <c r="AG488" i="7"/>
  <c r="AF488" i="7"/>
  <c r="AE488" i="7"/>
  <c r="AD488" i="7"/>
  <c r="AC488" i="7"/>
  <c r="AB488" i="7"/>
  <c r="AA488" i="7"/>
  <c r="Z488" i="7"/>
  <c r="Y488" i="7"/>
  <c r="X488" i="7"/>
  <c r="W488" i="7"/>
  <c r="AL487" i="7"/>
  <c r="AK487" i="7"/>
  <c r="AJ487" i="7"/>
  <c r="AI487" i="7"/>
  <c r="AH487" i="7"/>
  <c r="AG487" i="7"/>
  <c r="AF487" i="7"/>
  <c r="AE487" i="7"/>
  <c r="AD487" i="7"/>
  <c r="AC487" i="7"/>
  <c r="AB487" i="7"/>
  <c r="AA487" i="7"/>
  <c r="Z487" i="7"/>
  <c r="Y487" i="7"/>
  <c r="X487" i="7"/>
  <c r="W487" i="7"/>
  <c r="X444" i="7"/>
  <c r="Y444" i="7"/>
  <c r="Z444" i="7"/>
  <c r="AA444" i="7"/>
  <c r="AB444" i="7"/>
  <c r="AC444" i="7"/>
  <c r="AD444" i="7"/>
  <c r="AE444" i="7"/>
  <c r="AF444" i="7"/>
  <c r="AG444" i="7"/>
  <c r="AH444" i="7"/>
  <c r="AI444" i="7"/>
  <c r="AJ444" i="7"/>
  <c r="AK444" i="7"/>
  <c r="AL444" i="7"/>
  <c r="X445" i="7"/>
  <c r="Y445" i="7"/>
  <c r="Z445" i="7"/>
  <c r="AA445" i="7"/>
  <c r="AB445" i="7"/>
  <c r="AC445" i="7"/>
  <c r="AD445" i="7"/>
  <c r="AE445" i="7"/>
  <c r="AF445" i="7"/>
  <c r="AG445" i="7"/>
  <c r="AH445" i="7"/>
  <c r="AI445" i="7"/>
  <c r="AJ445" i="7"/>
  <c r="AK445" i="7"/>
  <c r="AL445" i="7"/>
  <c r="X446" i="7"/>
  <c r="Y446" i="7"/>
  <c r="Z446" i="7"/>
  <c r="AA446" i="7"/>
  <c r="AB446" i="7"/>
  <c r="AC446" i="7"/>
  <c r="AD446" i="7"/>
  <c r="AE446" i="7"/>
  <c r="AF446" i="7"/>
  <c r="AG446" i="7"/>
  <c r="AH446" i="7"/>
  <c r="AI446" i="7"/>
  <c r="AJ446" i="7"/>
  <c r="AK446" i="7"/>
  <c r="AL446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AK447" i="7"/>
  <c r="AL447" i="7"/>
  <c r="X448" i="7"/>
  <c r="Y448" i="7"/>
  <c r="Z448" i="7"/>
  <c r="AA448" i="7"/>
  <c r="AB448" i="7"/>
  <c r="AC448" i="7"/>
  <c r="AD448" i="7"/>
  <c r="AE448" i="7"/>
  <c r="AF448" i="7"/>
  <c r="AG448" i="7"/>
  <c r="AH448" i="7"/>
  <c r="AI448" i="7"/>
  <c r="AJ448" i="7"/>
  <c r="AK448" i="7"/>
  <c r="AL448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AK449" i="7"/>
  <c r="AL449" i="7"/>
  <c r="X450" i="7"/>
  <c r="Y450" i="7"/>
  <c r="Z450" i="7"/>
  <c r="AA450" i="7"/>
  <c r="AB450" i="7"/>
  <c r="AC450" i="7"/>
  <c r="AD450" i="7"/>
  <c r="AE450" i="7"/>
  <c r="AF450" i="7"/>
  <c r="AG450" i="7"/>
  <c r="AH450" i="7"/>
  <c r="AI450" i="7"/>
  <c r="AJ450" i="7"/>
  <c r="AK450" i="7"/>
  <c r="AL450" i="7"/>
  <c r="X451" i="7"/>
  <c r="Y451" i="7"/>
  <c r="Z451" i="7"/>
  <c r="AA451" i="7"/>
  <c r="AB451" i="7"/>
  <c r="AC451" i="7"/>
  <c r="AD451" i="7"/>
  <c r="AE451" i="7"/>
  <c r="AF451" i="7"/>
  <c r="AG451" i="7"/>
  <c r="AH451" i="7"/>
  <c r="AI451" i="7"/>
  <c r="AJ451" i="7"/>
  <c r="AK451" i="7"/>
  <c r="AL451" i="7"/>
  <c r="X452" i="7"/>
  <c r="Y452" i="7"/>
  <c r="Z452" i="7"/>
  <c r="AA452" i="7"/>
  <c r="AB452" i="7"/>
  <c r="AC452" i="7"/>
  <c r="AD452" i="7"/>
  <c r="AE452" i="7"/>
  <c r="AF452" i="7"/>
  <c r="AG452" i="7"/>
  <c r="AH452" i="7"/>
  <c r="AI452" i="7"/>
  <c r="AJ452" i="7"/>
  <c r="AK452" i="7"/>
  <c r="AL452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AK453" i="7"/>
  <c r="AL453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AK454" i="7"/>
  <c r="AL454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AK455" i="7"/>
  <c r="AL455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AK456" i="7"/>
  <c r="AL456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AK457" i="7"/>
  <c r="AL457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AK458" i="7"/>
  <c r="AL458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AK459" i="7"/>
  <c r="AL459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AK460" i="7"/>
  <c r="AL460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AK461" i="7"/>
  <c r="AL461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AK462" i="7"/>
  <c r="AL462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AK463" i="7"/>
  <c r="AL463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AK464" i="7"/>
  <c r="AL464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AK465" i="7"/>
  <c r="AL465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AK466" i="7"/>
  <c r="AL466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AK467" i="7"/>
  <c r="AL467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AK468" i="7"/>
  <c r="AL468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AK469" i="7"/>
  <c r="AL469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AK470" i="7"/>
  <c r="AL470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AK471" i="7"/>
  <c r="AL471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AK472" i="7"/>
  <c r="AL472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AK473" i="7"/>
  <c r="AL473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AK474" i="7"/>
  <c r="AL474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AK475" i="7"/>
  <c r="AL475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AK476" i="7"/>
  <c r="AL476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AK477" i="7"/>
  <c r="AL477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AK478" i="7"/>
  <c r="AL478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AK479" i="7"/>
  <c r="AL479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AK480" i="7"/>
  <c r="AL480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AK481" i="7"/>
  <c r="AL481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AK482" i="7"/>
  <c r="AL482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AK483" i="7"/>
  <c r="AL483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44" i="7"/>
  <c r="K173" i="5"/>
  <c r="V1098" i="7"/>
  <c r="V1097" i="7"/>
  <c r="V1096" i="7"/>
  <c r="V1095" i="7"/>
  <c r="V1094" i="7"/>
  <c r="V1093" i="7"/>
  <c r="V1092" i="7"/>
  <c r="V1091" i="7"/>
  <c r="V1090" i="7"/>
  <c r="V1089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AL1058" i="7"/>
  <c r="AK1058" i="7"/>
  <c r="AJ1058" i="7"/>
  <c r="AI1058" i="7"/>
  <c r="AH1058" i="7"/>
  <c r="AG1058" i="7"/>
  <c r="AF1058" i="7"/>
  <c r="AE1058" i="7"/>
  <c r="AD1058" i="7"/>
  <c r="AC1058" i="7"/>
  <c r="AB1058" i="7"/>
  <c r="AA1058" i="7"/>
  <c r="Z1058" i="7"/>
  <c r="Y1058" i="7"/>
  <c r="X1058" i="7"/>
  <c r="W1058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AL1014" i="7"/>
  <c r="AK1014" i="7"/>
  <c r="AJ1014" i="7"/>
  <c r="AI1014" i="7"/>
  <c r="AH1014" i="7"/>
  <c r="AG1014" i="7"/>
  <c r="AF1014" i="7"/>
  <c r="AE1014" i="7"/>
  <c r="AD1014" i="7"/>
  <c r="AC1014" i="7"/>
  <c r="AB1014" i="7"/>
  <c r="AA1014" i="7"/>
  <c r="Z1014" i="7"/>
  <c r="Y1014" i="7"/>
  <c r="X1014" i="7"/>
  <c r="W1014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AL970" i="7"/>
  <c r="AK970" i="7"/>
  <c r="AJ970" i="7"/>
  <c r="AI970" i="7"/>
  <c r="AH970" i="7"/>
  <c r="AG970" i="7"/>
  <c r="AF970" i="7"/>
  <c r="AE970" i="7"/>
  <c r="AD970" i="7"/>
  <c r="AC970" i="7"/>
  <c r="AB970" i="7"/>
  <c r="AA970" i="7"/>
  <c r="Z970" i="7"/>
  <c r="Y970" i="7"/>
  <c r="X970" i="7"/>
  <c r="W970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50" i="7"/>
  <c r="V949" i="7"/>
  <c r="V948" i="7"/>
  <c r="V947" i="7"/>
  <c r="V946" i="7"/>
  <c r="V945" i="7"/>
  <c r="V944" i="7"/>
  <c r="V943" i="7"/>
  <c r="V942" i="7"/>
  <c r="V941" i="7"/>
  <c r="V940" i="7"/>
  <c r="V939" i="7"/>
  <c r="V938" i="7"/>
  <c r="V937" i="7"/>
  <c r="V936" i="7"/>
  <c r="V935" i="7"/>
  <c r="V934" i="7"/>
  <c r="V933" i="7"/>
  <c r="V932" i="7"/>
  <c r="V931" i="7"/>
  <c r="V930" i="7"/>
  <c r="V929" i="7"/>
  <c r="V928" i="7"/>
  <c r="V927" i="7"/>
  <c r="AL926" i="7"/>
  <c r="AK926" i="7"/>
  <c r="AJ926" i="7"/>
  <c r="AI926" i="7"/>
  <c r="AH926" i="7"/>
  <c r="AG926" i="7"/>
  <c r="AF926" i="7"/>
  <c r="AE926" i="7"/>
  <c r="AD926" i="7"/>
  <c r="AC926" i="7"/>
  <c r="AB926" i="7"/>
  <c r="AA926" i="7"/>
  <c r="Z926" i="7"/>
  <c r="Y926" i="7"/>
  <c r="X926" i="7"/>
  <c r="W926" i="7"/>
  <c r="V922" i="7"/>
  <c r="V921" i="7"/>
  <c r="V920" i="7"/>
  <c r="V919" i="7"/>
  <c r="V918" i="7"/>
  <c r="V917" i="7"/>
  <c r="V916" i="7"/>
  <c r="V915" i="7"/>
  <c r="V914" i="7"/>
  <c r="V913" i="7"/>
  <c r="V912" i="7"/>
  <c r="V911" i="7"/>
  <c r="V910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AL882" i="7"/>
  <c r="AK882" i="7"/>
  <c r="AJ882" i="7"/>
  <c r="AI882" i="7"/>
  <c r="AH882" i="7"/>
  <c r="AG882" i="7"/>
  <c r="AF882" i="7"/>
  <c r="AE882" i="7"/>
  <c r="AD882" i="7"/>
  <c r="AC882" i="7"/>
  <c r="AB882" i="7"/>
  <c r="AA882" i="7"/>
  <c r="Z882" i="7"/>
  <c r="Y882" i="7"/>
  <c r="X882" i="7"/>
  <c r="W882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AL838" i="7"/>
  <c r="AK838" i="7"/>
  <c r="AJ838" i="7"/>
  <c r="AI838" i="7"/>
  <c r="AH838" i="7"/>
  <c r="AG838" i="7"/>
  <c r="AF838" i="7"/>
  <c r="AE838" i="7"/>
  <c r="AD838" i="7"/>
  <c r="AC838" i="7"/>
  <c r="AB838" i="7"/>
  <c r="AA838" i="7"/>
  <c r="Z838" i="7"/>
  <c r="Y838" i="7"/>
  <c r="X838" i="7"/>
  <c r="W838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AL794" i="7"/>
  <c r="AK794" i="7"/>
  <c r="AJ794" i="7"/>
  <c r="AI794" i="7"/>
  <c r="AH794" i="7"/>
  <c r="AG794" i="7"/>
  <c r="AF794" i="7"/>
  <c r="AE794" i="7"/>
  <c r="AD794" i="7"/>
  <c r="AC794" i="7"/>
  <c r="AB794" i="7"/>
  <c r="AA794" i="7"/>
  <c r="Z794" i="7"/>
  <c r="Y794" i="7"/>
  <c r="X794" i="7"/>
  <c r="W794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AL750" i="7"/>
  <c r="AK750" i="7"/>
  <c r="AJ750" i="7"/>
  <c r="AI750" i="7"/>
  <c r="AH750" i="7"/>
  <c r="AG750" i="7"/>
  <c r="AF750" i="7"/>
  <c r="AE750" i="7"/>
  <c r="AD750" i="7"/>
  <c r="AC750" i="7"/>
  <c r="AB750" i="7"/>
  <c r="AA750" i="7"/>
  <c r="Z750" i="7"/>
  <c r="Y750" i="7"/>
  <c r="X750" i="7"/>
  <c r="W750" i="7"/>
  <c r="V746" i="7"/>
  <c r="V745" i="7"/>
  <c r="V744" i="7"/>
  <c r="V743" i="7"/>
  <c r="V742" i="7"/>
  <c r="V741" i="7"/>
  <c r="V740" i="7"/>
  <c r="V739" i="7"/>
  <c r="V738" i="7"/>
  <c r="V737" i="7"/>
  <c r="V736" i="7"/>
  <c r="V735" i="7"/>
  <c r="V734" i="7"/>
  <c r="V733" i="7"/>
  <c r="V732" i="7"/>
  <c r="V731" i="7"/>
  <c r="V730" i="7"/>
  <c r="V729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AL706" i="7"/>
  <c r="AK706" i="7"/>
  <c r="AJ706" i="7"/>
  <c r="AI706" i="7"/>
  <c r="AH706" i="7"/>
  <c r="AG706" i="7"/>
  <c r="AF706" i="7"/>
  <c r="AE706" i="7"/>
  <c r="AD706" i="7"/>
  <c r="AC706" i="7"/>
  <c r="AB706" i="7"/>
  <c r="AA706" i="7"/>
  <c r="Z706" i="7"/>
  <c r="Y706" i="7"/>
  <c r="X706" i="7"/>
  <c r="W706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1" i="7"/>
  <c r="V670" i="7"/>
  <c r="V669" i="7"/>
  <c r="V668" i="7"/>
  <c r="V667" i="7"/>
  <c r="V666" i="7"/>
  <c r="V665" i="7"/>
  <c r="V664" i="7"/>
  <c r="V663" i="7"/>
  <c r="AL662" i="7"/>
  <c r="AK662" i="7"/>
  <c r="AJ662" i="7"/>
  <c r="AI662" i="7"/>
  <c r="AH662" i="7"/>
  <c r="AG662" i="7"/>
  <c r="AF662" i="7"/>
  <c r="AE662" i="7"/>
  <c r="AD662" i="7"/>
  <c r="AC662" i="7"/>
  <c r="AB662" i="7"/>
  <c r="AA662" i="7"/>
  <c r="Z662" i="7"/>
  <c r="Y662" i="7"/>
  <c r="X662" i="7"/>
  <c r="W662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AL618" i="7"/>
  <c r="AK618" i="7"/>
  <c r="AJ618" i="7"/>
  <c r="AI618" i="7"/>
  <c r="AH618" i="7"/>
  <c r="AG618" i="7"/>
  <c r="AF618" i="7"/>
  <c r="AE618" i="7"/>
  <c r="AD618" i="7"/>
  <c r="AC618" i="7"/>
  <c r="AB618" i="7"/>
  <c r="AA618" i="7"/>
  <c r="Z618" i="7"/>
  <c r="Y618" i="7"/>
  <c r="X618" i="7"/>
  <c r="W618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AL574" i="7"/>
  <c r="AK574" i="7"/>
  <c r="AJ574" i="7"/>
  <c r="AI574" i="7"/>
  <c r="AH574" i="7"/>
  <c r="AG574" i="7"/>
  <c r="AF574" i="7"/>
  <c r="AE574" i="7"/>
  <c r="AD574" i="7"/>
  <c r="AC574" i="7"/>
  <c r="AB574" i="7"/>
  <c r="AA574" i="7"/>
  <c r="Z574" i="7"/>
  <c r="Y574" i="7"/>
  <c r="X574" i="7"/>
  <c r="W574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AL530" i="7"/>
  <c r="AK530" i="7"/>
  <c r="AJ530" i="7"/>
  <c r="AI530" i="7"/>
  <c r="AH530" i="7"/>
  <c r="AG530" i="7"/>
  <c r="AF530" i="7"/>
  <c r="AE530" i="7"/>
  <c r="AD530" i="7"/>
  <c r="AC530" i="7"/>
  <c r="AB530" i="7"/>
  <c r="AA530" i="7"/>
  <c r="Z530" i="7"/>
  <c r="Y530" i="7"/>
  <c r="X530" i="7"/>
  <c r="W530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AL486" i="7"/>
  <c r="AK486" i="7"/>
  <c r="AJ486" i="7"/>
  <c r="AI486" i="7"/>
  <c r="AH486" i="7"/>
  <c r="AG486" i="7"/>
  <c r="AF486" i="7"/>
  <c r="AE486" i="7"/>
  <c r="AD486" i="7"/>
  <c r="AC486" i="7"/>
  <c r="AB486" i="7"/>
  <c r="AA486" i="7"/>
  <c r="Z486" i="7"/>
  <c r="Y486" i="7"/>
  <c r="X486" i="7"/>
  <c r="W486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AL443" i="7"/>
  <c r="AK443" i="7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X443" i="7"/>
  <c r="W443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S1058" i="7"/>
  <c r="R1058" i="7"/>
  <c r="Q1058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S1014" i="7"/>
  <c r="R1014" i="7"/>
  <c r="Q1014" i="7"/>
  <c r="P1014" i="7"/>
  <c r="O1014" i="7"/>
  <c r="N1014" i="7"/>
  <c r="M1014" i="7"/>
  <c r="L1014" i="7"/>
  <c r="K1014" i="7"/>
  <c r="J1014" i="7"/>
  <c r="I1014" i="7"/>
  <c r="H1014" i="7"/>
  <c r="G1014" i="7"/>
  <c r="F1014" i="7"/>
  <c r="E1014" i="7"/>
  <c r="D1014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S970" i="7"/>
  <c r="R970" i="7"/>
  <c r="Q970" i="7"/>
  <c r="P970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S926" i="7"/>
  <c r="R926" i="7"/>
  <c r="Q926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S882" i="7"/>
  <c r="R882" i="7"/>
  <c r="Q882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S838" i="7"/>
  <c r="R838" i="7"/>
  <c r="Q838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S794" i="7"/>
  <c r="R794" i="7"/>
  <c r="Q794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S750" i="7"/>
  <c r="R750" i="7"/>
  <c r="Q750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S706" i="7"/>
  <c r="R706" i="7"/>
  <c r="Q706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S662" i="7"/>
  <c r="R662" i="7"/>
  <c r="Q662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S618" i="7"/>
  <c r="R618" i="7"/>
  <c r="Q618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S574" i="7"/>
  <c r="R574" i="7"/>
  <c r="Q574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S530" i="7"/>
  <c r="R530" i="7"/>
  <c r="Q530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D173" i="5"/>
  <c r="K79" i="5"/>
  <c r="E80" i="5"/>
  <c r="L81" i="5"/>
  <c r="C79" i="5"/>
  <c r="AQ633" i="7"/>
  <c r="AQ632" i="7"/>
  <c r="AQ631" i="7"/>
  <c r="AQ630" i="7"/>
  <c r="AQ629" i="7"/>
  <c r="AQ628" i="7"/>
  <c r="AQ627" i="7"/>
  <c r="AQ626" i="7"/>
  <c r="AQ625" i="7"/>
  <c r="AQ624" i="7"/>
  <c r="AQ623" i="7"/>
  <c r="AQ622" i="7"/>
  <c r="AQ621" i="7"/>
  <c r="AQ620" i="7"/>
  <c r="AQ619" i="7"/>
  <c r="AQ618" i="7"/>
  <c r="AQ617" i="7"/>
  <c r="AQ616" i="7"/>
  <c r="AQ615" i="7"/>
  <c r="AQ614" i="7"/>
  <c r="AQ613" i="7"/>
  <c r="AQ612" i="7"/>
  <c r="AQ611" i="7"/>
  <c r="AQ610" i="7"/>
  <c r="AQ609" i="7"/>
  <c r="AQ608" i="7"/>
  <c r="AQ607" i="7"/>
  <c r="AQ606" i="7"/>
  <c r="AQ605" i="7"/>
  <c r="AQ604" i="7"/>
  <c r="AQ603" i="7"/>
  <c r="AQ602" i="7"/>
  <c r="AQ601" i="7"/>
  <c r="AQ600" i="7"/>
  <c r="AQ599" i="7"/>
  <c r="AQ598" i="7"/>
  <c r="AQ597" i="7"/>
  <c r="AQ596" i="7"/>
  <c r="AQ595" i="7"/>
  <c r="AQ594" i="7"/>
  <c r="AQ593" i="7"/>
  <c r="AQ592" i="7"/>
  <c r="AQ591" i="7"/>
  <c r="AQ590" i="7"/>
  <c r="AQ589" i="7"/>
  <c r="AQ588" i="7"/>
  <c r="AQ587" i="7"/>
  <c r="AQ586" i="7"/>
  <c r="AQ585" i="7"/>
  <c r="AQ584" i="7"/>
  <c r="AQ583" i="7"/>
  <c r="AQ582" i="7"/>
  <c r="AQ581" i="7"/>
  <c r="AQ580" i="7"/>
  <c r="AQ579" i="7"/>
  <c r="AQ578" i="7"/>
  <c r="AQ577" i="7"/>
  <c r="AQ576" i="7"/>
  <c r="AQ575" i="7"/>
  <c r="AQ574" i="7"/>
  <c r="AQ573" i="7"/>
  <c r="AQ572" i="7"/>
  <c r="AQ571" i="7"/>
  <c r="AQ570" i="7"/>
  <c r="AQ569" i="7"/>
  <c r="AQ568" i="7"/>
  <c r="AQ567" i="7"/>
  <c r="AQ566" i="7"/>
  <c r="AQ565" i="7"/>
  <c r="AQ564" i="7"/>
  <c r="AQ563" i="7"/>
  <c r="AQ562" i="7"/>
  <c r="AQ561" i="7"/>
  <c r="AQ560" i="7"/>
  <c r="AQ559" i="7"/>
  <c r="AQ558" i="7"/>
  <c r="AQ557" i="7"/>
  <c r="AQ556" i="7"/>
  <c r="AQ555" i="7"/>
  <c r="AQ554" i="7"/>
  <c r="AQ553" i="7"/>
  <c r="AQ552" i="7"/>
  <c r="AQ551" i="7"/>
  <c r="AQ550" i="7"/>
  <c r="AQ549" i="7"/>
  <c r="AQ548" i="7"/>
  <c r="AQ547" i="7"/>
  <c r="AQ546" i="7"/>
  <c r="AQ545" i="7"/>
  <c r="AQ544" i="7"/>
  <c r="AQ543" i="7"/>
  <c r="AQ542" i="7"/>
  <c r="AQ541" i="7"/>
  <c r="AQ540" i="7"/>
  <c r="AQ539" i="7"/>
  <c r="AQ538" i="7"/>
  <c r="AQ537" i="7"/>
  <c r="AQ536" i="7"/>
  <c r="AQ535" i="7"/>
  <c r="AQ534" i="7"/>
  <c r="AQ533" i="7"/>
  <c r="AQ532" i="7"/>
  <c r="AQ531" i="7"/>
  <c r="AQ530" i="7"/>
  <c r="AQ529" i="7"/>
  <c r="AQ528" i="7"/>
  <c r="AQ527" i="7"/>
  <c r="AQ526" i="7"/>
  <c r="AQ525" i="7"/>
  <c r="AQ524" i="7"/>
  <c r="AQ523" i="7"/>
  <c r="AQ522" i="7"/>
  <c r="AQ521" i="7"/>
  <c r="AQ520" i="7"/>
  <c r="AQ519" i="7"/>
  <c r="AQ518" i="7"/>
  <c r="AQ517" i="7"/>
  <c r="AQ516" i="7"/>
  <c r="AQ515" i="7"/>
  <c r="AQ514" i="7"/>
  <c r="AQ513" i="7"/>
  <c r="AQ512" i="7"/>
  <c r="AQ511" i="7"/>
  <c r="AQ510" i="7"/>
  <c r="AQ509" i="7"/>
  <c r="AQ508" i="7"/>
  <c r="AQ507" i="7"/>
  <c r="AQ506" i="7"/>
  <c r="AQ505" i="7"/>
  <c r="AQ504" i="7"/>
  <c r="AQ503" i="7"/>
  <c r="AQ502" i="7"/>
  <c r="AQ501" i="7"/>
  <c r="AQ500" i="7"/>
  <c r="AQ499" i="7"/>
  <c r="AQ498" i="7"/>
  <c r="AQ497" i="7"/>
  <c r="AQ496" i="7"/>
  <c r="AQ495" i="7"/>
  <c r="AQ494" i="7"/>
  <c r="AQ493" i="7"/>
  <c r="AQ492" i="7"/>
  <c r="AQ491" i="7"/>
  <c r="AQ490" i="7"/>
  <c r="AQ489" i="7"/>
  <c r="AQ488" i="7"/>
  <c r="AQ487" i="7"/>
  <c r="AQ486" i="7"/>
  <c r="AQ485" i="7"/>
  <c r="AQ484" i="7"/>
  <c r="AQ483" i="7"/>
  <c r="AQ482" i="7"/>
  <c r="AQ481" i="7"/>
  <c r="AQ480" i="7"/>
  <c r="AQ479" i="7"/>
  <c r="AQ478" i="7"/>
  <c r="AQ477" i="7"/>
  <c r="AQ476" i="7"/>
  <c r="AQ475" i="7"/>
  <c r="AQ474" i="7"/>
  <c r="AQ473" i="7"/>
  <c r="AQ472" i="7"/>
  <c r="AQ471" i="7"/>
  <c r="AQ470" i="7"/>
  <c r="AQ469" i="7"/>
  <c r="AQ468" i="7"/>
  <c r="AQ467" i="7"/>
  <c r="AQ466" i="7"/>
  <c r="AQ465" i="7"/>
  <c r="AQ464" i="7"/>
  <c r="AQ463" i="7"/>
  <c r="AQ462" i="7"/>
  <c r="AQ461" i="7"/>
  <c r="AQ460" i="7"/>
  <c r="AQ459" i="7"/>
  <c r="AQ458" i="7"/>
  <c r="AQ457" i="7"/>
  <c r="AQ456" i="7"/>
  <c r="AQ455" i="7"/>
  <c r="AQ454" i="7"/>
  <c r="AQ453" i="7"/>
  <c r="AQ452" i="7"/>
  <c r="AQ451" i="7"/>
  <c r="AQ450" i="7"/>
  <c r="AQ449" i="7"/>
  <c r="AQ448" i="7"/>
  <c r="AQ447" i="7"/>
  <c r="AQ446" i="7"/>
  <c r="AQ445" i="7"/>
  <c r="AQ444" i="7"/>
  <c r="AQ443" i="7"/>
  <c r="AQ442" i="7"/>
  <c r="AQ441" i="7"/>
  <c r="AQ440" i="7"/>
  <c r="AQ439" i="7"/>
  <c r="AQ438" i="7"/>
  <c r="AQ437" i="7"/>
  <c r="AQ436" i="7"/>
  <c r="AQ435" i="7"/>
  <c r="AQ434" i="7"/>
  <c r="AQ433" i="7"/>
  <c r="AQ432" i="7"/>
  <c r="AQ431" i="7"/>
  <c r="AQ430" i="7"/>
  <c r="AQ429" i="7"/>
  <c r="AQ428" i="7"/>
  <c r="AQ427" i="7"/>
  <c r="AQ426" i="7"/>
  <c r="AQ425" i="7"/>
  <c r="AQ424" i="7"/>
  <c r="AQ423" i="7"/>
  <c r="AQ422" i="7"/>
  <c r="AQ421" i="7"/>
  <c r="AQ420" i="7"/>
  <c r="AQ419" i="7"/>
  <c r="AQ418" i="7"/>
  <c r="AQ417" i="7"/>
  <c r="AQ416" i="7"/>
  <c r="AQ415" i="7"/>
  <c r="AQ414" i="7"/>
  <c r="AQ413" i="7"/>
  <c r="AQ412" i="7"/>
  <c r="AQ411" i="7"/>
  <c r="AQ410" i="7"/>
  <c r="AQ409" i="7"/>
  <c r="AQ408" i="7"/>
  <c r="AQ407" i="7"/>
  <c r="AQ406" i="7"/>
  <c r="AQ405" i="7"/>
  <c r="AQ404" i="7"/>
  <c r="AQ403" i="7"/>
  <c r="AQ402" i="7"/>
  <c r="AQ401" i="7"/>
  <c r="AQ400" i="7"/>
  <c r="AQ399" i="7"/>
  <c r="AQ398" i="7"/>
  <c r="AQ397" i="7"/>
  <c r="AQ396" i="7"/>
  <c r="AQ395" i="7"/>
  <c r="AQ394" i="7"/>
  <c r="AQ393" i="7"/>
  <c r="AQ392" i="7"/>
  <c r="AQ391" i="7"/>
  <c r="AQ390" i="7"/>
  <c r="AQ389" i="7"/>
  <c r="AQ388" i="7"/>
  <c r="AQ387" i="7"/>
  <c r="AQ386" i="7"/>
  <c r="AQ385" i="7"/>
  <c r="AQ384" i="7"/>
  <c r="AQ383" i="7"/>
  <c r="AQ382" i="7"/>
  <c r="AQ381" i="7"/>
  <c r="AQ380" i="7"/>
  <c r="AQ379" i="7"/>
  <c r="AQ378" i="7"/>
  <c r="AQ377" i="7"/>
  <c r="AQ376" i="7"/>
  <c r="AQ375" i="7"/>
  <c r="AQ374" i="7"/>
  <c r="AQ373" i="7"/>
  <c r="AQ372" i="7"/>
  <c r="AQ371" i="7"/>
  <c r="AQ370" i="7"/>
  <c r="AQ369" i="7"/>
  <c r="AQ368" i="7"/>
  <c r="AQ367" i="7"/>
  <c r="AQ366" i="7"/>
  <c r="AQ365" i="7"/>
  <c r="AQ364" i="7"/>
  <c r="AQ363" i="7"/>
  <c r="AQ362" i="7"/>
  <c r="AQ361" i="7"/>
  <c r="AQ360" i="7"/>
  <c r="AQ359" i="7"/>
  <c r="AQ358" i="7"/>
  <c r="AQ357" i="7"/>
  <c r="AQ356" i="7"/>
  <c r="AQ355" i="7"/>
  <c r="AQ354" i="7"/>
  <c r="AQ353" i="7"/>
  <c r="AQ352" i="7"/>
  <c r="AQ351" i="7"/>
  <c r="AQ350" i="7"/>
  <c r="AQ349" i="7"/>
  <c r="AQ348" i="7"/>
  <c r="AQ347" i="7"/>
  <c r="AQ346" i="7"/>
  <c r="AQ345" i="7"/>
  <c r="AQ344" i="7"/>
  <c r="AQ343" i="7"/>
  <c r="AQ342" i="7"/>
  <c r="AQ341" i="7"/>
  <c r="AQ340" i="7"/>
  <c r="AQ339" i="7"/>
  <c r="AQ338" i="7"/>
  <c r="AQ337" i="7"/>
  <c r="AQ336" i="7"/>
  <c r="AQ335" i="7"/>
  <c r="AQ334" i="7"/>
  <c r="AQ333" i="7"/>
  <c r="AQ332" i="7"/>
  <c r="AQ331" i="7"/>
  <c r="AQ330" i="7"/>
  <c r="AQ329" i="7"/>
  <c r="AQ328" i="7"/>
  <c r="AQ327" i="7"/>
  <c r="AQ326" i="7"/>
  <c r="AQ325" i="7"/>
  <c r="AQ324" i="7"/>
  <c r="AQ323" i="7"/>
  <c r="AQ322" i="7"/>
  <c r="AQ321" i="7"/>
  <c r="AQ320" i="7"/>
  <c r="AQ319" i="7"/>
  <c r="AQ318" i="7"/>
  <c r="AQ317" i="7"/>
  <c r="AQ316" i="7"/>
  <c r="AQ315" i="7"/>
  <c r="AQ314" i="7"/>
  <c r="AQ313" i="7"/>
  <c r="AQ312" i="7"/>
  <c r="AQ311" i="7"/>
  <c r="AQ310" i="7"/>
  <c r="AQ309" i="7"/>
  <c r="AQ308" i="7"/>
  <c r="AQ307" i="7"/>
  <c r="AQ306" i="7"/>
  <c r="AQ305" i="7"/>
  <c r="AQ304" i="7"/>
  <c r="AQ303" i="7"/>
  <c r="AQ302" i="7"/>
  <c r="AQ301" i="7"/>
  <c r="AQ300" i="7"/>
  <c r="AQ299" i="7"/>
  <c r="AQ298" i="7"/>
  <c r="AQ297" i="7"/>
  <c r="AQ296" i="7"/>
  <c r="AQ295" i="7"/>
  <c r="AQ294" i="7"/>
  <c r="AQ293" i="7"/>
  <c r="AQ292" i="7"/>
  <c r="AQ291" i="7"/>
  <c r="AQ290" i="7"/>
  <c r="AQ289" i="7"/>
  <c r="AQ288" i="7"/>
  <c r="AQ287" i="7"/>
  <c r="AQ286" i="7"/>
  <c r="AQ285" i="7"/>
  <c r="AQ284" i="7"/>
  <c r="AQ283" i="7"/>
  <c r="AQ282" i="7"/>
  <c r="AQ281" i="7"/>
  <c r="AQ280" i="7"/>
  <c r="AQ279" i="7"/>
  <c r="AQ278" i="7"/>
  <c r="AQ277" i="7"/>
  <c r="AQ276" i="7"/>
  <c r="AQ275" i="7"/>
  <c r="AQ274" i="7"/>
  <c r="AQ273" i="7"/>
  <c r="AQ272" i="7"/>
  <c r="AQ271" i="7"/>
  <c r="AQ270" i="7"/>
  <c r="AQ269" i="7"/>
  <c r="AQ268" i="7"/>
  <c r="AQ267" i="7"/>
  <c r="AQ266" i="7"/>
  <c r="AQ265" i="7"/>
  <c r="AQ264" i="7"/>
  <c r="AQ263" i="7"/>
  <c r="AQ262" i="7"/>
  <c r="AQ261" i="7"/>
  <c r="AQ260" i="7"/>
  <c r="AQ259" i="7"/>
  <c r="AQ258" i="7"/>
  <c r="AQ257" i="7"/>
  <c r="AQ256" i="7"/>
  <c r="AQ255" i="7"/>
  <c r="AQ254" i="7"/>
  <c r="AQ253" i="7"/>
  <c r="AQ252" i="7"/>
  <c r="AQ251" i="7"/>
  <c r="AQ250" i="7"/>
  <c r="AQ249" i="7"/>
  <c r="AQ248" i="7"/>
  <c r="AQ247" i="7"/>
  <c r="AQ246" i="7"/>
  <c r="AQ245" i="7"/>
  <c r="AQ244" i="7"/>
  <c r="AQ243" i="7"/>
  <c r="AQ242" i="7"/>
  <c r="AQ241" i="7"/>
  <c r="AQ240" i="7"/>
  <c r="AQ239" i="7"/>
  <c r="AQ238" i="7"/>
  <c r="AQ237" i="7"/>
  <c r="AQ236" i="7"/>
  <c r="AQ235" i="7"/>
  <c r="AQ234" i="7"/>
  <c r="AQ233" i="7"/>
  <c r="AQ232" i="7"/>
  <c r="AQ231" i="7"/>
  <c r="AQ230" i="7"/>
  <c r="AQ229" i="7"/>
  <c r="AQ228" i="7"/>
  <c r="AQ227" i="7"/>
  <c r="AQ226" i="7"/>
  <c r="AQ225" i="7"/>
  <c r="AQ224" i="7"/>
  <c r="AQ223" i="7"/>
  <c r="AQ222" i="7"/>
  <c r="AQ221" i="7"/>
  <c r="AQ220" i="7"/>
  <c r="AQ219" i="7"/>
  <c r="AQ218" i="7"/>
  <c r="AQ217" i="7"/>
  <c r="AQ216" i="7"/>
  <c r="AQ215" i="7"/>
  <c r="AQ214" i="7"/>
  <c r="AQ213" i="7"/>
  <c r="AQ212" i="7"/>
  <c r="AQ211" i="7"/>
  <c r="AQ210" i="7"/>
  <c r="AQ209" i="7"/>
  <c r="AQ208" i="7"/>
  <c r="AQ207" i="7"/>
  <c r="AQ206" i="7"/>
  <c r="AQ205" i="7"/>
  <c r="AQ204" i="7"/>
  <c r="AQ203" i="7"/>
  <c r="AQ202" i="7"/>
  <c r="AQ201" i="7"/>
  <c r="AQ200" i="7"/>
  <c r="AQ199" i="7"/>
  <c r="AQ198" i="7"/>
  <c r="AQ197" i="7"/>
  <c r="AQ196" i="7"/>
  <c r="AQ195" i="7"/>
  <c r="AQ194" i="7"/>
  <c r="AQ193" i="7"/>
  <c r="AQ192" i="7"/>
  <c r="AQ191" i="7"/>
  <c r="AQ190" i="7"/>
  <c r="AQ189" i="7"/>
  <c r="AQ188" i="7"/>
  <c r="AQ187" i="7"/>
  <c r="AQ186" i="7"/>
  <c r="AQ185" i="7"/>
  <c r="AQ184" i="7"/>
  <c r="AQ183" i="7"/>
  <c r="AQ182" i="7"/>
  <c r="AQ181" i="7"/>
  <c r="AQ180" i="7"/>
  <c r="AQ179" i="7"/>
  <c r="AQ178" i="7"/>
  <c r="AQ177" i="7"/>
  <c r="AQ176" i="7"/>
  <c r="AQ175" i="7"/>
  <c r="AQ174" i="7"/>
  <c r="AQ173" i="7"/>
  <c r="AQ172" i="7"/>
  <c r="AQ171" i="7"/>
  <c r="AQ170" i="7"/>
  <c r="AQ169" i="7"/>
  <c r="AQ168" i="7"/>
  <c r="AQ167" i="7"/>
  <c r="AQ166" i="7"/>
  <c r="AQ165" i="7"/>
  <c r="AQ164" i="7"/>
  <c r="AQ163" i="7"/>
  <c r="AQ162" i="7"/>
  <c r="AQ161" i="7"/>
  <c r="AQ160" i="7"/>
  <c r="AQ159" i="7"/>
  <c r="AQ158" i="7"/>
  <c r="AQ157" i="7"/>
  <c r="AQ156" i="7"/>
  <c r="AQ155" i="7"/>
  <c r="AQ154" i="7"/>
  <c r="AQ153" i="7"/>
  <c r="AQ152" i="7"/>
  <c r="AQ151" i="7"/>
  <c r="AQ150" i="7"/>
  <c r="AQ149" i="7"/>
  <c r="AQ148" i="7"/>
  <c r="AQ147" i="7"/>
  <c r="AQ146" i="7"/>
  <c r="AQ145" i="7"/>
  <c r="AQ144" i="7"/>
  <c r="AQ143" i="7"/>
  <c r="AQ142" i="7"/>
  <c r="AQ141" i="7"/>
  <c r="AQ140" i="7"/>
  <c r="AQ139" i="7"/>
  <c r="AQ138" i="7"/>
  <c r="AQ137" i="7"/>
  <c r="AQ136" i="7"/>
  <c r="AQ135" i="7"/>
  <c r="AQ134" i="7"/>
  <c r="AQ133" i="7"/>
  <c r="AQ132" i="7"/>
  <c r="AQ131" i="7"/>
  <c r="AQ130" i="7"/>
  <c r="AQ129" i="7"/>
  <c r="AQ128" i="7"/>
  <c r="AQ127" i="7"/>
  <c r="AQ126" i="7"/>
  <c r="AQ125" i="7"/>
  <c r="AQ124" i="7"/>
  <c r="AQ123" i="7"/>
  <c r="AQ122" i="7"/>
  <c r="AQ121" i="7"/>
  <c r="AQ120" i="7"/>
  <c r="AQ119" i="7"/>
  <c r="AQ118" i="7"/>
  <c r="AQ117" i="7"/>
  <c r="AQ116" i="7"/>
  <c r="AQ115" i="7"/>
  <c r="AQ114" i="7"/>
  <c r="AQ113" i="7"/>
  <c r="AQ112" i="7"/>
  <c r="AQ111" i="7"/>
  <c r="AQ110" i="7"/>
  <c r="AQ109" i="7"/>
  <c r="AQ108" i="7"/>
  <c r="AQ107" i="7"/>
  <c r="AQ106" i="7"/>
  <c r="AQ105" i="7"/>
  <c r="AQ104" i="7"/>
  <c r="AQ103" i="7"/>
  <c r="AQ102" i="7"/>
  <c r="AQ101" i="7"/>
  <c r="AQ100" i="7"/>
  <c r="AQ99" i="7"/>
  <c r="AQ98" i="7"/>
  <c r="AQ97" i="7"/>
  <c r="AQ96" i="7"/>
  <c r="AQ95" i="7"/>
  <c r="AQ94" i="7"/>
  <c r="AQ93" i="7"/>
  <c r="AQ92" i="7"/>
  <c r="AQ91" i="7"/>
  <c r="AQ90" i="7"/>
  <c r="AQ89" i="7"/>
  <c r="AQ88" i="7"/>
  <c r="AQ87" i="7"/>
  <c r="AQ86" i="7"/>
  <c r="AQ85" i="7"/>
  <c r="AQ84" i="7"/>
  <c r="AQ83" i="7"/>
  <c r="AQ82" i="7"/>
  <c r="AQ81" i="7"/>
  <c r="AQ80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62" i="7"/>
  <c r="AQ61" i="7"/>
  <c r="AQ60" i="7"/>
  <c r="AQ59" i="7"/>
  <c r="AQ58" i="7"/>
  <c r="AQ57" i="7"/>
  <c r="AQ56" i="7"/>
  <c r="AQ55" i="7"/>
  <c r="AQ54" i="7"/>
  <c r="AQ53" i="7"/>
  <c r="AQ52" i="7"/>
  <c r="AQ51" i="7"/>
  <c r="AQ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BK648" i="7"/>
  <c r="BK604" i="7"/>
  <c r="BK688" i="7"/>
  <c r="BK687" i="7"/>
  <c r="BK686" i="7"/>
  <c r="BK685" i="7"/>
  <c r="BK684" i="7"/>
  <c r="BK683" i="7"/>
  <c r="BK682" i="7"/>
  <c r="BK681" i="7"/>
  <c r="BK680" i="7"/>
  <c r="BK679" i="7"/>
  <c r="BK678" i="7"/>
  <c r="BK677" i="7"/>
  <c r="BK676" i="7"/>
  <c r="BK675" i="7"/>
  <c r="BK674" i="7"/>
  <c r="BK673" i="7"/>
  <c r="BK672" i="7"/>
  <c r="BK671" i="7"/>
  <c r="BK670" i="7"/>
  <c r="BK669" i="7"/>
  <c r="BK668" i="7"/>
  <c r="BK667" i="7"/>
  <c r="BK666" i="7"/>
  <c r="BK665" i="7"/>
  <c r="BK664" i="7"/>
  <c r="BK663" i="7"/>
  <c r="BK662" i="7"/>
  <c r="BK661" i="7"/>
  <c r="BK660" i="7"/>
  <c r="BK659" i="7"/>
  <c r="BK658" i="7"/>
  <c r="BK657" i="7"/>
  <c r="BK656" i="7"/>
  <c r="BK655" i="7"/>
  <c r="BK654" i="7"/>
  <c r="BK653" i="7"/>
  <c r="BK652" i="7"/>
  <c r="BK651" i="7"/>
  <c r="BK650" i="7"/>
  <c r="BK649" i="7"/>
  <c r="CB648" i="7"/>
  <c r="CA648" i="7"/>
  <c r="BZ648" i="7"/>
  <c r="BY648" i="7"/>
  <c r="BX648" i="7"/>
  <c r="BW648" i="7"/>
  <c r="BV648" i="7"/>
  <c r="BU648" i="7"/>
  <c r="BT648" i="7"/>
  <c r="BS648" i="7"/>
  <c r="BR648" i="7"/>
  <c r="BQ648" i="7"/>
  <c r="BP648" i="7"/>
  <c r="BO648" i="7"/>
  <c r="BN648" i="7"/>
  <c r="BM648" i="7"/>
  <c r="BL648" i="7"/>
  <c r="BK644" i="7"/>
  <c r="BK643" i="7"/>
  <c r="BK642" i="7"/>
  <c r="BK641" i="7"/>
  <c r="BK640" i="7"/>
  <c r="BK639" i="7"/>
  <c r="BK638" i="7"/>
  <c r="BK637" i="7"/>
  <c r="BK636" i="7"/>
  <c r="BK635" i="7"/>
  <c r="BK634" i="7"/>
  <c r="BK633" i="7"/>
  <c r="BK632" i="7"/>
  <c r="BK631" i="7"/>
  <c r="BK630" i="7"/>
  <c r="BK629" i="7"/>
  <c r="BK628" i="7"/>
  <c r="BK627" i="7"/>
  <c r="BK626" i="7"/>
  <c r="BK625" i="7"/>
  <c r="BK624" i="7"/>
  <c r="BK623" i="7"/>
  <c r="BK622" i="7"/>
  <c r="BK621" i="7"/>
  <c r="BK620" i="7"/>
  <c r="BK619" i="7"/>
  <c r="BK618" i="7"/>
  <c r="BK617" i="7"/>
  <c r="BK616" i="7"/>
  <c r="BK615" i="7"/>
  <c r="BK614" i="7"/>
  <c r="BK613" i="7"/>
  <c r="BK612" i="7"/>
  <c r="BK611" i="7"/>
  <c r="BK610" i="7"/>
  <c r="BK609" i="7"/>
  <c r="BK608" i="7"/>
  <c r="BK607" i="7"/>
  <c r="BK606" i="7"/>
  <c r="BK605" i="7"/>
  <c r="CB604" i="7"/>
  <c r="CA604" i="7"/>
  <c r="BZ604" i="7"/>
  <c r="BY604" i="7"/>
  <c r="BX604" i="7"/>
  <c r="BW604" i="7"/>
  <c r="BV604" i="7"/>
  <c r="BU604" i="7"/>
  <c r="BT604" i="7"/>
  <c r="BS604" i="7"/>
  <c r="BR604" i="7"/>
  <c r="BQ604" i="7"/>
  <c r="BP604" i="7"/>
  <c r="BO604" i="7"/>
  <c r="BN604" i="7"/>
  <c r="BM604" i="7"/>
  <c r="BL604" i="7"/>
  <c r="BK560" i="7"/>
  <c r="BK516" i="7"/>
  <c r="BK472" i="7"/>
  <c r="BK600" i="7"/>
  <c r="BK599" i="7"/>
  <c r="BK598" i="7"/>
  <c r="BK597" i="7"/>
  <c r="BK596" i="7"/>
  <c r="BK595" i="7"/>
  <c r="BK594" i="7"/>
  <c r="BK593" i="7"/>
  <c r="BK592" i="7"/>
  <c r="BK591" i="7"/>
  <c r="BK590" i="7"/>
  <c r="BK589" i="7"/>
  <c r="BK588" i="7"/>
  <c r="BK587" i="7"/>
  <c r="BK586" i="7"/>
  <c r="BK585" i="7"/>
  <c r="BK584" i="7"/>
  <c r="BK583" i="7"/>
  <c r="BK582" i="7"/>
  <c r="BK581" i="7"/>
  <c r="BK580" i="7"/>
  <c r="BK579" i="7"/>
  <c r="BK578" i="7"/>
  <c r="BK577" i="7"/>
  <c r="BK576" i="7"/>
  <c r="BK575" i="7"/>
  <c r="BK574" i="7"/>
  <c r="BK573" i="7"/>
  <c r="BK572" i="7"/>
  <c r="BK571" i="7"/>
  <c r="BK570" i="7"/>
  <c r="BK569" i="7"/>
  <c r="BK568" i="7"/>
  <c r="BK567" i="7"/>
  <c r="BK566" i="7"/>
  <c r="BK565" i="7"/>
  <c r="BK564" i="7"/>
  <c r="BK563" i="7"/>
  <c r="BK562" i="7"/>
  <c r="BK561" i="7"/>
  <c r="CB560" i="7"/>
  <c r="CA560" i="7"/>
  <c r="BZ560" i="7"/>
  <c r="BY560" i="7"/>
  <c r="BX560" i="7"/>
  <c r="BW560" i="7"/>
  <c r="BV560" i="7"/>
  <c r="BU560" i="7"/>
  <c r="BT560" i="7"/>
  <c r="BS560" i="7"/>
  <c r="BR560" i="7"/>
  <c r="BQ560" i="7"/>
  <c r="BP560" i="7"/>
  <c r="BO560" i="7"/>
  <c r="BN560" i="7"/>
  <c r="BM560" i="7"/>
  <c r="BL560" i="7"/>
  <c r="BK559" i="7"/>
  <c r="BK556" i="7"/>
  <c r="BK555" i="7"/>
  <c r="BK554" i="7"/>
  <c r="BK553" i="7"/>
  <c r="BK552" i="7"/>
  <c r="BK551" i="7"/>
  <c r="BK550" i="7"/>
  <c r="BK549" i="7"/>
  <c r="BK548" i="7"/>
  <c r="BK547" i="7"/>
  <c r="BK546" i="7"/>
  <c r="BK545" i="7"/>
  <c r="BK544" i="7"/>
  <c r="BK543" i="7"/>
  <c r="BK542" i="7"/>
  <c r="BK541" i="7"/>
  <c r="BK540" i="7"/>
  <c r="BK539" i="7"/>
  <c r="BK538" i="7"/>
  <c r="BK537" i="7"/>
  <c r="BK536" i="7"/>
  <c r="BK535" i="7"/>
  <c r="BK534" i="7"/>
  <c r="BK533" i="7"/>
  <c r="BK532" i="7"/>
  <c r="BK531" i="7"/>
  <c r="BK530" i="7"/>
  <c r="BK529" i="7"/>
  <c r="BK528" i="7"/>
  <c r="BK527" i="7"/>
  <c r="BK526" i="7"/>
  <c r="BK525" i="7"/>
  <c r="BK524" i="7"/>
  <c r="BK523" i="7"/>
  <c r="BK522" i="7"/>
  <c r="BK521" i="7"/>
  <c r="BK520" i="7"/>
  <c r="BK519" i="7"/>
  <c r="BK518" i="7"/>
  <c r="BK517" i="7"/>
  <c r="CB516" i="7"/>
  <c r="CA516" i="7"/>
  <c r="BZ516" i="7"/>
  <c r="BY516" i="7"/>
  <c r="BX516" i="7"/>
  <c r="BW516" i="7"/>
  <c r="BV516" i="7"/>
  <c r="BU516" i="7"/>
  <c r="BT516" i="7"/>
  <c r="BS516" i="7"/>
  <c r="BR516" i="7"/>
  <c r="BQ516" i="7"/>
  <c r="BP516" i="7"/>
  <c r="BO516" i="7"/>
  <c r="BN516" i="7"/>
  <c r="BM516" i="7"/>
  <c r="BL516" i="7"/>
  <c r="BK515" i="7"/>
  <c r="BK512" i="7"/>
  <c r="BK511" i="7"/>
  <c r="BK510" i="7"/>
  <c r="BK509" i="7"/>
  <c r="BK508" i="7"/>
  <c r="BK507" i="7"/>
  <c r="BK506" i="7"/>
  <c r="BK505" i="7"/>
  <c r="BK504" i="7"/>
  <c r="BK503" i="7"/>
  <c r="BK502" i="7"/>
  <c r="BK501" i="7"/>
  <c r="BK500" i="7"/>
  <c r="BK499" i="7"/>
  <c r="BK498" i="7"/>
  <c r="BK497" i="7"/>
  <c r="BK496" i="7"/>
  <c r="BK495" i="7"/>
  <c r="BK494" i="7"/>
  <c r="BK493" i="7"/>
  <c r="BK492" i="7"/>
  <c r="BK491" i="7"/>
  <c r="BK490" i="7"/>
  <c r="BK489" i="7"/>
  <c r="BK488" i="7"/>
  <c r="BK487" i="7"/>
  <c r="BK486" i="7"/>
  <c r="BK485" i="7"/>
  <c r="BK484" i="7"/>
  <c r="BK483" i="7"/>
  <c r="BK482" i="7"/>
  <c r="BK481" i="7"/>
  <c r="BK480" i="7"/>
  <c r="BK479" i="7"/>
  <c r="BK478" i="7"/>
  <c r="BK477" i="7"/>
  <c r="BK476" i="7"/>
  <c r="BK475" i="7"/>
  <c r="BK474" i="7"/>
  <c r="BK473" i="7"/>
  <c r="CB472" i="7"/>
  <c r="CA472" i="7"/>
  <c r="BZ472" i="7"/>
  <c r="BY472" i="7"/>
  <c r="BX472" i="7"/>
  <c r="BW472" i="7"/>
  <c r="BV472" i="7"/>
  <c r="BU472" i="7"/>
  <c r="BT472" i="7"/>
  <c r="BS472" i="7"/>
  <c r="BR472" i="7"/>
  <c r="BQ472" i="7"/>
  <c r="BP472" i="7"/>
  <c r="BO472" i="7"/>
  <c r="BN472" i="7"/>
  <c r="BM472" i="7"/>
  <c r="BL472" i="7"/>
  <c r="BK471" i="7"/>
  <c r="BK428" i="7"/>
  <c r="BK384" i="7"/>
  <c r="BK340" i="7"/>
  <c r="V750" i="7" s="1"/>
  <c r="BK296" i="7"/>
  <c r="V706" i="7" s="1"/>
  <c r="BK252" i="7"/>
  <c r="BK208" i="7"/>
  <c r="BK164" i="7"/>
  <c r="BK120" i="7"/>
  <c r="C530" i="7" s="1"/>
  <c r="BK468" i="7"/>
  <c r="BK467" i="7"/>
  <c r="BK466" i="7"/>
  <c r="BK465" i="7"/>
  <c r="BK464" i="7"/>
  <c r="BK463" i="7"/>
  <c r="BK462" i="7"/>
  <c r="BK461" i="7"/>
  <c r="BK460" i="7"/>
  <c r="BK459" i="7"/>
  <c r="BK458" i="7"/>
  <c r="BK457" i="7"/>
  <c r="BK456" i="7"/>
  <c r="BK455" i="7"/>
  <c r="BK454" i="7"/>
  <c r="BK453" i="7"/>
  <c r="BK452" i="7"/>
  <c r="BK451" i="7"/>
  <c r="BK450" i="7"/>
  <c r="BK449" i="7"/>
  <c r="BK448" i="7"/>
  <c r="BK447" i="7"/>
  <c r="BK446" i="7"/>
  <c r="BK445" i="7"/>
  <c r="BK444" i="7"/>
  <c r="BK443" i="7"/>
  <c r="BK442" i="7"/>
  <c r="BK441" i="7"/>
  <c r="BK440" i="7"/>
  <c r="BK439" i="7"/>
  <c r="BK438" i="7"/>
  <c r="BK437" i="7"/>
  <c r="BK436" i="7"/>
  <c r="BK435" i="7"/>
  <c r="BK434" i="7"/>
  <c r="BK433" i="7"/>
  <c r="BK432" i="7"/>
  <c r="BK431" i="7"/>
  <c r="BK430" i="7"/>
  <c r="BK429" i="7"/>
  <c r="CB428" i="7"/>
  <c r="CA428" i="7"/>
  <c r="BZ428" i="7"/>
  <c r="BY428" i="7"/>
  <c r="BX428" i="7"/>
  <c r="BW428" i="7"/>
  <c r="BV428" i="7"/>
  <c r="BU428" i="7"/>
  <c r="BT428" i="7"/>
  <c r="BS428" i="7"/>
  <c r="BR428" i="7"/>
  <c r="BQ428" i="7"/>
  <c r="BP428" i="7"/>
  <c r="BO428" i="7"/>
  <c r="BN428" i="7"/>
  <c r="BM428" i="7"/>
  <c r="BL428" i="7"/>
  <c r="BK427" i="7"/>
  <c r="BK424" i="7"/>
  <c r="BK423" i="7"/>
  <c r="BK422" i="7"/>
  <c r="BK421" i="7"/>
  <c r="BK420" i="7"/>
  <c r="BK419" i="7"/>
  <c r="BK418" i="7"/>
  <c r="BK417" i="7"/>
  <c r="BK416" i="7"/>
  <c r="BK415" i="7"/>
  <c r="BK414" i="7"/>
  <c r="BK413" i="7"/>
  <c r="BK412" i="7"/>
  <c r="BK411" i="7"/>
  <c r="BK410" i="7"/>
  <c r="BK409" i="7"/>
  <c r="BK408" i="7"/>
  <c r="BK407" i="7"/>
  <c r="BK406" i="7"/>
  <c r="BK405" i="7"/>
  <c r="BK404" i="7"/>
  <c r="BK403" i="7"/>
  <c r="BK402" i="7"/>
  <c r="BK401" i="7"/>
  <c r="BK400" i="7"/>
  <c r="BK399" i="7"/>
  <c r="BK398" i="7"/>
  <c r="BK397" i="7"/>
  <c r="BK396" i="7"/>
  <c r="BK395" i="7"/>
  <c r="BK394" i="7"/>
  <c r="BK393" i="7"/>
  <c r="BK392" i="7"/>
  <c r="BK391" i="7"/>
  <c r="BK390" i="7"/>
  <c r="BK389" i="7"/>
  <c r="BK388" i="7"/>
  <c r="BK387" i="7"/>
  <c r="BK386" i="7"/>
  <c r="BK385" i="7"/>
  <c r="CB384" i="7"/>
  <c r="CA384" i="7"/>
  <c r="BZ384" i="7"/>
  <c r="BY384" i="7"/>
  <c r="BX384" i="7"/>
  <c r="BW384" i="7"/>
  <c r="BV384" i="7"/>
  <c r="BU384" i="7"/>
  <c r="BT384" i="7"/>
  <c r="BS384" i="7"/>
  <c r="BR384" i="7"/>
  <c r="BQ384" i="7"/>
  <c r="BP384" i="7"/>
  <c r="BO384" i="7"/>
  <c r="BN384" i="7"/>
  <c r="BM384" i="7"/>
  <c r="BL384" i="7"/>
  <c r="BK383" i="7"/>
  <c r="BK380" i="7"/>
  <c r="BK379" i="7"/>
  <c r="BK378" i="7"/>
  <c r="BK377" i="7"/>
  <c r="BK376" i="7"/>
  <c r="BK375" i="7"/>
  <c r="BK374" i="7"/>
  <c r="BK373" i="7"/>
  <c r="BK372" i="7"/>
  <c r="BK371" i="7"/>
  <c r="BK370" i="7"/>
  <c r="BK369" i="7"/>
  <c r="BK368" i="7"/>
  <c r="BK367" i="7"/>
  <c r="BK366" i="7"/>
  <c r="BK365" i="7"/>
  <c r="BK364" i="7"/>
  <c r="BK363" i="7"/>
  <c r="BK362" i="7"/>
  <c r="BK361" i="7"/>
  <c r="BK360" i="7"/>
  <c r="BK359" i="7"/>
  <c r="BK358" i="7"/>
  <c r="BK357" i="7"/>
  <c r="BK356" i="7"/>
  <c r="BK355" i="7"/>
  <c r="BK354" i="7"/>
  <c r="BK353" i="7"/>
  <c r="BK352" i="7"/>
  <c r="BK351" i="7"/>
  <c r="BK350" i="7"/>
  <c r="BK349" i="7"/>
  <c r="BK348" i="7"/>
  <c r="BK347" i="7"/>
  <c r="BK346" i="7"/>
  <c r="BK345" i="7"/>
  <c r="BK344" i="7"/>
  <c r="BK343" i="7"/>
  <c r="BK342" i="7"/>
  <c r="BK341" i="7"/>
  <c r="CB340" i="7"/>
  <c r="CA340" i="7"/>
  <c r="BZ340" i="7"/>
  <c r="BY340" i="7"/>
  <c r="BX340" i="7"/>
  <c r="BW340" i="7"/>
  <c r="BV340" i="7"/>
  <c r="BU340" i="7"/>
  <c r="BT340" i="7"/>
  <c r="BS340" i="7"/>
  <c r="BR340" i="7"/>
  <c r="BQ340" i="7"/>
  <c r="BP340" i="7"/>
  <c r="BO340" i="7"/>
  <c r="BN340" i="7"/>
  <c r="BM340" i="7"/>
  <c r="BL340" i="7"/>
  <c r="BK339" i="7"/>
  <c r="BK336" i="7"/>
  <c r="BK335" i="7"/>
  <c r="BK334" i="7"/>
  <c r="BK333" i="7"/>
  <c r="BK332" i="7"/>
  <c r="BK331" i="7"/>
  <c r="BK330" i="7"/>
  <c r="BK329" i="7"/>
  <c r="BK328" i="7"/>
  <c r="BK327" i="7"/>
  <c r="BK326" i="7"/>
  <c r="BK325" i="7"/>
  <c r="BK324" i="7"/>
  <c r="BK323" i="7"/>
  <c r="BK322" i="7"/>
  <c r="BK321" i="7"/>
  <c r="BK320" i="7"/>
  <c r="BK319" i="7"/>
  <c r="BK318" i="7"/>
  <c r="BK317" i="7"/>
  <c r="BK316" i="7"/>
  <c r="BK315" i="7"/>
  <c r="BK314" i="7"/>
  <c r="BK313" i="7"/>
  <c r="BK312" i="7"/>
  <c r="BK311" i="7"/>
  <c r="BK310" i="7"/>
  <c r="BK309" i="7"/>
  <c r="BK308" i="7"/>
  <c r="BK307" i="7"/>
  <c r="BK306" i="7"/>
  <c r="BK305" i="7"/>
  <c r="BK304" i="7"/>
  <c r="BK303" i="7"/>
  <c r="BK302" i="7"/>
  <c r="BK301" i="7"/>
  <c r="BK300" i="7"/>
  <c r="BK299" i="7"/>
  <c r="BK298" i="7"/>
  <c r="BK297" i="7"/>
  <c r="CB296" i="7"/>
  <c r="CA296" i="7"/>
  <c r="BZ296" i="7"/>
  <c r="BY296" i="7"/>
  <c r="BX296" i="7"/>
  <c r="BW296" i="7"/>
  <c r="BV296" i="7"/>
  <c r="BU296" i="7"/>
  <c r="BT296" i="7"/>
  <c r="BS296" i="7"/>
  <c r="BR296" i="7"/>
  <c r="BQ296" i="7"/>
  <c r="BP296" i="7"/>
  <c r="BO296" i="7"/>
  <c r="BN296" i="7"/>
  <c r="BM296" i="7"/>
  <c r="BL296" i="7"/>
  <c r="BK295" i="7"/>
  <c r="BK292" i="7"/>
  <c r="BK291" i="7"/>
  <c r="BK290" i="7"/>
  <c r="BK289" i="7"/>
  <c r="BK288" i="7"/>
  <c r="BK287" i="7"/>
  <c r="BK286" i="7"/>
  <c r="BK285" i="7"/>
  <c r="BK284" i="7"/>
  <c r="BK283" i="7"/>
  <c r="BK282" i="7"/>
  <c r="BK281" i="7"/>
  <c r="BK280" i="7"/>
  <c r="BK279" i="7"/>
  <c r="BK278" i="7"/>
  <c r="BK277" i="7"/>
  <c r="BK276" i="7"/>
  <c r="BK275" i="7"/>
  <c r="BK274" i="7"/>
  <c r="BK273" i="7"/>
  <c r="BK272" i="7"/>
  <c r="BK271" i="7"/>
  <c r="BK270" i="7"/>
  <c r="BK269" i="7"/>
  <c r="BK268" i="7"/>
  <c r="BK267" i="7"/>
  <c r="BK266" i="7"/>
  <c r="BK265" i="7"/>
  <c r="BK264" i="7"/>
  <c r="BK263" i="7"/>
  <c r="BK262" i="7"/>
  <c r="BK261" i="7"/>
  <c r="BK260" i="7"/>
  <c r="BK259" i="7"/>
  <c r="BK258" i="7"/>
  <c r="BK257" i="7"/>
  <c r="BK256" i="7"/>
  <c r="BK255" i="7"/>
  <c r="BK254" i="7"/>
  <c r="BK253" i="7"/>
  <c r="CB252" i="7"/>
  <c r="CA252" i="7"/>
  <c r="BZ252" i="7"/>
  <c r="BY252" i="7"/>
  <c r="BX252" i="7"/>
  <c r="BW252" i="7"/>
  <c r="BV252" i="7"/>
  <c r="BU252" i="7"/>
  <c r="BT252" i="7"/>
  <c r="BS252" i="7"/>
  <c r="BR252" i="7"/>
  <c r="BQ252" i="7"/>
  <c r="BP252" i="7"/>
  <c r="BO252" i="7"/>
  <c r="BN252" i="7"/>
  <c r="BM252" i="7"/>
  <c r="BL252" i="7"/>
  <c r="BK248" i="7"/>
  <c r="BK247" i="7"/>
  <c r="BK246" i="7"/>
  <c r="BK245" i="7"/>
  <c r="BK244" i="7"/>
  <c r="BK243" i="7"/>
  <c r="BK242" i="7"/>
  <c r="BK241" i="7"/>
  <c r="BK240" i="7"/>
  <c r="BK239" i="7"/>
  <c r="BK238" i="7"/>
  <c r="BK237" i="7"/>
  <c r="BK236" i="7"/>
  <c r="BK235" i="7"/>
  <c r="BK234" i="7"/>
  <c r="BK233" i="7"/>
  <c r="BK232" i="7"/>
  <c r="BK231" i="7"/>
  <c r="BK230" i="7"/>
  <c r="BK229" i="7"/>
  <c r="BK228" i="7"/>
  <c r="BK227" i="7"/>
  <c r="BK226" i="7"/>
  <c r="BK225" i="7"/>
  <c r="BK224" i="7"/>
  <c r="BK223" i="7"/>
  <c r="BK222" i="7"/>
  <c r="BK221" i="7"/>
  <c r="BK220" i="7"/>
  <c r="BK219" i="7"/>
  <c r="BK218" i="7"/>
  <c r="BK217" i="7"/>
  <c r="BK216" i="7"/>
  <c r="BK215" i="7"/>
  <c r="BK214" i="7"/>
  <c r="BK213" i="7"/>
  <c r="BK212" i="7"/>
  <c r="BK211" i="7"/>
  <c r="BK210" i="7"/>
  <c r="BK209" i="7"/>
  <c r="CB208" i="7"/>
  <c r="CA208" i="7"/>
  <c r="BZ208" i="7"/>
  <c r="BY208" i="7"/>
  <c r="BX208" i="7"/>
  <c r="BW208" i="7"/>
  <c r="BV208" i="7"/>
  <c r="BU208" i="7"/>
  <c r="BT208" i="7"/>
  <c r="BS208" i="7"/>
  <c r="BR208" i="7"/>
  <c r="BQ208" i="7"/>
  <c r="BP208" i="7"/>
  <c r="BO208" i="7"/>
  <c r="BN208" i="7"/>
  <c r="BM208" i="7"/>
  <c r="BL208" i="7"/>
  <c r="BK204" i="7"/>
  <c r="BK203" i="7"/>
  <c r="BK202" i="7"/>
  <c r="BK201" i="7"/>
  <c r="BK200" i="7"/>
  <c r="BK199" i="7"/>
  <c r="BK198" i="7"/>
  <c r="BK197" i="7"/>
  <c r="BK196" i="7"/>
  <c r="BK195" i="7"/>
  <c r="BK194" i="7"/>
  <c r="BK193" i="7"/>
  <c r="BK192" i="7"/>
  <c r="BK191" i="7"/>
  <c r="BK190" i="7"/>
  <c r="BK189" i="7"/>
  <c r="BK188" i="7"/>
  <c r="BK187" i="7"/>
  <c r="BK186" i="7"/>
  <c r="BK185" i="7"/>
  <c r="BK184" i="7"/>
  <c r="BK183" i="7"/>
  <c r="BK182" i="7"/>
  <c r="BK181" i="7"/>
  <c r="BK180" i="7"/>
  <c r="BK179" i="7"/>
  <c r="BK178" i="7"/>
  <c r="BK177" i="7"/>
  <c r="BK176" i="7"/>
  <c r="BK175" i="7"/>
  <c r="BK174" i="7"/>
  <c r="BK173" i="7"/>
  <c r="BK172" i="7"/>
  <c r="BK171" i="7"/>
  <c r="BK170" i="7"/>
  <c r="BK169" i="7"/>
  <c r="BK168" i="7"/>
  <c r="BK167" i="7"/>
  <c r="BK166" i="7"/>
  <c r="BK165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0" i="7"/>
  <c r="BK159" i="7"/>
  <c r="BK158" i="7"/>
  <c r="BK157" i="7"/>
  <c r="BK156" i="7"/>
  <c r="BK155" i="7"/>
  <c r="BK154" i="7"/>
  <c r="BK153" i="7"/>
  <c r="BK152" i="7"/>
  <c r="BK151" i="7"/>
  <c r="BK150" i="7"/>
  <c r="BK149" i="7"/>
  <c r="BK148" i="7"/>
  <c r="BK147" i="7"/>
  <c r="BK146" i="7"/>
  <c r="BK145" i="7"/>
  <c r="BK144" i="7"/>
  <c r="BK143" i="7"/>
  <c r="BK142" i="7"/>
  <c r="BK141" i="7"/>
  <c r="BK140" i="7"/>
  <c r="BK139" i="7"/>
  <c r="BK138" i="7"/>
  <c r="BK137" i="7"/>
  <c r="BK136" i="7"/>
  <c r="BK135" i="7"/>
  <c r="BK134" i="7"/>
  <c r="BK133" i="7"/>
  <c r="BK132" i="7"/>
  <c r="BK131" i="7"/>
  <c r="BK130" i="7"/>
  <c r="BK129" i="7"/>
  <c r="BK128" i="7"/>
  <c r="BK127" i="7"/>
  <c r="BK126" i="7"/>
  <c r="BK125" i="7"/>
  <c r="BK124" i="7"/>
  <c r="BK123" i="7"/>
  <c r="BK122" i="7"/>
  <c r="BK121" i="7"/>
  <c r="CB120" i="7"/>
  <c r="CA120" i="7"/>
  <c r="BZ120" i="7"/>
  <c r="BY120" i="7"/>
  <c r="BX120" i="7"/>
  <c r="BW120" i="7"/>
  <c r="BV120" i="7"/>
  <c r="BU120" i="7"/>
  <c r="BT120" i="7"/>
  <c r="BS120" i="7"/>
  <c r="BR120" i="7"/>
  <c r="BQ120" i="7"/>
  <c r="BP120" i="7"/>
  <c r="BO120" i="7"/>
  <c r="BN120" i="7"/>
  <c r="BM120" i="7"/>
  <c r="BL120" i="7"/>
  <c r="BK76" i="7"/>
  <c r="BK116" i="7"/>
  <c r="BK115" i="7"/>
  <c r="BK114" i="7"/>
  <c r="BK113" i="7"/>
  <c r="BK112" i="7"/>
  <c r="BK111" i="7"/>
  <c r="BK110" i="7"/>
  <c r="BK109" i="7"/>
  <c r="BK108" i="7"/>
  <c r="BK107" i="7"/>
  <c r="BK106" i="7"/>
  <c r="BK105" i="7"/>
  <c r="BK104" i="7"/>
  <c r="BK103" i="7"/>
  <c r="BK102" i="7"/>
  <c r="BK101" i="7"/>
  <c r="BK100" i="7"/>
  <c r="BK99" i="7"/>
  <c r="BK98" i="7"/>
  <c r="BK97" i="7"/>
  <c r="BK96" i="7"/>
  <c r="BK95" i="7"/>
  <c r="BK94" i="7"/>
  <c r="BK93" i="7"/>
  <c r="BK92" i="7"/>
  <c r="BK91" i="7"/>
  <c r="BK90" i="7"/>
  <c r="BK89" i="7"/>
  <c r="BK88" i="7"/>
  <c r="BK87" i="7"/>
  <c r="BK86" i="7"/>
  <c r="BK85" i="7"/>
  <c r="BK84" i="7"/>
  <c r="BK83" i="7"/>
  <c r="BK82" i="7"/>
  <c r="BK81" i="7"/>
  <c r="BK80" i="7"/>
  <c r="BK79" i="7"/>
  <c r="BK78" i="7"/>
  <c r="BK77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73" i="7"/>
  <c r="BK72" i="7"/>
  <c r="BK71" i="7"/>
  <c r="BK70" i="7"/>
  <c r="BK69" i="7"/>
  <c r="BK68" i="7"/>
  <c r="BK67" i="7"/>
  <c r="BK66" i="7"/>
  <c r="BK65" i="7"/>
  <c r="BK64" i="7"/>
  <c r="BK63" i="7"/>
  <c r="BK62" i="7"/>
  <c r="BK61" i="7"/>
  <c r="BK60" i="7"/>
  <c r="BK59" i="7"/>
  <c r="BK58" i="7"/>
  <c r="BK57" i="7"/>
  <c r="BK56" i="7"/>
  <c r="BK55" i="7"/>
  <c r="BK54" i="7"/>
  <c r="BK53" i="7"/>
  <c r="BK52" i="7"/>
  <c r="BK51" i="7"/>
  <c r="BK50" i="7"/>
  <c r="BK49" i="7"/>
  <c r="BK48" i="7"/>
  <c r="BK47" i="7"/>
  <c r="BK46" i="7"/>
  <c r="BK45" i="7"/>
  <c r="BK44" i="7"/>
  <c r="BK43" i="7"/>
  <c r="BK42" i="7"/>
  <c r="BK41" i="7"/>
  <c r="BK40" i="7"/>
  <c r="BK39" i="7"/>
  <c r="BK38" i="7"/>
  <c r="BK37" i="7"/>
  <c r="BK36" i="7"/>
  <c r="BK35" i="7"/>
  <c r="BK34" i="7"/>
  <c r="BK33" i="7"/>
  <c r="W93" i="7"/>
  <c r="W97" i="7" a="1"/>
  <c r="W97" i="7" s="1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34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53" i="7"/>
  <c r="K80" i="5"/>
  <c r="L80" i="5"/>
  <c r="M80" i="5"/>
  <c r="N80" i="5"/>
  <c r="O80" i="5"/>
  <c r="P80" i="5"/>
  <c r="K81" i="5"/>
  <c r="M81" i="5"/>
  <c r="N81" i="5"/>
  <c r="O81" i="5"/>
  <c r="P81" i="5"/>
  <c r="K82" i="5"/>
  <c r="L82" i="5"/>
  <c r="M82" i="5"/>
  <c r="N82" i="5"/>
  <c r="O82" i="5"/>
  <c r="P82" i="5"/>
  <c r="K83" i="5"/>
  <c r="L83" i="5"/>
  <c r="M83" i="5"/>
  <c r="N83" i="5"/>
  <c r="O83" i="5"/>
  <c r="P83" i="5"/>
  <c r="K84" i="5"/>
  <c r="L84" i="5"/>
  <c r="M84" i="5"/>
  <c r="N84" i="5"/>
  <c r="O84" i="5"/>
  <c r="P84" i="5"/>
  <c r="K85" i="5"/>
  <c r="L85" i="5"/>
  <c r="M85" i="5"/>
  <c r="N85" i="5"/>
  <c r="O85" i="5"/>
  <c r="P85" i="5"/>
  <c r="L79" i="5"/>
  <c r="M79" i="5"/>
  <c r="N79" i="5"/>
  <c r="O79" i="5"/>
  <c r="P79" i="5"/>
  <c r="C80" i="5"/>
  <c r="D80" i="5"/>
  <c r="F80" i="5"/>
  <c r="G80" i="5"/>
  <c r="H80" i="5"/>
  <c r="C81" i="5"/>
  <c r="D81" i="5"/>
  <c r="E81" i="5"/>
  <c r="F81" i="5"/>
  <c r="G81" i="5"/>
  <c r="H81" i="5"/>
  <c r="C82" i="5"/>
  <c r="D82" i="5"/>
  <c r="E82" i="5"/>
  <c r="F82" i="5"/>
  <c r="G82" i="5"/>
  <c r="H82" i="5"/>
  <c r="C83" i="5"/>
  <c r="D83" i="5"/>
  <c r="E83" i="5"/>
  <c r="F83" i="5"/>
  <c r="G83" i="5"/>
  <c r="H83" i="5"/>
  <c r="C84" i="5"/>
  <c r="D84" i="5"/>
  <c r="E84" i="5"/>
  <c r="F84" i="5"/>
  <c r="G84" i="5"/>
  <c r="H84" i="5"/>
  <c r="C85" i="5"/>
  <c r="D85" i="5"/>
  <c r="E85" i="5"/>
  <c r="F85" i="5"/>
  <c r="G85" i="5"/>
  <c r="H85" i="5"/>
  <c r="D79" i="5"/>
  <c r="E79" i="5"/>
  <c r="F79" i="5"/>
  <c r="G79" i="5"/>
  <c r="H79" i="5"/>
  <c r="O201" i="5"/>
  <c r="N201" i="5"/>
  <c r="M201" i="5"/>
  <c r="L201" i="5"/>
  <c r="K201" i="5"/>
  <c r="H201" i="5"/>
  <c r="G201" i="5"/>
  <c r="F201" i="5"/>
  <c r="E201" i="5"/>
  <c r="D201" i="5"/>
  <c r="O200" i="5"/>
  <c r="N200" i="5"/>
  <c r="M200" i="5"/>
  <c r="L200" i="5"/>
  <c r="K200" i="5"/>
  <c r="H200" i="5"/>
  <c r="G200" i="5"/>
  <c r="F200" i="5"/>
  <c r="E200" i="5"/>
  <c r="D200" i="5"/>
  <c r="O199" i="5"/>
  <c r="N199" i="5"/>
  <c r="M199" i="5"/>
  <c r="L199" i="5"/>
  <c r="K199" i="5"/>
  <c r="H199" i="5"/>
  <c r="G199" i="5"/>
  <c r="F199" i="5"/>
  <c r="E199" i="5"/>
  <c r="D199" i="5"/>
  <c r="O198" i="5"/>
  <c r="N198" i="5"/>
  <c r="M198" i="5"/>
  <c r="L198" i="5"/>
  <c r="K198" i="5"/>
  <c r="H198" i="5"/>
  <c r="G198" i="5"/>
  <c r="F198" i="5"/>
  <c r="E198" i="5"/>
  <c r="D198" i="5"/>
  <c r="O197" i="5"/>
  <c r="N197" i="5"/>
  <c r="M197" i="5"/>
  <c r="L197" i="5"/>
  <c r="K197" i="5"/>
  <c r="H197" i="5"/>
  <c r="G197" i="5"/>
  <c r="F197" i="5"/>
  <c r="E197" i="5"/>
  <c r="D197" i="5"/>
  <c r="O196" i="5"/>
  <c r="N196" i="5"/>
  <c r="M196" i="5"/>
  <c r="L196" i="5"/>
  <c r="K196" i="5"/>
  <c r="H196" i="5"/>
  <c r="G196" i="5"/>
  <c r="F196" i="5"/>
  <c r="E196" i="5"/>
  <c r="D196" i="5"/>
  <c r="O195" i="5"/>
  <c r="N195" i="5"/>
  <c r="M195" i="5"/>
  <c r="L195" i="5"/>
  <c r="K195" i="5"/>
  <c r="H195" i="5"/>
  <c r="G195" i="5"/>
  <c r="F195" i="5"/>
  <c r="E195" i="5"/>
  <c r="D195" i="5"/>
  <c r="O190" i="5"/>
  <c r="N190" i="5"/>
  <c r="M190" i="5"/>
  <c r="L190" i="5"/>
  <c r="K190" i="5"/>
  <c r="H190" i="5"/>
  <c r="G190" i="5"/>
  <c r="F190" i="5"/>
  <c r="E190" i="5"/>
  <c r="D190" i="5"/>
  <c r="O189" i="5"/>
  <c r="N189" i="5"/>
  <c r="M189" i="5"/>
  <c r="L189" i="5"/>
  <c r="K189" i="5"/>
  <c r="H189" i="5"/>
  <c r="G189" i="5"/>
  <c r="F189" i="5"/>
  <c r="E189" i="5"/>
  <c r="D189" i="5"/>
  <c r="O188" i="5"/>
  <c r="N188" i="5"/>
  <c r="M188" i="5"/>
  <c r="L188" i="5"/>
  <c r="K188" i="5"/>
  <c r="H188" i="5"/>
  <c r="G188" i="5"/>
  <c r="F188" i="5"/>
  <c r="E188" i="5"/>
  <c r="D188" i="5"/>
  <c r="O187" i="5"/>
  <c r="N187" i="5"/>
  <c r="M187" i="5"/>
  <c r="L187" i="5"/>
  <c r="K187" i="5"/>
  <c r="H187" i="5"/>
  <c r="G187" i="5"/>
  <c r="F187" i="5"/>
  <c r="E187" i="5"/>
  <c r="D187" i="5"/>
  <c r="O186" i="5"/>
  <c r="N186" i="5"/>
  <c r="M186" i="5"/>
  <c r="L186" i="5"/>
  <c r="K186" i="5"/>
  <c r="H186" i="5"/>
  <c r="G186" i="5"/>
  <c r="F186" i="5"/>
  <c r="E186" i="5"/>
  <c r="D186" i="5"/>
  <c r="O185" i="5"/>
  <c r="N185" i="5"/>
  <c r="M185" i="5"/>
  <c r="L185" i="5"/>
  <c r="K185" i="5"/>
  <c r="H185" i="5"/>
  <c r="G185" i="5"/>
  <c r="F185" i="5"/>
  <c r="E185" i="5"/>
  <c r="D185" i="5"/>
  <c r="O184" i="5"/>
  <c r="N184" i="5"/>
  <c r="M184" i="5"/>
  <c r="L184" i="5"/>
  <c r="K184" i="5"/>
  <c r="H184" i="5"/>
  <c r="G184" i="5"/>
  <c r="F184" i="5"/>
  <c r="E184" i="5"/>
  <c r="D184" i="5"/>
  <c r="O179" i="5"/>
  <c r="N179" i="5"/>
  <c r="M179" i="5"/>
  <c r="L179" i="5"/>
  <c r="K179" i="5"/>
  <c r="H179" i="5"/>
  <c r="G179" i="5"/>
  <c r="F179" i="5"/>
  <c r="E179" i="5"/>
  <c r="D179" i="5"/>
  <c r="O178" i="5"/>
  <c r="N178" i="5"/>
  <c r="M178" i="5"/>
  <c r="L178" i="5"/>
  <c r="K178" i="5"/>
  <c r="H178" i="5"/>
  <c r="G178" i="5"/>
  <c r="F178" i="5"/>
  <c r="E178" i="5"/>
  <c r="D178" i="5"/>
  <c r="O177" i="5"/>
  <c r="N177" i="5"/>
  <c r="M177" i="5"/>
  <c r="L177" i="5"/>
  <c r="K177" i="5"/>
  <c r="H177" i="5"/>
  <c r="G177" i="5"/>
  <c r="F177" i="5"/>
  <c r="E177" i="5"/>
  <c r="D177" i="5"/>
  <c r="O176" i="5"/>
  <c r="N176" i="5"/>
  <c r="M176" i="5"/>
  <c r="L176" i="5"/>
  <c r="K176" i="5"/>
  <c r="H176" i="5"/>
  <c r="G176" i="5"/>
  <c r="F176" i="5"/>
  <c r="E176" i="5"/>
  <c r="D176" i="5"/>
  <c r="O175" i="5"/>
  <c r="N175" i="5"/>
  <c r="M175" i="5"/>
  <c r="L175" i="5"/>
  <c r="K175" i="5"/>
  <c r="H175" i="5"/>
  <c r="G175" i="5"/>
  <c r="F175" i="5"/>
  <c r="E175" i="5"/>
  <c r="D175" i="5"/>
  <c r="O174" i="5"/>
  <c r="N174" i="5"/>
  <c r="M174" i="5"/>
  <c r="L174" i="5"/>
  <c r="K174" i="5"/>
  <c r="H174" i="5"/>
  <c r="G174" i="5"/>
  <c r="E174" i="5"/>
  <c r="D174" i="5"/>
  <c r="N173" i="5"/>
  <c r="M173" i="5"/>
  <c r="L173" i="5"/>
  <c r="H173" i="5"/>
  <c r="G173" i="5"/>
  <c r="F173" i="5"/>
  <c r="E173" i="5"/>
  <c r="P156" i="5"/>
  <c r="O156" i="5"/>
  <c r="N156" i="5"/>
  <c r="M156" i="5"/>
  <c r="L156" i="5"/>
  <c r="K156" i="5"/>
  <c r="H156" i="5"/>
  <c r="G156" i="5"/>
  <c r="F156" i="5"/>
  <c r="E156" i="5"/>
  <c r="D156" i="5"/>
  <c r="C156" i="5"/>
  <c r="P155" i="5"/>
  <c r="O155" i="5"/>
  <c r="N155" i="5"/>
  <c r="M155" i="5"/>
  <c r="L155" i="5"/>
  <c r="K155" i="5"/>
  <c r="H155" i="5"/>
  <c r="G155" i="5"/>
  <c r="F155" i="5"/>
  <c r="E155" i="5"/>
  <c r="D155" i="5"/>
  <c r="C155" i="5"/>
  <c r="P154" i="5"/>
  <c r="O154" i="5"/>
  <c r="N154" i="5"/>
  <c r="M154" i="5"/>
  <c r="L154" i="5"/>
  <c r="K154" i="5"/>
  <c r="H154" i="5"/>
  <c r="G154" i="5"/>
  <c r="F154" i="5"/>
  <c r="E154" i="5"/>
  <c r="D154" i="5"/>
  <c r="C154" i="5"/>
  <c r="O153" i="5"/>
  <c r="N153" i="5"/>
  <c r="M153" i="5"/>
  <c r="L153" i="5"/>
  <c r="K153" i="5"/>
  <c r="H153" i="5"/>
  <c r="G153" i="5"/>
  <c r="F153" i="5"/>
  <c r="E153" i="5"/>
  <c r="D153" i="5"/>
  <c r="C153" i="5"/>
  <c r="P152" i="5"/>
  <c r="O152" i="5"/>
  <c r="N152" i="5"/>
  <c r="M152" i="5"/>
  <c r="L152" i="5"/>
  <c r="K152" i="5"/>
  <c r="H152" i="5"/>
  <c r="G152" i="5"/>
  <c r="F152" i="5"/>
  <c r="E152" i="5"/>
  <c r="D152" i="5"/>
  <c r="C152" i="5"/>
  <c r="P151" i="5"/>
  <c r="O151" i="5"/>
  <c r="N151" i="5"/>
  <c r="M151" i="5"/>
  <c r="L151" i="5"/>
  <c r="K151" i="5"/>
  <c r="H151" i="5"/>
  <c r="G151" i="5"/>
  <c r="F151" i="5"/>
  <c r="E151" i="5"/>
  <c r="D151" i="5"/>
  <c r="C151" i="5"/>
  <c r="P150" i="5"/>
  <c r="O150" i="5"/>
  <c r="N150" i="5"/>
  <c r="M150" i="5"/>
  <c r="K150" i="5"/>
  <c r="H150" i="5"/>
  <c r="G150" i="5"/>
  <c r="F150" i="5"/>
  <c r="E150" i="5"/>
  <c r="D150" i="5"/>
  <c r="C150" i="5"/>
  <c r="G149" i="5"/>
  <c r="O149" i="5" s="1"/>
  <c r="F149" i="5"/>
  <c r="N149" i="5" s="1"/>
  <c r="E149" i="5"/>
  <c r="M149" i="5" s="1"/>
  <c r="D149" i="5"/>
  <c r="L149" i="5" s="1"/>
  <c r="K144" i="5"/>
  <c r="H144" i="5"/>
  <c r="K143" i="5"/>
  <c r="H143" i="5"/>
  <c r="K142" i="5"/>
  <c r="H142" i="5"/>
  <c r="K141" i="5"/>
  <c r="H141" i="5"/>
  <c r="K140" i="5"/>
  <c r="H140" i="5"/>
  <c r="K139" i="5"/>
  <c r="H139" i="5"/>
  <c r="K138" i="5"/>
  <c r="H138" i="5"/>
  <c r="K132" i="5"/>
  <c r="H132" i="5"/>
  <c r="K131" i="5"/>
  <c r="H131" i="5"/>
  <c r="K130" i="5"/>
  <c r="H130" i="5"/>
  <c r="K129" i="5"/>
  <c r="H129" i="5"/>
  <c r="K128" i="5"/>
  <c r="H128" i="5"/>
  <c r="K127" i="5"/>
  <c r="K126" i="5"/>
  <c r="H126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P106" i="5"/>
  <c r="O106" i="5"/>
  <c r="N106" i="5"/>
  <c r="M106" i="5"/>
  <c r="L106" i="5"/>
  <c r="K106" i="5"/>
  <c r="H106" i="5"/>
  <c r="G106" i="5"/>
  <c r="F106" i="5"/>
  <c r="E106" i="5"/>
  <c r="D106" i="5"/>
  <c r="C106" i="5"/>
  <c r="P105" i="5"/>
  <c r="O105" i="5"/>
  <c r="N105" i="5"/>
  <c r="M105" i="5"/>
  <c r="L105" i="5"/>
  <c r="K105" i="5"/>
  <c r="H105" i="5"/>
  <c r="G105" i="5"/>
  <c r="F105" i="5"/>
  <c r="E105" i="5"/>
  <c r="D105" i="5"/>
  <c r="C105" i="5"/>
  <c r="P104" i="5"/>
  <c r="O104" i="5"/>
  <c r="N104" i="5"/>
  <c r="M104" i="5"/>
  <c r="L104" i="5"/>
  <c r="K104" i="5"/>
  <c r="H104" i="5"/>
  <c r="G104" i="5"/>
  <c r="F104" i="5"/>
  <c r="E104" i="5"/>
  <c r="D104" i="5"/>
  <c r="C104" i="5"/>
  <c r="P99" i="5"/>
  <c r="O99" i="5"/>
  <c r="N99" i="5"/>
  <c r="M99" i="5"/>
  <c r="L99" i="5"/>
  <c r="K99" i="5"/>
  <c r="H99" i="5"/>
  <c r="G99" i="5"/>
  <c r="F99" i="5"/>
  <c r="E99" i="5"/>
  <c r="D99" i="5"/>
  <c r="C99" i="5"/>
  <c r="P98" i="5"/>
  <c r="O98" i="5"/>
  <c r="N98" i="5"/>
  <c r="M98" i="5"/>
  <c r="L98" i="5"/>
  <c r="K98" i="5"/>
  <c r="H98" i="5"/>
  <c r="G98" i="5"/>
  <c r="F98" i="5"/>
  <c r="E98" i="5"/>
  <c r="D98" i="5"/>
  <c r="C98" i="5"/>
  <c r="P97" i="5"/>
  <c r="O97" i="5"/>
  <c r="N97" i="5"/>
  <c r="M97" i="5"/>
  <c r="L97" i="5"/>
  <c r="K97" i="5"/>
  <c r="H97" i="5"/>
  <c r="G97" i="5"/>
  <c r="F97" i="5"/>
  <c r="E97" i="5"/>
  <c r="D97" i="5"/>
  <c r="C97" i="5"/>
  <c r="P96" i="5"/>
  <c r="O96" i="5"/>
  <c r="N96" i="5"/>
  <c r="M96" i="5"/>
  <c r="L96" i="5"/>
  <c r="K96" i="5"/>
  <c r="H96" i="5"/>
  <c r="G96" i="5"/>
  <c r="F96" i="5"/>
  <c r="E96" i="5"/>
  <c r="D96" i="5"/>
  <c r="C96" i="5"/>
  <c r="P95" i="5"/>
  <c r="O95" i="5"/>
  <c r="N95" i="5"/>
  <c r="M95" i="5"/>
  <c r="L95" i="5"/>
  <c r="K95" i="5"/>
  <c r="H95" i="5"/>
  <c r="G95" i="5"/>
  <c r="F95" i="5"/>
  <c r="E95" i="5"/>
  <c r="D95" i="5"/>
  <c r="C95" i="5"/>
  <c r="P94" i="5"/>
  <c r="O94" i="5"/>
  <c r="N94" i="5"/>
  <c r="M94" i="5"/>
  <c r="L94" i="5"/>
  <c r="K94" i="5"/>
  <c r="H94" i="5"/>
  <c r="G94" i="5"/>
  <c r="F94" i="5"/>
  <c r="E94" i="5"/>
  <c r="D94" i="5"/>
  <c r="C94" i="5"/>
  <c r="P93" i="5"/>
  <c r="O93" i="5"/>
  <c r="N93" i="5"/>
  <c r="M93" i="5"/>
  <c r="L93" i="5"/>
  <c r="K93" i="5"/>
  <c r="H93" i="5"/>
  <c r="G93" i="5"/>
  <c r="F93" i="5"/>
  <c r="E93" i="5"/>
  <c r="D93" i="5"/>
  <c r="C93" i="5"/>
  <c r="G36" i="5"/>
  <c r="F36" i="5"/>
  <c r="E36" i="5"/>
  <c r="D36" i="5"/>
  <c r="C36" i="5"/>
  <c r="P10" i="5"/>
  <c r="O10" i="5"/>
  <c r="N10" i="5"/>
  <c r="M10" i="5"/>
  <c r="L10" i="5"/>
  <c r="K10" i="5"/>
  <c r="AA9" i="5"/>
  <c r="Z9" i="5" a="1"/>
  <c r="Z9" i="5" s="1"/>
  <c r="Y9" i="5" a="1"/>
  <c r="Y9" i="5" s="1"/>
  <c r="X9" i="5" a="1"/>
  <c r="X9" i="5" s="1"/>
  <c r="W9" i="5" a="1"/>
  <c r="W9" i="5" s="1"/>
  <c r="V9" i="5" a="1"/>
  <c r="V9" i="5" s="1"/>
  <c r="U9" i="5" a="1"/>
  <c r="U9" i="5" s="1"/>
  <c r="Q9" i="5"/>
  <c r="AA8" i="5"/>
  <c r="Z8" i="5" a="1"/>
  <c r="Z8" i="5" s="1"/>
  <c r="Y8" i="5" a="1"/>
  <c r="Y8" i="5" s="1"/>
  <c r="X8" i="5" a="1"/>
  <c r="X8" i="5" s="1"/>
  <c r="W8" i="5" a="1"/>
  <c r="W8" i="5" s="1"/>
  <c r="V8" i="5" a="1"/>
  <c r="V8" i="5" s="1"/>
  <c r="U8" i="5" a="1"/>
  <c r="U8" i="5" s="1"/>
  <c r="Q8" i="5"/>
  <c r="AA7" i="5"/>
  <c r="Z7" i="5" a="1"/>
  <c r="Z7" i="5" s="1"/>
  <c r="Y7" i="5" a="1"/>
  <c r="Y7" i="5" s="1"/>
  <c r="X7" i="5" a="1"/>
  <c r="X7" i="5" s="1"/>
  <c r="W7" i="5" a="1"/>
  <c r="W7" i="5" s="1"/>
  <c r="V7" i="5" a="1"/>
  <c r="V7" i="5" s="1"/>
  <c r="U7" i="5" a="1"/>
  <c r="U7" i="5" s="1"/>
  <c r="Q7" i="5"/>
  <c r="AA6" i="5"/>
  <c r="Z6" i="5" a="1"/>
  <c r="Z6" i="5" s="1"/>
  <c r="Y6" i="5" a="1"/>
  <c r="Y6" i="5" s="1"/>
  <c r="X6" i="5" a="1"/>
  <c r="X6" i="5" s="1"/>
  <c r="W6" i="5" a="1"/>
  <c r="W6" i="5" s="1"/>
  <c r="V6" i="5" a="1"/>
  <c r="V6" i="5" s="1"/>
  <c r="U6" i="5" a="1"/>
  <c r="U6" i="5" s="1"/>
  <c r="Q6" i="5"/>
  <c r="AA5" i="5"/>
  <c r="Z5" i="5" a="1"/>
  <c r="Z5" i="5" s="1"/>
  <c r="Y5" i="5" a="1"/>
  <c r="Y5" i="5" s="1"/>
  <c r="X5" i="5" a="1"/>
  <c r="X5" i="5" s="1"/>
  <c r="W5" i="5" a="1"/>
  <c r="W5" i="5" s="1"/>
  <c r="V5" i="5" a="1"/>
  <c r="V5" i="5" s="1"/>
  <c r="U5" i="5" a="1"/>
  <c r="U5" i="5" s="1"/>
  <c r="Q5" i="5"/>
  <c r="AA4" i="5"/>
  <c r="Z4" i="5" a="1"/>
  <c r="Z4" i="5" s="1"/>
  <c r="Y4" i="5" a="1"/>
  <c r="Y4" i="5" s="1"/>
  <c r="X4" i="5" a="1"/>
  <c r="X4" i="5" s="1"/>
  <c r="W4" i="5" a="1"/>
  <c r="W4" i="5" s="1"/>
  <c r="V4" i="5" a="1"/>
  <c r="V4" i="5" s="1"/>
  <c r="U4" i="5" a="1"/>
  <c r="U4" i="5" s="1"/>
  <c r="Q4" i="5"/>
  <c r="AA3" i="5"/>
  <c r="Z3" i="5" a="1"/>
  <c r="Z3" i="5" s="1"/>
  <c r="Y3" i="5" a="1"/>
  <c r="Y3" i="5" s="1"/>
  <c r="X3" i="5" a="1"/>
  <c r="X3" i="5" s="1"/>
  <c r="W3" i="5" a="1"/>
  <c r="W3" i="5" s="1"/>
  <c r="V3" i="5" a="1"/>
  <c r="V3" i="5" s="1"/>
  <c r="U3" i="5" a="1"/>
  <c r="U3" i="5" s="1"/>
  <c r="Q3" i="5"/>
  <c r="M46" i="3"/>
  <c r="E118" i="3"/>
  <c r="E117" i="3"/>
  <c r="D117" i="3"/>
  <c r="D140" i="3"/>
  <c r="E140" i="3"/>
  <c r="F140" i="3"/>
  <c r="G140" i="3"/>
  <c r="H140" i="3"/>
  <c r="D141" i="3"/>
  <c r="E141" i="3"/>
  <c r="F141" i="3"/>
  <c r="G141" i="3"/>
  <c r="H141" i="3"/>
  <c r="D142" i="3"/>
  <c r="E142" i="3"/>
  <c r="F142" i="3"/>
  <c r="G142" i="3"/>
  <c r="H142" i="3"/>
  <c r="D143" i="3"/>
  <c r="E143" i="3"/>
  <c r="F143" i="3"/>
  <c r="G143" i="3"/>
  <c r="H143" i="3"/>
  <c r="D144" i="3"/>
  <c r="E144" i="3"/>
  <c r="F144" i="3"/>
  <c r="G144" i="3"/>
  <c r="H144" i="3"/>
  <c r="D145" i="3"/>
  <c r="E145" i="3"/>
  <c r="F145" i="3"/>
  <c r="G145" i="3"/>
  <c r="H145" i="3"/>
  <c r="E139" i="3"/>
  <c r="F139" i="3"/>
  <c r="G139" i="3"/>
  <c r="H139" i="3"/>
  <c r="D139" i="3"/>
  <c r="D134" i="3"/>
  <c r="E134" i="3"/>
  <c r="F134" i="3"/>
  <c r="G134" i="3"/>
  <c r="H134" i="3"/>
  <c r="D129" i="3"/>
  <c r="E129" i="3"/>
  <c r="F129" i="3"/>
  <c r="G129" i="3"/>
  <c r="H129" i="3"/>
  <c r="D130" i="3"/>
  <c r="E130" i="3"/>
  <c r="F130" i="3"/>
  <c r="G130" i="3"/>
  <c r="H130" i="3"/>
  <c r="D131" i="3"/>
  <c r="E131" i="3"/>
  <c r="F131" i="3"/>
  <c r="G131" i="3"/>
  <c r="H131" i="3"/>
  <c r="D132" i="3"/>
  <c r="E132" i="3"/>
  <c r="F132" i="3"/>
  <c r="G132" i="3"/>
  <c r="H132" i="3"/>
  <c r="D133" i="3"/>
  <c r="E133" i="3"/>
  <c r="F133" i="3"/>
  <c r="G133" i="3"/>
  <c r="H133" i="3"/>
  <c r="E128" i="3"/>
  <c r="F128" i="3"/>
  <c r="G128" i="3"/>
  <c r="H128" i="3"/>
  <c r="D128" i="3"/>
  <c r="K140" i="3"/>
  <c r="L140" i="3"/>
  <c r="M140" i="3"/>
  <c r="N140" i="3"/>
  <c r="O140" i="3"/>
  <c r="K141" i="3"/>
  <c r="L141" i="3"/>
  <c r="M141" i="3"/>
  <c r="N141" i="3"/>
  <c r="O141" i="3"/>
  <c r="K142" i="3"/>
  <c r="L142" i="3"/>
  <c r="M142" i="3"/>
  <c r="N142" i="3"/>
  <c r="O142" i="3"/>
  <c r="K143" i="3"/>
  <c r="L143" i="3"/>
  <c r="M143" i="3"/>
  <c r="N143" i="3"/>
  <c r="O143" i="3"/>
  <c r="K144" i="3"/>
  <c r="L144" i="3"/>
  <c r="M144" i="3"/>
  <c r="N144" i="3"/>
  <c r="O144" i="3"/>
  <c r="K145" i="3"/>
  <c r="L145" i="3"/>
  <c r="M145" i="3"/>
  <c r="N145" i="3"/>
  <c r="O145" i="3"/>
  <c r="L139" i="3"/>
  <c r="M139" i="3"/>
  <c r="N139" i="3"/>
  <c r="O139" i="3"/>
  <c r="K139" i="3"/>
  <c r="K129" i="3"/>
  <c r="L129" i="3"/>
  <c r="M129" i="3"/>
  <c r="N129" i="3"/>
  <c r="O129" i="3"/>
  <c r="K130" i="3"/>
  <c r="L130" i="3"/>
  <c r="M130" i="3"/>
  <c r="N130" i="3"/>
  <c r="O130" i="3"/>
  <c r="K131" i="3"/>
  <c r="L131" i="3"/>
  <c r="M131" i="3"/>
  <c r="N131" i="3"/>
  <c r="O131" i="3"/>
  <c r="K132" i="3"/>
  <c r="L132" i="3"/>
  <c r="M132" i="3"/>
  <c r="N132" i="3"/>
  <c r="O132" i="3"/>
  <c r="K133" i="3"/>
  <c r="L133" i="3"/>
  <c r="M133" i="3"/>
  <c r="N133" i="3"/>
  <c r="O133" i="3"/>
  <c r="K134" i="3"/>
  <c r="L134" i="3"/>
  <c r="M134" i="3"/>
  <c r="N134" i="3"/>
  <c r="O134" i="3"/>
  <c r="L128" i="3"/>
  <c r="M128" i="3"/>
  <c r="N128" i="3"/>
  <c r="O128" i="3"/>
  <c r="K128" i="3"/>
  <c r="K117" i="3"/>
  <c r="O117" i="3"/>
  <c r="D118" i="3"/>
  <c r="F118" i="3"/>
  <c r="G118" i="3"/>
  <c r="H118" i="3"/>
  <c r="D119" i="3"/>
  <c r="E119" i="3"/>
  <c r="F119" i="3"/>
  <c r="G119" i="3"/>
  <c r="H119" i="3"/>
  <c r="D120" i="3"/>
  <c r="E120" i="3"/>
  <c r="F120" i="3"/>
  <c r="G120" i="3"/>
  <c r="H120" i="3"/>
  <c r="D121" i="3"/>
  <c r="E121" i="3"/>
  <c r="F121" i="3"/>
  <c r="G121" i="3"/>
  <c r="H121" i="3"/>
  <c r="D122" i="3"/>
  <c r="E122" i="3"/>
  <c r="F122" i="3"/>
  <c r="G122" i="3"/>
  <c r="H122" i="3"/>
  <c r="D123" i="3"/>
  <c r="E123" i="3"/>
  <c r="F123" i="3"/>
  <c r="G123" i="3"/>
  <c r="H123" i="3"/>
  <c r="F117" i="3"/>
  <c r="G117" i="3"/>
  <c r="H117" i="3"/>
  <c r="G50" i="3"/>
  <c r="D50" i="3"/>
  <c r="E50" i="3"/>
  <c r="F50" i="3"/>
  <c r="C50" i="3"/>
  <c r="L117" i="3"/>
  <c r="M117" i="3"/>
  <c r="N117" i="3"/>
  <c r="L118" i="3"/>
  <c r="M118" i="3"/>
  <c r="N118" i="3"/>
  <c r="O118" i="3"/>
  <c r="L119" i="3"/>
  <c r="M119" i="3"/>
  <c r="N119" i="3"/>
  <c r="O119" i="3"/>
  <c r="L120" i="3"/>
  <c r="M120" i="3"/>
  <c r="N120" i="3"/>
  <c r="O120" i="3"/>
  <c r="L121" i="3"/>
  <c r="M121" i="3"/>
  <c r="N121" i="3"/>
  <c r="O121" i="3"/>
  <c r="L122" i="3"/>
  <c r="M122" i="3"/>
  <c r="N122" i="3"/>
  <c r="O122" i="3"/>
  <c r="L123" i="3"/>
  <c r="M123" i="3"/>
  <c r="N123" i="3"/>
  <c r="O123" i="3"/>
  <c r="K118" i="3"/>
  <c r="K119" i="3"/>
  <c r="K120" i="3"/>
  <c r="K121" i="3"/>
  <c r="K122" i="3"/>
  <c r="K123" i="3"/>
  <c r="AA4" i="3"/>
  <c r="AA5" i="3"/>
  <c r="AA6" i="3"/>
  <c r="AA7" i="3"/>
  <c r="AA8" i="3"/>
  <c r="AA9" i="3"/>
  <c r="AA3" i="3"/>
  <c r="H107" i="3"/>
  <c r="H108" i="3"/>
  <c r="H109" i="3"/>
  <c r="H110" i="3"/>
  <c r="H111" i="3"/>
  <c r="H112" i="3"/>
  <c r="H106" i="3"/>
  <c r="H95" i="3"/>
  <c r="H96" i="3"/>
  <c r="H97" i="3"/>
  <c r="H98" i="3"/>
  <c r="H99" i="3"/>
  <c r="H100" i="3"/>
  <c r="H94" i="3"/>
  <c r="V3" i="3" a="1"/>
  <c r="V3" i="3" s="1"/>
  <c r="W3" i="3" a="1"/>
  <c r="W3" i="3" s="1"/>
  <c r="X3" i="3" a="1"/>
  <c r="X3" i="3" s="1"/>
  <c r="Y3" i="3" a="1"/>
  <c r="Y3" i="3" s="1"/>
  <c r="Z3" i="3" a="1"/>
  <c r="Z3" i="3" s="1"/>
  <c r="V4" i="3" a="1"/>
  <c r="V4" i="3" s="1"/>
  <c r="W4" i="3" a="1"/>
  <c r="W4" i="3" s="1"/>
  <c r="X4" i="3" a="1"/>
  <c r="X4" i="3" s="1"/>
  <c r="Y4" i="3" a="1"/>
  <c r="Y4" i="3" s="1"/>
  <c r="Z4" i="3" a="1"/>
  <c r="Z4" i="3" s="1"/>
  <c r="V5" i="3" a="1"/>
  <c r="V5" i="3" s="1"/>
  <c r="W5" i="3" a="1"/>
  <c r="W5" i="3" s="1"/>
  <c r="X5" i="3" a="1"/>
  <c r="X5" i="3" s="1"/>
  <c r="Y5" i="3" a="1"/>
  <c r="Y5" i="3" s="1"/>
  <c r="Z5" i="3" a="1"/>
  <c r="Z5" i="3" s="1"/>
  <c r="V6" i="3" a="1"/>
  <c r="V6" i="3" s="1"/>
  <c r="W6" i="3" a="1"/>
  <c r="W6" i="3" s="1"/>
  <c r="X6" i="3" a="1"/>
  <c r="X6" i="3" s="1"/>
  <c r="Y6" i="3" a="1"/>
  <c r="Y6" i="3" s="1"/>
  <c r="Z6" i="3" a="1"/>
  <c r="Z6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V8" i="3" a="1"/>
  <c r="V8" i="3" s="1"/>
  <c r="W8" i="3" a="1"/>
  <c r="W8" i="3" s="1"/>
  <c r="X8" i="3" a="1"/>
  <c r="X8" i="3" s="1"/>
  <c r="Y8" i="3" a="1"/>
  <c r="Y8" i="3" s="1"/>
  <c r="Z8" i="3" a="1"/>
  <c r="Z8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U4" i="3" a="1"/>
  <c r="U4" i="3" s="1"/>
  <c r="U5" i="3" a="1"/>
  <c r="U5" i="3" s="1"/>
  <c r="U6" i="3" a="1"/>
  <c r="U6" i="3" s="1"/>
  <c r="U7" i="3" a="1"/>
  <c r="U7" i="3" s="1"/>
  <c r="U8" i="3" a="1"/>
  <c r="U8" i="3" s="1"/>
  <c r="U9" i="3" a="1"/>
  <c r="U9" i="3" s="1"/>
  <c r="U3" i="3" a="1"/>
  <c r="U3" i="3" s="1"/>
  <c r="K107" i="3"/>
  <c r="K108" i="3"/>
  <c r="K109" i="3"/>
  <c r="K110" i="3"/>
  <c r="K111" i="3"/>
  <c r="K112" i="3"/>
  <c r="K106" i="3"/>
  <c r="K95" i="3"/>
  <c r="K96" i="3"/>
  <c r="K97" i="3"/>
  <c r="K98" i="3"/>
  <c r="K99" i="3"/>
  <c r="K100" i="3"/>
  <c r="K94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H82" i="3"/>
  <c r="G82" i="3"/>
  <c r="F82" i="3"/>
  <c r="E83" i="3"/>
  <c r="E84" i="3"/>
  <c r="E85" i="3"/>
  <c r="E86" i="3"/>
  <c r="E87" i="3"/>
  <c r="E88" i="3"/>
  <c r="E82" i="3"/>
  <c r="V400" i="2"/>
  <c r="D74" i="3"/>
  <c r="E74" i="3"/>
  <c r="F74" i="3"/>
  <c r="G74" i="3"/>
  <c r="H74" i="3"/>
  <c r="D75" i="3"/>
  <c r="E75" i="3"/>
  <c r="F75" i="3"/>
  <c r="G75" i="3"/>
  <c r="H75" i="3"/>
  <c r="D76" i="3"/>
  <c r="E76" i="3"/>
  <c r="F76" i="3"/>
  <c r="G76" i="3"/>
  <c r="H76" i="3"/>
  <c r="C76" i="3"/>
  <c r="C75" i="3"/>
  <c r="C74" i="3"/>
  <c r="K75" i="3"/>
  <c r="L75" i="3"/>
  <c r="M75" i="3"/>
  <c r="N75" i="3"/>
  <c r="O75" i="3"/>
  <c r="P75" i="3"/>
  <c r="K76" i="3"/>
  <c r="L76" i="3"/>
  <c r="M76" i="3"/>
  <c r="N76" i="3"/>
  <c r="O76" i="3"/>
  <c r="P76" i="3"/>
  <c r="L74" i="3"/>
  <c r="M74" i="3"/>
  <c r="N74" i="3"/>
  <c r="O74" i="3"/>
  <c r="P74" i="3"/>
  <c r="K74" i="3"/>
  <c r="C64" i="3"/>
  <c r="D64" i="3"/>
  <c r="E64" i="3"/>
  <c r="F64" i="3"/>
  <c r="G64" i="3"/>
  <c r="H64" i="3"/>
  <c r="C65" i="3"/>
  <c r="D65" i="3"/>
  <c r="E65" i="3"/>
  <c r="F65" i="3"/>
  <c r="G65" i="3"/>
  <c r="H65" i="3"/>
  <c r="C66" i="3"/>
  <c r="D66" i="3"/>
  <c r="E66" i="3"/>
  <c r="F66" i="3"/>
  <c r="G66" i="3"/>
  <c r="H66" i="3"/>
  <c r="C67" i="3"/>
  <c r="D67" i="3"/>
  <c r="E67" i="3"/>
  <c r="F67" i="3"/>
  <c r="G67" i="3"/>
  <c r="H67" i="3"/>
  <c r="C68" i="3"/>
  <c r="D68" i="3"/>
  <c r="E68" i="3"/>
  <c r="F68" i="3"/>
  <c r="G68" i="3"/>
  <c r="H68" i="3"/>
  <c r="C69" i="3"/>
  <c r="D69" i="3"/>
  <c r="E69" i="3"/>
  <c r="F69" i="3"/>
  <c r="G69" i="3"/>
  <c r="H69" i="3"/>
  <c r="D63" i="3"/>
  <c r="E63" i="3"/>
  <c r="F63" i="3"/>
  <c r="G63" i="3"/>
  <c r="H63" i="3"/>
  <c r="C63" i="3"/>
  <c r="H340" i="2"/>
  <c r="K64" i="3"/>
  <c r="L64" i="3"/>
  <c r="M64" i="3"/>
  <c r="N64" i="3"/>
  <c r="O64" i="3"/>
  <c r="P64" i="3"/>
  <c r="K65" i="3"/>
  <c r="L65" i="3"/>
  <c r="M65" i="3"/>
  <c r="N65" i="3"/>
  <c r="O65" i="3"/>
  <c r="P65" i="3"/>
  <c r="K66" i="3"/>
  <c r="L66" i="3"/>
  <c r="M66" i="3"/>
  <c r="N66" i="3"/>
  <c r="O66" i="3"/>
  <c r="P66" i="3"/>
  <c r="K67" i="3"/>
  <c r="L67" i="3"/>
  <c r="M67" i="3"/>
  <c r="N67" i="3"/>
  <c r="O67" i="3"/>
  <c r="P67" i="3"/>
  <c r="K68" i="3"/>
  <c r="L68" i="3"/>
  <c r="M68" i="3"/>
  <c r="N68" i="3"/>
  <c r="O68" i="3"/>
  <c r="P68" i="3"/>
  <c r="K69" i="3"/>
  <c r="L69" i="3"/>
  <c r="M69" i="3"/>
  <c r="N69" i="3"/>
  <c r="O69" i="3"/>
  <c r="P69" i="3"/>
  <c r="L63" i="3"/>
  <c r="M63" i="3"/>
  <c r="N63" i="3"/>
  <c r="O63" i="3"/>
  <c r="P63" i="3"/>
  <c r="K63" i="3"/>
  <c r="V347" i="2"/>
  <c r="L10" i="3"/>
  <c r="M10" i="3"/>
  <c r="N10" i="3"/>
  <c r="O10" i="3"/>
  <c r="P10" i="3"/>
  <c r="K10" i="3"/>
  <c r="Q4" i="3"/>
  <c r="Q5" i="3"/>
  <c r="Q6" i="3"/>
  <c r="Q7" i="3"/>
  <c r="Q8" i="3"/>
  <c r="Q9" i="3"/>
  <c r="Q3" i="3"/>
  <c r="I384" i="2"/>
  <c r="G335" i="2"/>
  <c r="AC47" i="2"/>
  <c r="AD47" i="2"/>
  <c r="S47" i="2"/>
  <c r="T47" i="2"/>
  <c r="U47" i="2"/>
  <c r="V47" i="2"/>
  <c r="W47" i="2"/>
  <c r="X47" i="2"/>
  <c r="Y47" i="2"/>
  <c r="Z47" i="2"/>
  <c r="AA47" i="2"/>
  <c r="AB47" i="2"/>
  <c r="R4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E328" i="2"/>
  <c r="D466" i="2"/>
  <c r="B272" i="2"/>
  <c r="B245" i="2"/>
  <c r="B218" i="2"/>
  <c r="B191" i="2"/>
  <c r="B164" i="2"/>
  <c r="B137" i="2"/>
  <c r="B110" i="2"/>
  <c r="B83" i="2"/>
  <c r="B56" i="2"/>
  <c r="N408" i="2"/>
  <c r="M408" i="2"/>
  <c r="L408" i="2"/>
  <c r="K408" i="2"/>
  <c r="J408" i="2"/>
  <c r="I408" i="2"/>
  <c r="H408" i="2"/>
  <c r="G408" i="2"/>
  <c r="F408" i="2"/>
  <c r="E408" i="2"/>
  <c r="D408" i="2"/>
  <c r="Q373" i="2"/>
  <c r="Q372" i="2"/>
  <c r="Q371" i="2"/>
  <c r="Q370" i="2"/>
  <c r="Q369" i="2"/>
  <c r="Q368" i="2"/>
  <c r="Q367" i="2"/>
  <c r="Q366" i="2"/>
  <c r="Q365" i="2"/>
  <c r="Q364" i="2"/>
  <c r="Q363" i="2"/>
  <c r="B373" i="2"/>
  <c r="B372" i="2"/>
  <c r="B371" i="2"/>
  <c r="B370" i="2"/>
  <c r="B369" i="2"/>
  <c r="B368" i="2"/>
  <c r="B367" i="2"/>
  <c r="B366" i="2"/>
  <c r="B365" i="2"/>
  <c r="B364" i="2"/>
  <c r="B363" i="2"/>
  <c r="AN5" i="2" a="1"/>
  <c r="AN5" i="2" s="1"/>
  <c r="AI3" i="2"/>
  <c r="R35" i="2"/>
  <c r="N379" i="2"/>
  <c r="M379" i="2"/>
  <c r="L379" i="2"/>
  <c r="K379" i="2"/>
  <c r="J379" i="2"/>
  <c r="I379" i="2"/>
  <c r="H379" i="2"/>
  <c r="G379" i="2"/>
  <c r="F379" i="2"/>
  <c r="E379" i="2"/>
  <c r="D379" i="2"/>
  <c r="AB379" i="2"/>
  <c r="AA379" i="2"/>
  <c r="Z379" i="2"/>
  <c r="Y379" i="2"/>
  <c r="X379" i="2"/>
  <c r="W379" i="2"/>
  <c r="V379" i="2"/>
  <c r="U379" i="2"/>
  <c r="T379" i="2"/>
  <c r="S379" i="2"/>
  <c r="R379" i="2"/>
  <c r="AB56" i="2"/>
  <c r="AA56" i="2"/>
  <c r="Z56" i="2"/>
  <c r="Y56" i="2"/>
  <c r="X56" i="2"/>
  <c r="W56" i="2"/>
  <c r="V56" i="2"/>
  <c r="U56" i="2"/>
  <c r="T56" i="2"/>
  <c r="R56" i="2"/>
  <c r="S56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AD35" i="2"/>
  <c r="AC35" i="2"/>
  <c r="AB35" i="2"/>
  <c r="AA35" i="2"/>
  <c r="Z35" i="2"/>
  <c r="Y35" i="2"/>
  <c r="X35" i="2"/>
  <c r="W35" i="2"/>
  <c r="V35" i="2"/>
  <c r="U35" i="2"/>
  <c r="T35" i="2"/>
  <c r="S35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29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T7" i="2" a="1"/>
  <c r="AT7" i="2" s="1"/>
  <c r="AK3" i="2" a="1"/>
  <c r="AK3" i="2" s="1"/>
  <c r="AL3" i="2" a="1"/>
  <c r="AL3" i="2" s="1"/>
  <c r="AM3" i="2" a="1"/>
  <c r="AM3" i="2" s="1"/>
  <c r="AN3" i="2" a="1"/>
  <c r="AN3" i="2" s="1"/>
  <c r="AO3" i="2" a="1"/>
  <c r="AO3" i="2" s="1"/>
  <c r="AP3" i="2" a="1"/>
  <c r="AP3" i="2" s="1"/>
  <c r="AQ3" i="2" a="1"/>
  <c r="AQ3" i="2" s="1"/>
  <c r="AR3" i="2" a="1"/>
  <c r="AR3" i="2" s="1"/>
  <c r="AS3" i="2" a="1"/>
  <c r="AS3" i="2" s="1"/>
  <c r="AT3" i="2" a="1"/>
  <c r="AT3" i="2" s="1"/>
  <c r="AU3" i="2" a="1"/>
  <c r="AU3" i="2" s="1"/>
  <c r="AV3" i="2" a="1"/>
  <c r="AV3" i="2" s="1"/>
  <c r="AK4" i="2" a="1"/>
  <c r="AK4" i="2" s="1"/>
  <c r="AL4" i="2" a="1"/>
  <c r="AL4" i="2" s="1"/>
  <c r="AM4" i="2" a="1"/>
  <c r="AM4" i="2" s="1"/>
  <c r="AN4" i="2" a="1"/>
  <c r="AN4" i="2" s="1"/>
  <c r="AO4" i="2" a="1"/>
  <c r="AO4" i="2" s="1"/>
  <c r="AP4" i="2" a="1"/>
  <c r="AP4" i="2" s="1"/>
  <c r="AQ4" i="2" a="1"/>
  <c r="AQ4" i="2" s="1"/>
  <c r="AR4" i="2" a="1"/>
  <c r="AR4" i="2" s="1"/>
  <c r="AS4" i="2" a="1"/>
  <c r="AS4" i="2" s="1"/>
  <c r="AT4" i="2" a="1"/>
  <c r="AT4" i="2" s="1"/>
  <c r="AU4" i="2" a="1"/>
  <c r="AU4" i="2" s="1"/>
  <c r="AV4" i="2" a="1"/>
  <c r="AV4" i="2" s="1"/>
  <c r="AK5" i="2" a="1"/>
  <c r="AK5" i="2" s="1"/>
  <c r="AL5" i="2" a="1"/>
  <c r="AL5" i="2" s="1"/>
  <c r="AM5" i="2" a="1"/>
  <c r="AM5" i="2" s="1"/>
  <c r="AO5" i="2" a="1"/>
  <c r="AO5" i="2" s="1"/>
  <c r="AP5" i="2" a="1"/>
  <c r="AP5" i="2" s="1"/>
  <c r="AQ5" i="2" a="1"/>
  <c r="AQ5" i="2" s="1"/>
  <c r="AR5" i="2" a="1"/>
  <c r="AR5" i="2" s="1"/>
  <c r="AS5" i="2" a="1"/>
  <c r="AS5" i="2" s="1"/>
  <c r="AT5" i="2" a="1"/>
  <c r="AT5" i="2" s="1"/>
  <c r="AU5" i="2" a="1"/>
  <c r="AU5" i="2" s="1"/>
  <c r="AV5" i="2" a="1"/>
  <c r="AV5" i="2" s="1"/>
  <c r="AK6" i="2" a="1"/>
  <c r="AK6" i="2" s="1"/>
  <c r="AL6" i="2" a="1"/>
  <c r="AL6" i="2" s="1"/>
  <c r="AM6" i="2" a="1"/>
  <c r="AM6" i="2" s="1"/>
  <c r="AN6" i="2" a="1"/>
  <c r="AN6" i="2" s="1"/>
  <c r="AO6" i="2" a="1"/>
  <c r="AO6" i="2" s="1"/>
  <c r="AP6" i="2" a="1"/>
  <c r="AP6" i="2" s="1"/>
  <c r="AQ6" i="2" a="1"/>
  <c r="AQ6" i="2" s="1"/>
  <c r="AR6" i="2" a="1"/>
  <c r="AR6" i="2" s="1"/>
  <c r="AS6" i="2" a="1"/>
  <c r="AS6" i="2" s="1"/>
  <c r="AT6" i="2" a="1"/>
  <c r="AT6" i="2" s="1"/>
  <c r="AU6" i="2" a="1"/>
  <c r="AU6" i="2" s="1"/>
  <c r="AV6" i="2" a="1"/>
  <c r="AV6" i="2" s="1"/>
  <c r="AK7" i="2" a="1"/>
  <c r="AK7" i="2" s="1"/>
  <c r="AL7" i="2" a="1"/>
  <c r="AL7" i="2" s="1"/>
  <c r="AM7" i="2" a="1"/>
  <c r="AM7" i="2" s="1"/>
  <c r="AN7" i="2" a="1"/>
  <c r="AN7" i="2" s="1"/>
  <c r="AO7" i="2" a="1"/>
  <c r="AO7" i="2" s="1"/>
  <c r="AP7" i="2" a="1"/>
  <c r="AP7" i="2" s="1"/>
  <c r="AQ7" i="2" a="1"/>
  <c r="AQ7" i="2" s="1"/>
  <c r="AR7" i="2" a="1"/>
  <c r="AR7" i="2" s="1"/>
  <c r="AS7" i="2" a="1"/>
  <c r="AS7" i="2" s="1"/>
  <c r="AU7" i="2" a="1"/>
  <c r="AU7" i="2" s="1"/>
  <c r="AV7" i="2" a="1"/>
  <c r="AV7" i="2" s="1"/>
  <c r="AK8" i="2" a="1"/>
  <c r="AK8" i="2" s="1"/>
  <c r="AL8" i="2" a="1"/>
  <c r="AL8" i="2" s="1"/>
  <c r="AM8" i="2" a="1"/>
  <c r="AM8" i="2" s="1"/>
  <c r="AN8" i="2" a="1"/>
  <c r="AN8" i="2" s="1"/>
  <c r="AO8" i="2" a="1"/>
  <c r="AO8" i="2" s="1"/>
  <c r="AP8" i="2" a="1"/>
  <c r="AP8" i="2" s="1"/>
  <c r="AQ8" i="2" a="1"/>
  <c r="AQ8" i="2" s="1"/>
  <c r="AR8" i="2" a="1"/>
  <c r="AR8" i="2" s="1"/>
  <c r="AS8" i="2" a="1"/>
  <c r="AS8" i="2" s="1"/>
  <c r="AT8" i="2" a="1"/>
  <c r="AT8" i="2" s="1"/>
  <c r="AU8" i="2" a="1"/>
  <c r="AU8" i="2" s="1"/>
  <c r="AV8" i="2" a="1"/>
  <c r="AV8" i="2" s="1"/>
  <c r="AK9" i="2" a="1"/>
  <c r="AK9" i="2" s="1"/>
  <c r="AL9" i="2" a="1"/>
  <c r="AL9" i="2" s="1"/>
  <c r="AM9" i="2" a="1"/>
  <c r="AM9" i="2" s="1"/>
  <c r="AN9" i="2" a="1"/>
  <c r="AN9" i="2" s="1"/>
  <c r="AO9" i="2" a="1"/>
  <c r="AO9" i="2" s="1"/>
  <c r="AP9" i="2" a="1"/>
  <c r="AP9" i="2" s="1"/>
  <c r="AQ9" i="2" a="1"/>
  <c r="AQ9" i="2" s="1"/>
  <c r="AR9" i="2" a="1"/>
  <c r="AR9" i="2" s="1"/>
  <c r="AS9" i="2" a="1"/>
  <c r="AS9" i="2" s="1"/>
  <c r="AT9" i="2" a="1"/>
  <c r="AT9" i="2" s="1"/>
  <c r="AU9" i="2" a="1"/>
  <c r="AU9" i="2" s="1"/>
  <c r="AV9" i="2" a="1"/>
  <c r="AV9" i="2" s="1"/>
  <c r="AK10" i="2" a="1"/>
  <c r="AK10" i="2" s="1"/>
  <c r="AL10" i="2" a="1"/>
  <c r="AL10" i="2" s="1"/>
  <c r="AM10" i="2" a="1"/>
  <c r="AM10" i="2" s="1"/>
  <c r="AN10" i="2" a="1"/>
  <c r="AN10" i="2" s="1"/>
  <c r="AO10" i="2" a="1"/>
  <c r="AO10" i="2" s="1"/>
  <c r="AP10" i="2" a="1"/>
  <c r="AP10" i="2" s="1"/>
  <c r="AQ10" i="2" a="1"/>
  <c r="AQ10" i="2" s="1"/>
  <c r="AR10" i="2" a="1"/>
  <c r="AR10" i="2" s="1"/>
  <c r="AS10" i="2" a="1"/>
  <c r="AS10" i="2" s="1"/>
  <c r="AT10" i="2" a="1"/>
  <c r="AT10" i="2" s="1"/>
  <c r="AU10" i="2" a="1"/>
  <c r="AU10" i="2" s="1"/>
  <c r="AV10" i="2" a="1"/>
  <c r="AV10" i="2" s="1"/>
  <c r="AK11" i="2" a="1"/>
  <c r="AK11" i="2" s="1"/>
  <c r="AL11" i="2" a="1"/>
  <c r="AL11" i="2" s="1"/>
  <c r="AM11" i="2" a="1"/>
  <c r="AM11" i="2" s="1"/>
  <c r="AN11" i="2" a="1"/>
  <c r="AN11" i="2" s="1"/>
  <c r="AO11" i="2" a="1"/>
  <c r="AO11" i="2" s="1"/>
  <c r="AP11" i="2" a="1"/>
  <c r="AP11" i="2" s="1"/>
  <c r="AQ11" i="2" a="1"/>
  <c r="AQ11" i="2" s="1"/>
  <c r="AR11" i="2" a="1"/>
  <c r="AR11" i="2" s="1"/>
  <c r="AS11" i="2" a="1"/>
  <c r="AS11" i="2" s="1"/>
  <c r="AT11" i="2" a="1"/>
  <c r="AT11" i="2" s="1"/>
  <c r="AU11" i="2" a="1"/>
  <c r="AU11" i="2" s="1"/>
  <c r="AV11" i="2" a="1"/>
  <c r="AV11" i="2" s="1"/>
  <c r="AK12" i="2" a="1"/>
  <c r="AK12" i="2" s="1"/>
  <c r="AL12" i="2" a="1"/>
  <c r="AL12" i="2" s="1"/>
  <c r="AM12" i="2" a="1"/>
  <c r="AM12" i="2" s="1"/>
  <c r="AN12" i="2" a="1"/>
  <c r="AN12" i="2" s="1"/>
  <c r="AO12" i="2" a="1"/>
  <c r="AO12" i="2" s="1"/>
  <c r="AP12" i="2" a="1"/>
  <c r="AP12" i="2" s="1"/>
  <c r="AQ12" i="2" a="1"/>
  <c r="AQ12" i="2" s="1"/>
  <c r="AR12" i="2" a="1"/>
  <c r="AR12" i="2" s="1"/>
  <c r="AS12" i="2" a="1"/>
  <c r="AS12" i="2" s="1"/>
  <c r="AT12" i="2" a="1"/>
  <c r="AT12" i="2" s="1"/>
  <c r="AU12" i="2" a="1"/>
  <c r="AU12" i="2" s="1"/>
  <c r="AV12" i="2" a="1"/>
  <c r="AV12" i="2" s="1"/>
  <c r="AK13" i="2" a="1"/>
  <c r="AK13" i="2" s="1"/>
  <c r="AL13" i="2" a="1"/>
  <c r="AL13" i="2" s="1"/>
  <c r="AM13" i="2" a="1"/>
  <c r="AM13" i="2" s="1"/>
  <c r="AN13" i="2" a="1"/>
  <c r="AN13" i="2" s="1"/>
  <c r="AO13" i="2" a="1"/>
  <c r="AO13" i="2" s="1"/>
  <c r="AP13" i="2" a="1"/>
  <c r="AP13" i="2" s="1"/>
  <c r="AQ13" i="2" a="1"/>
  <c r="AQ13" i="2" s="1"/>
  <c r="AR13" i="2" a="1"/>
  <c r="AR13" i="2" s="1"/>
  <c r="AS13" i="2" a="1"/>
  <c r="AS13" i="2" s="1"/>
  <c r="AT13" i="2" a="1"/>
  <c r="AT13" i="2" s="1"/>
  <c r="AU13" i="2" a="1"/>
  <c r="AU13" i="2" s="1"/>
  <c r="AV13" i="2" a="1"/>
  <c r="AV13" i="2" s="1"/>
  <c r="AK14" i="2" a="1"/>
  <c r="AK14" i="2" s="1"/>
  <c r="AL14" i="2" a="1"/>
  <c r="AL14" i="2" s="1"/>
  <c r="AM14" i="2" a="1"/>
  <c r="AM14" i="2" s="1"/>
  <c r="AN14" i="2" a="1"/>
  <c r="AN14" i="2" s="1"/>
  <c r="AO14" i="2" a="1"/>
  <c r="AO14" i="2" s="1"/>
  <c r="AP14" i="2" a="1"/>
  <c r="AP14" i="2" s="1"/>
  <c r="AQ14" i="2" a="1"/>
  <c r="AQ14" i="2" s="1"/>
  <c r="AR14" i="2" a="1"/>
  <c r="AR14" i="2" s="1"/>
  <c r="AS14" i="2" a="1"/>
  <c r="AS14" i="2" s="1"/>
  <c r="AT14" i="2" a="1"/>
  <c r="AT14" i="2" s="1"/>
  <c r="AU14" i="2" a="1"/>
  <c r="AU14" i="2" s="1"/>
  <c r="AV14" i="2" a="1"/>
  <c r="AV14" i="2" s="1"/>
  <c r="AK15" i="2" a="1"/>
  <c r="AK15" i="2" s="1"/>
  <c r="AL15" i="2" a="1"/>
  <c r="AL15" i="2" s="1"/>
  <c r="AM15" i="2" a="1"/>
  <c r="AM15" i="2" s="1"/>
  <c r="AN15" i="2" a="1"/>
  <c r="AN15" i="2" s="1"/>
  <c r="AO15" i="2" a="1"/>
  <c r="AO15" i="2" s="1"/>
  <c r="AP15" i="2" a="1"/>
  <c r="AP15" i="2" s="1"/>
  <c r="AQ15" i="2" a="1"/>
  <c r="AQ15" i="2" s="1"/>
  <c r="AR15" i="2" a="1"/>
  <c r="AR15" i="2" s="1"/>
  <c r="AS15" i="2" a="1"/>
  <c r="AS15" i="2" s="1"/>
  <c r="AT15" i="2" a="1"/>
  <c r="AT15" i="2" s="1"/>
  <c r="AU15" i="2" a="1"/>
  <c r="AU15" i="2" s="1"/>
  <c r="AV15" i="2" a="1"/>
  <c r="AV15" i="2" s="1"/>
  <c r="AK16" i="2" a="1"/>
  <c r="AK16" i="2" s="1"/>
  <c r="AL16" i="2" a="1"/>
  <c r="AL16" i="2" s="1"/>
  <c r="AM16" i="2" a="1"/>
  <c r="AM16" i="2" s="1"/>
  <c r="AN16" i="2" a="1"/>
  <c r="AN16" i="2" s="1"/>
  <c r="AO16" i="2" a="1"/>
  <c r="AO16" i="2" s="1"/>
  <c r="AP16" i="2" a="1"/>
  <c r="AP16" i="2" s="1"/>
  <c r="AQ16" i="2" a="1"/>
  <c r="AQ16" i="2" s="1"/>
  <c r="AR16" i="2" a="1"/>
  <c r="AR16" i="2" s="1"/>
  <c r="AS16" i="2" a="1"/>
  <c r="AS16" i="2" s="1"/>
  <c r="AT16" i="2" a="1"/>
  <c r="AT16" i="2" s="1"/>
  <c r="AU16" i="2" a="1"/>
  <c r="AU16" i="2" s="1"/>
  <c r="AV16" i="2" a="1"/>
  <c r="AV16" i="2" s="1"/>
  <c r="AK17" i="2" a="1"/>
  <c r="AK17" i="2" s="1"/>
  <c r="AL17" i="2" a="1"/>
  <c r="AL17" i="2" s="1"/>
  <c r="AM17" i="2" a="1"/>
  <c r="AM17" i="2" s="1"/>
  <c r="AN17" i="2" a="1"/>
  <c r="AN17" i="2" s="1"/>
  <c r="AO17" i="2" a="1"/>
  <c r="AO17" i="2" s="1"/>
  <c r="AP17" i="2" a="1"/>
  <c r="AP17" i="2" s="1"/>
  <c r="AQ17" i="2" a="1"/>
  <c r="AQ17" i="2" s="1"/>
  <c r="AR17" i="2" a="1"/>
  <c r="AR17" i="2" s="1"/>
  <c r="AS17" i="2" a="1"/>
  <c r="AS17" i="2" s="1"/>
  <c r="AT17" i="2" a="1"/>
  <c r="AT17" i="2" s="1"/>
  <c r="AU17" i="2" a="1"/>
  <c r="AU17" i="2" s="1"/>
  <c r="AV17" i="2" a="1"/>
  <c r="AV17" i="2" s="1"/>
  <c r="AK18" i="2" a="1"/>
  <c r="AK18" i="2" s="1"/>
  <c r="AL18" i="2" a="1"/>
  <c r="AL18" i="2" s="1"/>
  <c r="AM18" i="2" a="1"/>
  <c r="AM18" i="2" s="1"/>
  <c r="AN18" i="2" a="1"/>
  <c r="AN18" i="2" s="1"/>
  <c r="AO18" i="2" a="1"/>
  <c r="AO18" i="2" s="1"/>
  <c r="AP18" i="2" a="1"/>
  <c r="AP18" i="2" s="1"/>
  <c r="AQ18" i="2" a="1"/>
  <c r="AQ18" i="2" s="1"/>
  <c r="AR18" i="2" a="1"/>
  <c r="AR18" i="2" s="1"/>
  <c r="AS18" i="2" a="1"/>
  <c r="AS18" i="2" s="1"/>
  <c r="AT18" i="2" a="1"/>
  <c r="AT18" i="2" s="1"/>
  <c r="AU18" i="2" a="1"/>
  <c r="AU18" i="2" s="1"/>
  <c r="AV18" i="2" a="1"/>
  <c r="AV18" i="2" s="1"/>
  <c r="AK19" i="2" a="1"/>
  <c r="AK19" i="2" s="1"/>
  <c r="AL19" i="2" a="1"/>
  <c r="AL19" i="2" s="1"/>
  <c r="AM19" i="2" a="1"/>
  <c r="AM19" i="2" s="1"/>
  <c r="AN19" i="2" a="1"/>
  <c r="AN19" i="2" s="1"/>
  <c r="AO19" i="2" a="1"/>
  <c r="AO19" i="2" s="1"/>
  <c r="AP19" i="2" a="1"/>
  <c r="AP19" i="2" s="1"/>
  <c r="AQ19" i="2" a="1"/>
  <c r="AQ19" i="2" s="1"/>
  <c r="AR19" i="2" a="1"/>
  <c r="AR19" i="2" s="1"/>
  <c r="AS19" i="2" a="1"/>
  <c r="AS19" i="2" s="1"/>
  <c r="AT19" i="2" a="1"/>
  <c r="AT19" i="2" s="1"/>
  <c r="AU19" i="2" a="1"/>
  <c r="AU19" i="2" s="1"/>
  <c r="AV19" i="2" a="1"/>
  <c r="AV19" i="2" s="1"/>
  <c r="AK20" i="2" a="1"/>
  <c r="AK20" i="2" s="1"/>
  <c r="AL20" i="2" a="1"/>
  <c r="AL20" i="2" s="1"/>
  <c r="AM20" i="2" a="1"/>
  <c r="AM20" i="2" s="1"/>
  <c r="AN20" i="2" a="1"/>
  <c r="AN20" i="2" s="1"/>
  <c r="AO20" i="2" a="1"/>
  <c r="AO20" i="2" s="1"/>
  <c r="AP20" i="2" a="1"/>
  <c r="AP20" i="2" s="1"/>
  <c r="AQ20" i="2" a="1"/>
  <c r="AQ20" i="2" s="1"/>
  <c r="AR20" i="2" a="1"/>
  <c r="AR20" i="2" s="1"/>
  <c r="AS20" i="2" a="1"/>
  <c r="AS20" i="2" s="1"/>
  <c r="AT20" i="2" a="1"/>
  <c r="AT20" i="2" s="1"/>
  <c r="AU20" i="2" a="1"/>
  <c r="AU20" i="2" s="1"/>
  <c r="AV20" i="2" a="1"/>
  <c r="AV20" i="2" s="1"/>
  <c r="AK21" i="2" a="1"/>
  <c r="AK21" i="2" s="1"/>
  <c r="AL21" i="2" a="1"/>
  <c r="AL21" i="2" s="1"/>
  <c r="AM21" i="2" a="1"/>
  <c r="AM21" i="2" s="1"/>
  <c r="AN21" i="2" a="1"/>
  <c r="AN21" i="2" s="1"/>
  <c r="AO21" i="2" a="1"/>
  <c r="AO21" i="2" s="1"/>
  <c r="AP21" i="2" a="1"/>
  <c r="AP21" i="2" s="1"/>
  <c r="AQ21" i="2" a="1"/>
  <c r="AQ21" i="2" s="1"/>
  <c r="AR21" i="2" a="1"/>
  <c r="AR21" i="2" s="1"/>
  <c r="AS21" i="2" a="1"/>
  <c r="AS21" i="2" s="1"/>
  <c r="AT21" i="2" a="1"/>
  <c r="AT21" i="2" s="1"/>
  <c r="AU21" i="2" a="1"/>
  <c r="AU21" i="2" s="1"/>
  <c r="AV21" i="2" a="1"/>
  <c r="AV21" i="2" s="1"/>
  <c r="AK22" i="2" a="1"/>
  <c r="AK22" i="2" s="1"/>
  <c r="AL22" i="2" a="1"/>
  <c r="AL22" i="2" s="1"/>
  <c r="AM22" i="2" a="1"/>
  <c r="AM22" i="2" s="1"/>
  <c r="AN22" i="2" a="1"/>
  <c r="AN22" i="2" s="1"/>
  <c r="AO22" i="2" a="1"/>
  <c r="AO22" i="2" s="1"/>
  <c r="AP22" i="2" a="1"/>
  <c r="AP22" i="2" s="1"/>
  <c r="AQ22" i="2" a="1"/>
  <c r="AQ22" i="2" s="1"/>
  <c r="AR22" i="2" a="1"/>
  <c r="AR22" i="2" s="1"/>
  <c r="AS22" i="2" a="1"/>
  <c r="AS22" i="2" s="1"/>
  <c r="AT22" i="2" a="1"/>
  <c r="AT22" i="2" s="1"/>
  <c r="AU22" i="2" a="1"/>
  <c r="AU22" i="2" s="1"/>
  <c r="AV22" i="2" a="1"/>
  <c r="AV22" i="2" s="1"/>
  <c r="AK23" i="2" a="1"/>
  <c r="AK23" i="2" s="1"/>
  <c r="AL23" i="2" a="1"/>
  <c r="AL23" i="2" s="1"/>
  <c r="AM23" i="2" a="1"/>
  <c r="AM23" i="2" s="1"/>
  <c r="AN23" i="2" a="1"/>
  <c r="AN23" i="2" s="1"/>
  <c r="AO23" i="2" a="1"/>
  <c r="AO23" i="2" s="1"/>
  <c r="AP23" i="2" a="1"/>
  <c r="AP23" i="2" s="1"/>
  <c r="AQ23" i="2" a="1"/>
  <c r="AQ23" i="2" s="1"/>
  <c r="AR23" i="2" a="1"/>
  <c r="AR23" i="2" s="1"/>
  <c r="AS23" i="2" a="1"/>
  <c r="AS23" i="2" s="1"/>
  <c r="AT23" i="2" a="1"/>
  <c r="AT23" i="2" s="1"/>
  <c r="AU23" i="2" a="1"/>
  <c r="AU23" i="2" s="1"/>
  <c r="AV23" i="2" a="1"/>
  <c r="AV23" i="2" s="1"/>
  <c r="AK24" i="2" a="1"/>
  <c r="AK24" i="2" s="1"/>
  <c r="AL24" i="2" a="1"/>
  <c r="AL24" i="2" s="1"/>
  <c r="AM24" i="2" a="1"/>
  <c r="AM24" i="2" s="1"/>
  <c r="AN24" i="2" a="1"/>
  <c r="AN24" i="2" s="1"/>
  <c r="AO24" i="2" a="1"/>
  <c r="AO24" i="2" s="1"/>
  <c r="AP24" i="2" a="1"/>
  <c r="AP24" i="2" s="1"/>
  <c r="AQ24" i="2" a="1"/>
  <c r="AQ24" i="2" s="1"/>
  <c r="AR24" i="2" a="1"/>
  <c r="AR24" i="2" s="1"/>
  <c r="AS24" i="2" a="1"/>
  <c r="AS24" i="2" s="1"/>
  <c r="AT24" i="2" a="1"/>
  <c r="AT24" i="2" s="1"/>
  <c r="AU24" i="2" a="1"/>
  <c r="AU24" i="2" s="1"/>
  <c r="AV24" i="2" a="1"/>
  <c r="AV24" i="2" s="1"/>
  <c r="AK25" i="2" a="1"/>
  <c r="AK25" i="2" s="1"/>
  <c r="AL25" i="2" a="1"/>
  <c r="AL25" i="2" s="1"/>
  <c r="AM25" i="2" a="1"/>
  <c r="AM25" i="2" s="1"/>
  <c r="AN25" i="2" a="1"/>
  <c r="AN25" i="2" s="1"/>
  <c r="AO25" i="2" a="1"/>
  <c r="AO25" i="2" s="1"/>
  <c r="AP25" i="2" a="1"/>
  <c r="AP25" i="2" s="1"/>
  <c r="AQ25" i="2" a="1"/>
  <c r="AQ25" i="2" s="1"/>
  <c r="AR25" i="2" a="1"/>
  <c r="AR25" i="2" s="1"/>
  <c r="AS25" i="2" a="1"/>
  <c r="AS25" i="2" s="1"/>
  <c r="AT25" i="2" a="1"/>
  <c r="AT25" i="2" s="1"/>
  <c r="AU25" i="2" a="1"/>
  <c r="AU25" i="2" s="1"/>
  <c r="AV25" i="2" a="1"/>
  <c r="AV25" i="2" s="1"/>
  <c r="AK26" i="2" a="1"/>
  <c r="AK26" i="2" s="1"/>
  <c r="AL26" i="2" a="1"/>
  <c r="AL26" i="2" s="1"/>
  <c r="AM26" i="2" a="1"/>
  <c r="AM26" i="2" s="1"/>
  <c r="AN26" i="2" a="1"/>
  <c r="AN26" i="2" s="1"/>
  <c r="AO26" i="2" a="1"/>
  <c r="AO26" i="2" s="1"/>
  <c r="AP26" i="2" a="1"/>
  <c r="AP26" i="2" s="1"/>
  <c r="AQ26" i="2" a="1"/>
  <c r="AQ26" i="2" s="1"/>
  <c r="AR26" i="2" a="1"/>
  <c r="AR26" i="2" s="1"/>
  <c r="AS26" i="2" a="1"/>
  <c r="AS26" i="2" s="1"/>
  <c r="AT26" i="2" a="1"/>
  <c r="AT26" i="2" s="1"/>
  <c r="AU26" i="2" a="1"/>
  <c r="AU26" i="2" s="1"/>
  <c r="AV26" i="2" a="1"/>
  <c r="AV26" i="2" s="1"/>
  <c r="AJ7" i="2" a="1"/>
  <c r="AJ7" i="2" s="1"/>
  <c r="AJ8" i="2" a="1"/>
  <c r="AJ8" i="2" s="1"/>
  <c r="AJ9" i="2" a="1"/>
  <c r="AJ9" i="2" s="1"/>
  <c r="AJ10" i="2" a="1"/>
  <c r="AJ10" i="2" s="1"/>
  <c r="AJ11" i="2" a="1"/>
  <c r="AJ11" i="2" s="1"/>
  <c r="AJ12" i="2" a="1"/>
  <c r="AJ12" i="2" s="1"/>
  <c r="AJ13" i="2" a="1"/>
  <c r="AJ13" i="2" s="1"/>
  <c r="AJ14" i="2" a="1"/>
  <c r="AJ14" i="2" s="1"/>
  <c r="AJ15" i="2" a="1"/>
  <c r="AJ15" i="2" s="1"/>
  <c r="AJ16" i="2" a="1"/>
  <c r="AJ16" i="2" s="1"/>
  <c r="AJ17" i="2" a="1"/>
  <c r="AJ17" i="2" s="1"/>
  <c r="AJ18" i="2" a="1"/>
  <c r="AJ18" i="2" s="1"/>
  <c r="AJ19" i="2" a="1"/>
  <c r="AJ19" i="2" s="1"/>
  <c r="AJ20" i="2" a="1"/>
  <c r="AJ20" i="2" s="1"/>
  <c r="AJ21" i="2" a="1"/>
  <c r="AJ21" i="2" s="1"/>
  <c r="AJ22" i="2" a="1"/>
  <c r="AJ22" i="2" s="1"/>
  <c r="AJ23" i="2" a="1"/>
  <c r="AJ23" i="2" s="1"/>
  <c r="AJ24" i="2" a="1"/>
  <c r="AJ24" i="2" s="1"/>
  <c r="AJ25" i="2" a="1"/>
  <c r="AJ25" i="2" s="1"/>
  <c r="AJ26" i="2" a="1"/>
  <c r="AJ26" i="2" s="1"/>
  <c r="AJ4" i="2" a="1"/>
  <c r="AJ4" i="2" s="1"/>
  <c r="AJ5" i="2" a="1"/>
  <c r="AJ5" i="2" s="1"/>
  <c r="AJ6" i="2" a="1"/>
  <c r="AJ6" i="2" s="1"/>
  <c r="AJ3" i="2" a="1"/>
  <c r="AJ3" i="2" s="1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R363" i="2"/>
  <c r="J709" i="2"/>
  <c r="H737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O737" i="2"/>
  <c r="N737" i="2"/>
  <c r="M737" i="2"/>
  <c r="L737" i="2"/>
  <c r="K737" i="2"/>
  <c r="J737" i="2"/>
  <c r="I737" i="2"/>
  <c r="G737" i="2"/>
  <c r="F737" i="2"/>
  <c r="E737" i="2"/>
  <c r="D737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O709" i="2"/>
  <c r="N709" i="2"/>
  <c r="M709" i="2"/>
  <c r="L709" i="2"/>
  <c r="K709" i="2"/>
  <c r="I709" i="2"/>
  <c r="H709" i="2"/>
  <c r="G709" i="2"/>
  <c r="F709" i="2"/>
  <c r="E709" i="2"/>
  <c r="D709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O466" i="2"/>
  <c r="E466" i="2"/>
  <c r="F466" i="2"/>
  <c r="G466" i="2"/>
  <c r="H466" i="2"/>
  <c r="I466" i="2"/>
  <c r="J466" i="2"/>
  <c r="K466" i="2"/>
  <c r="L466" i="2"/>
  <c r="M466" i="2"/>
  <c r="N466" i="2"/>
  <c r="E467" i="2"/>
  <c r="F467" i="2"/>
  <c r="G467" i="2"/>
  <c r="H467" i="2"/>
  <c r="I467" i="2"/>
  <c r="J467" i="2"/>
  <c r="K467" i="2"/>
  <c r="L467" i="2"/>
  <c r="M467" i="2"/>
  <c r="N467" i="2"/>
  <c r="O467" i="2"/>
  <c r="E468" i="2"/>
  <c r="F468" i="2"/>
  <c r="G468" i="2"/>
  <c r="H468" i="2"/>
  <c r="I468" i="2"/>
  <c r="J468" i="2"/>
  <c r="K468" i="2"/>
  <c r="L468" i="2"/>
  <c r="M468" i="2"/>
  <c r="N468" i="2"/>
  <c r="O468" i="2"/>
  <c r="E469" i="2"/>
  <c r="F469" i="2"/>
  <c r="G469" i="2"/>
  <c r="H469" i="2"/>
  <c r="I469" i="2"/>
  <c r="J469" i="2"/>
  <c r="K469" i="2"/>
  <c r="L469" i="2"/>
  <c r="M469" i="2"/>
  <c r="N469" i="2"/>
  <c r="O469" i="2"/>
  <c r="E470" i="2"/>
  <c r="F470" i="2"/>
  <c r="G470" i="2"/>
  <c r="H470" i="2"/>
  <c r="I470" i="2"/>
  <c r="J470" i="2"/>
  <c r="K470" i="2"/>
  <c r="L470" i="2"/>
  <c r="M470" i="2"/>
  <c r="N470" i="2"/>
  <c r="O470" i="2"/>
  <c r="E471" i="2"/>
  <c r="F471" i="2"/>
  <c r="G471" i="2"/>
  <c r="H471" i="2"/>
  <c r="I471" i="2"/>
  <c r="J471" i="2"/>
  <c r="K471" i="2"/>
  <c r="L471" i="2"/>
  <c r="M471" i="2"/>
  <c r="N471" i="2"/>
  <c r="O471" i="2"/>
  <c r="E472" i="2"/>
  <c r="F472" i="2"/>
  <c r="G472" i="2"/>
  <c r="H472" i="2"/>
  <c r="I472" i="2"/>
  <c r="J472" i="2"/>
  <c r="K472" i="2"/>
  <c r="L472" i="2"/>
  <c r="M472" i="2"/>
  <c r="N472" i="2"/>
  <c r="O472" i="2"/>
  <c r="E473" i="2"/>
  <c r="F473" i="2"/>
  <c r="G473" i="2"/>
  <c r="H473" i="2"/>
  <c r="I473" i="2"/>
  <c r="J473" i="2"/>
  <c r="K473" i="2"/>
  <c r="L473" i="2"/>
  <c r="M473" i="2"/>
  <c r="N473" i="2"/>
  <c r="O473" i="2"/>
  <c r="E474" i="2"/>
  <c r="F474" i="2"/>
  <c r="G474" i="2"/>
  <c r="H474" i="2"/>
  <c r="I474" i="2"/>
  <c r="J474" i="2"/>
  <c r="K474" i="2"/>
  <c r="L474" i="2"/>
  <c r="M474" i="2"/>
  <c r="N474" i="2"/>
  <c r="O474" i="2"/>
  <c r="E475" i="2"/>
  <c r="F475" i="2"/>
  <c r="G475" i="2"/>
  <c r="H475" i="2"/>
  <c r="I475" i="2"/>
  <c r="J475" i="2"/>
  <c r="K475" i="2"/>
  <c r="L475" i="2"/>
  <c r="M475" i="2"/>
  <c r="N475" i="2"/>
  <c r="O475" i="2"/>
  <c r="E476" i="2"/>
  <c r="F476" i="2"/>
  <c r="G476" i="2"/>
  <c r="H476" i="2"/>
  <c r="I476" i="2"/>
  <c r="J476" i="2"/>
  <c r="K476" i="2"/>
  <c r="L476" i="2"/>
  <c r="M476" i="2"/>
  <c r="N476" i="2"/>
  <c r="O476" i="2"/>
  <c r="E477" i="2"/>
  <c r="F477" i="2"/>
  <c r="G477" i="2"/>
  <c r="H477" i="2"/>
  <c r="I477" i="2"/>
  <c r="J477" i="2"/>
  <c r="K477" i="2"/>
  <c r="L477" i="2"/>
  <c r="M477" i="2"/>
  <c r="N477" i="2"/>
  <c r="O477" i="2"/>
  <c r="E478" i="2"/>
  <c r="F478" i="2"/>
  <c r="G478" i="2"/>
  <c r="H478" i="2"/>
  <c r="I478" i="2"/>
  <c r="J478" i="2"/>
  <c r="K478" i="2"/>
  <c r="L478" i="2"/>
  <c r="M478" i="2"/>
  <c r="N478" i="2"/>
  <c r="O478" i="2"/>
  <c r="E479" i="2"/>
  <c r="F479" i="2"/>
  <c r="G479" i="2"/>
  <c r="H479" i="2"/>
  <c r="I479" i="2"/>
  <c r="J479" i="2"/>
  <c r="K479" i="2"/>
  <c r="L479" i="2"/>
  <c r="M479" i="2"/>
  <c r="N479" i="2"/>
  <c r="O479" i="2"/>
  <c r="E480" i="2"/>
  <c r="F480" i="2"/>
  <c r="G480" i="2"/>
  <c r="H480" i="2"/>
  <c r="I480" i="2"/>
  <c r="J480" i="2"/>
  <c r="K480" i="2"/>
  <c r="L480" i="2"/>
  <c r="M480" i="2"/>
  <c r="N480" i="2"/>
  <c r="O480" i="2"/>
  <c r="E481" i="2"/>
  <c r="F481" i="2"/>
  <c r="G481" i="2"/>
  <c r="H481" i="2"/>
  <c r="I481" i="2"/>
  <c r="J481" i="2"/>
  <c r="K481" i="2"/>
  <c r="L481" i="2"/>
  <c r="M481" i="2"/>
  <c r="N481" i="2"/>
  <c r="O481" i="2"/>
  <c r="E482" i="2"/>
  <c r="F482" i="2"/>
  <c r="G482" i="2"/>
  <c r="H482" i="2"/>
  <c r="I482" i="2"/>
  <c r="J482" i="2"/>
  <c r="K482" i="2"/>
  <c r="L482" i="2"/>
  <c r="M482" i="2"/>
  <c r="N482" i="2"/>
  <c r="O482" i="2"/>
  <c r="E483" i="2"/>
  <c r="F483" i="2"/>
  <c r="G483" i="2"/>
  <c r="H483" i="2"/>
  <c r="I483" i="2"/>
  <c r="J483" i="2"/>
  <c r="K483" i="2"/>
  <c r="L483" i="2"/>
  <c r="M483" i="2"/>
  <c r="N483" i="2"/>
  <c r="O483" i="2"/>
  <c r="E484" i="2"/>
  <c r="F484" i="2"/>
  <c r="G484" i="2"/>
  <c r="H484" i="2"/>
  <c r="I484" i="2"/>
  <c r="J484" i="2"/>
  <c r="K484" i="2"/>
  <c r="L484" i="2"/>
  <c r="M484" i="2"/>
  <c r="N484" i="2"/>
  <c r="O484" i="2"/>
  <c r="E485" i="2"/>
  <c r="F485" i="2"/>
  <c r="G485" i="2"/>
  <c r="H485" i="2"/>
  <c r="I485" i="2"/>
  <c r="J485" i="2"/>
  <c r="K485" i="2"/>
  <c r="L485" i="2"/>
  <c r="M485" i="2"/>
  <c r="N485" i="2"/>
  <c r="O485" i="2"/>
  <c r="E486" i="2"/>
  <c r="F486" i="2"/>
  <c r="G486" i="2"/>
  <c r="H486" i="2"/>
  <c r="I486" i="2"/>
  <c r="J486" i="2"/>
  <c r="K486" i="2"/>
  <c r="L486" i="2"/>
  <c r="M486" i="2"/>
  <c r="N486" i="2"/>
  <c r="O486" i="2"/>
  <c r="E487" i="2"/>
  <c r="F487" i="2"/>
  <c r="G487" i="2"/>
  <c r="H487" i="2"/>
  <c r="I487" i="2"/>
  <c r="J487" i="2"/>
  <c r="K487" i="2"/>
  <c r="L487" i="2"/>
  <c r="M487" i="2"/>
  <c r="N487" i="2"/>
  <c r="O487" i="2"/>
  <c r="E488" i="2"/>
  <c r="F488" i="2"/>
  <c r="G488" i="2"/>
  <c r="H488" i="2"/>
  <c r="I488" i="2"/>
  <c r="J488" i="2"/>
  <c r="K488" i="2"/>
  <c r="L488" i="2"/>
  <c r="M488" i="2"/>
  <c r="N488" i="2"/>
  <c r="O488" i="2"/>
  <c r="E489" i="2"/>
  <c r="F489" i="2"/>
  <c r="G489" i="2"/>
  <c r="H489" i="2"/>
  <c r="I489" i="2"/>
  <c r="J489" i="2"/>
  <c r="K489" i="2"/>
  <c r="L489" i="2"/>
  <c r="M489" i="2"/>
  <c r="N489" i="2"/>
  <c r="O489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C77" i="1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37" i="2"/>
  <c r="C60" i="1"/>
  <c r="E60" i="1"/>
  <c r="Q431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2" i="2"/>
  <c r="Q409" i="2"/>
  <c r="F51" i="1"/>
  <c r="D410" i="2"/>
  <c r="E410" i="2"/>
  <c r="F410" i="2"/>
  <c r="G410" i="2"/>
  <c r="H410" i="2"/>
  <c r="I410" i="2"/>
  <c r="J410" i="2"/>
  <c r="K410" i="2"/>
  <c r="L410" i="2"/>
  <c r="M410" i="2"/>
  <c r="N410" i="2"/>
  <c r="D411" i="2"/>
  <c r="E411" i="2"/>
  <c r="F411" i="2"/>
  <c r="G411" i="2"/>
  <c r="H411" i="2"/>
  <c r="I411" i="2"/>
  <c r="J411" i="2"/>
  <c r="K411" i="2"/>
  <c r="L411" i="2"/>
  <c r="M411" i="2"/>
  <c r="N411" i="2"/>
  <c r="D412" i="2"/>
  <c r="E412" i="2"/>
  <c r="F412" i="2"/>
  <c r="G412" i="2"/>
  <c r="H412" i="2"/>
  <c r="I412" i="2"/>
  <c r="J412" i="2"/>
  <c r="K412" i="2"/>
  <c r="L412" i="2"/>
  <c r="M412" i="2"/>
  <c r="N412" i="2"/>
  <c r="D413" i="2"/>
  <c r="E413" i="2"/>
  <c r="F413" i="2"/>
  <c r="G413" i="2"/>
  <c r="H413" i="2"/>
  <c r="I413" i="2"/>
  <c r="J413" i="2"/>
  <c r="K413" i="2"/>
  <c r="L413" i="2"/>
  <c r="M413" i="2"/>
  <c r="N413" i="2"/>
  <c r="D414" i="2"/>
  <c r="E414" i="2"/>
  <c r="F414" i="2"/>
  <c r="G414" i="2"/>
  <c r="H414" i="2"/>
  <c r="I414" i="2"/>
  <c r="J414" i="2"/>
  <c r="K414" i="2"/>
  <c r="L414" i="2"/>
  <c r="M414" i="2"/>
  <c r="N414" i="2"/>
  <c r="D415" i="2"/>
  <c r="E415" i="2"/>
  <c r="F415" i="2"/>
  <c r="G415" i="2"/>
  <c r="H415" i="2"/>
  <c r="I415" i="2"/>
  <c r="J415" i="2"/>
  <c r="K415" i="2"/>
  <c r="L415" i="2"/>
  <c r="M415" i="2"/>
  <c r="N415" i="2"/>
  <c r="D416" i="2"/>
  <c r="E416" i="2"/>
  <c r="F416" i="2"/>
  <c r="G416" i="2"/>
  <c r="H416" i="2"/>
  <c r="I416" i="2"/>
  <c r="J416" i="2"/>
  <c r="K416" i="2"/>
  <c r="L416" i="2"/>
  <c r="M416" i="2"/>
  <c r="N416" i="2"/>
  <c r="D417" i="2"/>
  <c r="E417" i="2"/>
  <c r="F417" i="2"/>
  <c r="G417" i="2"/>
  <c r="H417" i="2"/>
  <c r="I417" i="2"/>
  <c r="J417" i="2"/>
  <c r="K417" i="2"/>
  <c r="L417" i="2"/>
  <c r="M417" i="2"/>
  <c r="N417" i="2"/>
  <c r="D418" i="2"/>
  <c r="E418" i="2"/>
  <c r="F418" i="2"/>
  <c r="G418" i="2"/>
  <c r="H418" i="2"/>
  <c r="I418" i="2"/>
  <c r="J418" i="2"/>
  <c r="K418" i="2"/>
  <c r="L418" i="2"/>
  <c r="M418" i="2"/>
  <c r="N418" i="2"/>
  <c r="D419" i="2"/>
  <c r="E419" i="2"/>
  <c r="F419" i="2"/>
  <c r="G419" i="2"/>
  <c r="H419" i="2"/>
  <c r="I419" i="2"/>
  <c r="J419" i="2"/>
  <c r="K419" i="2"/>
  <c r="L419" i="2"/>
  <c r="M419" i="2"/>
  <c r="N419" i="2"/>
  <c r="D420" i="2"/>
  <c r="E420" i="2"/>
  <c r="F420" i="2"/>
  <c r="G420" i="2"/>
  <c r="H420" i="2"/>
  <c r="I420" i="2"/>
  <c r="J420" i="2"/>
  <c r="K420" i="2"/>
  <c r="L420" i="2"/>
  <c r="M420" i="2"/>
  <c r="N420" i="2"/>
  <c r="D421" i="2"/>
  <c r="E421" i="2"/>
  <c r="F421" i="2"/>
  <c r="G421" i="2"/>
  <c r="H421" i="2"/>
  <c r="I421" i="2"/>
  <c r="J421" i="2"/>
  <c r="K421" i="2"/>
  <c r="L421" i="2"/>
  <c r="M421" i="2"/>
  <c r="N421" i="2"/>
  <c r="D422" i="2"/>
  <c r="E422" i="2"/>
  <c r="F422" i="2"/>
  <c r="G422" i="2"/>
  <c r="H422" i="2"/>
  <c r="I422" i="2"/>
  <c r="J422" i="2"/>
  <c r="K422" i="2"/>
  <c r="L422" i="2"/>
  <c r="M422" i="2"/>
  <c r="N422" i="2"/>
  <c r="D423" i="2"/>
  <c r="E423" i="2"/>
  <c r="F423" i="2"/>
  <c r="G423" i="2"/>
  <c r="H423" i="2"/>
  <c r="I423" i="2"/>
  <c r="J423" i="2"/>
  <c r="K423" i="2"/>
  <c r="L423" i="2"/>
  <c r="M423" i="2"/>
  <c r="N423" i="2"/>
  <c r="D424" i="2"/>
  <c r="E424" i="2"/>
  <c r="F424" i="2"/>
  <c r="G424" i="2"/>
  <c r="H424" i="2"/>
  <c r="I424" i="2"/>
  <c r="J424" i="2"/>
  <c r="K424" i="2"/>
  <c r="L424" i="2"/>
  <c r="M424" i="2"/>
  <c r="N424" i="2"/>
  <c r="D425" i="2"/>
  <c r="E425" i="2"/>
  <c r="F425" i="2"/>
  <c r="G425" i="2"/>
  <c r="H425" i="2"/>
  <c r="I425" i="2"/>
  <c r="J425" i="2"/>
  <c r="K425" i="2"/>
  <c r="L425" i="2"/>
  <c r="M425" i="2"/>
  <c r="N425" i="2"/>
  <c r="D426" i="2"/>
  <c r="E426" i="2"/>
  <c r="F426" i="2"/>
  <c r="G426" i="2"/>
  <c r="H426" i="2"/>
  <c r="I426" i="2"/>
  <c r="J426" i="2"/>
  <c r="K426" i="2"/>
  <c r="L426" i="2"/>
  <c r="M426" i="2"/>
  <c r="N426" i="2"/>
  <c r="D427" i="2"/>
  <c r="E427" i="2"/>
  <c r="F427" i="2"/>
  <c r="G427" i="2"/>
  <c r="H427" i="2"/>
  <c r="I427" i="2"/>
  <c r="J427" i="2"/>
  <c r="K427" i="2"/>
  <c r="L427" i="2"/>
  <c r="M427" i="2"/>
  <c r="N427" i="2"/>
  <c r="D428" i="2"/>
  <c r="E428" i="2"/>
  <c r="F428" i="2"/>
  <c r="G428" i="2"/>
  <c r="H428" i="2"/>
  <c r="I428" i="2"/>
  <c r="J428" i="2"/>
  <c r="K428" i="2"/>
  <c r="L428" i="2"/>
  <c r="M428" i="2"/>
  <c r="N428" i="2"/>
  <c r="D429" i="2"/>
  <c r="E429" i="2"/>
  <c r="F429" i="2"/>
  <c r="G429" i="2"/>
  <c r="H429" i="2"/>
  <c r="I429" i="2"/>
  <c r="J429" i="2"/>
  <c r="K429" i="2"/>
  <c r="L429" i="2"/>
  <c r="M429" i="2"/>
  <c r="N429" i="2"/>
  <c r="D430" i="2"/>
  <c r="E430" i="2"/>
  <c r="F430" i="2"/>
  <c r="G430" i="2"/>
  <c r="H430" i="2"/>
  <c r="I430" i="2"/>
  <c r="J430" i="2"/>
  <c r="K430" i="2"/>
  <c r="L430" i="2"/>
  <c r="M430" i="2"/>
  <c r="N430" i="2"/>
  <c r="D431" i="2"/>
  <c r="E431" i="2"/>
  <c r="F431" i="2"/>
  <c r="G431" i="2"/>
  <c r="H431" i="2"/>
  <c r="I431" i="2"/>
  <c r="J431" i="2"/>
  <c r="K431" i="2"/>
  <c r="L431" i="2"/>
  <c r="M431" i="2"/>
  <c r="N431" i="2"/>
  <c r="D432" i="2"/>
  <c r="E432" i="2"/>
  <c r="F432" i="2"/>
  <c r="G432" i="2"/>
  <c r="H432" i="2"/>
  <c r="I432" i="2"/>
  <c r="J432" i="2"/>
  <c r="K432" i="2"/>
  <c r="L432" i="2"/>
  <c r="M432" i="2"/>
  <c r="N432" i="2"/>
  <c r="N409" i="2"/>
  <c r="M409" i="2"/>
  <c r="L409" i="2"/>
  <c r="K409" i="2"/>
  <c r="J409" i="2"/>
  <c r="I409" i="2"/>
  <c r="H409" i="2"/>
  <c r="G409" i="2"/>
  <c r="F409" i="2"/>
  <c r="E409" i="2"/>
  <c r="D409" i="2"/>
  <c r="D403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G45" i="1"/>
  <c r="G44" i="1"/>
  <c r="G43" i="1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K403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I381" i="2"/>
  <c r="I382" i="2"/>
  <c r="I383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AE4" i="2"/>
  <c r="O438" i="2" s="1"/>
  <c r="AE5" i="2"/>
  <c r="O439" i="2" s="1"/>
  <c r="AE6" i="2"/>
  <c r="O440" i="2" s="1"/>
  <c r="AE7" i="2"/>
  <c r="O441" i="2" s="1"/>
  <c r="AE8" i="2"/>
  <c r="O442" i="2" s="1"/>
  <c r="AE9" i="2"/>
  <c r="O443" i="2" s="1"/>
  <c r="AE10" i="2"/>
  <c r="O444" i="2" s="1"/>
  <c r="AE11" i="2"/>
  <c r="O445" i="2" s="1"/>
  <c r="AE12" i="2"/>
  <c r="O446" i="2" s="1"/>
  <c r="AE13" i="2"/>
  <c r="O447" i="2" s="1"/>
  <c r="AE14" i="2"/>
  <c r="O448" i="2" s="1"/>
  <c r="AE15" i="2"/>
  <c r="O449" i="2" s="1"/>
  <c r="AE16" i="2"/>
  <c r="O450" i="2" s="1"/>
  <c r="AE17" i="2"/>
  <c r="O451" i="2" s="1"/>
  <c r="AE18" i="2"/>
  <c r="O452" i="2" s="1"/>
  <c r="AE19" i="2"/>
  <c r="O453" i="2" s="1"/>
  <c r="AE20" i="2"/>
  <c r="O454" i="2" s="1"/>
  <c r="AE21" i="2"/>
  <c r="O455" i="2" s="1"/>
  <c r="AE22" i="2"/>
  <c r="O456" i="2" s="1"/>
  <c r="AE23" i="2"/>
  <c r="O457" i="2" s="1"/>
  <c r="AE24" i="2"/>
  <c r="O458" i="2" s="1"/>
  <c r="AE25" i="2"/>
  <c r="O459" i="2" s="1"/>
  <c r="AE26" i="2"/>
  <c r="O460" i="2" s="1"/>
  <c r="AE3" i="2"/>
  <c r="O437" i="2" s="1"/>
  <c r="D363" i="2"/>
  <c r="E363" i="2"/>
  <c r="F363" i="2"/>
  <c r="G363" i="2"/>
  <c r="H363" i="2"/>
  <c r="I363" i="2"/>
  <c r="J363" i="2"/>
  <c r="K363" i="2"/>
  <c r="L363" i="2"/>
  <c r="M363" i="2"/>
  <c r="N363" i="2"/>
  <c r="O363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C373" i="2"/>
  <c r="C372" i="2"/>
  <c r="C371" i="2"/>
  <c r="C370" i="2"/>
  <c r="C369" i="2"/>
  <c r="C368" i="2"/>
  <c r="C367" i="2"/>
  <c r="C366" i="2"/>
  <c r="C365" i="2"/>
  <c r="C364" i="2"/>
  <c r="C363" i="2"/>
  <c r="D36" i="1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R347" i="2"/>
  <c r="S347" i="2"/>
  <c r="T347" i="2"/>
  <c r="U347" i="2"/>
  <c r="W347" i="2"/>
  <c r="X347" i="2"/>
  <c r="Y347" i="2"/>
  <c r="Z347" i="2"/>
  <c r="AA347" i="2"/>
  <c r="AB347" i="2"/>
  <c r="AC347" i="2"/>
  <c r="AD347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R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C335" i="2"/>
  <c r="D335" i="2"/>
  <c r="E335" i="2"/>
  <c r="F335" i="2"/>
  <c r="H335" i="2"/>
  <c r="I335" i="2"/>
  <c r="J335" i="2"/>
  <c r="K335" i="2"/>
  <c r="L335" i="2"/>
  <c r="M335" i="2"/>
  <c r="N335" i="2"/>
  <c r="O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C340" i="2"/>
  <c r="D340" i="2"/>
  <c r="E340" i="2"/>
  <c r="F340" i="2"/>
  <c r="G340" i="2"/>
  <c r="I340" i="2"/>
  <c r="J340" i="2"/>
  <c r="K340" i="2"/>
  <c r="L340" i="2"/>
  <c r="M340" i="2"/>
  <c r="N340" i="2"/>
  <c r="O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C332" i="2"/>
  <c r="D69" i="1"/>
  <c r="D70" i="1"/>
  <c r="D71" i="1"/>
  <c r="C70" i="1"/>
  <c r="C71" i="1"/>
  <c r="C69" i="1"/>
  <c r="E30" i="1"/>
  <c r="C61" i="1"/>
  <c r="E61" i="1"/>
  <c r="E62" i="1"/>
  <c r="F53" i="1"/>
  <c r="F52" i="1"/>
  <c r="C52" i="1"/>
  <c r="C53" i="1"/>
  <c r="C51" i="1"/>
  <c r="D44" i="1"/>
  <c r="D45" i="1"/>
  <c r="D43" i="1"/>
  <c r="C44" i="1"/>
  <c r="C45" i="1"/>
  <c r="C43" i="1"/>
  <c r="I36" i="1"/>
  <c r="J36" i="1"/>
  <c r="H36" i="1"/>
  <c r="E36" i="1"/>
  <c r="C36" i="1"/>
  <c r="H29" i="1"/>
  <c r="I29" i="1"/>
  <c r="J29" i="1"/>
  <c r="H30" i="1"/>
  <c r="I30" i="1"/>
  <c r="J30" i="1"/>
  <c r="I28" i="1"/>
  <c r="J28" i="1"/>
  <c r="H28" i="1"/>
  <c r="C29" i="1"/>
  <c r="D29" i="1"/>
  <c r="E29" i="1"/>
  <c r="C30" i="1"/>
  <c r="D30" i="1"/>
  <c r="D28" i="1"/>
  <c r="E28" i="1"/>
  <c r="K6" i="1"/>
  <c r="K7" i="1"/>
  <c r="K5" i="1"/>
  <c r="H43" i="1" s="1"/>
  <c r="V662" i="7" l="1"/>
  <c r="BK251" i="7"/>
  <c r="V618" i="7"/>
  <c r="BK207" i="7"/>
  <c r="C1058" i="7"/>
  <c r="V1058" i="7"/>
  <c r="C1014" i="7"/>
  <c r="V1014" i="7"/>
  <c r="V970" i="7"/>
  <c r="C970" i="7"/>
  <c r="C926" i="7"/>
  <c r="V926" i="7"/>
  <c r="C882" i="7"/>
  <c r="V882" i="7"/>
  <c r="V838" i="7"/>
  <c r="C838" i="7"/>
  <c r="V794" i="7"/>
  <c r="C794" i="7"/>
  <c r="V574" i="7"/>
  <c r="V160" i="7"/>
  <c r="AI227" i="7"/>
  <c r="AJ227" i="7"/>
  <c r="AK227" i="7"/>
  <c r="AD227" i="7"/>
  <c r="AH227" i="7"/>
  <c r="AG227" i="7"/>
  <c r="AF227" i="7"/>
  <c r="AE227" i="7"/>
  <c r="AC227" i="7"/>
  <c r="AB227" i="7"/>
  <c r="AA227" i="7"/>
  <c r="Z227" i="7"/>
  <c r="Y227" i="7"/>
  <c r="X227" i="7"/>
  <c r="W227" i="7"/>
  <c r="Z228" i="7"/>
  <c r="Y228" i="7"/>
  <c r="X228" i="7"/>
  <c r="AC228" i="7"/>
  <c r="AD228" i="7"/>
  <c r="AE228" i="7"/>
  <c r="AF228" i="7"/>
  <c r="W228" i="7"/>
  <c r="AG228" i="7"/>
  <c r="AH228" i="7"/>
  <c r="AI228" i="7"/>
  <c r="AK228" i="7"/>
  <c r="AJ228" i="7"/>
  <c r="AB228" i="7"/>
  <c r="AA228" i="7"/>
  <c r="X229" i="7"/>
  <c r="W229" i="7"/>
  <c r="AB229" i="7"/>
  <c r="AA229" i="7"/>
  <c r="AI229" i="7"/>
  <c r="AJ229" i="7"/>
  <c r="AK229" i="7"/>
  <c r="AG229" i="7"/>
  <c r="AE229" i="7"/>
  <c r="AD229" i="7"/>
  <c r="AF229" i="7"/>
  <c r="AC229" i="7"/>
  <c r="Z229" i="7"/>
  <c r="Y229" i="7"/>
  <c r="AH229" i="7"/>
  <c r="AA230" i="7"/>
  <c r="Z230" i="7"/>
  <c r="Y230" i="7"/>
  <c r="X230" i="7"/>
  <c r="W230" i="7"/>
  <c r="AI230" i="7"/>
  <c r="AK230" i="7"/>
  <c r="AJ230" i="7"/>
  <c r="AH230" i="7"/>
  <c r="AG230" i="7"/>
  <c r="AF230" i="7"/>
  <c r="AE230" i="7"/>
  <c r="AD230" i="7"/>
  <c r="AC230" i="7"/>
  <c r="AB230" i="7"/>
  <c r="W231" i="7"/>
  <c r="AJ231" i="7"/>
  <c r="AI231" i="7"/>
  <c r="AH231" i="7"/>
  <c r="AG231" i="7"/>
  <c r="AF231" i="7"/>
  <c r="AE231" i="7"/>
  <c r="AK231" i="7"/>
  <c r="AD231" i="7"/>
  <c r="AC231" i="7"/>
  <c r="AB231" i="7"/>
  <c r="AA231" i="7"/>
  <c r="Z231" i="7"/>
  <c r="Y231" i="7"/>
  <c r="X231" i="7"/>
  <c r="AD232" i="7"/>
  <c r="AE232" i="7"/>
  <c r="AF232" i="7"/>
  <c r="AG232" i="7"/>
  <c r="AH232" i="7"/>
  <c r="AI232" i="7"/>
  <c r="AJ232" i="7"/>
  <c r="AK232" i="7"/>
  <c r="W232" i="7"/>
  <c r="X232" i="7"/>
  <c r="Y232" i="7"/>
  <c r="Z232" i="7"/>
  <c r="AA232" i="7"/>
  <c r="AB232" i="7"/>
  <c r="AC232" i="7"/>
  <c r="W233" i="7"/>
  <c r="X233" i="7"/>
  <c r="Z233" i="7"/>
  <c r="AA233" i="7"/>
  <c r="AB233" i="7"/>
  <c r="AC233" i="7"/>
  <c r="AD233" i="7"/>
  <c r="Y233" i="7"/>
  <c r="AK233" i="7"/>
  <c r="AJ233" i="7"/>
  <c r="AI233" i="7"/>
  <c r="AE233" i="7"/>
  <c r="AH233" i="7"/>
  <c r="AG233" i="7"/>
  <c r="AF233" i="7"/>
  <c r="AK234" i="7"/>
  <c r="AB234" i="7"/>
  <c r="AA234" i="7"/>
  <c r="Z234" i="7"/>
  <c r="Y234" i="7"/>
  <c r="X234" i="7"/>
  <c r="W234" i="7"/>
  <c r="AC234" i="7"/>
  <c r="AD234" i="7"/>
  <c r="AE234" i="7"/>
  <c r="AF234" i="7"/>
  <c r="AG234" i="7"/>
  <c r="AH234" i="7"/>
  <c r="AJ234" i="7"/>
  <c r="AI234" i="7"/>
  <c r="AB235" i="7"/>
  <c r="AA235" i="7"/>
  <c r="Z235" i="7"/>
  <c r="Y235" i="7"/>
  <c r="X235" i="7"/>
  <c r="W235" i="7"/>
  <c r="AF235" i="7"/>
  <c r="AK235" i="7"/>
  <c r="AJ235" i="7"/>
  <c r="AI235" i="7"/>
  <c r="AH235" i="7"/>
  <c r="AG235" i="7"/>
  <c r="AE235" i="7"/>
  <c r="AD235" i="7"/>
  <c r="AC235" i="7"/>
  <c r="AB236" i="7"/>
  <c r="W236" i="7"/>
  <c r="AA236" i="7"/>
  <c r="Z236" i="7"/>
  <c r="Y236" i="7"/>
  <c r="AK236" i="7"/>
  <c r="AJ236" i="7"/>
  <c r="X236" i="7"/>
  <c r="AI236" i="7"/>
  <c r="AH236" i="7"/>
  <c r="AG236" i="7"/>
  <c r="AF236" i="7"/>
  <c r="AE236" i="7"/>
  <c r="AD236" i="7"/>
  <c r="AC236" i="7"/>
  <c r="W237" i="7"/>
  <c r="AI237" i="7"/>
  <c r="AJ237" i="7"/>
  <c r="AK237" i="7"/>
  <c r="AH237" i="7"/>
  <c r="AA237" i="7"/>
  <c r="Z237" i="7"/>
  <c r="X237" i="7"/>
  <c r="Y237" i="7"/>
  <c r="AB237" i="7"/>
  <c r="AC237" i="7"/>
  <c r="AD237" i="7"/>
  <c r="AE237" i="7"/>
  <c r="AF237" i="7"/>
  <c r="AG237" i="7"/>
  <c r="AE238" i="7"/>
  <c r="Y238" i="7"/>
  <c r="X238" i="7"/>
  <c r="W238" i="7"/>
  <c r="Z238" i="7"/>
  <c r="AA238" i="7"/>
  <c r="AB238" i="7"/>
  <c r="AC238" i="7"/>
  <c r="AD238" i="7"/>
  <c r="AF238" i="7"/>
  <c r="AH238" i="7"/>
  <c r="AI238" i="7"/>
  <c r="AJ238" i="7"/>
  <c r="AK238" i="7"/>
  <c r="AG238" i="7"/>
  <c r="AD239" i="7"/>
  <c r="AC239" i="7"/>
  <c r="AB239" i="7"/>
  <c r="AA239" i="7"/>
  <c r="X239" i="7"/>
  <c r="W239" i="7"/>
  <c r="Y239" i="7"/>
  <c r="Z239" i="7"/>
  <c r="AE239" i="7"/>
  <c r="AI239" i="7"/>
  <c r="AJ239" i="7"/>
  <c r="AK239" i="7"/>
  <c r="AH239" i="7"/>
  <c r="AF239" i="7"/>
  <c r="AG239" i="7"/>
  <c r="Y240" i="7"/>
  <c r="Z240" i="7"/>
  <c r="AA240" i="7"/>
  <c r="AB240" i="7"/>
  <c r="AD240" i="7"/>
  <c r="AE240" i="7"/>
  <c r="AF240" i="7"/>
  <c r="AG240" i="7"/>
  <c r="AH240" i="7"/>
  <c r="AI240" i="7"/>
  <c r="AJ240" i="7"/>
  <c r="AK240" i="7"/>
  <c r="AC240" i="7"/>
  <c r="W240" i="7"/>
  <c r="X240" i="7"/>
  <c r="Z241" i="7"/>
  <c r="AA241" i="7"/>
  <c r="AB241" i="7"/>
  <c r="AC241" i="7"/>
  <c r="AD241" i="7"/>
  <c r="AF241" i="7"/>
  <c r="AG241" i="7"/>
  <c r="AH241" i="7"/>
  <c r="AI241" i="7"/>
  <c r="AJ241" i="7"/>
  <c r="AK241" i="7"/>
  <c r="Y241" i="7"/>
  <c r="AE241" i="7"/>
  <c r="W241" i="7"/>
  <c r="X241" i="7"/>
  <c r="AE242" i="7"/>
  <c r="AH242" i="7"/>
  <c r="W242" i="7"/>
  <c r="X242" i="7"/>
  <c r="Y242" i="7"/>
  <c r="Z242" i="7"/>
  <c r="AA242" i="7"/>
  <c r="AB242" i="7"/>
  <c r="AC242" i="7"/>
  <c r="AD242" i="7"/>
  <c r="AF242" i="7"/>
  <c r="AG242" i="7"/>
  <c r="AK242" i="7"/>
  <c r="AI242" i="7"/>
  <c r="AJ242" i="7"/>
  <c r="AA243" i="7"/>
  <c r="AB243" i="7"/>
  <c r="AC243" i="7"/>
  <c r="Z243" i="7"/>
  <c r="AD243" i="7"/>
  <c r="AE243" i="7"/>
  <c r="AF243" i="7"/>
  <c r="AG243" i="7"/>
  <c r="AH243" i="7"/>
  <c r="AI243" i="7"/>
  <c r="AK243" i="7"/>
  <c r="AJ243" i="7"/>
  <c r="W243" i="7"/>
  <c r="X243" i="7"/>
  <c r="Y243" i="7"/>
  <c r="W244" i="7"/>
  <c r="AA244" i="7"/>
  <c r="AB244" i="7"/>
  <c r="AC244" i="7"/>
  <c r="AD244" i="7"/>
  <c r="AE244" i="7"/>
  <c r="AF244" i="7"/>
  <c r="Z244" i="7"/>
  <c r="AH244" i="7"/>
  <c r="AI244" i="7"/>
  <c r="AJ244" i="7"/>
  <c r="X244" i="7"/>
  <c r="AK244" i="7"/>
  <c r="Y244" i="7"/>
  <c r="AG244" i="7"/>
  <c r="AG245" i="7"/>
  <c r="AH245" i="7"/>
  <c r="AI245" i="7"/>
  <c r="AJ245" i="7"/>
  <c r="AK245" i="7"/>
  <c r="Y245" i="7"/>
  <c r="W245" i="7"/>
  <c r="X245" i="7"/>
  <c r="Z245" i="7"/>
  <c r="AA245" i="7"/>
  <c r="AB245" i="7"/>
  <c r="AC245" i="7"/>
  <c r="AD245" i="7"/>
  <c r="AE245" i="7"/>
  <c r="AF245" i="7"/>
  <c r="AB246" i="7"/>
  <c r="AC246" i="7"/>
  <c r="AD246" i="7"/>
  <c r="AE246" i="7"/>
  <c r="AF246" i="7"/>
  <c r="AG246" i="7"/>
  <c r="AH246" i="7"/>
  <c r="AI246" i="7"/>
  <c r="AJ246" i="7"/>
  <c r="AK246" i="7"/>
  <c r="W246" i="7"/>
  <c r="X246" i="7"/>
  <c r="Y246" i="7"/>
  <c r="Z246" i="7"/>
  <c r="AA246" i="7"/>
  <c r="W247" i="7"/>
  <c r="X247" i="7"/>
  <c r="Y247" i="7"/>
  <c r="AK247" i="7"/>
  <c r="Z247" i="7"/>
  <c r="AA247" i="7"/>
  <c r="AC247" i="7"/>
  <c r="AD247" i="7"/>
  <c r="AE247" i="7"/>
  <c r="AF247" i="7"/>
  <c r="AH247" i="7"/>
  <c r="AI247" i="7"/>
  <c r="AJ247" i="7"/>
  <c r="AB247" i="7"/>
  <c r="AG247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K248" i="7"/>
  <c r="AJ248" i="7"/>
  <c r="W249" i="7"/>
  <c r="X249" i="7"/>
  <c r="Y249" i="7"/>
  <c r="Z249" i="7"/>
  <c r="AA249" i="7"/>
  <c r="AC249" i="7"/>
  <c r="AD249" i="7"/>
  <c r="AE249" i="7"/>
  <c r="AK249" i="7"/>
  <c r="AJ249" i="7"/>
  <c r="AI249" i="7"/>
  <c r="AH249" i="7"/>
  <c r="AF249" i="7"/>
  <c r="AG249" i="7"/>
  <c r="AB249" i="7"/>
  <c r="Z250" i="7"/>
  <c r="AF250" i="7"/>
  <c r="AE250" i="7"/>
  <c r="AD250" i="7"/>
  <c r="AC250" i="7"/>
  <c r="AB250" i="7"/>
  <c r="AA250" i="7"/>
  <c r="Y250" i="7"/>
  <c r="X250" i="7"/>
  <c r="W250" i="7"/>
  <c r="AH250" i="7"/>
  <c r="AK250" i="7"/>
  <c r="AJ250" i="7"/>
  <c r="AI250" i="7"/>
  <c r="AG250" i="7"/>
  <c r="AH251" i="7"/>
  <c r="AK251" i="7"/>
  <c r="X251" i="7"/>
  <c r="Y251" i="7"/>
  <c r="Z251" i="7"/>
  <c r="AA251" i="7"/>
  <c r="AB251" i="7"/>
  <c r="AC251" i="7"/>
  <c r="AD251" i="7"/>
  <c r="AE251" i="7"/>
  <c r="AF251" i="7"/>
  <c r="AG251" i="7"/>
  <c r="AI251" i="7"/>
  <c r="AJ251" i="7"/>
  <c r="W251" i="7"/>
  <c r="Z252" i="7"/>
  <c r="AB252" i="7"/>
  <c r="Y252" i="7"/>
  <c r="AC252" i="7"/>
  <c r="AD252" i="7"/>
  <c r="AE252" i="7"/>
  <c r="AK252" i="7"/>
  <c r="AF252" i="7"/>
  <c r="AA252" i="7"/>
  <c r="X252" i="7"/>
  <c r="AG252" i="7"/>
  <c r="AJ252" i="7"/>
  <c r="AI252" i="7"/>
  <c r="AH252" i="7"/>
  <c r="W252" i="7"/>
  <c r="AE253" i="7"/>
  <c r="AF253" i="7"/>
  <c r="AG253" i="7"/>
  <c r="AH253" i="7"/>
  <c r="AI253" i="7"/>
  <c r="AJ253" i="7"/>
  <c r="AK253" i="7"/>
  <c r="AB253" i="7"/>
  <c r="AA253" i="7"/>
  <c r="Y253" i="7"/>
  <c r="W253" i="7"/>
  <c r="X253" i="7"/>
  <c r="Z253" i="7"/>
  <c r="AC253" i="7"/>
  <c r="AD253" i="7"/>
  <c r="AD254" i="7"/>
  <c r="AE254" i="7"/>
  <c r="AF254" i="7"/>
  <c r="AG254" i="7"/>
  <c r="AH254" i="7"/>
  <c r="AI254" i="7"/>
  <c r="AJ254" i="7"/>
  <c r="AK254" i="7"/>
  <c r="AC254" i="7"/>
  <c r="W254" i="7"/>
  <c r="X254" i="7"/>
  <c r="Y254" i="7"/>
  <c r="Z254" i="7"/>
  <c r="AA254" i="7"/>
  <c r="AB254" i="7"/>
  <c r="W255" i="7"/>
  <c r="AI255" i="7"/>
  <c r="X255" i="7"/>
  <c r="Y255" i="7"/>
  <c r="Z255" i="7"/>
  <c r="AA255" i="7"/>
  <c r="AB255" i="7"/>
  <c r="AC255" i="7"/>
  <c r="AD255" i="7"/>
  <c r="AE255" i="7"/>
  <c r="AF255" i="7"/>
  <c r="AG255" i="7"/>
  <c r="AH255" i="7"/>
  <c r="AK255" i="7"/>
  <c r="AJ255" i="7"/>
  <c r="AE256" i="7"/>
  <c r="AF256" i="7"/>
  <c r="AG256" i="7"/>
  <c r="AH256" i="7"/>
  <c r="AI256" i="7"/>
  <c r="AK256" i="7"/>
  <c r="AJ256" i="7"/>
  <c r="AD256" i="7"/>
  <c r="W256" i="7"/>
  <c r="X256" i="7"/>
  <c r="Y256" i="7"/>
  <c r="Z256" i="7"/>
  <c r="AA256" i="7"/>
  <c r="AB256" i="7"/>
  <c r="AC256" i="7"/>
  <c r="AD257" i="7"/>
  <c r="AK257" i="7"/>
  <c r="AJ257" i="7"/>
  <c r="AI257" i="7"/>
  <c r="AH257" i="7"/>
  <c r="AG257" i="7"/>
  <c r="AF257" i="7"/>
  <c r="AE257" i="7"/>
  <c r="AC257" i="7"/>
  <c r="AB257" i="7"/>
  <c r="AA257" i="7"/>
  <c r="Z257" i="7"/>
  <c r="Y257" i="7"/>
  <c r="X257" i="7"/>
  <c r="W257" i="7"/>
  <c r="AA258" i="7"/>
  <c r="Z258" i="7"/>
  <c r="Y258" i="7"/>
  <c r="X258" i="7"/>
  <c r="W258" i="7"/>
  <c r="AI258" i="7"/>
  <c r="AE258" i="7"/>
  <c r="AH258" i="7"/>
  <c r="AF258" i="7"/>
  <c r="AG258" i="7"/>
  <c r="AD258" i="7"/>
  <c r="AK258" i="7"/>
  <c r="AB258" i="7"/>
  <c r="AC258" i="7"/>
  <c r="AJ258" i="7"/>
  <c r="AK259" i="7"/>
  <c r="AJ259" i="7"/>
  <c r="AI259" i="7"/>
  <c r="AH259" i="7"/>
  <c r="AG259" i="7"/>
  <c r="AF259" i="7"/>
  <c r="AE259" i="7"/>
  <c r="AD259" i="7"/>
  <c r="AB259" i="7"/>
  <c r="AA259" i="7"/>
  <c r="Z259" i="7"/>
  <c r="Y259" i="7"/>
  <c r="X259" i="7"/>
  <c r="AC259" i="7"/>
  <c r="W259" i="7"/>
  <c r="AE260" i="7"/>
  <c r="AF260" i="7"/>
  <c r="AD260" i="7"/>
  <c r="AB260" i="7"/>
  <c r="AA260" i="7"/>
  <c r="Z260" i="7"/>
  <c r="Y260" i="7"/>
  <c r="X260" i="7"/>
  <c r="AG260" i="7"/>
  <c r="AK260" i="7"/>
  <c r="AJ260" i="7"/>
  <c r="AI260" i="7"/>
  <c r="W260" i="7"/>
  <c r="AH260" i="7"/>
  <c r="AC260" i="7"/>
  <c r="AD261" i="7"/>
  <c r="AC261" i="7"/>
  <c r="AB261" i="7"/>
  <c r="AA261" i="7"/>
  <c r="Z261" i="7"/>
  <c r="Y261" i="7"/>
  <c r="W261" i="7"/>
  <c r="X261" i="7"/>
  <c r="AK261" i="7"/>
  <c r="AJ261" i="7"/>
  <c r="AI261" i="7"/>
  <c r="AH261" i="7"/>
  <c r="AG261" i="7"/>
  <c r="AF261" i="7"/>
  <c r="AE261" i="7"/>
  <c r="AA262" i="7"/>
  <c r="AB262" i="7"/>
  <c r="AC262" i="7"/>
  <c r="AD262" i="7"/>
  <c r="AE262" i="7"/>
  <c r="AF262" i="7"/>
  <c r="AK262" i="7"/>
  <c r="AJ262" i="7"/>
  <c r="AI262" i="7"/>
  <c r="AH262" i="7"/>
  <c r="AG262" i="7"/>
  <c r="W262" i="7"/>
  <c r="X262" i="7"/>
  <c r="Y262" i="7"/>
  <c r="Z262" i="7"/>
  <c r="AD263" i="7"/>
  <c r="AF263" i="7"/>
  <c r="AG263" i="7"/>
  <c r="AJ263" i="7"/>
  <c r="AK263" i="7"/>
  <c r="AE263" i="7"/>
  <c r="AH263" i="7"/>
  <c r="AI263" i="7"/>
  <c r="W263" i="7"/>
  <c r="X263" i="7"/>
  <c r="Y263" i="7"/>
  <c r="Z263" i="7"/>
  <c r="AA263" i="7"/>
  <c r="AB263" i="7"/>
  <c r="AC263" i="7"/>
  <c r="AH264" i="7"/>
  <c r="AA264" i="7"/>
  <c r="Z264" i="7"/>
  <c r="AB264" i="7"/>
  <c r="AC264" i="7"/>
  <c r="AD264" i="7"/>
  <c r="AE264" i="7"/>
  <c r="AF264" i="7"/>
  <c r="AG264" i="7"/>
  <c r="AI264" i="7"/>
  <c r="AJ264" i="7"/>
  <c r="AK264" i="7"/>
  <c r="W264" i="7"/>
  <c r="X264" i="7"/>
  <c r="Y264" i="7"/>
  <c r="AF265" i="7"/>
  <c r="AE265" i="7"/>
  <c r="AD265" i="7"/>
  <c r="AC265" i="7"/>
  <c r="AA265" i="7"/>
  <c r="Z265" i="7"/>
  <c r="Y265" i="7"/>
  <c r="AB265" i="7"/>
  <c r="X265" i="7"/>
  <c r="AJ265" i="7"/>
  <c r="W265" i="7"/>
  <c r="AK265" i="7"/>
  <c r="AG265" i="7"/>
  <c r="AI265" i="7"/>
  <c r="AH265" i="7"/>
  <c r="AA226" i="7"/>
  <c r="AB226" i="7"/>
  <c r="AC226" i="7"/>
  <c r="AE226" i="7"/>
  <c r="W226" i="7"/>
  <c r="AI226" i="7"/>
  <c r="AG226" i="7"/>
  <c r="AH226" i="7"/>
  <c r="AJ226" i="7"/>
  <c r="AF226" i="7"/>
  <c r="AK226" i="7"/>
  <c r="X226" i="7"/>
  <c r="Y226" i="7"/>
  <c r="Z226" i="7"/>
  <c r="AD226" i="7"/>
  <c r="C750" i="7"/>
  <c r="C706" i="7"/>
  <c r="C662" i="7"/>
  <c r="C618" i="7"/>
  <c r="B160" i="7"/>
  <c r="C574" i="7"/>
  <c r="V530" i="7"/>
  <c r="V486" i="7"/>
  <c r="C486" i="7"/>
  <c r="V443" i="7"/>
  <c r="C443" i="7"/>
  <c r="BK603" i="7"/>
  <c r="BK647" i="7"/>
  <c r="BK75" i="7"/>
  <c r="BK163" i="7"/>
  <c r="BK119" i="7"/>
  <c r="BK32" i="7"/>
  <c r="K120" i="5"/>
  <c r="L120" i="5"/>
  <c r="M120" i="5"/>
  <c r="M119" i="5"/>
  <c r="L119" i="5"/>
  <c r="K119" i="5"/>
  <c r="K118" i="5"/>
  <c r="M118" i="5"/>
  <c r="L118" i="5"/>
  <c r="M117" i="5"/>
  <c r="L117" i="5"/>
  <c r="K117" i="5"/>
  <c r="L116" i="5"/>
  <c r="K116" i="5"/>
  <c r="M116" i="5"/>
  <c r="M115" i="5"/>
  <c r="L115" i="5"/>
  <c r="L114" i="5"/>
  <c r="K114" i="5"/>
  <c r="M114" i="5"/>
  <c r="K83" i="3"/>
  <c r="L83" i="3"/>
  <c r="M83" i="3"/>
  <c r="N83" i="3"/>
  <c r="M84" i="3"/>
  <c r="L84" i="3"/>
  <c r="K84" i="3"/>
  <c r="N84" i="3"/>
  <c r="K85" i="3"/>
  <c r="L85" i="3"/>
  <c r="N85" i="3"/>
  <c r="M85" i="3"/>
  <c r="K86" i="3"/>
  <c r="L86" i="3"/>
  <c r="M86" i="3"/>
  <c r="N86" i="3"/>
  <c r="K87" i="3"/>
  <c r="L87" i="3"/>
  <c r="M87" i="3"/>
  <c r="N87" i="3"/>
  <c r="K88" i="3"/>
  <c r="L88" i="3"/>
  <c r="M88" i="3"/>
  <c r="N88" i="3"/>
  <c r="L82" i="3"/>
  <c r="M82" i="3"/>
  <c r="N82" i="3"/>
  <c r="K82" i="3"/>
  <c r="O409" i="2"/>
  <c r="AW3" i="2" s="1"/>
  <c r="O422" i="2"/>
  <c r="AW16" i="2" s="1"/>
  <c r="O429" i="2"/>
  <c r="AW23" i="2" s="1"/>
  <c r="O426" i="2"/>
  <c r="AW20" i="2" s="1"/>
  <c r="O431" i="2"/>
  <c r="AW25" i="2" s="1"/>
  <c r="O421" i="2"/>
  <c r="AW15" i="2" s="1"/>
  <c r="O427" i="2"/>
  <c r="AW21" i="2" s="1"/>
  <c r="O432" i="2"/>
  <c r="AW26" i="2" s="1"/>
  <c r="O428" i="2"/>
  <c r="AW22" i="2" s="1"/>
  <c r="O424" i="2"/>
  <c r="AW18" i="2" s="1"/>
  <c r="O430" i="2"/>
  <c r="AW24" i="2" s="1"/>
  <c r="O425" i="2"/>
  <c r="AW19" i="2" s="1"/>
  <c r="O410" i="2"/>
  <c r="AW4" i="2" s="1"/>
  <c r="O411" i="2"/>
  <c r="AW5" i="2" s="1"/>
  <c r="O412" i="2"/>
  <c r="AW6" i="2" s="1"/>
  <c r="O413" i="2"/>
  <c r="AW7" i="2" s="1"/>
  <c r="O414" i="2"/>
  <c r="AW8" i="2" s="1"/>
  <c r="O415" i="2"/>
  <c r="AW9" i="2" s="1"/>
  <c r="O416" i="2"/>
  <c r="AW10" i="2" s="1"/>
  <c r="O417" i="2"/>
  <c r="AW11" i="2" s="1"/>
  <c r="O418" i="2"/>
  <c r="AW12" i="2" s="1"/>
  <c r="O419" i="2"/>
  <c r="AW13" i="2" s="1"/>
  <c r="O420" i="2"/>
  <c r="AW14" i="2" s="1"/>
  <c r="O423" i="2"/>
  <c r="AW17" i="2" s="1"/>
  <c r="R387" i="2"/>
  <c r="S387" i="2"/>
  <c r="T387" i="2"/>
  <c r="U387" i="2"/>
  <c r="V387" i="2"/>
  <c r="W387" i="2"/>
  <c r="X387" i="2"/>
  <c r="Y387" i="2"/>
  <c r="Z387" i="2"/>
  <c r="AA387" i="2"/>
  <c r="AB387" i="2"/>
  <c r="AC387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R393" i="2"/>
  <c r="S393" i="2"/>
  <c r="Y394" i="2"/>
  <c r="Z394" i="2"/>
  <c r="AA394" i="2"/>
  <c r="AB394" i="2"/>
  <c r="AC394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R400" i="2"/>
  <c r="S400" i="2"/>
  <c r="T400" i="2"/>
  <c r="U400" i="2"/>
  <c r="W400" i="2"/>
  <c r="X400" i="2"/>
  <c r="Y400" i="2"/>
  <c r="Z400" i="2"/>
  <c r="AA400" i="2"/>
  <c r="AB400" i="2"/>
  <c r="AC400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S380" i="2"/>
  <c r="T380" i="2"/>
  <c r="U380" i="2"/>
  <c r="V380" i="2"/>
  <c r="W380" i="2"/>
  <c r="X380" i="2"/>
  <c r="Y380" i="2"/>
  <c r="Z380" i="2"/>
  <c r="AA380" i="2"/>
  <c r="AB380" i="2"/>
  <c r="AC380" i="2"/>
  <c r="R380" i="2"/>
  <c r="R381" i="2"/>
  <c r="U381" i="2"/>
  <c r="AC381" i="2"/>
  <c r="S381" i="2"/>
  <c r="T381" i="2"/>
  <c r="V381" i="2"/>
  <c r="W381" i="2"/>
  <c r="X381" i="2"/>
  <c r="Y381" i="2"/>
  <c r="Z381" i="2"/>
  <c r="AA381" i="2"/>
  <c r="AB381" i="2"/>
  <c r="AC382" i="2"/>
  <c r="R382" i="2"/>
  <c r="S382" i="2"/>
  <c r="T382" i="2"/>
  <c r="U382" i="2"/>
  <c r="V382" i="2"/>
  <c r="W382" i="2"/>
  <c r="X382" i="2"/>
  <c r="Y382" i="2"/>
  <c r="Z382" i="2"/>
  <c r="AA382" i="2"/>
  <c r="AB382" i="2"/>
  <c r="AC383" i="2"/>
  <c r="R383" i="2"/>
  <c r="S383" i="2"/>
  <c r="T383" i="2"/>
  <c r="U383" i="2"/>
  <c r="V383" i="2"/>
  <c r="W383" i="2"/>
  <c r="X383" i="2"/>
  <c r="Y383" i="2"/>
  <c r="Z383" i="2"/>
  <c r="AA383" i="2"/>
  <c r="AB383" i="2"/>
  <c r="AC384" i="2"/>
  <c r="R384" i="2"/>
  <c r="S384" i="2"/>
  <c r="T384" i="2"/>
  <c r="U384" i="2"/>
  <c r="V384" i="2"/>
  <c r="W384" i="2"/>
  <c r="X384" i="2"/>
  <c r="Y384" i="2"/>
  <c r="Z384" i="2"/>
  <c r="AA384" i="2"/>
  <c r="AB384" i="2"/>
  <c r="V385" i="2"/>
  <c r="R385" i="2"/>
  <c r="S385" i="2"/>
  <c r="T385" i="2"/>
  <c r="U385" i="2"/>
  <c r="AA385" i="2"/>
  <c r="W385" i="2"/>
  <c r="X385" i="2"/>
  <c r="Y385" i="2"/>
  <c r="Z385" i="2"/>
  <c r="AC385" i="2"/>
  <c r="AB385" i="2"/>
  <c r="AC386" i="2"/>
  <c r="R386" i="2"/>
  <c r="S386" i="2"/>
  <c r="T386" i="2"/>
  <c r="U386" i="2"/>
  <c r="V386" i="2"/>
  <c r="W386" i="2"/>
  <c r="X386" i="2"/>
  <c r="Y386" i="2"/>
  <c r="Z386" i="2"/>
  <c r="AA386" i="2"/>
  <c r="AB386" i="2"/>
  <c r="T393" i="2"/>
  <c r="U393" i="2"/>
  <c r="V393" i="2"/>
  <c r="W393" i="2"/>
  <c r="X393" i="2"/>
  <c r="Y393" i="2"/>
  <c r="Z393" i="2"/>
  <c r="AA393" i="2"/>
  <c r="AB393" i="2"/>
  <c r="AC393" i="2"/>
  <c r="R394" i="2"/>
  <c r="S394" i="2"/>
  <c r="T394" i="2"/>
  <c r="U394" i="2"/>
  <c r="V394" i="2"/>
  <c r="W394" i="2"/>
  <c r="X394" i="2"/>
  <c r="C62" i="1"/>
  <c r="H45" i="1"/>
  <c r="H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<sst xmlns="http://schemas.openxmlformats.org/spreadsheetml/2006/main" count="2474" uniqueCount="164">
  <si>
    <t>PERS 1</t>
  </si>
  <si>
    <t>PERS 2</t>
  </si>
  <si>
    <t>PERS 3</t>
  </si>
  <si>
    <t>HORA 1</t>
  </si>
  <si>
    <t>HORA 2</t>
  </si>
  <si>
    <t>HORA 3</t>
  </si>
  <si>
    <t>TAREA 1</t>
  </si>
  <si>
    <t>TAREA 2</t>
  </si>
  <si>
    <t>DISPONIB</t>
  </si>
  <si>
    <t>NECESID</t>
  </si>
  <si>
    <t>INCOMPAT</t>
  </si>
  <si>
    <t xml:space="preserve"> (el blanco es que NO puedo asignar esa persona a esa tarea)</t>
  </si>
  <si>
    <t>SUMA</t>
  </si>
  <si>
    <t>MIN</t>
  </si>
  <si>
    <t>VARIABLES</t>
  </si>
  <si>
    <t>DATOS</t>
  </si>
  <si>
    <t>RESTRICCIONES</t>
  </si>
  <si>
    <t>Cada persona puede ser asignada, como mucho, a 1 tarea cada hora (o a cero si no está disponible en esa hora)</t>
  </si>
  <si>
    <t>≤</t>
  </si>
  <si>
    <t>Cada tarea necesita de un número concreto de personas asignadas a ella en cada hora</t>
  </si>
  <si>
    <t>=</t>
  </si>
  <si>
    <t>Solo las personas habilitadas pueden hacer ciertas tareas</t>
  </si>
  <si>
    <t>DUMMY</t>
  </si>
  <si>
    <t>OJO: Si una persona es incompatible con la tarea DUMMY, lo estabmos obligando a trabajar todas las horas que esté disponible</t>
  </si>
  <si>
    <t>Mínimo de tareas (no dummy) a realizar por cada persona</t>
  </si>
  <si>
    <t>(sumar, para cada persona, todo lo que hace que no sea dummy)</t>
  </si>
  <si>
    <t>≥</t>
  </si>
  <si>
    <t>(por la dummy)</t>
  </si>
  <si>
    <t>V</t>
  </si>
  <si>
    <t>MINIMAX</t>
  </si>
  <si>
    <t>FUNCIÓN OBJETIVO</t>
  </si>
  <si>
    <t>NO PONER LA DUMMY</t>
  </si>
  <si>
    <t>HORA 1-2</t>
  </si>
  <si>
    <t>HORA 2-3</t>
  </si>
  <si>
    <t>Restriccion de no consecutividad</t>
  </si>
  <si>
    <t>Entry</t>
  </si>
  <si>
    <t>Bar</t>
  </si>
  <si>
    <t>C-mix</t>
  </si>
  <si>
    <t>Rez</t>
  </si>
  <si>
    <t>Homing</t>
  </si>
  <si>
    <t>Toilets</t>
  </si>
  <si>
    <t>Level</t>
  </si>
  <si>
    <t>Çapèse</t>
  </si>
  <si>
    <t>Tidying</t>
  </si>
  <si>
    <t>Volante</t>
  </si>
  <si>
    <t>SETUP</t>
  </si>
  <si>
    <t>Jennifer</t>
  </si>
  <si>
    <t>Galileo</t>
  </si>
  <si>
    <t>Óscar</t>
  </si>
  <si>
    <t>Sebastián</t>
  </si>
  <si>
    <t>Marcos</t>
  </si>
  <si>
    <t>Weixin</t>
  </si>
  <si>
    <t>Benjamin</t>
  </si>
  <si>
    <t>Joelle</t>
  </si>
  <si>
    <t>Alexia</t>
  </si>
  <si>
    <t>Joao</t>
  </si>
  <si>
    <t>Maxime</t>
  </si>
  <si>
    <t>Alex</t>
  </si>
  <si>
    <t>Alyssa</t>
  </si>
  <si>
    <t>Amanda</t>
  </si>
  <si>
    <t>Antoine</t>
  </si>
  <si>
    <t>Beatriz</t>
  </si>
  <si>
    <t>Charelle</t>
  </si>
  <si>
    <t>Dimitri</t>
  </si>
  <si>
    <t>Marina</t>
  </si>
  <si>
    <t>Michel</t>
  </si>
  <si>
    <t>Nour</t>
  </si>
  <si>
    <t>Samuel</t>
  </si>
  <si>
    <t>Yassin</t>
  </si>
  <si>
    <t>Kamar</t>
  </si>
  <si>
    <t>16h-17h</t>
  </si>
  <si>
    <t>17h-18h</t>
  </si>
  <si>
    <t>18h-19h</t>
  </si>
  <si>
    <t>19h-20h</t>
  </si>
  <si>
    <t>20h-21h</t>
  </si>
  <si>
    <t>21h-22h</t>
  </si>
  <si>
    <t>22h-23h</t>
  </si>
  <si>
    <t>23h-00h</t>
  </si>
  <si>
    <t>00h-01h</t>
  </si>
  <si>
    <t>01h-02h</t>
  </si>
  <si>
    <t>02h-03h</t>
  </si>
  <si>
    <t>03h-04h</t>
  </si>
  <si>
    <t>ENTRY</t>
  </si>
  <si>
    <t>BAR</t>
  </si>
  <si>
    <t>CMIX</t>
  </si>
  <si>
    <t>REZ</t>
  </si>
  <si>
    <t>HOMING</t>
  </si>
  <si>
    <t>LEVEL</t>
  </si>
  <si>
    <t>TIDYING</t>
  </si>
  <si>
    <t>VOLANTE</t>
  </si>
  <si>
    <t>INCOMPATIBILIDAD</t>
  </si>
  <si>
    <t>MIN DISP</t>
  </si>
  <si>
    <t>16h</t>
  </si>
  <si>
    <t>17h</t>
  </si>
  <si>
    <t>18h</t>
  </si>
  <si>
    <t>19h</t>
  </si>
  <si>
    <t>20h</t>
  </si>
  <si>
    <t>21h</t>
  </si>
  <si>
    <t>22h</t>
  </si>
  <si>
    <t>23h</t>
  </si>
  <si>
    <t>00h</t>
  </si>
  <si>
    <t>01h</t>
  </si>
  <si>
    <t>02h</t>
  </si>
  <si>
    <t>03h</t>
  </si>
  <si>
    <t>04h</t>
  </si>
  <si>
    <t>TOILETTES</t>
  </si>
  <si>
    <t>ÇAPÈSE</t>
  </si>
  <si>
    <t>RESTRICCION DE NO CONSECUTIVIDAD</t>
  </si>
  <si>
    <t>FUNCION OBJETIVO</t>
  </si>
  <si>
    <t>º</t>
  </si>
  <si>
    <t>RESTRICCION DE MINIMO NUMERO DE SHIFTS</t>
  </si>
  <si>
    <t>RESTRICCION DE MINIMAX</t>
  </si>
  <si>
    <t>RESTRICCION TAREAS INCOMPATIBLES (POR TRAINING)</t>
  </si>
  <si>
    <t>RESTRICCION DE NECESIDADES DE PERSONAL EN CADA HORA</t>
  </si>
  <si>
    <t>RESTRICCION DE ASIGNACIÓN DE UNA PERSONA A UNA TAREA EN UNA HORA (Y NO MÁS)</t>
  </si>
  <si>
    <t>Descanso</t>
  </si>
  <si>
    <t>Setup</t>
  </si>
  <si>
    <t>PERSONAS</t>
  </si>
  <si>
    <t>TAREAS</t>
  </si>
  <si>
    <t>HORAS DE TRABAJO</t>
  </si>
  <si>
    <t>MINIMO A TRABAJAR</t>
  </si>
  <si>
    <t>QUÉ SE DEBE HACER EN CADA HORA</t>
  </si>
  <si>
    <t>CAPACITACIONES</t>
  </si>
  <si>
    <t>QUIÉN ESTÁ CAPACITADO PARA HACER QUÉ</t>
  </si>
  <si>
    <t>TOT TRABAJADO</t>
  </si>
  <si>
    <t>TOTAL DISP / HORA</t>
  </si>
  <si>
    <t>TOTAL DISP / PERSONA</t>
  </si>
  <si>
    <t>TOTAL SHIFTS</t>
  </si>
  <si>
    <t>DISPO</t>
  </si>
  <si>
    <t>DISPO/PERS</t>
  </si>
  <si>
    <t>DISPO/HORA</t>
  </si>
  <si>
    <t>MIN DISPO</t>
  </si>
  <si>
    <t>TOTAL NEC / HORA</t>
  </si>
  <si>
    <t>REALES</t>
  </si>
  <si>
    <t>MAX</t>
  </si>
  <si>
    <t>CONSECUTIVIDAD</t>
  </si>
  <si>
    <t>CAPACIDAD</t>
  </si>
  <si>
    <t>NECESIDAD</t>
  </si>
  <si>
    <t>OBLIGATORIEDAD</t>
  </si>
  <si>
    <t>HUECOS</t>
  </si>
  <si>
    <t>TRAINING</t>
  </si>
  <si>
    <t>INCUMPLIMIENTO DE OBLIGATORIEDAD</t>
  </si>
  <si>
    <t>05h</t>
  </si>
  <si>
    <t>06h</t>
  </si>
  <si>
    <t>07h</t>
  </si>
  <si>
    <t>08h</t>
  </si>
  <si>
    <t>-</t>
  </si>
  <si>
    <t>TOTAL / HORA</t>
  </si>
  <si>
    <t>TOTAL / PERSONA</t>
  </si>
  <si>
    <t>Set up</t>
  </si>
  <si>
    <t>TOTAL / TAREA</t>
  </si>
  <si>
    <t>DISPONIBILIDAD</t>
  </si>
  <si>
    <t>NECESIDADES</t>
  </si>
  <si>
    <t>CAPACIDADES</t>
  </si>
  <si>
    <t>variables binarias para no consecutividad de tareas</t>
  </si>
  <si>
    <t>Una tarea no deberá realizarse dos veces en dos horas consecutivas por la misma persona</t>
  </si>
  <si>
    <t>max</t>
  </si>
  <si>
    <t>min</t>
  </si>
  <si>
    <t>variables binarias para descansos intermitentes</t>
  </si>
  <si>
    <t>obj</t>
  </si>
  <si>
    <t>Dummy 1</t>
  </si>
  <si>
    <t>Dummy 2</t>
  </si>
  <si>
    <t>Dummy 3</t>
  </si>
  <si>
    <t>Dummy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</si>
</sst>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0"/>
      <color rgb="FFFFFFFF"/>
      <name val="Arial"/>
      <family val="2"/>
    </font>
    <font>
      <b/>
      <sz val="10"/>
      <color rgb="FFFF9900"/>
      <name val="Arial"/>
      <family val="2"/>
    </font>
    <font>
      <b/>
      <sz val="10"/>
      <color rgb="FF00FFFF"/>
      <name val="Arial"/>
      <family val="2"/>
    </font>
    <font>
      <b/>
      <sz val="10"/>
      <color rgb="FF9900FF"/>
      <name val="Arial"/>
      <family val="2"/>
    </font>
    <font>
      <b/>
      <sz val="10"/>
      <color rgb="FFFF0000"/>
      <name val="Arial"/>
      <family val="2"/>
    </font>
    <font>
      <b/>
      <sz val="10"/>
      <color rgb="FF00FF00"/>
      <name val="Arial"/>
      <family val="2"/>
    </font>
    <font>
      <sz val="10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rgb="FFFF66FF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5"/>
      <name val="Arial"/>
      <family val="2"/>
    </font>
    <font>
      <b/>
      <sz val="10"/>
      <color rgb="FFFFFF00"/>
      <name val="Arial"/>
      <family val="2"/>
    </font>
    <font>
      <b/>
      <sz val="10"/>
      <color theme="4" tint="0.39997558519241921"/>
      <name val="Arial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20" fillId="13" borderId="9" xfId="0" applyFont="1" applyFill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17" fillId="11" borderId="4" xfId="0" applyFont="1" applyFill="1" applyBorder="1" applyAlignment="1">
      <alignment horizontal="left" vertical="center"/>
    </xf>
    <xf numFmtId="0" fontId="0" fillId="9" borderId="19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20" fillId="13" borderId="10" xfId="0" applyFont="1" applyFill="1" applyBorder="1" applyAlignment="1">
      <alignment horizontal="left" vertical="center"/>
    </xf>
    <xf numFmtId="0" fontId="17" fillId="11" borderId="6" xfId="0" applyFont="1" applyFill="1" applyBorder="1" applyAlignment="1">
      <alignment horizontal="left" vertical="center"/>
    </xf>
    <xf numFmtId="0" fontId="20" fillId="13" borderId="11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 wrapText="1"/>
    </xf>
    <xf numFmtId="0" fontId="22" fillId="10" borderId="10" xfId="0" applyFont="1" applyFill="1" applyBorder="1" applyAlignment="1">
      <alignment horizontal="center" vertical="center" wrapText="1"/>
    </xf>
    <xf numFmtId="0" fontId="24" fillId="10" borderId="11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8" borderId="0" xfId="0" applyFont="1" applyFill="1" applyAlignment="1">
      <alignment horizontal="center" vertical="center" wrapText="1"/>
    </xf>
    <xf numFmtId="0" fontId="20" fillId="14" borderId="0" xfId="0" applyFont="1" applyFill="1" applyAlignment="1">
      <alignment horizontal="center" vertical="center"/>
    </xf>
    <xf numFmtId="0" fontId="17" fillId="11" borderId="9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11" borderId="11" xfId="0" applyFont="1" applyFill="1" applyBorder="1" applyAlignment="1">
      <alignment horizontal="left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6" fillId="9" borderId="0" xfId="0" applyFont="1" applyFill="1" applyAlignment="1">
      <alignment horizontal="center" vertical="center"/>
    </xf>
    <xf numFmtId="0" fontId="0" fillId="15" borderId="0" xfId="0" applyFill="1" applyAlignment="1">
      <alignment horizontal="left"/>
    </xf>
    <xf numFmtId="0" fontId="19" fillId="1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</cellXfs>
  <cellStyles count="1">
    <cellStyle name="Normal" xfId="0" builtinId="0"/>
  </cellStyles>
  <dxfs count="172"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DD7E6B"/>
        </patternFill>
      </fill>
    </dxf>
    <dxf>
      <font>
        <b/>
        <i val="0"/>
        <color theme="5"/>
      </font>
      <fill>
        <patternFill>
          <bgColor theme="1"/>
        </patternFill>
      </fill>
    </dxf>
    <dxf>
      <font>
        <b/>
        <i val="0"/>
        <color theme="6" tint="0.39994506668294322"/>
      </font>
      <fill>
        <patternFill>
          <bgColor theme="1"/>
        </patternFill>
      </fill>
    </dxf>
    <dxf>
      <font>
        <b/>
        <i val="0"/>
        <color theme="8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9999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66FF"/>
      </font>
      <fill>
        <patternFill>
          <bgColor theme="1"/>
        </patternFill>
      </fill>
    </dxf>
    <dxf>
      <font>
        <b/>
        <i val="0"/>
        <color theme="5" tint="-0.499984740745262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1"/>
      </font>
      <fill>
        <patternFill>
          <fgColor rgb="FFDD7E6B"/>
          <bgColor theme="3" tint="0.74996185186315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b/>
        <i val="0"/>
        <color theme="1"/>
      </font>
      <fill>
        <patternFill>
          <fgColor rgb="FFDD7E6B"/>
          <bgColor theme="3" tint="0.74996185186315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b/>
        <i val="0"/>
        <color theme="0"/>
      </font>
      <fill>
        <patternFill>
          <bgColor rgb="FFDD7E6B"/>
        </patternFill>
      </fill>
    </dxf>
    <dxf>
      <font>
        <b/>
        <i val="0"/>
        <color theme="5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 val="0"/>
        <color theme="8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9999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theme="6" tint="0.39994506668294322"/>
      </font>
      <fill>
        <patternFill>
          <bgColor theme="1"/>
        </patternFill>
      </fill>
    </dxf>
    <dxf>
      <font>
        <b/>
        <i val="0"/>
        <color rgb="FFFF66FF"/>
      </font>
      <fill>
        <patternFill>
          <bgColor theme="1"/>
        </patternFill>
      </fill>
    </dxf>
    <dxf>
      <font>
        <b/>
        <i val="0"/>
        <color theme="5" tint="-0.499984740745262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1"/>
      </font>
      <fill>
        <patternFill>
          <fgColor rgb="FFDD7E6B"/>
          <bgColor theme="3" tint="0.74996185186315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b/>
        <i val="0"/>
        <color theme="1"/>
      </font>
      <fill>
        <patternFill>
          <fgColor rgb="FFDD7E6B"/>
          <bgColor theme="3" tint="0.74996185186315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color rgb="FFFF66FF"/>
      </font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DD7E6B"/>
        </patternFill>
      </fill>
    </dxf>
    <dxf>
      <font>
        <b/>
        <i val="0"/>
        <color theme="5"/>
      </font>
      <fill>
        <patternFill>
          <bgColor theme="1"/>
        </patternFill>
      </fill>
    </dxf>
    <dxf>
      <font>
        <b/>
        <i val="0"/>
        <color rgb="FFFF66FF"/>
      </font>
      <fill>
        <patternFill>
          <bgColor theme="1"/>
        </patternFill>
      </fill>
    </dxf>
    <dxf>
      <font>
        <b/>
        <i val="0"/>
        <color theme="8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9999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theme="6" tint="0.39994506668294322"/>
      </font>
      <fill>
        <patternFill>
          <bgColor theme="1"/>
        </patternFill>
      </fill>
    </dxf>
    <dxf>
      <font>
        <b/>
        <i val="0"/>
        <color theme="5" tint="-0.499984740745262"/>
      </font>
      <fill>
        <patternFill>
          <bgColor theme="1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9" tint="0.59996337778862885"/>
      </font>
      <fill>
        <patternFill>
          <fgColor rgb="FFDD7E6B"/>
          <bgColor theme="9" tint="0.59996337778862885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rgb="FFFFFF99"/>
        </patternFill>
      </fill>
    </dxf>
    <dxf>
      <font>
        <b/>
        <i val="0"/>
        <color theme="1"/>
      </font>
      <fill>
        <patternFill>
          <fgColor rgb="FFDD7E6B"/>
          <bgColor theme="3" tint="0.74996185186315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b/>
        <i val="0"/>
        <color theme="1"/>
      </font>
      <fill>
        <patternFill>
          <fgColor rgb="FFDD7E6B"/>
          <bgColor theme="3" tint="0.74996185186315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theme="3" tint="0.74996185186315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theme="3" tint="0.74996185186315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theme="3" tint="0.74996185186315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theme="3" tint="0.74996185186315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ont>
        <color theme="2"/>
      </font>
      <fill>
        <patternFill>
          <bgColor theme="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2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color theme="3" tint="0.499984740745262"/>
      </font>
      <fill>
        <patternFill>
          <bgColor theme="3" tint="0.749961851863155"/>
        </patternFill>
      </fill>
    </dxf>
    <dxf>
      <font>
        <color theme="0"/>
      </font>
      <fill>
        <patternFill>
          <bgColor theme="5"/>
        </patternFill>
      </fill>
    </dxf>
    <dxf>
      <font>
        <color theme="3" tint="0.89996032593768116"/>
      </font>
      <fill>
        <patternFill>
          <bgColor theme="3" tint="0.89996032593768116"/>
        </patternFill>
      </fill>
    </dxf>
    <dxf>
      <font>
        <color theme="0"/>
      </font>
    </dxf>
    <dxf>
      <font>
        <color theme="3" tint="0.89996032593768116"/>
      </font>
      <fill>
        <patternFill>
          <bgColor theme="3" tint="0.89996032593768116"/>
        </patternFill>
      </fill>
    </dxf>
    <dxf>
      <font>
        <color theme="3" tint="0.499984740745262"/>
      </font>
      <fill>
        <patternFill>
          <bgColor theme="3" tint="0.749961851863155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fgColor rgb="FFDD7E6B"/>
          <bgColor theme="9" tint="0.59996337778862885"/>
        </patternFill>
      </fill>
    </dxf>
    <dxf>
      <font>
        <color theme="0" tint="-0.2499465926084170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DD7E6B"/>
        </patternFill>
      </fill>
    </dxf>
    <dxf>
      <font>
        <b/>
        <i val="0"/>
        <color theme="5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 val="0"/>
        <color theme="8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9999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theme="6" tint="0.39994506668294322"/>
      </font>
      <fill>
        <patternFill>
          <bgColor theme="1"/>
        </patternFill>
      </fill>
    </dxf>
    <dxf>
      <font>
        <b/>
        <i val="0"/>
        <color rgb="FFFF66FF"/>
      </font>
      <fill>
        <patternFill>
          <bgColor theme="1"/>
        </patternFill>
      </fill>
    </dxf>
    <dxf>
      <font>
        <b/>
        <i val="0"/>
        <color theme="5" tint="-0.499984740745262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FFFF99"/>
      <color rgb="FFFF66FF"/>
      <color rgb="FFFFFFCC"/>
      <color rgb="FFCCCC00"/>
      <color rgb="FFFFFF66"/>
      <color rgb="FFDD7E6B"/>
      <color rgb="FFFF9999"/>
      <color rgb="FFEA8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</xdr:colOff>
      <xdr:row>33</xdr:row>
      <xdr:rowOff>0</xdr:rowOff>
    </xdr:from>
    <xdr:to>
      <xdr:col>60</xdr:col>
      <xdr:colOff>1</xdr:colOff>
      <xdr:row>633</xdr:row>
      <xdr:rowOff>2</xdr:rowOff>
    </xdr:to>
    <xdr:sp macro="" textlink="">
      <xdr:nvSpPr>
        <xdr:cNvPr id="102" name="OpenSolver1">
          <a:extLst>
            <a:ext uri="{FF2B5EF4-FFF2-40B4-BE49-F238E27FC236}">
              <a16:creationId xmlns:a16="http://schemas.microsoft.com/office/drawing/2014/main" id="{6A88B3D4-36D9-CDBE-9266-2405B36FD7CB}"/>
            </a:ext>
          </a:extLst>
        </xdr:cNvPr>
        <xdr:cNvSpPr/>
      </xdr:nvSpPr>
      <xdr:spPr>
        <a:xfrm>
          <a:off x="29836111" y="6035040"/>
          <a:ext cx="13472160" cy="109728002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</xdr:col>
      <xdr:colOff>0</xdr:colOff>
      <xdr:row>52</xdr:row>
      <xdr:rowOff>0</xdr:rowOff>
    </xdr:from>
    <xdr:to>
      <xdr:col>19</xdr:col>
      <xdr:colOff>0</xdr:colOff>
      <xdr:row>92</xdr:row>
      <xdr:rowOff>1</xdr:rowOff>
    </xdr:to>
    <xdr:sp macro="" textlink="">
      <xdr:nvSpPr>
        <xdr:cNvPr id="103" name="OpenSolver2">
          <a:extLst>
            <a:ext uri="{FF2B5EF4-FFF2-40B4-BE49-F238E27FC236}">
              <a16:creationId xmlns:a16="http://schemas.microsoft.com/office/drawing/2014/main" id="{8A7E0BBD-1B99-45EB-A77B-705724D40BB1}"/>
            </a:ext>
          </a:extLst>
        </xdr:cNvPr>
        <xdr:cNvSpPr/>
      </xdr:nvSpPr>
      <xdr:spPr>
        <a:xfrm>
          <a:off x="2377440" y="9509760"/>
          <a:ext cx="12702540" cy="7315201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97</xdr:row>
      <xdr:rowOff>182879</xdr:rowOff>
    </xdr:from>
    <xdr:to>
      <xdr:col>19</xdr:col>
      <xdr:colOff>0</xdr:colOff>
      <xdr:row>137</xdr:row>
      <xdr:rowOff>182879</xdr:rowOff>
    </xdr:to>
    <xdr:sp macro="" textlink="">
      <xdr:nvSpPr>
        <xdr:cNvPr id="104" name="OpenSolver3">
          <a:extLst>
            <a:ext uri="{FF2B5EF4-FFF2-40B4-BE49-F238E27FC236}">
              <a16:creationId xmlns:a16="http://schemas.microsoft.com/office/drawing/2014/main" id="{55BE03E0-899B-B447-EE3C-FA61A432E7A3}"/>
            </a:ext>
          </a:extLst>
        </xdr:cNvPr>
        <xdr:cNvSpPr/>
      </xdr:nvSpPr>
      <xdr:spPr>
        <a:xfrm>
          <a:off x="1584960" y="17922239"/>
          <a:ext cx="13495020" cy="731520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18</xdr:col>
      <xdr:colOff>0</xdr:colOff>
      <xdr:row>33</xdr:row>
      <xdr:rowOff>0</xdr:rowOff>
    </xdr:from>
    <xdr:to>
      <xdr:col>19</xdr:col>
      <xdr:colOff>0</xdr:colOff>
      <xdr:row>35</xdr:row>
      <xdr:rowOff>0</xdr:rowOff>
    </xdr:to>
    <xdr:sp macro="" textlink="">
      <xdr:nvSpPr>
        <xdr:cNvPr id="105" name="OpenSolver4">
          <a:extLst>
            <a:ext uri="{FF2B5EF4-FFF2-40B4-BE49-F238E27FC236}">
              <a16:creationId xmlns:a16="http://schemas.microsoft.com/office/drawing/2014/main" id="{1CBA9CBF-55B2-F074-CF06-65A7DFC0CD4A}"/>
            </a:ext>
          </a:extLst>
        </xdr:cNvPr>
        <xdr:cNvSpPr/>
      </xdr:nvSpPr>
      <xdr:spPr>
        <a:xfrm>
          <a:off x="14287500" y="6035040"/>
          <a:ext cx="792480" cy="3657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17</xdr:col>
      <xdr:colOff>779780</xdr:colOff>
      <xdr:row>35</xdr:row>
      <xdr:rowOff>101600</xdr:rowOff>
    </xdr:from>
    <xdr:to>
      <xdr:col>18</xdr:col>
      <xdr:colOff>209412</xdr:colOff>
      <xdr:row>36</xdr:row>
      <xdr:rowOff>45720</xdr:rowOff>
    </xdr:to>
    <xdr:sp macro="" textlink="">
      <xdr:nvSpPr>
        <xdr:cNvPr id="107" name="OpenSolver6">
          <a:extLst>
            <a:ext uri="{FF2B5EF4-FFF2-40B4-BE49-F238E27FC236}">
              <a16:creationId xmlns:a16="http://schemas.microsoft.com/office/drawing/2014/main" id="{BEFD3063-306E-7DF5-8D93-DA68DC1B0046}"/>
            </a:ext>
          </a:extLst>
        </xdr:cNvPr>
        <xdr:cNvSpPr/>
      </xdr:nvSpPr>
      <xdr:spPr>
        <a:xfrm>
          <a:off x="14274800" y="6502400"/>
          <a:ext cx="222112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2</xdr:col>
      <xdr:colOff>0</xdr:colOff>
      <xdr:row>160</xdr:row>
      <xdr:rowOff>0</xdr:rowOff>
    </xdr:from>
    <xdr:to>
      <xdr:col>19</xdr:col>
      <xdr:colOff>0</xdr:colOff>
      <xdr:row>200</xdr:row>
      <xdr:rowOff>0</xdr:rowOff>
    </xdr:to>
    <xdr:sp macro="" textlink="">
      <xdr:nvSpPr>
        <xdr:cNvPr id="108" name="OpenSolver7">
          <a:extLst>
            <a:ext uri="{FF2B5EF4-FFF2-40B4-BE49-F238E27FC236}">
              <a16:creationId xmlns:a16="http://schemas.microsoft.com/office/drawing/2014/main" id="{A5D741D3-3BE0-E7AD-0057-680A3DE60525}"/>
            </a:ext>
          </a:extLst>
        </xdr:cNvPr>
        <xdr:cNvSpPr/>
      </xdr:nvSpPr>
      <xdr:spPr>
        <a:xfrm>
          <a:off x="1584960" y="29260800"/>
          <a:ext cx="13495020" cy="73152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0</xdr:colOff>
      <xdr:row>160</xdr:row>
      <xdr:rowOff>0</xdr:rowOff>
    </xdr:from>
    <xdr:to>
      <xdr:col>38</xdr:col>
      <xdr:colOff>506729</xdr:colOff>
      <xdr:row>200</xdr:row>
      <xdr:rowOff>0</xdr:rowOff>
    </xdr:to>
    <xdr:sp macro="" textlink="">
      <xdr:nvSpPr>
        <xdr:cNvPr id="109" name="OpenSolver8">
          <a:extLst>
            <a:ext uri="{FF2B5EF4-FFF2-40B4-BE49-F238E27FC236}">
              <a16:creationId xmlns:a16="http://schemas.microsoft.com/office/drawing/2014/main" id="{598C9F1F-97A1-2DD1-DBE7-0510D2FD9D0A}"/>
            </a:ext>
          </a:extLst>
        </xdr:cNvPr>
        <xdr:cNvSpPr/>
      </xdr:nvSpPr>
      <xdr:spPr>
        <a:xfrm>
          <a:off x="17495520" y="29260800"/>
          <a:ext cx="8614409" cy="73152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=</a:t>
          </a:r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22</xdr:col>
      <xdr:colOff>0</xdr:colOff>
      <xdr:row>180</xdr:row>
      <xdr:rowOff>0</xdr:rowOff>
    </xdr:to>
    <xdr:cxnSp macro="">
      <xdr:nvCxnSpPr>
        <xdr:cNvPr id="110" name="OpenSolver9">
          <a:extLst>
            <a:ext uri="{FF2B5EF4-FFF2-40B4-BE49-F238E27FC236}">
              <a16:creationId xmlns:a16="http://schemas.microsoft.com/office/drawing/2014/main" id="{574E11D8-DECB-14DD-356D-AE3246F35D11}"/>
            </a:ext>
          </a:extLst>
        </xdr:cNvPr>
        <xdr:cNvCxnSpPr>
          <a:stCxn id="108" idx="3"/>
          <a:endCxn id="109" idx="1"/>
        </xdr:cNvCxnSpPr>
      </xdr:nvCxnSpPr>
      <xdr:spPr>
        <a:xfrm>
          <a:off x="15079980" y="32918400"/>
          <a:ext cx="241554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179</xdr:row>
      <xdr:rowOff>55880</xdr:rowOff>
    </xdr:from>
    <xdr:to>
      <xdr:col>21</xdr:col>
      <xdr:colOff>331470</xdr:colOff>
      <xdr:row>180</xdr:row>
      <xdr:rowOff>127000</xdr:rowOff>
    </xdr:to>
    <xdr:sp macro="" textlink="">
      <xdr:nvSpPr>
        <xdr:cNvPr id="111" name="OpenSolver10">
          <a:extLst>
            <a:ext uri="{FF2B5EF4-FFF2-40B4-BE49-F238E27FC236}">
              <a16:creationId xmlns:a16="http://schemas.microsoft.com/office/drawing/2014/main" id="{580BC363-63CE-5160-7525-F76E6D4A6BB7}"/>
            </a:ext>
          </a:extLst>
        </xdr:cNvPr>
        <xdr:cNvSpPr/>
      </xdr:nvSpPr>
      <xdr:spPr>
        <a:xfrm>
          <a:off x="16097250" y="327914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0</xdr:colOff>
      <xdr:row>204</xdr:row>
      <xdr:rowOff>1</xdr:rowOff>
    </xdr:from>
    <xdr:to>
      <xdr:col>19</xdr:col>
      <xdr:colOff>0</xdr:colOff>
      <xdr:row>219</xdr:row>
      <xdr:rowOff>1</xdr:rowOff>
    </xdr:to>
    <xdr:sp macro="" textlink="">
      <xdr:nvSpPr>
        <xdr:cNvPr id="112" name="OpenSolver11">
          <a:extLst>
            <a:ext uri="{FF2B5EF4-FFF2-40B4-BE49-F238E27FC236}">
              <a16:creationId xmlns:a16="http://schemas.microsoft.com/office/drawing/2014/main" id="{6010F24A-489D-1EE0-E6CC-07B505A4998B}"/>
            </a:ext>
          </a:extLst>
        </xdr:cNvPr>
        <xdr:cNvSpPr/>
      </xdr:nvSpPr>
      <xdr:spPr>
        <a:xfrm>
          <a:off x="1584960" y="37307521"/>
          <a:ext cx="13495020" cy="27432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22</xdr:col>
      <xdr:colOff>0</xdr:colOff>
      <xdr:row>204</xdr:row>
      <xdr:rowOff>1</xdr:rowOff>
    </xdr:from>
    <xdr:to>
      <xdr:col>38</xdr:col>
      <xdr:colOff>506729</xdr:colOff>
      <xdr:row>219</xdr:row>
      <xdr:rowOff>1</xdr:rowOff>
    </xdr:to>
    <xdr:sp macro="" textlink="">
      <xdr:nvSpPr>
        <xdr:cNvPr id="113" name="OpenSolver12">
          <a:extLst>
            <a:ext uri="{FF2B5EF4-FFF2-40B4-BE49-F238E27FC236}">
              <a16:creationId xmlns:a16="http://schemas.microsoft.com/office/drawing/2014/main" id="{6AD11E2E-7BB5-7F09-EF01-3FA552214206}"/>
            </a:ext>
          </a:extLst>
        </xdr:cNvPr>
        <xdr:cNvSpPr/>
      </xdr:nvSpPr>
      <xdr:spPr>
        <a:xfrm>
          <a:off x="17495520" y="37307521"/>
          <a:ext cx="8614409" cy="27432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8000"/>
              </a:solidFill>
            </a:rPr>
            <a:t>=</a:t>
          </a:r>
        </a:p>
      </xdr:txBody>
    </xdr:sp>
    <xdr:clientData/>
  </xdr:twoCellAnchor>
  <xdr:twoCellAnchor>
    <xdr:from>
      <xdr:col>19</xdr:col>
      <xdr:colOff>0</xdr:colOff>
      <xdr:row>211</xdr:row>
      <xdr:rowOff>91441</xdr:rowOff>
    </xdr:from>
    <xdr:to>
      <xdr:col>22</xdr:col>
      <xdr:colOff>0</xdr:colOff>
      <xdr:row>211</xdr:row>
      <xdr:rowOff>91441</xdr:rowOff>
    </xdr:to>
    <xdr:cxnSp macro="">
      <xdr:nvCxnSpPr>
        <xdr:cNvPr id="114" name="OpenSolver13">
          <a:extLst>
            <a:ext uri="{FF2B5EF4-FFF2-40B4-BE49-F238E27FC236}">
              <a16:creationId xmlns:a16="http://schemas.microsoft.com/office/drawing/2014/main" id="{AC2737E1-FE96-D76B-E9B7-96564F412777}"/>
            </a:ext>
          </a:extLst>
        </xdr:cNvPr>
        <xdr:cNvCxnSpPr>
          <a:stCxn id="112" idx="3"/>
          <a:endCxn id="113" idx="1"/>
        </xdr:cNvCxnSpPr>
      </xdr:nvCxnSpPr>
      <xdr:spPr>
        <a:xfrm>
          <a:off x="15079980" y="38679121"/>
          <a:ext cx="241554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210</xdr:row>
      <xdr:rowOff>147321</xdr:rowOff>
    </xdr:from>
    <xdr:to>
      <xdr:col>21</xdr:col>
      <xdr:colOff>331470</xdr:colOff>
      <xdr:row>212</xdr:row>
      <xdr:rowOff>35561</xdr:rowOff>
    </xdr:to>
    <xdr:sp macro="" textlink="">
      <xdr:nvSpPr>
        <xdr:cNvPr id="115" name="OpenSolver14">
          <a:extLst>
            <a:ext uri="{FF2B5EF4-FFF2-40B4-BE49-F238E27FC236}">
              <a16:creationId xmlns:a16="http://schemas.microsoft.com/office/drawing/2014/main" id="{AF5AA8F9-57BC-B77F-FFD0-9F8DD02EBA2B}"/>
            </a:ext>
          </a:extLst>
        </xdr:cNvPr>
        <xdr:cNvSpPr/>
      </xdr:nvSpPr>
      <xdr:spPr>
        <a:xfrm>
          <a:off x="16097250" y="38552121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0</xdr:colOff>
      <xdr:row>225</xdr:row>
      <xdr:rowOff>0</xdr:rowOff>
    </xdr:from>
    <xdr:to>
      <xdr:col>19</xdr:col>
      <xdr:colOff>0</xdr:colOff>
      <xdr:row>265</xdr:row>
      <xdr:rowOff>0</xdr:rowOff>
    </xdr:to>
    <xdr:sp macro="" textlink="">
      <xdr:nvSpPr>
        <xdr:cNvPr id="116" name="OpenSolver15">
          <a:extLst>
            <a:ext uri="{FF2B5EF4-FFF2-40B4-BE49-F238E27FC236}">
              <a16:creationId xmlns:a16="http://schemas.microsoft.com/office/drawing/2014/main" id="{61739A59-1EC1-3FD7-FC05-10CD95024037}"/>
            </a:ext>
          </a:extLst>
        </xdr:cNvPr>
        <xdr:cNvSpPr/>
      </xdr:nvSpPr>
      <xdr:spPr>
        <a:xfrm>
          <a:off x="3169920" y="41148000"/>
          <a:ext cx="11910060" cy="7315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22</xdr:col>
      <xdr:colOff>0</xdr:colOff>
      <xdr:row>225</xdr:row>
      <xdr:rowOff>0</xdr:rowOff>
    </xdr:from>
    <xdr:to>
      <xdr:col>37</xdr:col>
      <xdr:colOff>0</xdr:colOff>
      <xdr:row>265</xdr:row>
      <xdr:rowOff>0</xdr:rowOff>
    </xdr:to>
    <xdr:sp macro="" textlink="">
      <xdr:nvSpPr>
        <xdr:cNvPr id="117" name="OpenSolver16">
          <a:extLst>
            <a:ext uri="{FF2B5EF4-FFF2-40B4-BE49-F238E27FC236}">
              <a16:creationId xmlns:a16="http://schemas.microsoft.com/office/drawing/2014/main" id="{12B37403-5BFB-835F-F544-274EEF343F3A}"/>
            </a:ext>
          </a:extLst>
        </xdr:cNvPr>
        <xdr:cNvSpPr/>
      </xdr:nvSpPr>
      <xdr:spPr>
        <a:xfrm>
          <a:off x="17495520" y="41148000"/>
          <a:ext cx="7600950" cy="7315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19</xdr:col>
      <xdr:colOff>0</xdr:colOff>
      <xdr:row>245</xdr:row>
      <xdr:rowOff>0</xdr:rowOff>
    </xdr:from>
    <xdr:to>
      <xdr:col>22</xdr:col>
      <xdr:colOff>0</xdr:colOff>
      <xdr:row>245</xdr:row>
      <xdr:rowOff>0</xdr:rowOff>
    </xdr:to>
    <xdr:cxnSp macro="">
      <xdr:nvCxnSpPr>
        <xdr:cNvPr id="118" name="OpenSolver17">
          <a:extLst>
            <a:ext uri="{FF2B5EF4-FFF2-40B4-BE49-F238E27FC236}">
              <a16:creationId xmlns:a16="http://schemas.microsoft.com/office/drawing/2014/main" id="{90BA1FC1-B98B-5629-559C-19208B475F6D}"/>
            </a:ext>
          </a:extLst>
        </xdr:cNvPr>
        <xdr:cNvCxnSpPr>
          <a:stCxn id="116" idx="3"/>
          <a:endCxn id="117" idx="1"/>
        </xdr:cNvCxnSpPr>
      </xdr:nvCxnSpPr>
      <xdr:spPr>
        <a:xfrm>
          <a:off x="15079980" y="44805600"/>
          <a:ext cx="241554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244</xdr:row>
      <xdr:rowOff>55880</xdr:rowOff>
    </xdr:from>
    <xdr:to>
      <xdr:col>21</xdr:col>
      <xdr:colOff>331470</xdr:colOff>
      <xdr:row>245</xdr:row>
      <xdr:rowOff>127000</xdr:rowOff>
    </xdr:to>
    <xdr:sp macro="" textlink="">
      <xdr:nvSpPr>
        <xdr:cNvPr id="119" name="OpenSolver18">
          <a:extLst>
            <a:ext uri="{FF2B5EF4-FFF2-40B4-BE49-F238E27FC236}">
              <a16:creationId xmlns:a16="http://schemas.microsoft.com/office/drawing/2014/main" id="{B1DC9C53-4C47-1610-3A83-EE23A2DDA337}"/>
            </a:ext>
          </a:extLst>
        </xdr:cNvPr>
        <xdr:cNvSpPr/>
      </xdr:nvSpPr>
      <xdr:spPr>
        <a:xfrm>
          <a:off x="16097250" y="446786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0</xdr:colOff>
      <xdr:row>267</xdr:row>
      <xdr:rowOff>182879</xdr:rowOff>
    </xdr:from>
    <xdr:to>
      <xdr:col>19</xdr:col>
      <xdr:colOff>0</xdr:colOff>
      <xdr:row>308</xdr:row>
      <xdr:rowOff>2</xdr:rowOff>
    </xdr:to>
    <xdr:sp macro="" textlink="">
      <xdr:nvSpPr>
        <xdr:cNvPr id="120" name="OpenSolver19">
          <a:extLst>
            <a:ext uri="{FF2B5EF4-FFF2-40B4-BE49-F238E27FC236}">
              <a16:creationId xmlns:a16="http://schemas.microsoft.com/office/drawing/2014/main" id="{BAA1BF90-CF95-4292-7BC9-A22C07041B4E}"/>
            </a:ext>
          </a:extLst>
        </xdr:cNvPr>
        <xdr:cNvSpPr/>
      </xdr:nvSpPr>
      <xdr:spPr>
        <a:xfrm>
          <a:off x="14287500" y="49011839"/>
          <a:ext cx="792480" cy="7315203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22</xdr:col>
      <xdr:colOff>0</xdr:colOff>
      <xdr:row>267</xdr:row>
      <xdr:rowOff>182879</xdr:rowOff>
    </xdr:from>
    <xdr:to>
      <xdr:col>23</xdr:col>
      <xdr:colOff>0</xdr:colOff>
      <xdr:row>308</xdr:row>
      <xdr:rowOff>2</xdr:rowOff>
    </xdr:to>
    <xdr:sp macro="" textlink="">
      <xdr:nvSpPr>
        <xdr:cNvPr id="121" name="OpenSolver20">
          <a:extLst>
            <a:ext uri="{FF2B5EF4-FFF2-40B4-BE49-F238E27FC236}">
              <a16:creationId xmlns:a16="http://schemas.microsoft.com/office/drawing/2014/main" id="{95A09EC6-E8A0-2DC5-BB72-E4E515B21BE6}"/>
            </a:ext>
          </a:extLst>
        </xdr:cNvPr>
        <xdr:cNvSpPr/>
      </xdr:nvSpPr>
      <xdr:spPr>
        <a:xfrm>
          <a:off x="17495520" y="49011839"/>
          <a:ext cx="506730" cy="7315203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19</xdr:col>
      <xdr:colOff>0</xdr:colOff>
      <xdr:row>288</xdr:row>
      <xdr:rowOff>1</xdr:rowOff>
    </xdr:from>
    <xdr:to>
      <xdr:col>22</xdr:col>
      <xdr:colOff>0</xdr:colOff>
      <xdr:row>288</xdr:row>
      <xdr:rowOff>1</xdr:rowOff>
    </xdr:to>
    <xdr:cxnSp macro="">
      <xdr:nvCxnSpPr>
        <xdr:cNvPr id="122" name="OpenSolver21">
          <a:extLst>
            <a:ext uri="{FF2B5EF4-FFF2-40B4-BE49-F238E27FC236}">
              <a16:creationId xmlns:a16="http://schemas.microsoft.com/office/drawing/2014/main" id="{562B8CF1-49EF-44D4-9B57-01B70F28FC36}"/>
            </a:ext>
          </a:extLst>
        </xdr:cNvPr>
        <xdr:cNvCxnSpPr>
          <a:stCxn id="120" idx="3"/>
          <a:endCxn id="121" idx="1"/>
        </xdr:cNvCxnSpPr>
      </xdr:nvCxnSpPr>
      <xdr:spPr>
        <a:xfrm>
          <a:off x="15079980" y="52669441"/>
          <a:ext cx="241554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287</xdr:row>
      <xdr:rowOff>55882</xdr:rowOff>
    </xdr:from>
    <xdr:to>
      <xdr:col>21</xdr:col>
      <xdr:colOff>331470</xdr:colOff>
      <xdr:row>288</xdr:row>
      <xdr:rowOff>127002</xdr:rowOff>
    </xdr:to>
    <xdr:sp macro="" textlink="">
      <xdr:nvSpPr>
        <xdr:cNvPr id="123" name="OpenSolver22">
          <a:extLst>
            <a:ext uri="{FF2B5EF4-FFF2-40B4-BE49-F238E27FC236}">
              <a16:creationId xmlns:a16="http://schemas.microsoft.com/office/drawing/2014/main" id="{F77BCBBC-955E-026D-640F-0518D570BE26}"/>
            </a:ext>
          </a:extLst>
        </xdr:cNvPr>
        <xdr:cNvSpPr/>
      </xdr:nvSpPr>
      <xdr:spPr>
        <a:xfrm>
          <a:off x="16097250" y="525424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0</xdr:colOff>
      <xdr:row>310</xdr:row>
      <xdr:rowOff>182879</xdr:rowOff>
    </xdr:from>
    <xdr:to>
      <xdr:col>19</xdr:col>
      <xdr:colOff>0</xdr:colOff>
      <xdr:row>350</xdr:row>
      <xdr:rowOff>182879</xdr:rowOff>
    </xdr:to>
    <xdr:sp macro="" textlink="">
      <xdr:nvSpPr>
        <xdr:cNvPr id="124" name="OpenSolver23">
          <a:extLst>
            <a:ext uri="{FF2B5EF4-FFF2-40B4-BE49-F238E27FC236}">
              <a16:creationId xmlns:a16="http://schemas.microsoft.com/office/drawing/2014/main" id="{7F59CF0D-4CA4-C353-08EF-D068DA898AF2}"/>
            </a:ext>
          </a:extLst>
        </xdr:cNvPr>
        <xdr:cNvSpPr/>
      </xdr:nvSpPr>
      <xdr:spPr>
        <a:xfrm>
          <a:off x="14287500" y="56875679"/>
          <a:ext cx="792480" cy="73152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22</xdr:col>
      <xdr:colOff>0</xdr:colOff>
      <xdr:row>310</xdr:row>
      <xdr:rowOff>182879</xdr:rowOff>
    </xdr:from>
    <xdr:to>
      <xdr:col>23</xdr:col>
      <xdr:colOff>0</xdr:colOff>
      <xdr:row>350</xdr:row>
      <xdr:rowOff>182879</xdr:rowOff>
    </xdr:to>
    <xdr:sp macro="" textlink="">
      <xdr:nvSpPr>
        <xdr:cNvPr id="125" name="OpenSolver24">
          <a:extLst>
            <a:ext uri="{FF2B5EF4-FFF2-40B4-BE49-F238E27FC236}">
              <a16:creationId xmlns:a16="http://schemas.microsoft.com/office/drawing/2014/main" id="{0FA9A7B2-7450-0BFF-8B9E-F035DF149D19}"/>
            </a:ext>
          </a:extLst>
        </xdr:cNvPr>
        <xdr:cNvSpPr/>
      </xdr:nvSpPr>
      <xdr:spPr>
        <a:xfrm>
          <a:off x="17495520" y="56875679"/>
          <a:ext cx="506730" cy="73152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CC33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330</xdr:row>
      <xdr:rowOff>182879</xdr:rowOff>
    </xdr:from>
    <xdr:to>
      <xdr:col>22</xdr:col>
      <xdr:colOff>0</xdr:colOff>
      <xdr:row>330</xdr:row>
      <xdr:rowOff>182879</xdr:rowOff>
    </xdr:to>
    <xdr:cxnSp macro="">
      <xdr:nvCxnSpPr>
        <xdr:cNvPr id="126" name="OpenSolver25">
          <a:extLst>
            <a:ext uri="{FF2B5EF4-FFF2-40B4-BE49-F238E27FC236}">
              <a16:creationId xmlns:a16="http://schemas.microsoft.com/office/drawing/2014/main" id="{17292E19-803E-20C3-D264-CC3098E98316}"/>
            </a:ext>
          </a:extLst>
        </xdr:cNvPr>
        <xdr:cNvCxnSpPr>
          <a:stCxn id="124" idx="3"/>
          <a:endCxn id="125" idx="1"/>
        </xdr:cNvCxnSpPr>
      </xdr:nvCxnSpPr>
      <xdr:spPr>
        <a:xfrm>
          <a:off x="15079980" y="60533279"/>
          <a:ext cx="241554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330</xdr:row>
      <xdr:rowOff>55879</xdr:rowOff>
    </xdr:from>
    <xdr:to>
      <xdr:col>21</xdr:col>
      <xdr:colOff>331470</xdr:colOff>
      <xdr:row>331</xdr:row>
      <xdr:rowOff>126999</xdr:rowOff>
    </xdr:to>
    <xdr:sp macro="" textlink="">
      <xdr:nvSpPr>
        <xdr:cNvPr id="127" name="OpenSolver26">
          <a:extLst>
            <a:ext uri="{FF2B5EF4-FFF2-40B4-BE49-F238E27FC236}">
              <a16:creationId xmlns:a16="http://schemas.microsoft.com/office/drawing/2014/main" id="{A015FC4F-A530-38E3-D809-A774AC82B670}"/>
            </a:ext>
          </a:extLst>
        </xdr:cNvPr>
        <xdr:cNvSpPr/>
      </xdr:nvSpPr>
      <xdr:spPr>
        <a:xfrm>
          <a:off x="16097250" y="60406279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443</xdr:row>
      <xdr:rowOff>2</xdr:rowOff>
    </xdr:from>
    <xdr:to>
      <xdr:col>19</xdr:col>
      <xdr:colOff>0</xdr:colOff>
      <xdr:row>483</xdr:row>
      <xdr:rowOff>2</xdr:rowOff>
    </xdr:to>
    <xdr:sp macro="" textlink="">
      <xdr:nvSpPr>
        <xdr:cNvPr id="128" name="OpenSolver27">
          <a:extLst>
            <a:ext uri="{FF2B5EF4-FFF2-40B4-BE49-F238E27FC236}">
              <a16:creationId xmlns:a16="http://schemas.microsoft.com/office/drawing/2014/main" id="{03ACC733-2046-8091-9366-C2F0AA3D53B7}"/>
            </a:ext>
          </a:extLst>
        </xdr:cNvPr>
        <xdr:cNvSpPr/>
      </xdr:nvSpPr>
      <xdr:spPr>
        <a:xfrm>
          <a:off x="2377440" y="81015842"/>
          <a:ext cx="12702540" cy="73152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22</xdr:col>
      <xdr:colOff>0</xdr:colOff>
      <xdr:row>443</xdr:row>
      <xdr:rowOff>2</xdr:rowOff>
    </xdr:from>
    <xdr:to>
      <xdr:col>38</xdr:col>
      <xdr:colOff>0</xdr:colOff>
      <xdr:row>483</xdr:row>
      <xdr:rowOff>2</xdr:rowOff>
    </xdr:to>
    <xdr:sp macro="" textlink="">
      <xdr:nvSpPr>
        <xdr:cNvPr id="129" name="OpenSolver28">
          <a:extLst>
            <a:ext uri="{FF2B5EF4-FFF2-40B4-BE49-F238E27FC236}">
              <a16:creationId xmlns:a16="http://schemas.microsoft.com/office/drawing/2014/main" id="{129A3BB7-0558-430C-BD4C-4AAEAA39F734}"/>
            </a:ext>
          </a:extLst>
        </xdr:cNvPr>
        <xdr:cNvSpPr/>
      </xdr:nvSpPr>
      <xdr:spPr>
        <a:xfrm>
          <a:off x="17495520" y="81015842"/>
          <a:ext cx="8107680" cy="73152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463</xdr:row>
      <xdr:rowOff>2</xdr:rowOff>
    </xdr:from>
    <xdr:to>
      <xdr:col>22</xdr:col>
      <xdr:colOff>0</xdr:colOff>
      <xdr:row>463</xdr:row>
      <xdr:rowOff>2</xdr:rowOff>
    </xdr:to>
    <xdr:cxnSp macro="">
      <xdr:nvCxnSpPr>
        <xdr:cNvPr id="130" name="OpenSolver29">
          <a:extLst>
            <a:ext uri="{FF2B5EF4-FFF2-40B4-BE49-F238E27FC236}">
              <a16:creationId xmlns:a16="http://schemas.microsoft.com/office/drawing/2014/main" id="{9354C83C-F778-36FB-4D4D-2E7DC7385724}"/>
            </a:ext>
          </a:extLst>
        </xdr:cNvPr>
        <xdr:cNvCxnSpPr>
          <a:stCxn id="128" idx="3"/>
          <a:endCxn id="129" idx="1"/>
        </xdr:cNvCxnSpPr>
      </xdr:nvCxnSpPr>
      <xdr:spPr>
        <a:xfrm>
          <a:off x="15079980" y="84673442"/>
          <a:ext cx="241554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462</xdr:row>
      <xdr:rowOff>55882</xdr:rowOff>
    </xdr:from>
    <xdr:to>
      <xdr:col>21</xdr:col>
      <xdr:colOff>331470</xdr:colOff>
      <xdr:row>463</xdr:row>
      <xdr:rowOff>127002</xdr:rowOff>
    </xdr:to>
    <xdr:sp macro="" textlink="">
      <xdr:nvSpPr>
        <xdr:cNvPr id="131" name="OpenSolver30">
          <a:extLst>
            <a:ext uri="{FF2B5EF4-FFF2-40B4-BE49-F238E27FC236}">
              <a16:creationId xmlns:a16="http://schemas.microsoft.com/office/drawing/2014/main" id="{D56A2D0B-3DE8-C7E8-0118-CF52FDD4D09C}"/>
            </a:ext>
          </a:extLst>
        </xdr:cNvPr>
        <xdr:cNvSpPr/>
      </xdr:nvSpPr>
      <xdr:spPr>
        <a:xfrm>
          <a:off x="16097250" y="845464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485</xdr:row>
      <xdr:rowOff>182879</xdr:rowOff>
    </xdr:from>
    <xdr:to>
      <xdr:col>19</xdr:col>
      <xdr:colOff>0</xdr:colOff>
      <xdr:row>525</xdr:row>
      <xdr:rowOff>182879</xdr:rowOff>
    </xdr:to>
    <xdr:sp macro="" textlink="">
      <xdr:nvSpPr>
        <xdr:cNvPr id="132" name="OpenSolver31">
          <a:extLst>
            <a:ext uri="{FF2B5EF4-FFF2-40B4-BE49-F238E27FC236}">
              <a16:creationId xmlns:a16="http://schemas.microsoft.com/office/drawing/2014/main" id="{A8262E44-FC21-2ABD-770A-494CB1DE635A}"/>
            </a:ext>
          </a:extLst>
        </xdr:cNvPr>
        <xdr:cNvSpPr/>
      </xdr:nvSpPr>
      <xdr:spPr>
        <a:xfrm>
          <a:off x="2377440" y="88879679"/>
          <a:ext cx="12702540" cy="7315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22</xdr:col>
      <xdr:colOff>0</xdr:colOff>
      <xdr:row>485</xdr:row>
      <xdr:rowOff>182879</xdr:rowOff>
    </xdr:from>
    <xdr:to>
      <xdr:col>38</xdr:col>
      <xdr:colOff>0</xdr:colOff>
      <xdr:row>525</xdr:row>
      <xdr:rowOff>182879</xdr:rowOff>
    </xdr:to>
    <xdr:sp macro="" textlink="">
      <xdr:nvSpPr>
        <xdr:cNvPr id="133" name="OpenSolver32">
          <a:extLst>
            <a:ext uri="{FF2B5EF4-FFF2-40B4-BE49-F238E27FC236}">
              <a16:creationId xmlns:a16="http://schemas.microsoft.com/office/drawing/2014/main" id="{6BCEA9E4-E998-C69F-AE59-1B5D070F5FEC}"/>
            </a:ext>
          </a:extLst>
        </xdr:cNvPr>
        <xdr:cNvSpPr/>
      </xdr:nvSpPr>
      <xdr:spPr>
        <a:xfrm>
          <a:off x="17495520" y="88879679"/>
          <a:ext cx="8107680" cy="7315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CC0099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505</xdr:row>
      <xdr:rowOff>182879</xdr:rowOff>
    </xdr:from>
    <xdr:to>
      <xdr:col>22</xdr:col>
      <xdr:colOff>0</xdr:colOff>
      <xdr:row>505</xdr:row>
      <xdr:rowOff>182879</xdr:rowOff>
    </xdr:to>
    <xdr:cxnSp macro="">
      <xdr:nvCxnSpPr>
        <xdr:cNvPr id="134" name="OpenSolver33">
          <a:extLst>
            <a:ext uri="{FF2B5EF4-FFF2-40B4-BE49-F238E27FC236}">
              <a16:creationId xmlns:a16="http://schemas.microsoft.com/office/drawing/2014/main" id="{FDDFF23B-2B04-6546-0155-D7E612C86E5F}"/>
            </a:ext>
          </a:extLst>
        </xdr:cNvPr>
        <xdr:cNvCxnSpPr>
          <a:stCxn id="132" idx="3"/>
          <a:endCxn id="133" idx="1"/>
        </xdr:cNvCxnSpPr>
      </xdr:nvCxnSpPr>
      <xdr:spPr>
        <a:xfrm>
          <a:off x="15079980" y="92537279"/>
          <a:ext cx="241554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505</xdr:row>
      <xdr:rowOff>55879</xdr:rowOff>
    </xdr:from>
    <xdr:to>
      <xdr:col>21</xdr:col>
      <xdr:colOff>331470</xdr:colOff>
      <xdr:row>506</xdr:row>
      <xdr:rowOff>126999</xdr:rowOff>
    </xdr:to>
    <xdr:sp macro="" textlink="">
      <xdr:nvSpPr>
        <xdr:cNvPr id="135" name="OpenSolver34">
          <a:extLst>
            <a:ext uri="{FF2B5EF4-FFF2-40B4-BE49-F238E27FC236}">
              <a16:creationId xmlns:a16="http://schemas.microsoft.com/office/drawing/2014/main" id="{39856961-A9F2-3288-8693-F8D00A3CA4E5}"/>
            </a:ext>
          </a:extLst>
        </xdr:cNvPr>
        <xdr:cNvSpPr/>
      </xdr:nvSpPr>
      <xdr:spPr>
        <a:xfrm>
          <a:off x="16097250" y="92410279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530</xdr:row>
      <xdr:rowOff>0</xdr:rowOff>
    </xdr:from>
    <xdr:to>
      <xdr:col>19</xdr:col>
      <xdr:colOff>0</xdr:colOff>
      <xdr:row>570</xdr:row>
      <xdr:rowOff>0</xdr:rowOff>
    </xdr:to>
    <xdr:sp macro="" textlink="">
      <xdr:nvSpPr>
        <xdr:cNvPr id="136" name="OpenSolver35">
          <a:extLst>
            <a:ext uri="{FF2B5EF4-FFF2-40B4-BE49-F238E27FC236}">
              <a16:creationId xmlns:a16="http://schemas.microsoft.com/office/drawing/2014/main" id="{11D87B73-B77F-D5D1-A62A-E6DEEB0DAE8A}"/>
            </a:ext>
          </a:extLst>
        </xdr:cNvPr>
        <xdr:cNvSpPr/>
      </xdr:nvSpPr>
      <xdr:spPr>
        <a:xfrm>
          <a:off x="2377440" y="96926400"/>
          <a:ext cx="12702540" cy="73152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0</xdr:colOff>
      <xdr:row>530</xdr:row>
      <xdr:rowOff>0</xdr:rowOff>
    </xdr:from>
    <xdr:to>
      <xdr:col>38</xdr:col>
      <xdr:colOff>0</xdr:colOff>
      <xdr:row>570</xdr:row>
      <xdr:rowOff>0</xdr:rowOff>
    </xdr:to>
    <xdr:sp macro="" textlink="">
      <xdr:nvSpPr>
        <xdr:cNvPr id="137" name="OpenSolver36">
          <a:extLst>
            <a:ext uri="{FF2B5EF4-FFF2-40B4-BE49-F238E27FC236}">
              <a16:creationId xmlns:a16="http://schemas.microsoft.com/office/drawing/2014/main" id="{AFFB6099-F2B3-07AB-CFC7-18A09B26BA04}"/>
            </a:ext>
          </a:extLst>
        </xdr:cNvPr>
        <xdr:cNvSpPr/>
      </xdr:nvSpPr>
      <xdr:spPr>
        <a:xfrm>
          <a:off x="17495520" y="96926400"/>
          <a:ext cx="8107680" cy="73152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550</xdr:row>
      <xdr:rowOff>0</xdr:rowOff>
    </xdr:from>
    <xdr:to>
      <xdr:col>22</xdr:col>
      <xdr:colOff>0</xdr:colOff>
      <xdr:row>550</xdr:row>
      <xdr:rowOff>0</xdr:rowOff>
    </xdr:to>
    <xdr:cxnSp macro="">
      <xdr:nvCxnSpPr>
        <xdr:cNvPr id="138" name="OpenSolver37">
          <a:extLst>
            <a:ext uri="{FF2B5EF4-FFF2-40B4-BE49-F238E27FC236}">
              <a16:creationId xmlns:a16="http://schemas.microsoft.com/office/drawing/2014/main" id="{EC9FAB50-8256-DB5D-6B3A-9EA9E17A5C8E}"/>
            </a:ext>
          </a:extLst>
        </xdr:cNvPr>
        <xdr:cNvCxnSpPr>
          <a:stCxn id="136" idx="3"/>
          <a:endCxn id="137" idx="1"/>
        </xdr:cNvCxnSpPr>
      </xdr:nvCxnSpPr>
      <xdr:spPr>
        <a:xfrm>
          <a:off x="15079980" y="100584000"/>
          <a:ext cx="241554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549</xdr:row>
      <xdr:rowOff>55880</xdr:rowOff>
    </xdr:from>
    <xdr:to>
      <xdr:col>21</xdr:col>
      <xdr:colOff>331470</xdr:colOff>
      <xdr:row>550</xdr:row>
      <xdr:rowOff>127000</xdr:rowOff>
    </xdr:to>
    <xdr:sp macro="" textlink="">
      <xdr:nvSpPr>
        <xdr:cNvPr id="139" name="OpenSolver38">
          <a:extLst>
            <a:ext uri="{FF2B5EF4-FFF2-40B4-BE49-F238E27FC236}">
              <a16:creationId xmlns:a16="http://schemas.microsoft.com/office/drawing/2014/main" id="{7F4D2F39-6B80-C036-9815-2D24D54ABD8E}"/>
            </a:ext>
          </a:extLst>
        </xdr:cNvPr>
        <xdr:cNvSpPr/>
      </xdr:nvSpPr>
      <xdr:spPr>
        <a:xfrm>
          <a:off x="16097250" y="1004570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573</xdr:row>
      <xdr:rowOff>182875</xdr:rowOff>
    </xdr:from>
    <xdr:to>
      <xdr:col>19</xdr:col>
      <xdr:colOff>0</xdr:colOff>
      <xdr:row>613</xdr:row>
      <xdr:rowOff>182875</xdr:rowOff>
    </xdr:to>
    <xdr:sp macro="" textlink="">
      <xdr:nvSpPr>
        <xdr:cNvPr id="140" name="OpenSolver39">
          <a:extLst>
            <a:ext uri="{FF2B5EF4-FFF2-40B4-BE49-F238E27FC236}">
              <a16:creationId xmlns:a16="http://schemas.microsoft.com/office/drawing/2014/main" id="{50EC0E26-2D8B-830B-6E05-E84746128746}"/>
            </a:ext>
          </a:extLst>
        </xdr:cNvPr>
        <xdr:cNvSpPr/>
      </xdr:nvSpPr>
      <xdr:spPr>
        <a:xfrm>
          <a:off x="2377440" y="104973115"/>
          <a:ext cx="12702540" cy="73152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22</xdr:col>
      <xdr:colOff>0</xdr:colOff>
      <xdr:row>573</xdr:row>
      <xdr:rowOff>182875</xdr:rowOff>
    </xdr:from>
    <xdr:to>
      <xdr:col>38</xdr:col>
      <xdr:colOff>0</xdr:colOff>
      <xdr:row>613</xdr:row>
      <xdr:rowOff>182875</xdr:rowOff>
    </xdr:to>
    <xdr:sp macro="" textlink="">
      <xdr:nvSpPr>
        <xdr:cNvPr id="141" name="OpenSolver40">
          <a:extLst>
            <a:ext uri="{FF2B5EF4-FFF2-40B4-BE49-F238E27FC236}">
              <a16:creationId xmlns:a16="http://schemas.microsoft.com/office/drawing/2014/main" id="{BFA39957-6B57-928B-4182-753687DC523F}"/>
            </a:ext>
          </a:extLst>
        </xdr:cNvPr>
        <xdr:cNvSpPr/>
      </xdr:nvSpPr>
      <xdr:spPr>
        <a:xfrm>
          <a:off x="17495520" y="104973115"/>
          <a:ext cx="8107680" cy="73152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593</xdr:row>
      <xdr:rowOff>182875</xdr:rowOff>
    </xdr:from>
    <xdr:to>
      <xdr:col>22</xdr:col>
      <xdr:colOff>0</xdr:colOff>
      <xdr:row>593</xdr:row>
      <xdr:rowOff>182875</xdr:rowOff>
    </xdr:to>
    <xdr:cxnSp macro="">
      <xdr:nvCxnSpPr>
        <xdr:cNvPr id="142" name="OpenSolver41">
          <a:extLst>
            <a:ext uri="{FF2B5EF4-FFF2-40B4-BE49-F238E27FC236}">
              <a16:creationId xmlns:a16="http://schemas.microsoft.com/office/drawing/2014/main" id="{873E3B73-E2A5-1522-8DA4-22748EF69B54}"/>
            </a:ext>
          </a:extLst>
        </xdr:cNvPr>
        <xdr:cNvCxnSpPr>
          <a:stCxn id="140" idx="3"/>
          <a:endCxn id="141" idx="1"/>
        </xdr:cNvCxnSpPr>
      </xdr:nvCxnSpPr>
      <xdr:spPr>
        <a:xfrm>
          <a:off x="15079980" y="108630715"/>
          <a:ext cx="241554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593</xdr:row>
      <xdr:rowOff>55875</xdr:rowOff>
    </xdr:from>
    <xdr:to>
      <xdr:col>21</xdr:col>
      <xdr:colOff>331470</xdr:colOff>
      <xdr:row>594</xdr:row>
      <xdr:rowOff>126995</xdr:rowOff>
    </xdr:to>
    <xdr:sp macro="" textlink="">
      <xdr:nvSpPr>
        <xdr:cNvPr id="143" name="OpenSolver42">
          <a:extLst>
            <a:ext uri="{FF2B5EF4-FFF2-40B4-BE49-F238E27FC236}">
              <a16:creationId xmlns:a16="http://schemas.microsoft.com/office/drawing/2014/main" id="{DE0D44CE-811E-669F-0018-CC1B0958B9D3}"/>
            </a:ext>
          </a:extLst>
        </xdr:cNvPr>
        <xdr:cNvSpPr/>
      </xdr:nvSpPr>
      <xdr:spPr>
        <a:xfrm>
          <a:off x="16097250" y="10850371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618</xdr:row>
      <xdr:rowOff>2</xdr:rowOff>
    </xdr:from>
    <xdr:to>
      <xdr:col>19</xdr:col>
      <xdr:colOff>0</xdr:colOff>
      <xdr:row>658</xdr:row>
      <xdr:rowOff>2</xdr:rowOff>
    </xdr:to>
    <xdr:sp macro="" textlink="">
      <xdr:nvSpPr>
        <xdr:cNvPr id="144" name="OpenSolver43">
          <a:extLst>
            <a:ext uri="{FF2B5EF4-FFF2-40B4-BE49-F238E27FC236}">
              <a16:creationId xmlns:a16="http://schemas.microsoft.com/office/drawing/2014/main" id="{7C6D5B2A-F8F3-9524-9B78-9C4099B91A3F}"/>
            </a:ext>
          </a:extLst>
        </xdr:cNvPr>
        <xdr:cNvSpPr/>
      </xdr:nvSpPr>
      <xdr:spPr>
        <a:xfrm>
          <a:off x="2377440" y="113019842"/>
          <a:ext cx="12702540" cy="7315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22</xdr:col>
      <xdr:colOff>0</xdr:colOff>
      <xdr:row>618</xdr:row>
      <xdr:rowOff>2</xdr:rowOff>
    </xdr:from>
    <xdr:to>
      <xdr:col>38</xdr:col>
      <xdr:colOff>0</xdr:colOff>
      <xdr:row>658</xdr:row>
      <xdr:rowOff>2</xdr:rowOff>
    </xdr:to>
    <xdr:sp macro="" textlink="">
      <xdr:nvSpPr>
        <xdr:cNvPr id="145" name="OpenSolver44">
          <a:extLst>
            <a:ext uri="{FF2B5EF4-FFF2-40B4-BE49-F238E27FC236}">
              <a16:creationId xmlns:a16="http://schemas.microsoft.com/office/drawing/2014/main" id="{239A7413-9407-96DD-19F8-70089F5F8F06}"/>
            </a:ext>
          </a:extLst>
        </xdr:cNvPr>
        <xdr:cNvSpPr/>
      </xdr:nvSpPr>
      <xdr:spPr>
        <a:xfrm>
          <a:off x="17495520" y="113019842"/>
          <a:ext cx="8107680" cy="7315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638</xdr:row>
      <xdr:rowOff>2</xdr:rowOff>
    </xdr:from>
    <xdr:to>
      <xdr:col>22</xdr:col>
      <xdr:colOff>0</xdr:colOff>
      <xdr:row>638</xdr:row>
      <xdr:rowOff>2</xdr:rowOff>
    </xdr:to>
    <xdr:cxnSp macro="">
      <xdr:nvCxnSpPr>
        <xdr:cNvPr id="146" name="OpenSolver45">
          <a:extLst>
            <a:ext uri="{FF2B5EF4-FFF2-40B4-BE49-F238E27FC236}">
              <a16:creationId xmlns:a16="http://schemas.microsoft.com/office/drawing/2014/main" id="{4495665E-FA1C-3407-4050-F089B2D11555}"/>
            </a:ext>
          </a:extLst>
        </xdr:cNvPr>
        <xdr:cNvCxnSpPr>
          <a:stCxn id="144" idx="3"/>
          <a:endCxn id="145" idx="1"/>
        </xdr:cNvCxnSpPr>
      </xdr:nvCxnSpPr>
      <xdr:spPr>
        <a:xfrm>
          <a:off x="15079980" y="116677442"/>
          <a:ext cx="241554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637</xdr:row>
      <xdr:rowOff>55882</xdr:rowOff>
    </xdr:from>
    <xdr:to>
      <xdr:col>21</xdr:col>
      <xdr:colOff>331470</xdr:colOff>
      <xdr:row>638</xdr:row>
      <xdr:rowOff>127002</xdr:rowOff>
    </xdr:to>
    <xdr:sp macro="" textlink="">
      <xdr:nvSpPr>
        <xdr:cNvPr id="147" name="OpenSolver46">
          <a:extLst>
            <a:ext uri="{FF2B5EF4-FFF2-40B4-BE49-F238E27FC236}">
              <a16:creationId xmlns:a16="http://schemas.microsoft.com/office/drawing/2014/main" id="{ABFBB6D6-6C1F-B258-F3AC-9BD7F82C93FF}"/>
            </a:ext>
          </a:extLst>
        </xdr:cNvPr>
        <xdr:cNvSpPr/>
      </xdr:nvSpPr>
      <xdr:spPr>
        <a:xfrm>
          <a:off x="16097250" y="1165504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661</xdr:row>
      <xdr:rowOff>182878</xdr:rowOff>
    </xdr:from>
    <xdr:to>
      <xdr:col>19</xdr:col>
      <xdr:colOff>0</xdr:colOff>
      <xdr:row>701</xdr:row>
      <xdr:rowOff>182878</xdr:rowOff>
    </xdr:to>
    <xdr:sp macro="" textlink="">
      <xdr:nvSpPr>
        <xdr:cNvPr id="148" name="OpenSolver47">
          <a:extLst>
            <a:ext uri="{FF2B5EF4-FFF2-40B4-BE49-F238E27FC236}">
              <a16:creationId xmlns:a16="http://schemas.microsoft.com/office/drawing/2014/main" id="{D75FE2E9-A4BB-A8D8-36EC-5513D85D0B79}"/>
            </a:ext>
          </a:extLst>
        </xdr:cNvPr>
        <xdr:cNvSpPr/>
      </xdr:nvSpPr>
      <xdr:spPr>
        <a:xfrm>
          <a:off x="2377440" y="121066558"/>
          <a:ext cx="12702540" cy="7315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22</xdr:col>
      <xdr:colOff>0</xdr:colOff>
      <xdr:row>661</xdr:row>
      <xdr:rowOff>182878</xdr:rowOff>
    </xdr:from>
    <xdr:to>
      <xdr:col>38</xdr:col>
      <xdr:colOff>0</xdr:colOff>
      <xdr:row>701</xdr:row>
      <xdr:rowOff>182878</xdr:rowOff>
    </xdr:to>
    <xdr:sp macro="" textlink="">
      <xdr:nvSpPr>
        <xdr:cNvPr id="149" name="OpenSolver48">
          <a:extLst>
            <a:ext uri="{FF2B5EF4-FFF2-40B4-BE49-F238E27FC236}">
              <a16:creationId xmlns:a16="http://schemas.microsoft.com/office/drawing/2014/main" id="{09C7F82F-731E-B298-C808-204C7026E38B}"/>
            </a:ext>
          </a:extLst>
        </xdr:cNvPr>
        <xdr:cNvSpPr/>
      </xdr:nvSpPr>
      <xdr:spPr>
        <a:xfrm>
          <a:off x="17495520" y="121066558"/>
          <a:ext cx="8107680" cy="7315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681</xdr:row>
      <xdr:rowOff>182878</xdr:rowOff>
    </xdr:from>
    <xdr:to>
      <xdr:col>22</xdr:col>
      <xdr:colOff>0</xdr:colOff>
      <xdr:row>681</xdr:row>
      <xdr:rowOff>182878</xdr:rowOff>
    </xdr:to>
    <xdr:cxnSp macro="">
      <xdr:nvCxnSpPr>
        <xdr:cNvPr id="150" name="OpenSolver49">
          <a:extLst>
            <a:ext uri="{FF2B5EF4-FFF2-40B4-BE49-F238E27FC236}">
              <a16:creationId xmlns:a16="http://schemas.microsoft.com/office/drawing/2014/main" id="{D2D00165-8AEA-6E0A-D2FA-342379040566}"/>
            </a:ext>
          </a:extLst>
        </xdr:cNvPr>
        <xdr:cNvCxnSpPr>
          <a:stCxn id="148" idx="3"/>
          <a:endCxn id="149" idx="1"/>
        </xdr:cNvCxnSpPr>
      </xdr:nvCxnSpPr>
      <xdr:spPr>
        <a:xfrm>
          <a:off x="15079980" y="124724158"/>
          <a:ext cx="241554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681</xdr:row>
      <xdr:rowOff>55878</xdr:rowOff>
    </xdr:from>
    <xdr:to>
      <xdr:col>21</xdr:col>
      <xdr:colOff>331470</xdr:colOff>
      <xdr:row>682</xdr:row>
      <xdr:rowOff>126998</xdr:rowOff>
    </xdr:to>
    <xdr:sp macro="" textlink="">
      <xdr:nvSpPr>
        <xdr:cNvPr id="151" name="OpenSolver50">
          <a:extLst>
            <a:ext uri="{FF2B5EF4-FFF2-40B4-BE49-F238E27FC236}">
              <a16:creationId xmlns:a16="http://schemas.microsoft.com/office/drawing/2014/main" id="{87E95DA4-776D-9885-1509-BEACF3DB2BB4}"/>
            </a:ext>
          </a:extLst>
        </xdr:cNvPr>
        <xdr:cNvSpPr/>
      </xdr:nvSpPr>
      <xdr:spPr>
        <a:xfrm>
          <a:off x="16097250" y="124597158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12700</xdr:colOff>
      <xdr:row>662</xdr:row>
      <xdr:rowOff>12698</xdr:rowOff>
    </xdr:from>
    <xdr:to>
      <xdr:col>19</xdr:col>
      <xdr:colOff>0</xdr:colOff>
      <xdr:row>701</xdr:row>
      <xdr:rowOff>182878</xdr:rowOff>
    </xdr:to>
    <xdr:sp macro="" textlink="">
      <xdr:nvSpPr>
        <xdr:cNvPr id="152" name="OpenSolver51">
          <a:extLst>
            <a:ext uri="{FF2B5EF4-FFF2-40B4-BE49-F238E27FC236}">
              <a16:creationId xmlns:a16="http://schemas.microsoft.com/office/drawing/2014/main" id="{67FC986C-AC20-4919-0739-0247776AA3B4}"/>
            </a:ext>
          </a:extLst>
        </xdr:cNvPr>
        <xdr:cNvSpPr/>
      </xdr:nvSpPr>
      <xdr:spPr>
        <a:xfrm>
          <a:off x="2390140" y="121079258"/>
          <a:ext cx="12689840" cy="73025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22</xdr:col>
      <xdr:colOff>12700</xdr:colOff>
      <xdr:row>662</xdr:row>
      <xdr:rowOff>12698</xdr:rowOff>
    </xdr:from>
    <xdr:to>
      <xdr:col>38</xdr:col>
      <xdr:colOff>0</xdr:colOff>
      <xdr:row>701</xdr:row>
      <xdr:rowOff>182878</xdr:rowOff>
    </xdr:to>
    <xdr:sp macro="" textlink="">
      <xdr:nvSpPr>
        <xdr:cNvPr id="153" name="OpenSolver52">
          <a:extLst>
            <a:ext uri="{FF2B5EF4-FFF2-40B4-BE49-F238E27FC236}">
              <a16:creationId xmlns:a16="http://schemas.microsoft.com/office/drawing/2014/main" id="{E9B2D64C-CDD5-B1EE-E972-2769170884B8}"/>
            </a:ext>
          </a:extLst>
        </xdr:cNvPr>
        <xdr:cNvSpPr/>
      </xdr:nvSpPr>
      <xdr:spPr>
        <a:xfrm>
          <a:off x="17508220" y="121079258"/>
          <a:ext cx="8094980" cy="73025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CC33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682</xdr:row>
      <xdr:rowOff>6348</xdr:rowOff>
    </xdr:from>
    <xdr:to>
      <xdr:col>22</xdr:col>
      <xdr:colOff>12700</xdr:colOff>
      <xdr:row>682</xdr:row>
      <xdr:rowOff>6348</xdr:rowOff>
    </xdr:to>
    <xdr:cxnSp macro="">
      <xdr:nvCxnSpPr>
        <xdr:cNvPr id="154" name="OpenSolver53">
          <a:extLst>
            <a:ext uri="{FF2B5EF4-FFF2-40B4-BE49-F238E27FC236}">
              <a16:creationId xmlns:a16="http://schemas.microsoft.com/office/drawing/2014/main" id="{7FD41CA0-DE52-9EFA-EE5E-DB0F4B2451CA}"/>
            </a:ext>
          </a:extLst>
        </xdr:cNvPr>
        <xdr:cNvCxnSpPr>
          <a:stCxn id="152" idx="3"/>
          <a:endCxn id="153" idx="1"/>
        </xdr:cNvCxnSpPr>
      </xdr:nvCxnSpPr>
      <xdr:spPr>
        <a:xfrm>
          <a:off x="15079980" y="124730508"/>
          <a:ext cx="242824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231140</xdr:colOff>
      <xdr:row>681</xdr:row>
      <xdr:rowOff>62228</xdr:rowOff>
    </xdr:from>
    <xdr:to>
      <xdr:col>21</xdr:col>
      <xdr:colOff>337820</xdr:colOff>
      <xdr:row>682</xdr:row>
      <xdr:rowOff>133348</xdr:rowOff>
    </xdr:to>
    <xdr:sp macro="" textlink="">
      <xdr:nvSpPr>
        <xdr:cNvPr id="155" name="OpenSolver54">
          <a:extLst>
            <a:ext uri="{FF2B5EF4-FFF2-40B4-BE49-F238E27FC236}">
              <a16:creationId xmlns:a16="http://schemas.microsoft.com/office/drawing/2014/main" id="{F9891C82-7EB3-AC82-18E3-32CE07F22937}"/>
            </a:ext>
          </a:extLst>
        </xdr:cNvPr>
        <xdr:cNvSpPr/>
      </xdr:nvSpPr>
      <xdr:spPr>
        <a:xfrm>
          <a:off x="16103600" y="124603508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706</xdr:row>
      <xdr:rowOff>5</xdr:rowOff>
    </xdr:from>
    <xdr:to>
      <xdr:col>19</xdr:col>
      <xdr:colOff>0</xdr:colOff>
      <xdr:row>746</xdr:row>
      <xdr:rowOff>5</xdr:rowOff>
    </xdr:to>
    <xdr:sp macro="" textlink="">
      <xdr:nvSpPr>
        <xdr:cNvPr id="156" name="OpenSolver55">
          <a:extLst>
            <a:ext uri="{FF2B5EF4-FFF2-40B4-BE49-F238E27FC236}">
              <a16:creationId xmlns:a16="http://schemas.microsoft.com/office/drawing/2014/main" id="{C2034155-E3E7-1C9E-2182-5624F88F533C}"/>
            </a:ext>
          </a:extLst>
        </xdr:cNvPr>
        <xdr:cNvSpPr/>
      </xdr:nvSpPr>
      <xdr:spPr>
        <a:xfrm>
          <a:off x="2377440" y="129113285"/>
          <a:ext cx="12702540" cy="73152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22</xdr:col>
      <xdr:colOff>0</xdr:colOff>
      <xdr:row>706</xdr:row>
      <xdr:rowOff>5</xdr:rowOff>
    </xdr:from>
    <xdr:to>
      <xdr:col>38</xdr:col>
      <xdr:colOff>0</xdr:colOff>
      <xdr:row>746</xdr:row>
      <xdr:rowOff>5</xdr:rowOff>
    </xdr:to>
    <xdr:sp macro="" textlink="">
      <xdr:nvSpPr>
        <xdr:cNvPr id="157" name="OpenSolver56">
          <a:extLst>
            <a:ext uri="{FF2B5EF4-FFF2-40B4-BE49-F238E27FC236}">
              <a16:creationId xmlns:a16="http://schemas.microsoft.com/office/drawing/2014/main" id="{A03107C5-FC46-DF2E-030F-EEA819718E75}"/>
            </a:ext>
          </a:extLst>
        </xdr:cNvPr>
        <xdr:cNvSpPr/>
      </xdr:nvSpPr>
      <xdr:spPr>
        <a:xfrm>
          <a:off x="17495520" y="129113285"/>
          <a:ext cx="8107680" cy="73152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726</xdr:row>
      <xdr:rowOff>5</xdr:rowOff>
    </xdr:from>
    <xdr:to>
      <xdr:col>22</xdr:col>
      <xdr:colOff>0</xdr:colOff>
      <xdr:row>726</xdr:row>
      <xdr:rowOff>5</xdr:rowOff>
    </xdr:to>
    <xdr:cxnSp macro="">
      <xdr:nvCxnSpPr>
        <xdr:cNvPr id="158" name="OpenSolver57">
          <a:extLst>
            <a:ext uri="{FF2B5EF4-FFF2-40B4-BE49-F238E27FC236}">
              <a16:creationId xmlns:a16="http://schemas.microsoft.com/office/drawing/2014/main" id="{3FDA8AEA-241B-9456-D686-BF4238FD5A35}"/>
            </a:ext>
          </a:extLst>
        </xdr:cNvPr>
        <xdr:cNvCxnSpPr>
          <a:stCxn id="156" idx="3"/>
          <a:endCxn id="157" idx="1"/>
        </xdr:cNvCxnSpPr>
      </xdr:nvCxnSpPr>
      <xdr:spPr>
        <a:xfrm>
          <a:off x="15079980" y="132770885"/>
          <a:ext cx="241554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725</xdr:row>
      <xdr:rowOff>55885</xdr:rowOff>
    </xdr:from>
    <xdr:to>
      <xdr:col>21</xdr:col>
      <xdr:colOff>331470</xdr:colOff>
      <xdr:row>726</xdr:row>
      <xdr:rowOff>127005</xdr:rowOff>
    </xdr:to>
    <xdr:sp macro="" textlink="">
      <xdr:nvSpPr>
        <xdr:cNvPr id="159" name="OpenSolver58">
          <a:extLst>
            <a:ext uri="{FF2B5EF4-FFF2-40B4-BE49-F238E27FC236}">
              <a16:creationId xmlns:a16="http://schemas.microsoft.com/office/drawing/2014/main" id="{BB9DC51D-30A5-DB84-140D-83680457BFA9}"/>
            </a:ext>
          </a:extLst>
        </xdr:cNvPr>
        <xdr:cNvSpPr/>
      </xdr:nvSpPr>
      <xdr:spPr>
        <a:xfrm>
          <a:off x="16097250" y="13264388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750</xdr:row>
      <xdr:rowOff>0</xdr:rowOff>
    </xdr:from>
    <xdr:to>
      <xdr:col>19</xdr:col>
      <xdr:colOff>0</xdr:colOff>
      <xdr:row>790</xdr:row>
      <xdr:rowOff>0</xdr:rowOff>
    </xdr:to>
    <xdr:sp macro="" textlink="">
      <xdr:nvSpPr>
        <xdr:cNvPr id="160" name="OpenSolver59">
          <a:extLst>
            <a:ext uri="{FF2B5EF4-FFF2-40B4-BE49-F238E27FC236}">
              <a16:creationId xmlns:a16="http://schemas.microsoft.com/office/drawing/2014/main" id="{3C3A1ACB-FE5E-21A7-35A8-A0B864D1D1EB}"/>
            </a:ext>
          </a:extLst>
        </xdr:cNvPr>
        <xdr:cNvSpPr/>
      </xdr:nvSpPr>
      <xdr:spPr>
        <a:xfrm>
          <a:off x="2377440" y="137160000"/>
          <a:ext cx="12702540" cy="7315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22</xdr:col>
      <xdr:colOff>0</xdr:colOff>
      <xdr:row>750</xdr:row>
      <xdr:rowOff>0</xdr:rowOff>
    </xdr:from>
    <xdr:to>
      <xdr:col>38</xdr:col>
      <xdr:colOff>0</xdr:colOff>
      <xdr:row>790</xdr:row>
      <xdr:rowOff>0</xdr:rowOff>
    </xdr:to>
    <xdr:sp macro="" textlink="">
      <xdr:nvSpPr>
        <xdr:cNvPr id="161" name="OpenSolver60">
          <a:extLst>
            <a:ext uri="{FF2B5EF4-FFF2-40B4-BE49-F238E27FC236}">
              <a16:creationId xmlns:a16="http://schemas.microsoft.com/office/drawing/2014/main" id="{05C02041-9855-4E56-9A21-89D35A4C806E}"/>
            </a:ext>
          </a:extLst>
        </xdr:cNvPr>
        <xdr:cNvSpPr/>
      </xdr:nvSpPr>
      <xdr:spPr>
        <a:xfrm>
          <a:off x="17495520" y="137160000"/>
          <a:ext cx="8107680" cy="7315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CC0099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770</xdr:row>
      <xdr:rowOff>0</xdr:rowOff>
    </xdr:from>
    <xdr:to>
      <xdr:col>22</xdr:col>
      <xdr:colOff>0</xdr:colOff>
      <xdr:row>770</xdr:row>
      <xdr:rowOff>0</xdr:rowOff>
    </xdr:to>
    <xdr:cxnSp macro="">
      <xdr:nvCxnSpPr>
        <xdr:cNvPr id="162" name="OpenSolver61">
          <a:extLst>
            <a:ext uri="{FF2B5EF4-FFF2-40B4-BE49-F238E27FC236}">
              <a16:creationId xmlns:a16="http://schemas.microsoft.com/office/drawing/2014/main" id="{D2279887-AD23-7990-4AFE-E95E61E7AE4A}"/>
            </a:ext>
          </a:extLst>
        </xdr:cNvPr>
        <xdr:cNvCxnSpPr>
          <a:stCxn id="160" idx="3"/>
          <a:endCxn id="161" idx="1"/>
        </xdr:cNvCxnSpPr>
      </xdr:nvCxnSpPr>
      <xdr:spPr>
        <a:xfrm>
          <a:off x="15079980" y="140817600"/>
          <a:ext cx="241554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769</xdr:row>
      <xdr:rowOff>55880</xdr:rowOff>
    </xdr:from>
    <xdr:to>
      <xdr:col>21</xdr:col>
      <xdr:colOff>331470</xdr:colOff>
      <xdr:row>770</xdr:row>
      <xdr:rowOff>127000</xdr:rowOff>
    </xdr:to>
    <xdr:sp macro="" textlink="">
      <xdr:nvSpPr>
        <xdr:cNvPr id="163" name="OpenSolver62">
          <a:extLst>
            <a:ext uri="{FF2B5EF4-FFF2-40B4-BE49-F238E27FC236}">
              <a16:creationId xmlns:a16="http://schemas.microsoft.com/office/drawing/2014/main" id="{36A501D5-761F-DF60-CEB3-BF95C00A3527}"/>
            </a:ext>
          </a:extLst>
        </xdr:cNvPr>
        <xdr:cNvSpPr/>
      </xdr:nvSpPr>
      <xdr:spPr>
        <a:xfrm>
          <a:off x="16097250" y="1406906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793</xdr:row>
      <xdr:rowOff>182875</xdr:rowOff>
    </xdr:from>
    <xdr:to>
      <xdr:col>19</xdr:col>
      <xdr:colOff>0</xdr:colOff>
      <xdr:row>833</xdr:row>
      <xdr:rowOff>182875</xdr:rowOff>
    </xdr:to>
    <xdr:sp macro="" textlink="">
      <xdr:nvSpPr>
        <xdr:cNvPr id="164" name="OpenSolver63">
          <a:extLst>
            <a:ext uri="{FF2B5EF4-FFF2-40B4-BE49-F238E27FC236}">
              <a16:creationId xmlns:a16="http://schemas.microsoft.com/office/drawing/2014/main" id="{55A1DB16-8A3F-FF2C-4DF2-2852E34B3CF4}"/>
            </a:ext>
          </a:extLst>
        </xdr:cNvPr>
        <xdr:cNvSpPr/>
      </xdr:nvSpPr>
      <xdr:spPr>
        <a:xfrm>
          <a:off x="2377440" y="145206715"/>
          <a:ext cx="12702540" cy="73152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0</xdr:colOff>
      <xdr:row>793</xdr:row>
      <xdr:rowOff>182875</xdr:rowOff>
    </xdr:from>
    <xdr:to>
      <xdr:col>38</xdr:col>
      <xdr:colOff>0</xdr:colOff>
      <xdr:row>833</xdr:row>
      <xdr:rowOff>182875</xdr:rowOff>
    </xdr:to>
    <xdr:sp macro="" textlink="">
      <xdr:nvSpPr>
        <xdr:cNvPr id="165" name="OpenSolver64">
          <a:extLst>
            <a:ext uri="{FF2B5EF4-FFF2-40B4-BE49-F238E27FC236}">
              <a16:creationId xmlns:a16="http://schemas.microsoft.com/office/drawing/2014/main" id="{A247166C-AE2C-2D4B-0115-3F9247826CFC}"/>
            </a:ext>
          </a:extLst>
        </xdr:cNvPr>
        <xdr:cNvSpPr/>
      </xdr:nvSpPr>
      <xdr:spPr>
        <a:xfrm>
          <a:off x="17495520" y="145206715"/>
          <a:ext cx="8107680" cy="73152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813</xdr:row>
      <xdr:rowOff>182875</xdr:rowOff>
    </xdr:from>
    <xdr:to>
      <xdr:col>22</xdr:col>
      <xdr:colOff>0</xdr:colOff>
      <xdr:row>813</xdr:row>
      <xdr:rowOff>182875</xdr:rowOff>
    </xdr:to>
    <xdr:cxnSp macro="">
      <xdr:nvCxnSpPr>
        <xdr:cNvPr id="166" name="OpenSolver65">
          <a:extLst>
            <a:ext uri="{FF2B5EF4-FFF2-40B4-BE49-F238E27FC236}">
              <a16:creationId xmlns:a16="http://schemas.microsoft.com/office/drawing/2014/main" id="{85D6DE59-7761-8CE6-6913-674A0BD3419B}"/>
            </a:ext>
          </a:extLst>
        </xdr:cNvPr>
        <xdr:cNvCxnSpPr>
          <a:stCxn id="164" idx="3"/>
          <a:endCxn id="165" idx="1"/>
        </xdr:cNvCxnSpPr>
      </xdr:nvCxnSpPr>
      <xdr:spPr>
        <a:xfrm>
          <a:off x="15079980" y="148864315"/>
          <a:ext cx="241554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813</xdr:row>
      <xdr:rowOff>55875</xdr:rowOff>
    </xdr:from>
    <xdr:to>
      <xdr:col>21</xdr:col>
      <xdr:colOff>331470</xdr:colOff>
      <xdr:row>814</xdr:row>
      <xdr:rowOff>126995</xdr:rowOff>
    </xdr:to>
    <xdr:sp macro="" textlink="">
      <xdr:nvSpPr>
        <xdr:cNvPr id="167" name="OpenSolver66">
          <a:extLst>
            <a:ext uri="{FF2B5EF4-FFF2-40B4-BE49-F238E27FC236}">
              <a16:creationId xmlns:a16="http://schemas.microsoft.com/office/drawing/2014/main" id="{5D390899-BE99-CC90-3985-286BCCA8D6B3}"/>
            </a:ext>
          </a:extLst>
        </xdr:cNvPr>
        <xdr:cNvSpPr/>
      </xdr:nvSpPr>
      <xdr:spPr>
        <a:xfrm>
          <a:off x="16097250" y="14873731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838</xdr:row>
      <xdr:rowOff>2</xdr:rowOff>
    </xdr:from>
    <xdr:to>
      <xdr:col>19</xdr:col>
      <xdr:colOff>0</xdr:colOff>
      <xdr:row>878</xdr:row>
      <xdr:rowOff>2</xdr:rowOff>
    </xdr:to>
    <xdr:sp macro="" textlink="">
      <xdr:nvSpPr>
        <xdr:cNvPr id="168" name="OpenSolver67">
          <a:extLst>
            <a:ext uri="{FF2B5EF4-FFF2-40B4-BE49-F238E27FC236}">
              <a16:creationId xmlns:a16="http://schemas.microsoft.com/office/drawing/2014/main" id="{D551DF0A-92CE-92FC-616B-C5EFA44EF1A7}"/>
            </a:ext>
          </a:extLst>
        </xdr:cNvPr>
        <xdr:cNvSpPr/>
      </xdr:nvSpPr>
      <xdr:spPr>
        <a:xfrm>
          <a:off x="2377440" y="153253442"/>
          <a:ext cx="12702540" cy="73152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22</xdr:col>
      <xdr:colOff>0</xdr:colOff>
      <xdr:row>838</xdr:row>
      <xdr:rowOff>2</xdr:rowOff>
    </xdr:from>
    <xdr:to>
      <xdr:col>38</xdr:col>
      <xdr:colOff>0</xdr:colOff>
      <xdr:row>878</xdr:row>
      <xdr:rowOff>2</xdr:rowOff>
    </xdr:to>
    <xdr:sp macro="" textlink="">
      <xdr:nvSpPr>
        <xdr:cNvPr id="169" name="OpenSolver68">
          <a:extLst>
            <a:ext uri="{FF2B5EF4-FFF2-40B4-BE49-F238E27FC236}">
              <a16:creationId xmlns:a16="http://schemas.microsoft.com/office/drawing/2014/main" id="{CB3FA52B-A2DA-0CA3-7A11-671EE1509730}"/>
            </a:ext>
          </a:extLst>
        </xdr:cNvPr>
        <xdr:cNvSpPr/>
      </xdr:nvSpPr>
      <xdr:spPr>
        <a:xfrm>
          <a:off x="17495520" y="153253442"/>
          <a:ext cx="8107680" cy="73152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858</xdr:row>
      <xdr:rowOff>2</xdr:rowOff>
    </xdr:from>
    <xdr:to>
      <xdr:col>22</xdr:col>
      <xdr:colOff>0</xdr:colOff>
      <xdr:row>858</xdr:row>
      <xdr:rowOff>2</xdr:rowOff>
    </xdr:to>
    <xdr:cxnSp macro="">
      <xdr:nvCxnSpPr>
        <xdr:cNvPr id="170" name="OpenSolver69">
          <a:extLst>
            <a:ext uri="{FF2B5EF4-FFF2-40B4-BE49-F238E27FC236}">
              <a16:creationId xmlns:a16="http://schemas.microsoft.com/office/drawing/2014/main" id="{AB7BAEE2-D0E4-614F-E106-F764D0B08323}"/>
            </a:ext>
          </a:extLst>
        </xdr:cNvPr>
        <xdr:cNvCxnSpPr>
          <a:stCxn id="168" idx="3"/>
          <a:endCxn id="169" idx="1"/>
        </xdr:cNvCxnSpPr>
      </xdr:nvCxnSpPr>
      <xdr:spPr>
        <a:xfrm>
          <a:off x="15079980" y="156911042"/>
          <a:ext cx="241554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857</xdr:row>
      <xdr:rowOff>55882</xdr:rowOff>
    </xdr:from>
    <xdr:to>
      <xdr:col>21</xdr:col>
      <xdr:colOff>331470</xdr:colOff>
      <xdr:row>858</xdr:row>
      <xdr:rowOff>127002</xdr:rowOff>
    </xdr:to>
    <xdr:sp macro="" textlink="">
      <xdr:nvSpPr>
        <xdr:cNvPr id="171" name="OpenSolver70">
          <a:extLst>
            <a:ext uri="{FF2B5EF4-FFF2-40B4-BE49-F238E27FC236}">
              <a16:creationId xmlns:a16="http://schemas.microsoft.com/office/drawing/2014/main" id="{F9286F28-0500-A8EF-9284-73D3ABEB50BB}"/>
            </a:ext>
          </a:extLst>
        </xdr:cNvPr>
        <xdr:cNvSpPr/>
      </xdr:nvSpPr>
      <xdr:spPr>
        <a:xfrm>
          <a:off x="16097250" y="1567840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881</xdr:row>
      <xdr:rowOff>182878</xdr:rowOff>
    </xdr:from>
    <xdr:to>
      <xdr:col>19</xdr:col>
      <xdr:colOff>0</xdr:colOff>
      <xdr:row>921</xdr:row>
      <xdr:rowOff>182878</xdr:rowOff>
    </xdr:to>
    <xdr:sp macro="" textlink="">
      <xdr:nvSpPr>
        <xdr:cNvPr id="172" name="OpenSolver71">
          <a:extLst>
            <a:ext uri="{FF2B5EF4-FFF2-40B4-BE49-F238E27FC236}">
              <a16:creationId xmlns:a16="http://schemas.microsoft.com/office/drawing/2014/main" id="{8B57BABD-72AE-2041-5A0B-EFFA3FF9B724}"/>
            </a:ext>
          </a:extLst>
        </xdr:cNvPr>
        <xdr:cNvSpPr/>
      </xdr:nvSpPr>
      <xdr:spPr>
        <a:xfrm>
          <a:off x="2377440" y="161300158"/>
          <a:ext cx="12702540" cy="7315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22</xdr:col>
      <xdr:colOff>0</xdr:colOff>
      <xdr:row>881</xdr:row>
      <xdr:rowOff>182878</xdr:rowOff>
    </xdr:from>
    <xdr:to>
      <xdr:col>38</xdr:col>
      <xdr:colOff>0</xdr:colOff>
      <xdr:row>921</xdr:row>
      <xdr:rowOff>182878</xdr:rowOff>
    </xdr:to>
    <xdr:sp macro="" textlink="">
      <xdr:nvSpPr>
        <xdr:cNvPr id="173" name="OpenSolver72">
          <a:extLst>
            <a:ext uri="{FF2B5EF4-FFF2-40B4-BE49-F238E27FC236}">
              <a16:creationId xmlns:a16="http://schemas.microsoft.com/office/drawing/2014/main" id="{5A1C18B7-BC6F-33BF-7929-BB69BB6547A3}"/>
            </a:ext>
          </a:extLst>
        </xdr:cNvPr>
        <xdr:cNvSpPr/>
      </xdr:nvSpPr>
      <xdr:spPr>
        <a:xfrm>
          <a:off x="17495520" y="161300158"/>
          <a:ext cx="8107680" cy="7315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901</xdr:row>
      <xdr:rowOff>182878</xdr:rowOff>
    </xdr:from>
    <xdr:to>
      <xdr:col>22</xdr:col>
      <xdr:colOff>0</xdr:colOff>
      <xdr:row>901</xdr:row>
      <xdr:rowOff>182878</xdr:rowOff>
    </xdr:to>
    <xdr:cxnSp macro="">
      <xdr:nvCxnSpPr>
        <xdr:cNvPr id="174" name="OpenSolver73">
          <a:extLst>
            <a:ext uri="{FF2B5EF4-FFF2-40B4-BE49-F238E27FC236}">
              <a16:creationId xmlns:a16="http://schemas.microsoft.com/office/drawing/2014/main" id="{E1F757CC-D550-027D-AD8E-161C160DC8EE}"/>
            </a:ext>
          </a:extLst>
        </xdr:cNvPr>
        <xdr:cNvCxnSpPr>
          <a:stCxn id="172" idx="3"/>
          <a:endCxn id="173" idx="1"/>
        </xdr:cNvCxnSpPr>
      </xdr:nvCxnSpPr>
      <xdr:spPr>
        <a:xfrm>
          <a:off x="15079980" y="164957758"/>
          <a:ext cx="241554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901</xdr:row>
      <xdr:rowOff>55878</xdr:rowOff>
    </xdr:from>
    <xdr:to>
      <xdr:col>21</xdr:col>
      <xdr:colOff>331470</xdr:colOff>
      <xdr:row>902</xdr:row>
      <xdr:rowOff>126998</xdr:rowOff>
    </xdr:to>
    <xdr:sp macro="" textlink="">
      <xdr:nvSpPr>
        <xdr:cNvPr id="175" name="OpenSolver74">
          <a:extLst>
            <a:ext uri="{FF2B5EF4-FFF2-40B4-BE49-F238E27FC236}">
              <a16:creationId xmlns:a16="http://schemas.microsoft.com/office/drawing/2014/main" id="{4F2ACE16-B93D-8BF0-2B03-A4CB14CF1F90}"/>
            </a:ext>
          </a:extLst>
        </xdr:cNvPr>
        <xdr:cNvSpPr/>
      </xdr:nvSpPr>
      <xdr:spPr>
        <a:xfrm>
          <a:off x="16097250" y="164830758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926</xdr:row>
      <xdr:rowOff>5</xdr:rowOff>
    </xdr:from>
    <xdr:to>
      <xdr:col>19</xdr:col>
      <xdr:colOff>0</xdr:colOff>
      <xdr:row>966</xdr:row>
      <xdr:rowOff>5</xdr:rowOff>
    </xdr:to>
    <xdr:sp macro="" textlink="">
      <xdr:nvSpPr>
        <xdr:cNvPr id="176" name="OpenSolver75">
          <a:extLst>
            <a:ext uri="{FF2B5EF4-FFF2-40B4-BE49-F238E27FC236}">
              <a16:creationId xmlns:a16="http://schemas.microsoft.com/office/drawing/2014/main" id="{38A97211-0131-FE1D-7B31-E3263E4921DA}"/>
            </a:ext>
          </a:extLst>
        </xdr:cNvPr>
        <xdr:cNvSpPr/>
      </xdr:nvSpPr>
      <xdr:spPr>
        <a:xfrm>
          <a:off x="2377440" y="169346885"/>
          <a:ext cx="12702540" cy="7315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22</xdr:col>
      <xdr:colOff>0</xdr:colOff>
      <xdr:row>926</xdr:row>
      <xdr:rowOff>5</xdr:rowOff>
    </xdr:from>
    <xdr:to>
      <xdr:col>38</xdr:col>
      <xdr:colOff>0</xdr:colOff>
      <xdr:row>966</xdr:row>
      <xdr:rowOff>5</xdr:rowOff>
    </xdr:to>
    <xdr:sp macro="" textlink="">
      <xdr:nvSpPr>
        <xdr:cNvPr id="177" name="OpenSolver76">
          <a:extLst>
            <a:ext uri="{FF2B5EF4-FFF2-40B4-BE49-F238E27FC236}">
              <a16:creationId xmlns:a16="http://schemas.microsoft.com/office/drawing/2014/main" id="{98BAE1B8-2357-08E1-8BA0-80B178288652}"/>
            </a:ext>
          </a:extLst>
        </xdr:cNvPr>
        <xdr:cNvSpPr/>
      </xdr:nvSpPr>
      <xdr:spPr>
        <a:xfrm>
          <a:off x="17495520" y="169346885"/>
          <a:ext cx="8107680" cy="7315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946</xdr:row>
      <xdr:rowOff>5</xdr:rowOff>
    </xdr:from>
    <xdr:to>
      <xdr:col>22</xdr:col>
      <xdr:colOff>0</xdr:colOff>
      <xdr:row>946</xdr:row>
      <xdr:rowOff>5</xdr:rowOff>
    </xdr:to>
    <xdr:cxnSp macro="">
      <xdr:nvCxnSpPr>
        <xdr:cNvPr id="178" name="OpenSolver77">
          <a:extLst>
            <a:ext uri="{FF2B5EF4-FFF2-40B4-BE49-F238E27FC236}">
              <a16:creationId xmlns:a16="http://schemas.microsoft.com/office/drawing/2014/main" id="{1A32258F-E1F5-2401-6AD3-139BE606ADC2}"/>
            </a:ext>
          </a:extLst>
        </xdr:cNvPr>
        <xdr:cNvCxnSpPr>
          <a:stCxn id="176" idx="3"/>
          <a:endCxn id="177" idx="1"/>
        </xdr:cNvCxnSpPr>
      </xdr:nvCxnSpPr>
      <xdr:spPr>
        <a:xfrm>
          <a:off x="15079980" y="173004485"/>
          <a:ext cx="241554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945</xdr:row>
      <xdr:rowOff>55885</xdr:rowOff>
    </xdr:from>
    <xdr:to>
      <xdr:col>21</xdr:col>
      <xdr:colOff>331470</xdr:colOff>
      <xdr:row>946</xdr:row>
      <xdr:rowOff>127005</xdr:rowOff>
    </xdr:to>
    <xdr:sp macro="" textlink="">
      <xdr:nvSpPr>
        <xdr:cNvPr id="179" name="OpenSolver78">
          <a:extLst>
            <a:ext uri="{FF2B5EF4-FFF2-40B4-BE49-F238E27FC236}">
              <a16:creationId xmlns:a16="http://schemas.microsoft.com/office/drawing/2014/main" id="{1ECA400C-B724-12DD-BEA2-33C4EC9446BA}"/>
            </a:ext>
          </a:extLst>
        </xdr:cNvPr>
        <xdr:cNvSpPr/>
      </xdr:nvSpPr>
      <xdr:spPr>
        <a:xfrm>
          <a:off x="16097250" y="17287748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970</xdr:row>
      <xdr:rowOff>0</xdr:rowOff>
    </xdr:from>
    <xdr:to>
      <xdr:col>19</xdr:col>
      <xdr:colOff>0</xdr:colOff>
      <xdr:row>1010</xdr:row>
      <xdr:rowOff>0</xdr:rowOff>
    </xdr:to>
    <xdr:sp macro="" textlink="">
      <xdr:nvSpPr>
        <xdr:cNvPr id="180" name="OpenSolver79">
          <a:extLst>
            <a:ext uri="{FF2B5EF4-FFF2-40B4-BE49-F238E27FC236}">
              <a16:creationId xmlns:a16="http://schemas.microsoft.com/office/drawing/2014/main" id="{1CB6D8CF-F396-7BFA-53F0-F8CF1AA34B9B}"/>
            </a:ext>
          </a:extLst>
        </xdr:cNvPr>
        <xdr:cNvSpPr/>
      </xdr:nvSpPr>
      <xdr:spPr>
        <a:xfrm>
          <a:off x="2377440" y="177393600"/>
          <a:ext cx="12702540" cy="73152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22</xdr:col>
      <xdr:colOff>0</xdr:colOff>
      <xdr:row>970</xdr:row>
      <xdr:rowOff>0</xdr:rowOff>
    </xdr:from>
    <xdr:to>
      <xdr:col>38</xdr:col>
      <xdr:colOff>0</xdr:colOff>
      <xdr:row>1010</xdr:row>
      <xdr:rowOff>0</xdr:rowOff>
    </xdr:to>
    <xdr:sp macro="" textlink="">
      <xdr:nvSpPr>
        <xdr:cNvPr id="181" name="OpenSolver80">
          <a:extLst>
            <a:ext uri="{FF2B5EF4-FFF2-40B4-BE49-F238E27FC236}">
              <a16:creationId xmlns:a16="http://schemas.microsoft.com/office/drawing/2014/main" id="{A6B95021-D1D7-879C-0552-60D2178C62AE}"/>
            </a:ext>
          </a:extLst>
        </xdr:cNvPr>
        <xdr:cNvSpPr/>
      </xdr:nvSpPr>
      <xdr:spPr>
        <a:xfrm>
          <a:off x="17495520" y="177393600"/>
          <a:ext cx="8107680" cy="73152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CC33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990</xdr:row>
      <xdr:rowOff>0</xdr:rowOff>
    </xdr:from>
    <xdr:to>
      <xdr:col>22</xdr:col>
      <xdr:colOff>0</xdr:colOff>
      <xdr:row>990</xdr:row>
      <xdr:rowOff>0</xdr:rowOff>
    </xdr:to>
    <xdr:cxnSp macro="">
      <xdr:nvCxnSpPr>
        <xdr:cNvPr id="182" name="OpenSolver81">
          <a:extLst>
            <a:ext uri="{FF2B5EF4-FFF2-40B4-BE49-F238E27FC236}">
              <a16:creationId xmlns:a16="http://schemas.microsoft.com/office/drawing/2014/main" id="{B72F8848-CF3A-E85F-40BF-B0A45B5BEBD6}"/>
            </a:ext>
          </a:extLst>
        </xdr:cNvPr>
        <xdr:cNvCxnSpPr>
          <a:stCxn id="180" idx="3"/>
          <a:endCxn id="181" idx="1"/>
        </xdr:cNvCxnSpPr>
      </xdr:nvCxnSpPr>
      <xdr:spPr>
        <a:xfrm>
          <a:off x="15079980" y="181051200"/>
          <a:ext cx="241554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989</xdr:row>
      <xdr:rowOff>55880</xdr:rowOff>
    </xdr:from>
    <xdr:to>
      <xdr:col>21</xdr:col>
      <xdr:colOff>331470</xdr:colOff>
      <xdr:row>990</xdr:row>
      <xdr:rowOff>127000</xdr:rowOff>
    </xdr:to>
    <xdr:sp macro="" textlink="">
      <xdr:nvSpPr>
        <xdr:cNvPr id="183" name="OpenSolver82">
          <a:extLst>
            <a:ext uri="{FF2B5EF4-FFF2-40B4-BE49-F238E27FC236}">
              <a16:creationId xmlns:a16="http://schemas.microsoft.com/office/drawing/2014/main" id="{EFD6FE67-4969-8789-86F8-1BE0C767929D}"/>
            </a:ext>
          </a:extLst>
        </xdr:cNvPr>
        <xdr:cNvSpPr/>
      </xdr:nvSpPr>
      <xdr:spPr>
        <a:xfrm>
          <a:off x="16097250" y="1809242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1013</xdr:row>
      <xdr:rowOff>182875</xdr:rowOff>
    </xdr:from>
    <xdr:to>
      <xdr:col>19</xdr:col>
      <xdr:colOff>0</xdr:colOff>
      <xdr:row>1053</xdr:row>
      <xdr:rowOff>182875</xdr:rowOff>
    </xdr:to>
    <xdr:sp macro="" textlink="">
      <xdr:nvSpPr>
        <xdr:cNvPr id="184" name="OpenSolver83">
          <a:extLst>
            <a:ext uri="{FF2B5EF4-FFF2-40B4-BE49-F238E27FC236}">
              <a16:creationId xmlns:a16="http://schemas.microsoft.com/office/drawing/2014/main" id="{98BA24B6-636E-4DDE-6781-D448688BB69D}"/>
            </a:ext>
          </a:extLst>
        </xdr:cNvPr>
        <xdr:cNvSpPr/>
      </xdr:nvSpPr>
      <xdr:spPr>
        <a:xfrm>
          <a:off x="2377440" y="185440315"/>
          <a:ext cx="12702540" cy="73152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22</xdr:col>
      <xdr:colOff>0</xdr:colOff>
      <xdr:row>1013</xdr:row>
      <xdr:rowOff>182875</xdr:rowOff>
    </xdr:from>
    <xdr:to>
      <xdr:col>38</xdr:col>
      <xdr:colOff>0</xdr:colOff>
      <xdr:row>1053</xdr:row>
      <xdr:rowOff>182875</xdr:rowOff>
    </xdr:to>
    <xdr:sp macro="" textlink="">
      <xdr:nvSpPr>
        <xdr:cNvPr id="185" name="OpenSolver84">
          <a:extLst>
            <a:ext uri="{FF2B5EF4-FFF2-40B4-BE49-F238E27FC236}">
              <a16:creationId xmlns:a16="http://schemas.microsoft.com/office/drawing/2014/main" id="{5BAB1CB9-74E4-5EC0-133D-49D399152A21}"/>
            </a:ext>
          </a:extLst>
        </xdr:cNvPr>
        <xdr:cNvSpPr/>
      </xdr:nvSpPr>
      <xdr:spPr>
        <a:xfrm>
          <a:off x="17495520" y="185440315"/>
          <a:ext cx="8107680" cy="73152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1033</xdr:row>
      <xdr:rowOff>182875</xdr:rowOff>
    </xdr:from>
    <xdr:to>
      <xdr:col>22</xdr:col>
      <xdr:colOff>0</xdr:colOff>
      <xdr:row>1033</xdr:row>
      <xdr:rowOff>182875</xdr:rowOff>
    </xdr:to>
    <xdr:cxnSp macro="">
      <xdr:nvCxnSpPr>
        <xdr:cNvPr id="186" name="OpenSolver85">
          <a:extLst>
            <a:ext uri="{FF2B5EF4-FFF2-40B4-BE49-F238E27FC236}">
              <a16:creationId xmlns:a16="http://schemas.microsoft.com/office/drawing/2014/main" id="{E1E7FC4E-357C-871F-144D-D0F4FF418615}"/>
            </a:ext>
          </a:extLst>
        </xdr:cNvPr>
        <xdr:cNvCxnSpPr>
          <a:stCxn id="184" idx="3"/>
          <a:endCxn id="185" idx="1"/>
        </xdr:cNvCxnSpPr>
      </xdr:nvCxnSpPr>
      <xdr:spPr>
        <a:xfrm>
          <a:off x="15079980" y="189097915"/>
          <a:ext cx="241554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1033</xdr:row>
      <xdr:rowOff>55875</xdr:rowOff>
    </xdr:from>
    <xdr:to>
      <xdr:col>21</xdr:col>
      <xdr:colOff>331470</xdr:colOff>
      <xdr:row>1034</xdr:row>
      <xdr:rowOff>126995</xdr:rowOff>
    </xdr:to>
    <xdr:sp macro="" textlink="">
      <xdr:nvSpPr>
        <xdr:cNvPr id="187" name="OpenSolver86">
          <a:extLst>
            <a:ext uri="{FF2B5EF4-FFF2-40B4-BE49-F238E27FC236}">
              <a16:creationId xmlns:a16="http://schemas.microsoft.com/office/drawing/2014/main" id="{E185098E-783B-5B1D-4B64-437A8B41314A}"/>
            </a:ext>
          </a:extLst>
        </xdr:cNvPr>
        <xdr:cNvSpPr/>
      </xdr:nvSpPr>
      <xdr:spPr>
        <a:xfrm>
          <a:off x="16097250" y="18897091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1058</xdr:row>
      <xdr:rowOff>2</xdr:rowOff>
    </xdr:from>
    <xdr:to>
      <xdr:col>19</xdr:col>
      <xdr:colOff>0</xdr:colOff>
      <xdr:row>1098</xdr:row>
      <xdr:rowOff>2</xdr:rowOff>
    </xdr:to>
    <xdr:sp macro="" textlink="">
      <xdr:nvSpPr>
        <xdr:cNvPr id="188" name="OpenSolver87">
          <a:extLst>
            <a:ext uri="{FF2B5EF4-FFF2-40B4-BE49-F238E27FC236}">
              <a16:creationId xmlns:a16="http://schemas.microsoft.com/office/drawing/2014/main" id="{E734B493-6E69-3FB7-8A19-BD2FA245FB7D}"/>
            </a:ext>
          </a:extLst>
        </xdr:cNvPr>
        <xdr:cNvSpPr/>
      </xdr:nvSpPr>
      <xdr:spPr>
        <a:xfrm>
          <a:off x="2377440" y="193487042"/>
          <a:ext cx="12702540" cy="7315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22</xdr:col>
      <xdr:colOff>0</xdr:colOff>
      <xdr:row>1058</xdr:row>
      <xdr:rowOff>2</xdr:rowOff>
    </xdr:from>
    <xdr:to>
      <xdr:col>38</xdr:col>
      <xdr:colOff>0</xdr:colOff>
      <xdr:row>1098</xdr:row>
      <xdr:rowOff>2</xdr:rowOff>
    </xdr:to>
    <xdr:sp macro="" textlink="">
      <xdr:nvSpPr>
        <xdr:cNvPr id="189" name="OpenSolver88">
          <a:extLst>
            <a:ext uri="{FF2B5EF4-FFF2-40B4-BE49-F238E27FC236}">
              <a16:creationId xmlns:a16="http://schemas.microsoft.com/office/drawing/2014/main" id="{F8B517DD-65E2-9119-DE6E-9199446FD5B1}"/>
            </a:ext>
          </a:extLst>
        </xdr:cNvPr>
        <xdr:cNvSpPr/>
      </xdr:nvSpPr>
      <xdr:spPr>
        <a:xfrm>
          <a:off x="17495520" y="193487042"/>
          <a:ext cx="8107680" cy="7315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CC0099"/>
              </a:solidFill>
            </a:rPr>
            <a:t>≥</a:t>
          </a:r>
        </a:p>
      </xdr:txBody>
    </xdr:sp>
    <xdr:clientData/>
  </xdr:twoCellAnchor>
  <xdr:twoCellAnchor>
    <xdr:from>
      <xdr:col>19</xdr:col>
      <xdr:colOff>0</xdr:colOff>
      <xdr:row>1078</xdr:row>
      <xdr:rowOff>2</xdr:rowOff>
    </xdr:from>
    <xdr:to>
      <xdr:col>22</xdr:col>
      <xdr:colOff>0</xdr:colOff>
      <xdr:row>1078</xdr:row>
      <xdr:rowOff>2</xdr:rowOff>
    </xdr:to>
    <xdr:cxnSp macro="">
      <xdr:nvCxnSpPr>
        <xdr:cNvPr id="190" name="OpenSolver89">
          <a:extLst>
            <a:ext uri="{FF2B5EF4-FFF2-40B4-BE49-F238E27FC236}">
              <a16:creationId xmlns:a16="http://schemas.microsoft.com/office/drawing/2014/main" id="{3691AB1D-D136-E409-E712-8D71D39D672D}"/>
            </a:ext>
          </a:extLst>
        </xdr:cNvPr>
        <xdr:cNvCxnSpPr>
          <a:stCxn id="188" idx="3"/>
          <a:endCxn id="189" idx="1"/>
        </xdr:cNvCxnSpPr>
      </xdr:nvCxnSpPr>
      <xdr:spPr>
        <a:xfrm>
          <a:off x="15079980" y="197144642"/>
          <a:ext cx="241554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224790</xdr:colOff>
      <xdr:row>1077</xdr:row>
      <xdr:rowOff>55882</xdr:rowOff>
    </xdr:from>
    <xdr:to>
      <xdr:col>21</xdr:col>
      <xdr:colOff>331470</xdr:colOff>
      <xdr:row>1078</xdr:row>
      <xdr:rowOff>127002</xdr:rowOff>
    </xdr:to>
    <xdr:sp macro="" textlink="">
      <xdr:nvSpPr>
        <xdr:cNvPr id="191" name="OpenSolver90">
          <a:extLst>
            <a:ext uri="{FF2B5EF4-FFF2-40B4-BE49-F238E27FC236}">
              <a16:creationId xmlns:a16="http://schemas.microsoft.com/office/drawing/2014/main" id="{BDD7596D-F5DE-907B-C661-80E06E8AF7B5}"/>
            </a:ext>
          </a:extLst>
        </xdr:cNvPr>
        <xdr:cNvSpPr/>
      </xdr:nvSpPr>
      <xdr:spPr>
        <a:xfrm>
          <a:off x="16097250" y="1970176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43</xdr:col>
      <xdr:colOff>12701</xdr:colOff>
      <xdr:row>33</xdr:row>
      <xdr:rowOff>12700</xdr:rowOff>
    </xdr:from>
    <xdr:to>
      <xdr:col>60</xdr:col>
      <xdr:colOff>1</xdr:colOff>
      <xdr:row>633</xdr:row>
      <xdr:rowOff>2</xdr:rowOff>
    </xdr:to>
    <xdr:sp macro="" textlink="">
      <xdr:nvSpPr>
        <xdr:cNvPr id="192" name="OpenSolver91">
          <a:extLst>
            <a:ext uri="{FF2B5EF4-FFF2-40B4-BE49-F238E27FC236}">
              <a16:creationId xmlns:a16="http://schemas.microsoft.com/office/drawing/2014/main" id="{9FC64307-3824-23F3-F40A-909E604158DC}"/>
            </a:ext>
          </a:extLst>
        </xdr:cNvPr>
        <xdr:cNvSpPr/>
      </xdr:nvSpPr>
      <xdr:spPr>
        <a:xfrm>
          <a:off x="29848811" y="6047740"/>
          <a:ext cx="13459460" cy="109715302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42</xdr:col>
      <xdr:colOff>788670</xdr:colOff>
      <xdr:row>32</xdr:row>
      <xdr:rowOff>116840</xdr:rowOff>
    </xdr:from>
    <xdr:to>
      <xdr:col>43</xdr:col>
      <xdr:colOff>305121</xdr:colOff>
      <xdr:row>33</xdr:row>
      <xdr:rowOff>60960</xdr:rowOff>
    </xdr:to>
    <xdr:sp macro="" textlink="">
      <xdr:nvSpPr>
        <xdr:cNvPr id="193" name="OpenSolver92">
          <a:extLst>
            <a:ext uri="{FF2B5EF4-FFF2-40B4-BE49-F238E27FC236}">
              <a16:creationId xmlns:a16="http://schemas.microsoft.com/office/drawing/2014/main" id="{5973693A-3F83-A1D1-052D-3F2F7FF6C91B}"/>
            </a:ext>
          </a:extLst>
        </xdr:cNvPr>
        <xdr:cNvSpPr/>
      </xdr:nvSpPr>
      <xdr:spPr>
        <a:xfrm>
          <a:off x="29832300" y="59690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3</xdr:col>
      <xdr:colOff>12700</xdr:colOff>
      <xdr:row>52</xdr:row>
      <xdr:rowOff>12700</xdr:rowOff>
    </xdr:from>
    <xdr:to>
      <xdr:col>19</xdr:col>
      <xdr:colOff>0</xdr:colOff>
      <xdr:row>92</xdr:row>
      <xdr:rowOff>1</xdr:rowOff>
    </xdr:to>
    <xdr:sp macro="" textlink="">
      <xdr:nvSpPr>
        <xdr:cNvPr id="194" name="OpenSolver93">
          <a:extLst>
            <a:ext uri="{FF2B5EF4-FFF2-40B4-BE49-F238E27FC236}">
              <a16:creationId xmlns:a16="http://schemas.microsoft.com/office/drawing/2014/main" id="{6A72CECE-0825-D7BB-40FF-D624E3F677AD}"/>
            </a:ext>
          </a:extLst>
        </xdr:cNvPr>
        <xdr:cNvSpPr/>
      </xdr:nvSpPr>
      <xdr:spPr>
        <a:xfrm>
          <a:off x="2390140" y="9522460"/>
          <a:ext cx="12689840" cy="7302501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789940</xdr:colOff>
      <xdr:row>51</xdr:row>
      <xdr:rowOff>121920</xdr:rowOff>
    </xdr:from>
    <xdr:to>
      <xdr:col>3</xdr:col>
      <xdr:colOff>306391</xdr:colOff>
      <xdr:row>52</xdr:row>
      <xdr:rowOff>66040</xdr:rowOff>
    </xdr:to>
    <xdr:sp macro="" textlink="">
      <xdr:nvSpPr>
        <xdr:cNvPr id="195" name="OpenSolver94">
          <a:extLst>
            <a:ext uri="{FF2B5EF4-FFF2-40B4-BE49-F238E27FC236}">
              <a16:creationId xmlns:a16="http://schemas.microsoft.com/office/drawing/2014/main" id="{4619B600-6053-A689-ED21-862C1A0793DF}"/>
            </a:ext>
          </a:extLst>
        </xdr:cNvPr>
        <xdr:cNvSpPr/>
      </xdr:nvSpPr>
      <xdr:spPr>
        <a:xfrm>
          <a:off x="2374900" y="94488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98</xdr:row>
      <xdr:rowOff>12699</xdr:rowOff>
    </xdr:from>
    <xdr:to>
      <xdr:col>19</xdr:col>
      <xdr:colOff>0</xdr:colOff>
      <xdr:row>137</xdr:row>
      <xdr:rowOff>182879</xdr:rowOff>
    </xdr:to>
    <xdr:sp macro="" textlink="">
      <xdr:nvSpPr>
        <xdr:cNvPr id="196" name="OpenSolver95">
          <a:extLst>
            <a:ext uri="{FF2B5EF4-FFF2-40B4-BE49-F238E27FC236}">
              <a16:creationId xmlns:a16="http://schemas.microsoft.com/office/drawing/2014/main" id="{B92F78B7-1878-41C2-5D2F-527DAE267CEB}"/>
            </a:ext>
          </a:extLst>
        </xdr:cNvPr>
        <xdr:cNvSpPr/>
      </xdr:nvSpPr>
      <xdr:spPr>
        <a:xfrm>
          <a:off x="1597660" y="17934939"/>
          <a:ext cx="13482320" cy="7302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97</xdr:row>
      <xdr:rowOff>116840</xdr:rowOff>
    </xdr:from>
    <xdr:to>
      <xdr:col>2</xdr:col>
      <xdr:colOff>311471</xdr:colOff>
      <xdr:row>98</xdr:row>
      <xdr:rowOff>60960</xdr:rowOff>
    </xdr:to>
    <xdr:sp macro="" textlink="">
      <xdr:nvSpPr>
        <xdr:cNvPr id="197" name="OpenSolver96">
          <a:extLst>
            <a:ext uri="{FF2B5EF4-FFF2-40B4-BE49-F238E27FC236}">
              <a16:creationId xmlns:a16="http://schemas.microsoft.com/office/drawing/2014/main" id="{23C28B2D-BC4D-F7A5-F65C-863E60B997E8}"/>
            </a:ext>
          </a:extLst>
        </xdr:cNvPr>
        <xdr:cNvSpPr/>
      </xdr:nvSpPr>
      <xdr:spPr>
        <a:xfrm>
          <a:off x="1587500" y="178562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774700</xdr:colOff>
      <xdr:row>69</xdr:row>
      <xdr:rowOff>111760</xdr:rowOff>
    </xdr:from>
    <xdr:to>
      <xdr:col>6</xdr:col>
      <xdr:colOff>204332</xdr:colOff>
      <xdr:row>70</xdr:row>
      <xdr:rowOff>55880</xdr:rowOff>
    </xdr:to>
    <xdr:sp macro="" textlink="">
      <xdr:nvSpPr>
        <xdr:cNvPr id="311" name="OpenSolver9">
          <a:extLst>
            <a:ext uri="{FF2B5EF4-FFF2-40B4-BE49-F238E27FC236}">
              <a16:creationId xmlns:a16="http://schemas.microsoft.com/office/drawing/2014/main" id="{F71685BA-A020-9915-90BC-5582C69594FE}"/>
            </a:ext>
          </a:extLst>
        </xdr:cNvPr>
        <xdr:cNvSpPr/>
      </xdr:nvSpPr>
      <xdr:spPr>
        <a:xfrm>
          <a:off x="4737100" y="12738100"/>
          <a:ext cx="222112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2</xdr:col>
      <xdr:colOff>0</xdr:colOff>
      <xdr:row>92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312" name="OpenSolver10">
          <a:extLst>
            <a:ext uri="{FF2B5EF4-FFF2-40B4-BE49-F238E27FC236}">
              <a16:creationId xmlns:a16="http://schemas.microsoft.com/office/drawing/2014/main" id="{3352981F-33C5-C8F3-FCDF-2EDCB4DA3039}"/>
            </a:ext>
          </a:extLst>
        </xdr:cNvPr>
        <xdr:cNvSpPr/>
      </xdr:nvSpPr>
      <xdr:spPr>
        <a:xfrm>
          <a:off x="1584960" y="13952220"/>
          <a:ext cx="4754880" cy="12801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16</xdr:col>
      <xdr:colOff>0</xdr:colOff>
      <xdr:row>99</xdr:row>
      <xdr:rowOff>0</xdr:rowOff>
    </xdr:to>
    <xdr:sp macro="" textlink="">
      <xdr:nvSpPr>
        <xdr:cNvPr id="313" name="OpenSolver11">
          <a:extLst>
            <a:ext uri="{FF2B5EF4-FFF2-40B4-BE49-F238E27FC236}">
              <a16:creationId xmlns:a16="http://schemas.microsoft.com/office/drawing/2014/main" id="{5152DAC8-4F1B-C43A-D7A8-763EF7257A57}"/>
            </a:ext>
          </a:extLst>
        </xdr:cNvPr>
        <xdr:cNvSpPr/>
      </xdr:nvSpPr>
      <xdr:spPr>
        <a:xfrm>
          <a:off x="8214360" y="13952220"/>
          <a:ext cx="4754880" cy="12801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8</xdr:col>
      <xdr:colOff>0</xdr:colOff>
      <xdr:row>95</xdr:row>
      <xdr:rowOff>91440</xdr:rowOff>
    </xdr:from>
    <xdr:to>
      <xdr:col>10</xdr:col>
      <xdr:colOff>0</xdr:colOff>
      <xdr:row>95</xdr:row>
      <xdr:rowOff>91440</xdr:rowOff>
    </xdr:to>
    <xdr:cxnSp macro="">
      <xdr:nvCxnSpPr>
        <xdr:cNvPr id="314" name="OpenSolver12">
          <a:extLst>
            <a:ext uri="{FF2B5EF4-FFF2-40B4-BE49-F238E27FC236}">
              <a16:creationId xmlns:a16="http://schemas.microsoft.com/office/drawing/2014/main" id="{42F13854-62A8-D384-3F18-BFC9ACC928C4}"/>
            </a:ext>
          </a:extLst>
        </xdr:cNvPr>
        <xdr:cNvCxnSpPr>
          <a:stCxn id="312" idx="3"/>
          <a:endCxn id="313" idx="1"/>
        </xdr:cNvCxnSpPr>
      </xdr:nvCxnSpPr>
      <xdr:spPr>
        <a:xfrm>
          <a:off x="6339840" y="14592300"/>
          <a:ext cx="187452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94</xdr:row>
      <xdr:rowOff>147320</xdr:rowOff>
    </xdr:from>
    <xdr:to>
      <xdr:col>9</xdr:col>
      <xdr:colOff>335280</xdr:colOff>
      <xdr:row>96</xdr:row>
      <xdr:rowOff>35560</xdr:rowOff>
    </xdr:to>
    <xdr:sp macro="" textlink="">
      <xdr:nvSpPr>
        <xdr:cNvPr id="315" name="OpenSolver13">
          <a:extLst>
            <a:ext uri="{FF2B5EF4-FFF2-40B4-BE49-F238E27FC236}">
              <a16:creationId xmlns:a16="http://schemas.microsoft.com/office/drawing/2014/main" id="{68FD67CC-6CB5-B26B-E147-CCF78F728BCC}"/>
            </a:ext>
          </a:extLst>
        </xdr:cNvPr>
        <xdr:cNvSpPr/>
      </xdr:nvSpPr>
      <xdr:spPr>
        <a:xfrm>
          <a:off x="7086600" y="144653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0</xdr:colOff>
      <xdr:row>175</xdr:row>
      <xdr:rowOff>91442</xdr:rowOff>
    </xdr:from>
    <xdr:to>
      <xdr:col>10</xdr:col>
      <xdr:colOff>0</xdr:colOff>
      <xdr:row>175</xdr:row>
      <xdr:rowOff>91442</xdr:rowOff>
    </xdr:to>
    <xdr:cxnSp macro="">
      <xdr:nvCxnSpPr>
        <xdr:cNvPr id="318" name="OpenSolver16">
          <a:extLst>
            <a:ext uri="{FF2B5EF4-FFF2-40B4-BE49-F238E27FC236}">
              <a16:creationId xmlns:a16="http://schemas.microsoft.com/office/drawing/2014/main" id="{47AE8784-42E9-C4C3-509F-9CC2F43F7222}"/>
            </a:ext>
          </a:extLst>
        </xdr:cNvPr>
        <xdr:cNvCxnSpPr>
          <a:cxnSpLocks/>
        </xdr:cNvCxnSpPr>
      </xdr:nvCxnSpPr>
      <xdr:spPr>
        <a:xfrm>
          <a:off x="6339840" y="31051502"/>
          <a:ext cx="187452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174</xdr:row>
      <xdr:rowOff>147323</xdr:rowOff>
    </xdr:from>
    <xdr:to>
      <xdr:col>9</xdr:col>
      <xdr:colOff>335280</xdr:colOff>
      <xdr:row>176</xdr:row>
      <xdr:rowOff>35563</xdr:rowOff>
    </xdr:to>
    <xdr:sp macro="" textlink="">
      <xdr:nvSpPr>
        <xdr:cNvPr id="319" name="OpenSolver17">
          <a:extLst>
            <a:ext uri="{FF2B5EF4-FFF2-40B4-BE49-F238E27FC236}">
              <a16:creationId xmlns:a16="http://schemas.microsoft.com/office/drawing/2014/main" id="{640610F8-68E1-D219-C496-F77D8732B143}"/>
            </a:ext>
          </a:extLst>
        </xdr:cNvPr>
        <xdr:cNvSpPr/>
      </xdr:nvSpPr>
      <xdr:spPr>
        <a:xfrm>
          <a:off x="7086600" y="30924503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8</xdr:col>
      <xdr:colOff>0</xdr:colOff>
      <xdr:row>190</xdr:row>
      <xdr:rowOff>1</xdr:rowOff>
    </xdr:to>
    <xdr:sp macro="" textlink="">
      <xdr:nvSpPr>
        <xdr:cNvPr id="320" name="OpenSolver18">
          <a:extLst>
            <a:ext uri="{FF2B5EF4-FFF2-40B4-BE49-F238E27FC236}">
              <a16:creationId xmlns:a16="http://schemas.microsoft.com/office/drawing/2014/main" id="{9D5A4F81-ABA6-3F42-2404-90CF110F2431}"/>
            </a:ext>
          </a:extLst>
        </xdr:cNvPr>
        <xdr:cNvSpPr/>
      </xdr:nvSpPr>
      <xdr:spPr>
        <a:xfrm>
          <a:off x="2377440" y="32423100"/>
          <a:ext cx="3962400" cy="128016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10</xdr:col>
      <xdr:colOff>0</xdr:colOff>
      <xdr:row>183</xdr:row>
      <xdr:rowOff>0</xdr:rowOff>
    </xdr:from>
    <xdr:to>
      <xdr:col>15</xdr:col>
      <xdr:colOff>0</xdr:colOff>
      <xdr:row>190</xdr:row>
      <xdr:rowOff>1</xdr:rowOff>
    </xdr:to>
    <xdr:sp macro="" textlink="">
      <xdr:nvSpPr>
        <xdr:cNvPr id="321" name="OpenSolver19">
          <a:extLst>
            <a:ext uri="{FF2B5EF4-FFF2-40B4-BE49-F238E27FC236}">
              <a16:creationId xmlns:a16="http://schemas.microsoft.com/office/drawing/2014/main" id="{CA09CC9B-C40E-7242-F337-66EB50232024}"/>
            </a:ext>
          </a:extLst>
        </xdr:cNvPr>
        <xdr:cNvSpPr/>
      </xdr:nvSpPr>
      <xdr:spPr>
        <a:xfrm>
          <a:off x="8214360" y="32423100"/>
          <a:ext cx="3962400" cy="128016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186</xdr:row>
      <xdr:rowOff>91441</xdr:rowOff>
    </xdr:from>
    <xdr:to>
      <xdr:col>10</xdr:col>
      <xdr:colOff>0</xdr:colOff>
      <xdr:row>186</xdr:row>
      <xdr:rowOff>91441</xdr:rowOff>
    </xdr:to>
    <xdr:cxnSp macro="">
      <xdr:nvCxnSpPr>
        <xdr:cNvPr id="322" name="OpenSolver20">
          <a:extLst>
            <a:ext uri="{FF2B5EF4-FFF2-40B4-BE49-F238E27FC236}">
              <a16:creationId xmlns:a16="http://schemas.microsoft.com/office/drawing/2014/main" id="{59025029-707E-A70F-4D00-C9F77ACD1807}"/>
            </a:ext>
          </a:extLst>
        </xdr:cNvPr>
        <xdr:cNvCxnSpPr>
          <a:stCxn id="320" idx="3"/>
          <a:endCxn id="321" idx="1"/>
        </xdr:cNvCxnSpPr>
      </xdr:nvCxnSpPr>
      <xdr:spPr>
        <a:xfrm>
          <a:off x="6339840" y="33063181"/>
          <a:ext cx="18745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185</xdr:row>
      <xdr:rowOff>147319</xdr:rowOff>
    </xdr:from>
    <xdr:to>
      <xdr:col>9</xdr:col>
      <xdr:colOff>335280</xdr:colOff>
      <xdr:row>187</xdr:row>
      <xdr:rowOff>35559</xdr:rowOff>
    </xdr:to>
    <xdr:sp macro="" textlink="">
      <xdr:nvSpPr>
        <xdr:cNvPr id="323" name="OpenSolver21">
          <a:extLst>
            <a:ext uri="{FF2B5EF4-FFF2-40B4-BE49-F238E27FC236}">
              <a16:creationId xmlns:a16="http://schemas.microsoft.com/office/drawing/2014/main" id="{8F4811C7-A0E5-31FB-9CE1-8159B42FD94F}"/>
            </a:ext>
          </a:extLst>
        </xdr:cNvPr>
        <xdr:cNvSpPr/>
      </xdr:nvSpPr>
      <xdr:spPr>
        <a:xfrm>
          <a:off x="7086600" y="32936179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193</xdr:row>
      <xdr:rowOff>182879</xdr:rowOff>
    </xdr:from>
    <xdr:to>
      <xdr:col>8</xdr:col>
      <xdr:colOff>0</xdr:colOff>
      <xdr:row>200</xdr:row>
      <xdr:rowOff>182879</xdr:rowOff>
    </xdr:to>
    <xdr:sp macro="" textlink="">
      <xdr:nvSpPr>
        <xdr:cNvPr id="324" name="OpenSolver22">
          <a:extLst>
            <a:ext uri="{FF2B5EF4-FFF2-40B4-BE49-F238E27FC236}">
              <a16:creationId xmlns:a16="http://schemas.microsoft.com/office/drawing/2014/main" id="{EAB68318-003E-8174-5E9A-1F0CD64C3D5D}"/>
            </a:ext>
          </a:extLst>
        </xdr:cNvPr>
        <xdr:cNvSpPr/>
      </xdr:nvSpPr>
      <xdr:spPr>
        <a:xfrm>
          <a:off x="2377440" y="34434779"/>
          <a:ext cx="3962400" cy="128016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10</xdr:col>
      <xdr:colOff>0</xdr:colOff>
      <xdr:row>193</xdr:row>
      <xdr:rowOff>182879</xdr:rowOff>
    </xdr:from>
    <xdr:to>
      <xdr:col>15</xdr:col>
      <xdr:colOff>0</xdr:colOff>
      <xdr:row>200</xdr:row>
      <xdr:rowOff>182879</xdr:rowOff>
    </xdr:to>
    <xdr:sp macro="" textlink="">
      <xdr:nvSpPr>
        <xdr:cNvPr id="325" name="OpenSolver23">
          <a:extLst>
            <a:ext uri="{FF2B5EF4-FFF2-40B4-BE49-F238E27FC236}">
              <a16:creationId xmlns:a16="http://schemas.microsoft.com/office/drawing/2014/main" id="{144F4F8C-EE21-DEE1-6D5E-E4422F8308FF}"/>
            </a:ext>
          </a:extLst>
        </xdr:cNvPr>
        <xdr:cNvSpPr/>
      </xdr:nvSpPr>
      <xdr:spPr>
        <a:xfrm>
          <a:off x="8214360" y="34434779"/>
          <a:ext cx="3962400" cy="128016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197</xdr:row>
      <xdr:rowOff>91439</xdr:rowOff>
    </xdr:from>
    <xdr:to>
      <xdr:col>10</xdr:col>
      <xdr:colOff>0</xdr:colOff>
      <xdr:row>197</xdr:row>
      <xdr:rowOff>91439</xdr:rowOff>
    </xdr:to>
    <xdr:cxnSp macro="">
      <xdr:nvCxnSpPr>
        <xdr:cNvPr id="326" name="OpenSolver24">
          <a:extLst>
            <a:ext uri="{FF2B5EF4-FFF2-40B4-BE49-F238E27FC236}">
              <a16:creationId xmlns:a16="http://schemas.microsoft.com/office/drawing/2014/main" id="{2FF3A9AC-F95B-ED49-23BC-98855F1F49AA}"/>
            </a:ext>
          </a:extLst>
        </xdr:cNvPr>
        <xdr:cNvCxnSpPr>
          <a:stCxn id="324" idx="3"/>
          <a:endCxn id="325" idx="1"/>
        </xdr:cNvCxnSpPr>
      </xdr:nvCxnSpPr>
      <xdr:spPr>
        <a:xfrm>
          <a:off x="6339840" y="35074859"/>
          <a:ext cx="187452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196</xdr:row>
      <xdr:rowOff>147321</xdr:rowOff>
    </xdr:from>
    <xdr:to>
      <xdr:col>9</xdr:col>
      <xdr:colOff>335280</xdr:colOff>
      <xdr:row>198</xdr:row>
      <xdr:rowOff>35561</xdr:rowOff>
    </xdr:to>
    <xdr:sp macro="" textlink="">
      <xdr:nvSpPr>
        <xdr:cNvPr id="327" name="OpenSolver25">
          <a:extLst>
            <a:ext uri="{FF2B5EF4-FFF2-40B4-BE49-F238E27FC236}">
              <a16:creationId xmlns:a16="http://schemas.microsoft.com/office/drawing/2014/main" id="{38AE27D3-C7D0-ADF9-8DEA-77CC24FB11EC}"/>
            </a:ext>
          </a:extLst>
        </xdr:cNvPr>
        <xdr:cNvSpPr/>
      </xdr:nvSpPr>
      <xdr:spPr>
        <a:xfrm>
          <a:off x="7086600" y="34947861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0</xdr:colOff>
      <xdr:row>103</xdr:row>
      <xdr:rowOff>0</xdr:rowOff>
    </xdr:from>
    <xdr:to>
      <xdr:col>8</xdr:col>
      <xdr:colOff>0</xdr:colOff>
      <xdr:row>105</xdr:row>
      <xdr:rowOff>182879</xdr:rowOff>
    </xdr:to>
    <xdr:sp macro="" textlink="">
      <xdr:nvSpPr>
        <xdr:cNvPr id="328" name="OpenSolver26">
          <a:extLst>
            <a:ext uri="{FF2B5EF4-FFF2-40B4-BE49-F238E27FC236}">
              <a16:creationId xmlns:a16="http://schemas.microsoft.com/office/drawing/2014/main" id="{D6190F40-BB6F-84FA-CBD1-BB6B407FD288}"/>
            </a:ext>
          </a:extLst>
        </xdr:cNvPr>
        <xdr:cNvSpPr/>
      </xdr:nvSpPr>
      <xdr:spPr>
        <a:xfrm>
          <a:off x="1584960" y="15963900"/>
          <a:ext cx="4754880" cy="54863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10</xdr:col>
      <xdr:colOff>0</xdr:colOff>
      <xdr:row>103</xdr:row>
      <xdr:rowOff>0</xdr:rowOff>
    </xdr:from>
    <xdr:to>
      <xdr:col>16</xdr:col>
      <xdr:colOff>0</xdr:colOff>
      <xdr:row>105</xdr:row>
      <xdr:rowOff>182879</xdr:rowOff>
    </xdr:to>
    <xdr:sp macro="" textlink="">
      <xdr:nvSpPr>
        <xdr:cNvPr id="329" name="OpenSolver27">
          <a:extLst>
            <a:ext uri="{FF2B5EF4-FFF2-40B4-BE49-F238E27FC236}">
              <a16:creationId xmlns:a16="http://schemas.microsoft.com/office/drawing/2014/main" id="{49ED5BF4-DE27-5363-F589-4E82D6CA3E58}"/>
            </a:ext>
          </a:extLst>
        </xdr:cNvPr>
        <xdr:cNvSpPr/>
      </xdr:nvSpPr>
      <xdr:spPr>
        <a:xfrm>
          <a:off x="8214360" y="15963900"/>
          <a:ext cx="4754880" cy="54863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8</xdr:col>
      <xdr:colOff>0</xdr:colOff>
      <xdr:row>104</xdr:row>
      <xdr:rowOff>91440</xdr:rowOff>
    </xdr:from>
    <xdr:to>
      <xdr:col>10</xdr:col>
      <xdr:colOff>0</xdr:colOff>
      <xdr:row>104</xdr:row>
      <xdr:rowOff>91440</xdr:rowOff>
    </xdr:to>
    <xdr:cxnSp macro="">
      <xdr:nvCxnSpPr>
        <xdr:cNvPr id="330" name="OpenSolver28">
          <a:extLst>
            <a:ext uri="{FF2B5EF4-FFF2-40B4-BE49-F238E27FC236}">
              <a16:creationId xmlns:a16="http://schemas.microsoft.com/office/drawing/2014/main" id="{D2C12D97-B4DA-DF8C-5C2B-5E1566933B28}"/>
            </a:ext>
          </a:extLst>
        </xdr:cNvPr>
        <xdr:cNvCxnSpPr>
          <a:stCxn id="328" idx="3"/>
          <a:endCxn id="329" idx="1"/>
        </xdr:cNvCxnSpPr>
      </xdr:nvCxnSpPr>
      <xdr:spPr>
        <a:xfrm>
          <a:off x="6339840" y="16238220"/>
          <a:ext cx="187452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103</xdr:row>
      <xdr:rowOff>147320</xdr:rowOff>
    </xdr:from>
    <xdr:to>
      <xdr:col>9</xdr:col>
      <xdr:colOff>335280</xdr:colOff>
      <xdr:row>105</xdr:row>
      <xdr:rowOff>35560</xdr:rowOff>
    </xdr:to>
    <xdr:sp macro="" textlink="">
      <xdr:nvSpPr>
        <xdr:cNvPr id="331" name="OpenSolver29">
          <a:extLst>
            <a:ext uri="{FF2B5EF4-FFF2-40B4-BE49-F238E27FC236}">
              <a16:creationId xmlns:a16="http://schemas.microsoft.com/office/drawing/2014/main" id="{6F826D8B-7DEF-BF51-B50F-2B72F12475D1}"/>
            </a:ext>
          </a:extLst>
        </xdr:cNvPr>
        <xdr:cNvSpPr/>
      </xdr:nvSpPr>
      <xdr:spPr>
        <a:xfrm>
          <a:off x="7086600" y="1611122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0</xdr:colOff>
      <xdr:row>137</xdr:row>
      <xdr:rowOff>0</xdr:rowOff>
    </xdr:from>
    <xdr:to>
      <xdr:col>8</xdr:col>
      <xdr:colOff>0</xdr:colOff>
      <xdr:row>144</xdr:row>
      <xdr:rowOff>0</xdr:rowOff>
    </xdr:to>
    <xdr:sp macro="" textlink="">
      <xdr:nvSpPr>
        <xdr:cNvPr id="332" name="OpenSolver30">
          <a:extLst>
            <a:ext uri="{FF2B5EF4-FFF2-40B4-BE49-F238E27FC236}">
              <a16:creationId xmlns:a16="http://schemas.microsoft.com/office/drawing/2014/main" id="{5005A15E-A4DF-876D-2545-7E345C2237AC}"/>
            </a:ext>
          </a:extLst>
        </xdr:cNvPr>
        <xdr:cNvSpPr/>
      </xdr:nvSpPr>
      <xdr:spPr>
        <a:xfrm>
          <a:off x="5547360" y="24010620"/>
          <a:ext cx="792480" cy="12801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10</xdr:col>
      <xdr:colOff>0</xdr:colOff>
      <xdr:row>137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333" name="OpenSolver31">
          <a:extLst>
            <a:ext uri="{FF2B5EF4-FFF2-40B4-BE49-F238E27FC236}">
              <a16:creationId xmlns:a16="http://schemas.microsoft.com/office/drawing/2014/main" id="{1595F676-F380-FBAA-F16B-FEA1CA234319}"/>
            </a:ext>
          </a:extLst>
        </xdr:cNvPr>
        <xdr:cNvSpPr/>
      </xdr:nvSpPr>
      <xdr:spPr>
        <a:xfrm>
          <a:off x="8214360" y="24010620"/>
          <a:ext cx="792480" cy="12801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140</xdr:row>
      <xdr:rowOff>91440</xdr:rowOff>
    </xdr:from>
    <xdr:to>
      <xdr:col>10</xdr:col>
      <xdr:colOff>0</xdr:colOff>
      <xdr:row>140</xdr:row>
      <xdr:rowOff>91440</xdr:rowOff>
    </xdr:to>
    <xdr:cxnSp macro="">
      <xdr:nvCxnSpPr>
        <xdr:cNvPr id="334" name="OpenSolver32">
          <a:extLst>
            <a:ext uri="{FF2B5EF4-FFF2-40B4-BE49-F238E27FC236}">
              <a16:creationId xmlns:a16="http://schemas.microsoft.com/office/drawing/2014/main" id="{770AD7E5-24BD-FB82-FC99-47982BB54A5F}"/>
            </a:ext>
          </a:extLst>
        </xdr:cNvPr>
        <xdr:cNvCxnSpPr>
          <a:stCxn id="332" idx="3"/>
          <a:endCxn id="333" idx="1"/>
        </xdr:cNvCxnSpPr>
      </xdr:nvCxnSpPr>
      <xdr:spPr>
        <a:xfrm>
          <a:off x="6339840" y="24650700"/>
          <a:ext cx="18745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139</xdr:row>
      <xdr:rowOff>147320</xdr:rowOff>
    </xdr:from>
    <xdr:to>
      <xdr:col>9</xdr:col>
      <xdr:colOff>335280</xdr:colOff>
      <xdr:row>141</xdr:row>
      <xdr:rowOff>35560</xdr:rowOff>
    </xdr:to>
    <xdr:sp macro="" textlink="">
      <xdr:nvSpPr>
        <xdr:cNvPr id="335" name="OpenSolver33">
          <a:extLst>
            <a:ext uri="{FF2B5EF4-FFF2-40B4-BE49-F238E27FC236}">
              <a16:creationId xmlns:a16="http://schemas.microsoft.com/office/drawing/2014/main" id="{BBFFC353-6BF3-4EFD-3182-8413CC1E383E}"/>
            </a:ext>
          </a:extLst>
        </xdr:cNvPr>
        <xdr:cNvSpPr/>
      </xdr:nvSpPr>
      <xdr:spPr>
        <a:xfrm>
          <a:off x="7086600" y="245237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0</xdr:colOff>
      <xdr:row>113</xdr:row>
      <xdr:rowOff>0</xdr:rowOff>
    </xdr:from>
    <xdr:to>
      <xdr:col>7</xdr:col>
      <xdr:colOff>0</xdr:colOff>
      <xdr:row>120</xdr:row>
      <xdr:rowOff>1</xdr:rowOff>
    </xdr:to>
    <xdr:sp macro="" textlink="">
      <xdr:nvSpPr>
        <xdr:cNvPr id="336" name="OpenSolver34">
          <a:extLst>
            <a:ext uri="{FF2B5EF4-FFF2-40B4-BE49-F238E27FC236}">
              <a16:creationId xmlns:a16="http://schemas.microsoft.com/office/drawing/2014/main" id="{DB1B14C3-1C7B-C4D2-0D4B-54A2A5913B4E}"/>
            </a:ext>
          </a:extLst>
        </xdr:cNvPr>
        <xdr:cNvSpPr/>
      </xdr:nvSpPr>
      <xdr:spPr>
        <a:xfrm>
          <a:off x="3169920" y="19621500"/>
          <a:ext cx="2377440" cy="1280161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10</xdr:col>
      <xdr:colOff>0</xdr:colOff>
      <xdr:row>113</xdr:row>
      <xdr:rowOff>0</xdr:rowOff>
    </xdr:from>
    <xdr:to>
      <xdr:col>13</xdr:col>
      <xdr:colOff>0</xdr:colOff>
      <xdr:row>120</xdr:row>
      <xdr:rowOff>1</xdr:rowOff>
    </xdr:to>
    <xdr:sp macro="" textlink="">
      <xdr:nvSpPr>
        <xdr:cNvPr id="337" name="OpenSolver35">
          <a:extLst>
            <a:ext uri="{FF2B5EF4-FFF2-40B4-BE49-F238E27FC236}">
              <a16:creationId xmlns:a16="http://schemas.microsoft.com/office/drawing/2014/main" id="{E111C5AE-B795-05B5-3BE1-55FD7DA51A5C}"/>
            </a:ext>
          </a:extLst>
        </xdr:cNvPr>
        <xdr:cNvSpPr/>
      </xdr:nvSpPr>
      <xdr:spPr>
        <a:xfrm>
          <a:off x="8214360" y="19621500"/>
          <a:ext cx="2377440" cy="1280161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CC0099"/>
              </a:solidFill>
            </a:rPr>
            <a:t>≤</a:t>
          </a:r>
        </a:p>
      </xdr:txBody>
    </xdr:sp>
    <xdr:clientData/>
  </xdr:twoCellAnchor>
  <xdr:twoCellAnchor>
    <xdr:from>
      <xdr:col>7</xdr:col>
      <xdr:colOff>0</xdr:colOff>
      <xdr:row>116</xdr:row>
      <xdr:rowOff>91441</xdr:rowOff>
    </xdr:from>
    <xdr:to>
      <xdr:col>10</xdr:col>
      <xdr:colOff>0</xdr:colOff>
      <xdr:row>116</xdr:row>
      <xdr:rowOff>91441</xdr:rowOff>
    </xdr:to>
    <xdr:cxnSp macro="">
      <xdr:nvCxnSpPr>
        <xdr:cNvPr id="338" name="OpenSolver36">
          <a:extLst>
            <a:ext uri="{FF2B5EF4-FFF2-40B4-BE49-F238E27FC236}">
              <a16:creationId xmlns:a16="http://schemas.microsoft.com/office/drawing/2014/main" id="{38EB3313-66D5-EB7A-FFF7-1FA4A43AE6FE}"/>
            </a:ext>
          </a:extLst>
        </xdr:cNvPr>
        <xdr:cNvCxnSpPr>
          <a:stCxn id="336" idx="3"/>
          <a:endCxn id="337" idx="1"/>
        </xdr:cNvCxnSpPr>
      </xdr:nvCxnSpPr>
      <xdr:spPr>
        <a:xfrm>
          <a:off x="5547360" y="20261581"/>
          <a:ext cx="266700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350520</xdr:colOff>
      <xdr:row>115</xdr:row>
      <xdr:rowOff>147320</xdr:rowOff>
    </xdr:from>
    <xdr:to>
      <xdr:col>8</xdr:col>
      <xdr:colOff>731520</xdr:colOff>
      <xdr:row>117</xdr:row>
      <xdr:rowOff>35560</xdr:rowOff>
    </xdr:to>
    <xdr:sp macro="" textlink="">
      <xdr:nvSpPr>
        <xdr:cNvPr id="339" name="OpenSolver37">
          <a:extLst>
            <a:ext uri="{FF2B5EF4-FFF2-40B4-BE49-F238E27FC236}">
              <a16:creationId xmlns:a16="http://schemas.microsoft.com/office/drawing/2014/main" id="{8A28DA52-1559-4AF8-EC3C-1093196AC09D}"/>
            </a:ext>
          </a:extLst>
        </xdr:cNvPr>
        <xdr:cNvSpPr/>
      </xdr:nvSpPr>
      <xdr:spPr>
        <a:xfrm>
          <a:off x="6690360" y="2013458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0</xdr:colOff>
      <xdr:row>125</xdr:row>
      <xdr:rowOff>1</xdr:rowOff>
    </xdr:from>
    <xdr:to>
      <xdr:col>8</xdr:col>
      <xdr:colOff>0</xdr:colOff>
      <xdr:row>132</xdr:row>
      <xdr:rowOff>1</xdr:rowOff>
    </xdr:to>
    <xdr:sp macro="" textlink="">
      <xdr:nvSpPr>
        <xdr:cNvPr id="340" name="OpenSolver38">
          <a:extLst>
            <a:ext uri="{FF2B5EF4-FFF2-40B4-BE49-F238E27FC236}">
              <a16:creationId xmlns:a16="http://schemas.microsoft.com/office/drawing/2014/main" id="{AF0F6D77-18C9-ECFC-CC4E-B7663EDC0EF6}"/>
            </a:ext>
          </a:extLst>
        </xdr:cNvPr>
        <xdr:cNvSpPr/>
      </xdr:nvSpPr>
      <xdr:spPr>
        <a:xfrm>
          <a:off x="5547360" y="21816061"/>
          <a:ext cx="792480" cy="12801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0</xdr:colOff>
      <xdr:row>125</xdr:row>
      <xdr:rowOff>1</xdr:rowOff>
    </xdr:from>
    <xdr:to>
      <xdr:col>11</xdr:col>
      <xdr:colOff>0</xdr:colOff>
      <xdr:row>132</xdr:row>
      <xdr:rowOff>1</xdr:rowOff>
    </xdr:to>
    <xdr:sp macro="" textlink="">
      <xdr:nvSpPr>
        <xdr:cNvPr id="341" name="OpenSolver39">
          <a:extLst>
            <a:ext uri="{FF2B5EF4-FFF2-40B4-BE49-F238E27FC236}">
              <a16:creationId xmlns:a16="http://schemas.microsoft.com/office/drawing/2014/main" id="{0E03923B-ED0C-3612-847A-87AC8686D89A}"/>
            </a:ext>
          </a:extLst>
        </xdr:cNvPr>
        <xdr:cNvSpPr/>
      </xdr:nvSpPr>
      <xdr:spPr>
        <a:xfrm>
          <a:off x="8214360" y="21816061"/>
          <a:ext cx="792480" cy="12801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8</xdr:col>
      <xdr:colOff>0</xdr:colOff>
      <xdr:row>128</xdr:row>
      <xdr:rowOff>91441</xdr:rowOff>
    </xdr:from>
    <xdr:to>
      <xdr:col>10</xdr:col>
      <xdr:colOff>0</xdr:colOff>
      <xdr:row>128</xdr:row>
      <xdr:rowOff>91441</xdr:rowOff>
    </xdr:to>
    <xdr:cxnSp macro="">
      <xdr:nvCxnSpPr>
        <xdr:cNvPr id="342" name="OpenSolver40">
          <a:extLst>
            <a:ext uri="{FF2B5EF4-FFF2-40B4-BE49-F238E27FC236}">
              <a16:creationId xmlns:a16="http://schemas.microsoft.com/office/drawing/2014/main" id="{DE92CF6E-460E-8C9F-125D-4CB7E634D363}"/>
            </a:ext>
          </a:extLst>
        </xdr:cNvPr>
        <xdr:cNvCxnSpPr>
          <a:stCxn id="340" idx="3"/>
          <a:endCxn id="341" idx="1"/>
        </xdr:cNvCxnSpPr>
      </xdr:nvCxnSpPr>
      <xdr:spPr>
        <a:xfrm>
          <a:off x="6339840" y="22456141"/>
          <a:ext cx="187452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127</xdr:row>
      <xdr:rowOff>147319</xdr:rowOff>
    </xdr:from>
    <xdr:to>
      <xdr:col>9</xdr:col>
      <xdr:colOff>335280</xdr:colOff>
      <xdr:row>129</xdr:row>
      <xdr:rowOff>35559</xdr:rowOff>
    </xdr:to>
    <xdr:sp macro="" textlink="">
      <xdr:nvSpPr>
        <xdr:cNvPr id="343" name="OpenSolver41">
          <a:extLst>
            <a:ext uri="{FF2B5EF4-FFF2-40B4-BE49-F238E27FC236}">
              <a16:creationId xmlns:a16="http://schemas.microsoft.com/office/drawing/2014/main" id="{F4AB8CE6-90C0-E133-18DE-86223E4B8274}"/>
            </a:ext>
          </a:extLst>
        </xdr:cNvPr>
        <xdr:cNvSpPr/>
      </xdr:nvSpPr>
      <xdr:spPr>
        <a:xfrm>
          <a:off x="7086600" y="22329139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0</xdr:colOff>
      <xdr:row>148</xdr:row>
      <xdr:rowOff>182879</xdr:rowOff>
    </xdr:from>
    <xdr:to>
      <xdr:col>8</xdr:col>
      <xdr:colOff>0</xdr:colOff>
      <xdr:row>155</xdr:row>
      <xdr:rowOff>182879</xdr:rowOff>
    </xdr:to>
    <xdr:sp macro="" textlink="">
      <xdr:nvSpPr>
        <xdr:cNvPr id="344" name="OpenSolver42">
          <a:extLst>
            <a:ext uri="{FF2B5EF4-FFF2-40B4-BE49-F238E27FC236}">
              <a16:creationId xmlns:a16="http://schemas.microsoft.com/office/drawing/2014/main" id="{A2672407-E49A-226C-A13F-88D4A7AEC49D}"/>
            </a:ext>
          </a:extLst>
        </xdr:cNvPr>
        <xdr:cNvSpPr/>
      </xdr:nvSpPr>
      <xdr:spPr>
        <a:xfrm>
          <a:off x="1584960" y="26205179"/>
          <a:ext cx="4754880" cy="12801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10</xdr:col>
      <xdr:colOff>0</xdr:colOff>
      <xdr:row>148</xdr:row>
      <xdr:rowOff>182879</xdr:rowOff>
    </xdr:from>
    <xdr:to>
      <xdr:col>16</xdr:col>
      <xdr:colOff>0</xdr:colOff>
      <xdr:row>155</xdr:row>
      <xdr:rowOff>182879</xdr:rowOff>
    </xdr:to>
    <xdr:sp macro="" textlink="">
      <xdr:nvSpPr>
        <xdr:cNvPr id="345" name="OpenSolver43">
          <a:extLst>
            <a:ext uri="{FF2B5EF4-FFF2-40B4-BE49-F238E27FC236}">
              <a16:creationId xmlns:a16="http://schemas.microsoft.com/office/drawing/2014/main" id="{581FDE65-BBCC-F3C6-6CB6-84DB5823BF8C}"/>
            </a:ext>
          </a:extLst>
        </xdr:cNvPr>
        <xdr:cNvSpPr/>
      </xdr:nvSpPr>
      <xdr:spPr>
        <a:xfrm>
          <a:off x="8214360" y="26205179"/>
          <a:ext cx="4754880" cy="12801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152</xdr:row>
      <xdr:rowOff>91439</xdr:rowOff>
    </xdr:from>
    <xdr:to>
      <xdr:col>10</xdr:col>
      <xdr:colOff>0</xdr:colOff>
      <xdr:row>152</xdr:row>
      <xdr:rowOff>91439</xdr:rowOff>
    </xdr:to>
    <xdr:cxnSp macro="">
      <xdr:nvCxnSpPr>
        <xdr:cNvPr id="346" name="OpenSolver44">
          <a:extLst>
            <a:ext uri="{FF2B5EF4-FFF2-40B4-BE49-F238E27FC236}">
              <a16:creationId xmlns:a16="http://schemas.microsoft.com/office/drawing/2014/main" id="{3C458FAA-A7F1-E928-DCB3-B41C8E469731}"/>
            </a:ext>
          </a:extLst>
        </xdr:cNvPr>
        <xdr:cNvCxnSpPr>
          <a:stCxn id="344" idx="3"/>
          <a:endCxn id="345" idx="1"/>
        </xdr:cNvCxnSpPr>
      </xdr:nvCxnSpPr>
      <xdr:spPr>
        <a:xfrm>
          <a:off x="6339840" y="26845259"/>
          <a:ext cx="187452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151</xdr:row>
      <xdr:rowOff>147321</xdr:rowOff>
    </xdr:from>
    <xdr:to>
      <xdr:col>9</xdr:col>
      <xdr:colOff>335280</xdr:colOff>
      <xdr:row>153</xdr:row>
      <xdr:rowOff>35561</xdr:rowOff>
    </xdr:to>
    <xdr:sp macro="" textlink="">
      <xdr:nvSpPr>
        <xdr:cNvPr id="347" name="OpenSolver45">
          <a:extLst>
            <a:ext uri="{FF2B5EF4-FFF2-40B4-BE49-F238E27FC236}">
              <a16:creationId xmlns:a16="http://schemas.microsoft.com/office/drawing/2014/main" id="{EFFE9A90-193C-CA9D-2625-867AD47904AA}"/>
            </a:ext>
          </a:extLst>
        </xdr:cNvPr>
        <xdr:cNvSpPr/>
      </xdr:nvSpPr>
      <xdr:spPr>
        <a:xfrm>
          <a:off x="7086600" y="26718261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0</xdr:colOff>
      <xdr:row>77</xdr:row>
      <xdr:rowOff>182879</xdr:rowOff>
    </xdr:from>
    <xdr:to>
      <xdr:col>8</xdr:col>
      <xdr:colOff>0</xdr:colOff>
      <xdr:row>85</xdr:row>
      <xdr:rowOff>0</xdr:rowOff>
    </xdr:to>
    <xdr:sp macro="" textlink="">
      <xdr:nvSpPr>
        <xdr:cNvPr id="348" name="OpenSolver46">
          <a:extLst>
            <a:ext uri="{FF2B5EF4-FFF2-40B4-BE49-F238E27FC236}">
              <a16:creationId xmlns:a16="http://schemas.microsoft.com/office/drawing/2014/main" id="{81645918-1769-6F93-7CCD-67F57DAA73D8}"/>
            </a:ext>
          </a:extLst>
        </xdr:cNvPr>
        <xdr:cNvSpPr/>
      </xdr:nvSpPr>
      <xdr:spPr>
        <a:xfrm>
          <a:off x="1584960" y="28399739"/>
          <a:ext cx="4754880" cy="128016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10</xdr:col>
      <xdr:colOff>0</xdr:colOff>
      <xdr:row>77</xdr:row>
      <xdr:rowOff>182879</xdr:rowOff>
    </xdr:from>
    <xdr:to>
      <xdr:col>16</xdr:col>
      <xdr:colOff>0</xdr:colOff>
      <xdr:row>85</xdr:row>
      <xdr:rowOff>0</xdr:rowOff>
    </xdr:to>
    <xdr:sp macro="" textlink="">
      <xdr:nvSpPr>
        <xdr:cNvPr id="349" name="OpenSolver47">
          <a:extLst>
            <a:ext uri="{FF2B5EF4-FFF2-40B4-BE49-F238E27FC236}">
              <a16:creationId xmlns:a16="http://schemas.microsoft.com/office/drawing/2014/main" id="{177DCC80-2675-51F4-7FF2-208CC9902931}"/>
            </a:ext>
          </a:extLst>
        </xdr:cNvPr>
        <xdr:cNvSpPr/>
      </xdr:nvSpPr>
      <xdr:spPr>
        <a:xfrm>
          <a:off x="8214360" y="28399739"/>
          <a:ext cx="4754880" cy="128016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81</xdr:row>
      <xdr:rowOff>91440</xdr:rowOff>
    </xdr:from>
    <xdr:to>
      <xdr:col>10</xdr:col>
      <xdr:colOff>0</xdr:colOff>
      <xdr:row>81</xdr:row>
      <xdr:rowOff>91440</xdr:rowOff>
    </xdr:to>
    <xdr:cxnSp macro="">
      <xdr:nvCxnSpPr>
        <xdr:cNvPr id="350" name="OpenSolver48">
          <a:extLst>
            <a:ext uri="{FF2B5EF4-FFF2-40B4-BE49-F238E27FC236}">
              <a16:creationId xmlns:a16="http://schemas.microsoft.com/office/drawing/2014/main" id="{78176157-827F-3735-237E-2A70F283945D}"/>
            </a:ext>
          </a:extLst>
        </xdr:cNvPr>
        <xdr:cNvCxnSpPr>
          <a:stCxn id="348" idx="3"/>
          <a:endCxn id="349" idx="1"/>
        </xdr:cNvCxnSpPr>
      </xdr:nvCxnSpPr>
      <xdr:spPr>
        <a:xfrm>
          <a:off x="6339840" y="29039820"/>
          <a:ext cx="18745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80</xdr:row>
      <xdr:rowOff>147321</xdr:rowOff>
    </xdr:from>
    <xdr:to>
      <xdr:col>9</xdr:col>
      <xdr:colOff>335280</xdr:colOff>
      <xdr:row>82</xdr:row>
      <xdr:rowOff>35561</xdr:rowOff>
    </xdr:to>
    <xdr:sp macro="" textlink="">
      <xdr:nvSpPr>
        <xdr:cNvPr id="351" name="OpenSolver49">
          <a:extLst>
            <a:ext uri="{FF2B5EF4-FFF2-40B4-BE49-F238E27FC236}">
              <a16:creationId xmlns:a16="http://schemas.microsoft.com/office/drawing/2014/main" id="{172D3558-EDCA-78CB-99EA-8D6101D9BC52}"/>
            </a:ext>
          </a:extLst>
        </xdr:cNvPr>
        <xdr:cNvSpPr/>
      </xdr:nvSpPr>
      <xdr:spPr>
        <a:xfrm>
          <a:off x="7086600" y="28912821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12700</xdr:colOff>
      <xdr:row>2</xdr:row>
      <xdr:rowOff>12700</xdr:rowOff>
    </xdr:from>
    <xdr:to>
      <xdr:col>8</xdr:col>
      <xdr:colOff>0</xdr:colOff>
      <xdr:row>9</xdr:row>
      <xdr:rowOff>0</xdr:rowOff>
    </xdr:to>
    <xdr:sp macro="" textlink="">
      <xdr:nvSpPr>
        <xdr:cNvPr id="352" name="OpenSolver50">
          <a:extLst>
            <a:ext uri="{FF2B5EF4-FFF2-40B4-BE49-F238E27FC236}">
              <a16:creationId xmlns:a16="http://schemas.microsoft.com/office/drawing/2014/main" id="{253DC148-1364-F034-1542-6FB25E2B95B2}"/>
            </a:ext>
          </a:extLst>
        </xdr:cNvPr>
        <xdr:cNvSpPr/>
      </xdr:nvSpPr>
      <xdr:spPr>
        <a:xfrm>
          <a:off x="1597660" y="378460"/>
          <a:ext cx="4742180" cy="127508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1</xdr:row>
      <xdr:rowOff>121920</xdr:rowOff>
    </xdr:from>
    <xdr:to>
      <xdr:col>2</xdr:col>
      <xdr:colOff>311471</xdr:colOff>
      <xdr:row>2</xdr:row>
      <xdr:rowOff>66040</xdr:rowOff>
    </xdr:to>
    <xdr:sp macro="" textlink="">
      <xdr:nvSpPr>
        <xdr:cNvPr id="353" name="OpenSolver51">
          <a:extLst>
            <a:ext uri="{FF2B5EF4-FFF2-40B4-BE49-F238E27FC236}">
              <a16:creationId xmlns:a16="http://schemas.microsoft.com/office/drawing/2014/main" id="{0D6F290B-4FED-FF48-4EAD-6B02F7D34FC1}"/>
            </a:ext>
          </a:extLst>
        </xdr:cNvPr>
        <xdr:cNvSpPr/>
      </xdr:nvSpPr>
      <xdr:spPr>
        <a:xfrm>
          <a:off x="1587500" y="3048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8</xdr:col>
      <xdr:colOff>0</xdr:colOff>
      <xdr:row>21</xdr:row>
      <xdr:rowOff>0</xdr:rowOff>
    </xdr:to>
    <xdr:sp macro="" textlink="">
      <xdr:nvSpPr>
        <xdr:cNvPr id="354" name="OpenSolver52">
          <a:extLst>
            <a:ext uri="{FF2B5EF4-FFF2-40B4-BE49-F238E27FC236}">
              <a16:creationId xmlns:a16="http://schemas.microsoft.com/office/drawing/2014/main" id="{93B1DBF8-7FFC-69B1-0920-CF791A833F8D}"/>
            </a:ext>
          </a:extLst>
        </xdr:cNvPr>
        <xdr:cNvSpPr/>
      </xdr:nvSpPr>
      <xdr:spPr>
        <a:xfrm>
          <a:off x="1597660" y="2580640"/>
          <a:ext cx="4742180" cy="12674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13</xdr:row>
      <xdr:rowOff>116840</xdr:rowOff>
    </xdr:from>
    <xdr:to>
      <xdr:col>2</xdr:col>
      <xdr:colOff>311471</xdr:colOff>
      <xdr:row>14</xdr:row>
      <xdr:rowOff>60960</xdr:rowOff>
    </xdr:to>
    <xdr:sp macro="" textlink="">
      <xdr:nvSpPr>
        <xdr:cNvPr id="355" name="OpenSolver53">
          <a:extLst>
            <a:ext uri="{FF2B5EF4-FFF2-40B4-BE49-F238E27FC236}">
              <a16:creationId xmlns:a16="http://schemas.microsoft.com/office/drawing/2014/main" id="{3859C744-470B-6724-7648-E5BC77157F2C}"/>
            </a:ext>
          </a:extLst>
        </xdr:cNvPr>
        <xdr:cNvSpPr/>
      </xdr:nvSpPr>
      <xdr:spPr>
        <a:xfrm>
          <a:off x="1587500" y="25019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2540</xdr:colOff>
      <xdr:row>24</xdr:row>
      <xdr:rowOff>124460</xdr:rowOff>
    </xdr:from>
    <xdr:to>
      <xdr:col>2</xdr:col>
      <xdr:colOff>311471</xdr:colOff>
      <xdr:row>25</xdr:row>
      <xdr:rowOff>68580</xdr:rowOff>
    </xdr:to>
    <xdr:sp macro="" textlink="">
      <xdr:nvSpPr>
        <xdr:cNvPr id="357" name="OpenSolver55">
          <a:extLst>
            <a:ext uri="{FF2B5EF4-FFF2-40B4-BE49-F238E27FC236}">
              <a16:creationId xmlns:a16="http://schemas.microsoft.com/office/drawing/2014/main" id="{8F80B729-491E-2AEE-21A0-192409B951D9}"/>
            </a:ext>
          </a:extLst>
        </xdr:cNvPr>
        <xdr:cNvSpPr/>
      </xdr:nvSpPr>
      <xdr:spPr>
        <a:xfrm>
          <a:off x="1587500" y="45212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2540</xdr:colOff>
      <xdr:row>35</xdr:row>
      <xdr:rowOff>119380</xdr:rowOff>
    </xdr:from>
    <xdr:to>
      <xdr:col>2</xdr:col>
      <xdr:colOff>311471</xdr:colOff>
      <xdr:row>36</xdr:row>
      <xdr:rowOff>63500</xdr:rowOff>
    </xdr:to>
    <xdr:sp macro="" textlink="">
      <xdr:nvSpPr>
        <xdr:cNvPr id="359" name="OpenSolver57">
          <a:extLst>
            <a:ext uri="{FF2B5EF4-FFF2-40B4-BE49-F238E27FC236}">
              <a16:creationId xmlns:a16="http://schemas.microsoft.com/office/drawing/2014/main" id="{06BB4891-B7B1-8E84-F95F-6EB973A8A5E4}"/>
            </a:ext>
          </a:extLst>
        </xdr:cNvPr>
        <xdr:cNvSpPr/>
      </xdr:nvSpPr>
      <xdr:spPr>
        <a:xfrm>
          <a:off x="1587500" y="65278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2540</xdr:colOff>
      <xdr:row>46</xdr:row>
      <xdr:rowOff>114300</xdr:rowOff>
    </xdr:from>
    <xdr:to>
      <xdr:col>2</xdr:col>
      <xdr:colOff>311471</xdr:colOff>
      <xdr:row>47</xdr:row>
      <xdr:rowOff>58420</xdr:rowOff>
    </xdr:to>
    <xdr:sp macro="" textlink="">
      <xdr:nvSpPr>
        <xdr:cNvPr id="361" name="OpenSolver59">
          <a:extLst>
            <a:ext uri="{FF2B5EF4-FFF2-40B4-BE49-F238E27FC236}">
              <a16:creationId xmlns:a16="http://schemas.microsoft.com/office/drawing/2014/main" id="{EC12A805-FFA7-3C3E-135C-D56C0C971D09}"/>
            </a:ext>
          </a:extLst>
        </xdr:cNvPr>
        <xdr:cNvSpPr/>
      </xdr:nvSpPr>
      <xdr:spPr>
        <a:xfrm>
          <a:off x="1587500" y="85344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2540</xdr:colOff>
      <xdr:row>59</xdr:row>
      <xdr:rowOff>124460</xdr:rowOff>
    </xdr:from>
    <xdr:to>
      <xdr:col>2</xdr:col>
      <xdr:colOff>311471</xdr:colOff>
      <xdr:row>60</xdr:row>
      <xdr:rowOff>68580</xdr:rowOff>
    </xdr:to>
    <xdr:sp macro="" textlink="">
      <xdr:nvSpPr>
        <xdr:cNvPr id="363" name="OpenSolver61">
          <a:extLst>
            <a:ext uri="{FF2B5EF4-FFF2-40B4-BE49-F238E27FC236}">
              <a16:creationId xmlns:a16="http://schemas.microsoft.com/office/drawing/2014/main" id="{4D2FC433-8A84-6E3A-23D9-91C8BD10B0B3}"/>
            </a:ext>
          </a:extLst>
        </xdr:cNvPr>
        <xdr:cNvSpPr/>
      </xdr:nvSpPr>
      <xdr:spPr>
        <a:xfrm>
          <a:off x="1587500" y="109220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1963" name="OpenSolver1">
          <a:extLst>
            <a:ext uri="{FF2B5EF4-FFF2-40B4-BE49-F238E27FC236}">
              <a16:creationId xmlns:a16="http://schemas.microsoft.com/office/drawing/2014/main" id="{90AEFAC3-4CD2-5B3D-B336-7E8579FF765C}"/>
            </a:ext>
          </a:extLst>
        </xdr:cNvPr>
        <xdr:cNvSpPr/>
      </xdr:nvSpPr>
      <xdr:spPr>
        <a:xfrm>
          <a:off x="1584960" y="369570"/>
          <a:ext cx="4754880" cy="129159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21</xdr:row>
      <xdr:rowOff>0</xdr:rowOff>
    </xdr:to>
    <xdr:sp macro="" textlink="">
      <xdr:nvSpPr>
        <xdr:cNvPr id="1964" name="OpenSolver2">
          <a:extLst>
            <a:ext uri="{FF2B5EF4-FFF2-40B4-BE49-F238E27FC236}">
              <a16:creationId xmlns:a16="http://schemas.microsoft.com/office/drawing/2014/main" id="{8D36B1BD-6816-29E7-653C-70506F3AFDF8}"/>
            </a:ext>
          </a:extLst>
        </xdr:cNvPr>
        <xdr:cNvSpPr/>
      </xdr:nvSpPr>
      <xdr:spPr>
        <a:xfrm>
          <a:off x="1584960" y="2579370"/>
          <a:ext cx="4754880" cy="12801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8</xdr:col>
      <xdr:colOff>0</xdr:colOff>
      <xdr:row>32</xdr:row>
      <xdr:rowOff>0</xdr:rowOff>
    </xdr:to>
    <xdr:sp macro="" textlink="">
      <xdr:nvSpPr>
        <xdr:cNvPr id="1965" name="OpenSolver3">
          <a:extLst>
            <a:ext uri="{FF2B5EF4-FFF2-40B4-BE49-F238E27FC236}">
              <a16:creationId xmlns:a16="http://schemas.microsoft.com/office/drawing/2014/main" id="{81FB8AB4-6E97-2262-39AD-57D856805981}"/>
            </a:ext>
          </a:extLst>
        </xdr:cNvPr>
        <xdr:cNvSpPr/>
      </xdr:nvSpPr>
      <xdr:spPr>
        <a:xfrm>
          <a:off x="1584960" y="4591050"/>
          <a:ext cx="4754880" cy="12801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8</xdr:col>
      <xdr:colOff>0</xdr:colOff>
      <xdr:row>43</xdr:row>
      <xdr:rowOff>0</xdr:rowOff>
    </xdr:to>
    <xdr:sp macro="" textlink="">
      <xdr:nvSpPr>
        <xdr:cNvPr id="1966" name="OpenSolver4">
          <a:extLst>
            <a:ext uri="{FF2B5EF4-FFF2-40B4-BE49-F238E27FC236}">
              <a16:creationId xmlns:a16="http://schemas.microsoft.com/office/drawing/2014/main" id="{3DD5869C-59BB-3FED-8AAE-7D84B5C6590B}"/>
            </a:ext>
          </a:extLst>
        </xdr:cNvPr>
        <xdr:cNvSpPr/>
      </xdr:nvSpPr>
      <xdr:spPr>
        <a:xfrm>
          <a:off x="1584960" y="6602730"/>
          <a:ext cx="4754880" cy="12801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46</xdr:row>
      <xdr:rowOff>0</xdr:rowOff>
    </xdr:to>
    <xdr:sp macro="" textlink="">
      <xdr:nvSpPr>
        <xdr:cNvPr id="1967" name="OpenSolver5">
          <a:extLst>
            <a:ext uri="{FF2B5EF4-FFF2-40B4-BE49-F238E27FC236}">
              <a16:creationId xmlns:a16="http://schemas.microsoft.com/office/drawing/2014/main" id="{518C7424-CC54-79D2-3BFC-D94F738EEC66}"/>
            </a:ext>
          </a:extLst>
        </xdr:cNvPr>
        <xdr:cNvSpPr/>
      </xdr:nvSpPr>
      <xdr:spPr>
        <a:xfrm>
          <a:off x="1584960" y="8065770"/>
          <a:ext cx="792480" cy="3657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1968" name="OpenSolver6">
          <a:extLst>
            <a:ext uri="{FF2B5EF4-FFF2-40B4-BE49-F238E27FC236}">
              <a16:creationId xmlns:a16="http://schemas.microsoft.com/office/drawing/2014/main" id="{86CB6DD9-8DDE-BF06-FA97-A7CCBB6D335F}"/>
            </a:ext>
          </a:extLst>
        </xdr:cNvPr>
        <xdr:cNvSpPr/>
      </xdr:nvSpPr>
      <xdr:spPr>
        <a:xfrm>
          <a:off x="1584960" y="9163050"/>
          <a:ext cx="3962400" cy="12801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13</xdr:col>
      <xdr:colOff>0</xdr:colOff>
      <xdr:row>46</xdr:row>
      <xdr:rowOff>0</xdr:rowOff>
    </xdr:to>
    <xdr:sp macro="" textlink="">
      <xdr:nvSpPr>
        <xdr:cNvPr id="1969" name="OpenSolver7">
          <a:extLst>
            <a:ext uri="{FF2B5EF4-FFF2-40B4-BE49-F238E27FC236}">
              <a16:creationId xmlns:a16="http://schemas.microsoft.com/office/drawing/2014/main" id="{967D1243-7D91-8926-0B06-B74EBB7645C1}"/>
            </a:ext>
          </a:extLst>
        </xdr:cNvPr>
        <xdr:cNvSpPr/>
      </xdr:nvSpPr>
      <xdr:spPr>
        <a:xfrm>
          <a:off x="9509760" y="8248650"/>
          <a:ext cx="792480" cy="18288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11</xdr:col>
      <xdr:colOff>782320</xdr:colOff>
      <xdr:row>44</xdr:row>
      <xdr:rowOff>113030</xdr:rowOff>
    </xdr:from>
    <xdr:to>
      <xdr:col>12</xdr:col>
      <xdr:colOff>211952</xdr:colOff>
      <xdr:row>45</xdr:row>
      <xdr:rowOff>57150</xdr:rowOff>
    </xdr:to>
    <xdr:sp macro="" textlink="">
      <xdr:nvSpPr>
        <xdr:cNvPr id="1970" name="OpenSolver8">
          <a:extLst>
            <a:ext uri="{FF2B5EF4-FFF2-40B4-BE49-F238E27FC236}">
              <a16:creationId xmlns:a16="http://schemas.microsoft.com/office/drawing/2014/main" id="{75EA7FA7-1B97-C5F1-3A57-A547034BFD3B}"/>
            </a:ext>
          </a:extLst>
        </xdr:cNvPr>
        <xdr:cNvSpPr/>
      </xdr:nvSpPr>
      <xdr:spPr>
        <a:xfrm>
          <a:off x="9499600" y="8178800"/>
          <a:ext cx="222112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8</xdr:col>
      <xdr:colOff>0</xdr:colOff>
      <xdr:row>69</xdr:row>
      <xdr:rowOff>0</xdr:rowOff>
    </xdr:to>
    <xdr:sp macro="" textlink="">
      <xdr:nvSpPr>
        <xdr:cNvPr id="1971" name="OpenSolver9">
          <a:extLst>
            <a:ext uri="{FF2B5EF4-FFF2-40B4-BE49-F238E27FC236}">
              <a16:creationId xmlns:a16="http://schemas.microsoft.com/office/drawing/2014/main" id="{7E61D2D3-A3BB-C377-7353-84BC68B419A3}"/>
            </a:ext>
          </a:extLst>
        </xdr:cNvPr>
        <xdr:cNvSpPr/>
      </xdr:nvSpPr>
      <xdr:spPr>
        <a:xfrm>
          <a:off x="1584960" y="11220450"/>
          <a:ext cx="4754880" cy="12801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0</xdr:colOff>
      <xdr:row>62</xdr:row>
      <xdr:rowOff>0</xdr:rowOff>
    </xdr:from>
    <xdr:to>
      <xdr:col>16</xdr:col>
      <xdr:colOff>0</xdr:colOff>
      <xdr:row>69</xdr:row>
      <xdr:rowOff>0</xdr:rowOff>
    </xdr:to>
    <xdr:sp macro="" textlink="">
      <xdr:nvSpPr>
        <xdr:cNvPr id="1972" name="OpenSolver10">
          <a:extLst>
            <a:ext uri="{FF2B5EF4-FFF2-40B4-BE49-F238E27FC236}">
              <a16:creationId xmlns:a16="http://schemas.microsoft.com/office/drawing/2014/main" id="{168B57D0-01A3-1B08-286A-A6F256499ED6}"/>
            </a:ext>
          </a:extLst>
        </xdr:cNvPr>
        <xdr:cNvSpPr/>
      </xdr:nvSpPr>
      <xdr:spPr>
        <a:xfrm>
          <a:off x="7924800" y="11220450"/>
          <a:ext cx="4754880" cy="128016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=</a:t>
          </a:r>
        </a:p>
      </xdr:txBody>
    </xdr:sp>
    <xdr:clientData/>
  </xdr:twoCellAnchor>
  <xdr:twoCellAnchor>
    <xdr:from>
      <xdr:col>8</xdr:col>
      <xdr:colOff>0</xdr:colOff>
      <xdr:row>65</xdr:row>
      <xdr:rowOff>91440</xdr:rowOff>
    </xdr:from>
    <xdr:to>
      <xdr:col>10</xdr:col>
      <xdr:colOff>0</xdr:colOff>
      <xdr:row>65</xdr:row>
      <xdr:rowOff>91440</xdr:rowOff>
    </xdr:to>
    <xdr:cxnSp macro="">
      <xdr:nvCxnSpPr>
        <xdr:cNvPr id="1973" name="OpenSolver11">
          <a:extLst>
            <a:ext uri="{FF2B5EF4-FFF2-40B4-BE49-F238E27FC236}">
              <a16:creationId xmlns:a16="http://schemas.microsoft.com/office/drawing/2014/main" id="{06208DD6-9339-EBD7-E3A0-35F01E24A88C}"/>
            </a:ext>
          </a:extLst>
        </xdr:cNvPr>
        <xdr:cNvCxnSpPr>
          <a:stCxn id="1971" idx="3"/>
          <a:endCxn id="1972" idx="1"/>
        </xdr:cNvCxnSpPr>
      </xdr:nvCxnSpPr>
      <xdr:spPr>
        <a:xfrm>
          <a:off x="6339840" y="11860530"/>
          <a:ext cx="158496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64</xdr:row>
      <xdr:rowOff>147320</xdr:rowOff>
    </xdr:from>
    <xdr:to>
      <xdr:col>9</xdr:col>
      <xdr:colOff>190500</xdr:colOff>
      <xdr:row>66</xdr:row>
      <xdr:rowOff>35560</xdr:rowOff>
    </xdr:to>
    <xdr:sp macro="" textlink="">
      <xdr:nvSpPr>
        <xdr:cNvPr id="1974" name="OpenSolver12">
          <a:extLst>
            <a:ext uri="{FF2B5EF4-FFF2-40B4-BE49-F238E27FC236}">
              <a16:creationId xmlns:a16="http://schemas.microsoft.com/office/drawing/2014/main" id="{AF9599D0-463B-D34B-CF3E-C243E543EF48}"/>
            </a:ext>
          </a:extLst>
        </xdr:cNvPr>
        <xdr:cNvSpPr/>
      </xdr:nvSpPr>
      <xdr:spPr>
        <a:xfrm>
          <a:off x="6941820" y="1173353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8</xdr:col>
      <xdr:colOff>0</xdr:colOff>
      <xdr:row>123</xdr:row>
      <xdr:rowOff>0</xdr:rowOff>
    </xdr:to>
    <xdr:sp macro="" textlink="">
      <xdr:nvSpPr>
        <xdr:cNvPr id="1975" name="OpenSolver13">
          <a:extLst>
            <a:ext uri="{FF2B5EF4-FFF2-40B4-BE49-F238E27FC236}">
              <a16:creationId xmlns:a16="http://schemas.microsoft.com/office/drawing/2014/main" id="{CC324AD1-7C2E-4E7F-1B4F-2B2A79A277A2}"/>
            </a:ext>
          </a:extLst>
        </xdr:cNvPr>
        <xdr:cNvSpPr/>
      </xdr:nvSpPr>
      <xdr:spPr>
        <a:xfrm>
          <a:off x="2377440" y="21095970"/>
          <a:ext cx="3962400" cy="12801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10</xdr:col>
      <xdr:colOff>0</xdr:colOff>
      <xdr:row>116</xdr:row>
      <xdr:rowOff>0</xdr:rowOff>
    </xdr:from>
    <xdr:to>
      <xdr:col>15</xdr:col>
      <xdr:colOff>0</xdr:colOff>
      <xdr:row>123</xdr:row>
      <xdr:rowOff>0</xdr:rowOff>
    </xdr:to>
    <xdr:sp macro="" textlink="">
      <xdr:nvSpPr>
        <xdr:cNvPr id="1976" name="OpenSolver14">
          <a:extLst>
            <a:ext uri="{FF2B5EF4-FFF2-40B4-BE49-F238E27FC236}">
              <a16:creationId xmlns:a16="http://schemas.microsoft.com/office/drawing/2014/main" id="{17D58D17-1DE9-ADFB-071E-B4057281DC31}"/>
            </a:ext>
          </a:extLst>
        </xdr:cNvPr>
        <xdr:cNvSpPr/>
      </xdr:nvSpPr>
      <xdr:spPr>
        <a:xfrm>
          <a:off x="7924800" y="21095970"/>
          <a:ext cx="3962400" cy="12801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119</xdr:row>
      <xdr:rowOff>91440</xdr:rowOff>
    </xdr:from>
    <xdr:to>
      <xdr:col>10</xdr:col>
      <xdr:colOff>0</xdr:colOff>
      <xdr:row>119</xdr:row>
      <xdr:rowOff>91440</xdr:rowOff>
    </xdr:to>
    <xdr:cxnSp macro="">
      <xdr:nvCxnSpPr>
        <xdr:cNvPr id="1977" name="OpenSolver15">
          <a:extLst>
            <a:ext uri="{FF2B5EF4-FFF2-40B4-BE49-F238E27FC236}">
              <a16:creationId xmlns:a16="http://schemas.microsoft.com/office/drawing/2014/main" id="{9D46A439-1B8A-049B-71FB-37D9518748C1}"/>
            </a:ext>
          </a:extLst>
        </xdr:cNvPr>
        <xdr:cNvCxnSpPr>
          <a:stCxn id="1975" idx="3"/>
          <a:endCxn id="1976" idx="1"/>
        </xdr:cNvCxnSpPr>
      </xdr:nvCxnSpPr>
      <xdr:spPr>
        <a:xfrm>
          <a:off x="6339840" y="21736050"/>
          <a:ext cx="158496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118</xdr:row>
      <xdr:rowOff>147320</xdr:rowOff>
    </xdr:from>
    <xdr:to>
      <xdr:col>9</xdr:col>
      <xdr:colOff>190500</xdr:colOff>
      <xdr:row>120</xdr:row>
      <xdr:rowOff>35560</xdr:rowOff>
    </xdr:to>
    <xdr:sp macro="" textlink="">
      <xdr:nvSpPr>
        <xdr:cNvPr id="1978" name="OpenSolver16">
          <a:extLst>
            <a:ext uri="{FF2B5EF4-FFF2-40B4-BE49-F238E27FC236}">
              <a16:creationId xmlns:a16="http://schemas.microsoft.com/office/drawing/2014/main" id="{6C943754-4006-0C7E-500A-B9D824EEEE6F}"/>
            </a:ext>
          </a:extLst>
        </xdr:cNvPr>
        <xdr:cNvSpPr/>
      </xdr:nvSpPr>
      <xdr:spPr>
        <a:xfrm>
          <a:off x="6941820" y="216090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127</xdr:row>
      <xdr:rowOff>0</xdr:rowOff>
    </xdr:from>
    <xdr:to>
      <xdr:col>8</xdr:col>
      <xdr:colOff>0</xdr:colOff>
      <xdr:row>134</xdr:row>
      <xdr:rowOff>1</xdr:rowOff>
    </xdr:to>
    <xdr:sp macro="" textlink="">
      <xdr:nvSpPr>
        <xdr:cNvPr id="1979" name="OpenSolver17">
          <a:extLst>
            <a:ext uri="{FF2B5EF4-FFF2-40B4-BE49-F238E27FC236}">
              <a16:creationId xmlns:a16="http://schemas.microsoft.com/office/drawing/2014/main" id="{39EB33F9-E6E6-3397-2022-71BCE3598B2B}"/>
            </a:ext>
          </a:extLst>
        </xdr:cNvPr>
        <xdr:cNvSpPr/>
      </xdr:nvSpPr>
      <xdr:spPr>
        <a:xfrm>
          <a:off x="2377440" y="23107650"/>
          <a:ext cx="3962400" cy="128016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10</xdr:col>
      <xdr:colOff>0</xdr:colOff>
      <xdr:row>127</xdr:row>
      <xdr:rowOff>0</xdr:rowOff>
    </xdr:from>
    <xdr:to>
      <xdr:col>15</xdr:col>
      <xdr:colOff>0</xdr:colOff>
      <xdr:row>134</xdr:row>
      <xdr:rowOff>1</xdr:rowOff>
    </xdr:to>
    <xdr:sp macro="" textlink="">
      <xdr:nvSpPr>
        <xdr:cNvPr id="1980" name="OpenSolver18">
          <a:extLst>
            <a:ext uri="{FF2B5EF4-FFF2-40B4-BE49-F238E27FC236}">
              <a16:creationId xmlns:a16="http://schemas.microsoft.com/office/drawing/2014/main" id="{CCCA3873-8A70-B317-FD2F-0CFF2EF8746B}"/>
            </a:ext>
          </a:extLst>
        </xdr:cNvPr>
        <xdr:cNvSpPr/>
      </xdr:nvSpPr>
      <xdr:spPr>
        <a:xfrm>
          <a:off x="7924800" y="23107650"/>
          <a:ext cx="3962400" cy="128016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130</xdr:row>
      <xdr:rowOff>91441</xdr:rowOff>
    </xdr:from>
    <xdr:to>
      <xdr:col>10</xdr:col>
      <xdr:colOff>0</xdr:colOff>
      <xdr:row>130</xdr:row>
      <xdr:rowOff>91441</xdr:rowOff>
    </xdr:to>
    <xdr:cxnSp macro="">
      <xdr:nvCxnSpPr>
        <xdr:cNvPr id="1981" name="OpenSolver19">
          <a:extLst>
            <a:ext uri="{FF2B5EF4-FFF2-40B4-BE49-F238E27FC236}">
              <a16:creationId xmlns:a16="http://schemas.microsoft.com/office/drawing/2014/main" id="{172680AD-10EE-87A5-0FAF-202FF798FE47}"/>
            </a:ext>
          </a:extLst>
        </xdr:cNvPr>
        <xdr:cNvCxnSpPr>
          <a:stCxn id="1979" idx="3"/>
          <a:endCxn id="1980" idx="1"/>
        </xdr:cNvCxnSpPr>
      </xdr:nvCxnSpPr>
      <xdr:spPr>
        <a:xfrm>
          <a:off x="6339840" y="23747731"/>
          <a:ext cx="158496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129</xdr:row>
      <xdr:rowOff>147322</xdr:rowOff>
    </xdr:from>
    <xdr:to>
      <xdr:col>9</xdr:col>
      <xdr:colOff>190500</xdr:colOff>
      <xdr:row>131</xdr:row>
      <xdr:rowOff>35562</xdr:rowOff>
    </xdr:to>
    <xdr:sp macro="" textlink="">
      <xdr:nvSpPr>
        <xdr:cNvPr id="1982" name="OpenSolver20">
          <a:extLst>
            <a:ext uri="{FF2B5EF4-FFF2-40B4-BE49-F238E27FC236}">
              <a16:creationId xmlns:a16="http://schemas.microsoft.com/office/drawing/2014/main" id="{47732B1D-D15B-8E1F-C4AE-15C4EB1AC4DB}"/>
            </a:ext>
          </a:extLst>
        </xdr:cNvPr>
        <xdr:cNvSpPr/>
      </xdr:nvSpPr>
      <xdr:spPr>
        <a:xfrm>
          <a:off x="6941820" y="2362073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8</xdr:col>
      <xdr:colOff>0</xdr:colOff>
      <xdr:row>144</xdr:row>
      <xdr:rowOff>182879</xdr:rowOff>
    </xdr:to>
    <xdr:sp macro="" textlink="">
      <xdr:nvSpPr>
        <xdr:cNvPr id="1983" name="OpenSolver21">
          <a:extLst>
            <a:ext uri="{FF2B5EF4-FFF2-40B4-BE49-F238E27FC236}">
              <a16:creationId xmlns:a16="http://schemas.microsoft.com/office/drawing/2014/main" id="{76A16CC1-8A38-1266-1153-040EF1B5B86F}"/>
            </a:ext>
          </a:extLst>
        </xdr:cNvPr>
        <xdr:cNvSpPr/>
      </xdr:nvSpPr>
      <xdr:spPr>
        <a:xfrm>
          <a:off x="2377440" y="25119330"/>
          <a:ext cx="3962400" cy="1280159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15</xdr:col>
      <xdr:colOff>0</xdr:colOff>
      <xdr:row>144</xdr:row>
      <xdr:rowOff>182879</xdr:rowOff>
    </xdr:to>
    <xdr:sp macro="" textlink="">
      <xdr:nvSpPr>
        <xdr:cNvPr id="1984" name="OpenSolver22">
          <a:extLst>
            <a:ext uri="{FF2B5EF4-FFF2-40B4-BE49-F238E27FC236}">
              <a16:creationId xmlns:a16="http://schemas.microsoft.com/office/drawing/2014/main" id="{9A1BB095-C344-72D8-872B-FE0915841814}"/>
            </a:ext>
          </a:extLst>
        </xdr:cNvPr>
        <xdr:cNvSpPr/>
      </xdr:nvSpPr>
      <xdr:spPr>
        <a:xfrm>
          <a:off x="7924800" y="25119330"/>
          <a:ext cx="3962400" cy="1280159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141</xdr:row>
      <xdr:rowOff>91440</xdr:rowOff>
    </xdr:from>
    <xdr:to>
      <xdr:col>10</xdr:col>
      <xdr:colOff>0</xdr:colOff>
      <xdr:row>141</xdr:row>
      <xdr:rowOff>91440</xdr:rowOff>
    </xdr:to>
    <xdr:cxnSp macro="">
      <xdr:nvCxnSpPr>
        <xdr:cNvPr id="1985" name="OpenSolver23">
          <a:extLst>
            <a:ext uri="{FF2B5EF4-FFF2-40B4-BE49-F238E27FC236}">
              <a16:creationId xmlns:a16="http://schemas.microsoft.com/office/drawing/2014/main" id="{38FAB6BA-C047-73F5-3C46-F525C4B4F053}"/>
            </a:ext>
          </a:extLst>
        </xdr:cNvPr>
        <xdr:cNvCxnSpPr>
          <a:stCxn id="1983" idx="3"/>
          <a:endCxn id="1984" idx="1"/>
        </xdr:cNvCxnSpPr>
      </xdr:nvCxnSpPr>
      <xdr:spPr>
        <a:xfrm>
          <a:off x="6339840" y="25759410"/>
          <a:ext cx="158496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140</xdr:row>
      <xdr:rowOff>147321</xdr:rowOff>
    </xdr:from>
    <xdr:to>
      <xdr:col>9</xdr:col>
      <xdr:colOff>190500</xdr:colOff>
      <xdr:row>142</xdr:row>
      <xdr:rowOff>35561</xdr:rowOff>
    </xdr:to>
    <xdr:sp macro="" textlink="">
      <xdr:nvSpPr>
        <xdr:cNvPr id="1986" name="OpenSolver24">
          <a:extLst>
            <a:ext uri="{FF2B5EF4-FFF2-40B4-BE49-F238E27FC236}">
              <a16:creationId xmlns:a16="http://schemas.microsoft.com/office/drawing/2014/main" id="{E591B25B-C617-9B77-842F-DEB3CC1989F3}"/>
            </a:ext>
          </a:extLst>
        </xdr:cNvPr>
        <xdr:cNvSpPr/>
      </xdr:nvSpPr>
      <xdr:spPr>
        <a:xfrm>
          <a:off x="6941820" y="25632411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0</xdr:colOff>
      <xdr:row>73</xdr:row>
      <xdr:rowOff>0</xdr:rowOff>
    </xdr:from>
    <xdr:to>
      <xdr:col>8</xdr:col>
      <xdr:colOff>0</xdr:colOff>
      <xdr:row>76</xdr:row>
      <xdr:rowOff>0</xdr:rowOff>
    </xdr:to>
    <xdr:sp macro="" textlink="">
      <xdr:nvSpPr>
        <xdr:cNvPr id="1987" name="OpenSolver25">
          <a:extLst>
            <a:ext uri="{FF2B5EF4-FFF2-40B4-BE49-F238E27FC236}">
              <a16:creationId xmlns:a16="http://schemas.microsoft.com/office/drawing/2014/main" id="{8CA47131-1368-64F3-3B13-B461BFD4B19E}"/>
            </a:ext>
          </a:extLst>
        </xdr:cNvPr>
        <xdr:cNvSpPr/>
      </xdr:nvSpPr>
      <xdr:spPr>
        <a:xfrm>
          <a:off x="1584960" y="13232130"/>
          <a:ext cx="4754880" cy="54864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10</xdr:col>
      <xdr:colOff>0</xdr:colOff>
      <xdr:row>73</xdr:row>
      <xdr:rowOff>0</xdr:rowOff>
    </xdr:from>
    <xdr:to>
      <xdr:col>16</xdr:col>
      <xdr:colOff>0</xdr:colOff>
      <xdr:row>76</xdr:row>
      <xdr:rowOff>0</xdr:rowOff>
    </xdr:to>
    <xdr:sp macro="" textlink="">
      <xdr:nvSpPr>
        <xdr:cNvPr id="1988" name="OpenSolver26">
          <a:extLst>
            <a:ext uri="{FF2B5EF4-FFF2-40B4-BE49-F238E27FC236}">
              <a16:creationId xmlns:a16="http://schemas.microsoft.com/office/drawing/2014/main" id="{AE87AF35-4D3C-5B54-FD6D-DC4F5D2198A4}"/>
            </a:ext>
          </a:extLst>
        </xdr:cNvPr>
        <xdr:cNvSpPr/>
      </xdr:nvSpPr>
      <xdr:spPr>
        <a:xfrm>
          <a:off x="7924800" y="13232130"/>
          <a:ext cx="4754880" cy="54864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10</xdr:col>
      <xdr:colOff>0</xdr:colOff>
      <xdr:row>74</xdr:row>
      <xdr:rowOff>91440</xdr:rowOff>
    </xdr:to>
    <xdr:cxnSp macro="">
      <xdr:nvCxnSpPr>
        <xdr:cNvPr id="1989" name="OpenSolver27">
          <a:extLst>
            <a:ext uri="{FF2B5EF4-FFF2-40B4-BE49-F238E27FC236}">
              <a16:creationId xmlns:a16="http://schemas.microsoft.com/office/drawing/2014/main" id="{7764240B-223E-7915-1F5F-183656B0CB34}"/>
            </a:ext>
          </a:extLst>
        </xdr:cNvPr>
        <xdr:cNvCxnSpPr>
          <a:stCxn id="1987" idx="3"/>
          <a:endCxn id="1988" idx="1"/>
        </xdr:cNvCxnSpPr>
      </xdr:nvCxnSpPr>
      <xdr:spPr>
        <a:xfrm>
          <a:off x="6339840" y="13506450"/>
          <a:ext cx="158496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73</xdr:row>
      <xdr:rowOff>147320</xdr:rowOff>
    </xdr:from>
    <xdr:to>
      <xdr:col>9</xdr:col>
      <xdr:colOff>190500</xdr:colOff>
      <xdr:row>75</xdr:row>
      <xdr:rowOff>35560</xdr:rowOff>
    </xdr:to>
    <xdr:sp macro="" textlink="">
      <xdr:nvSpPr>
        <xdr:cNvPr id="1990" name="OpenSolver28">
          <a:extLst>
            <a:ext uri="{FF2B5EF4-FFF2-40B4-BE49-F238E27FC236}">
              <a16:creationId xmlns:a16="http://schemas.microsoft.com/office/drawing/2014/main" id="{652E9DDC-68C2-A680-82E7-5ABB8837C54A}"/>
            </a:ext>
          </a:extLst>
        </xdr:cNvPr>
        <xdr:cNvSpPr/>
      </xdr:nvSpPr>
      <xdr:spPr>
        <a:xfrm>
          <a:off x="6941820" y="133794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0</xdr:colOff>
      <xdr:row>104</xdr:row>
      <xdr:rowOff>182879</xdr:rowOff>
    </xdr:from>
    <xdr:to>
      <xdr:col>8</xdr:col>
      <xdr:colOff>0</xdr:colOff>
      <xdr:row>112</xdr:row>
      <xdr:rowOff>0</xdr:rowOff>
    </xdr:to>
    <xdr:sp macro="" textlink="">
      <xdr:nvSpPr>
        <xdr:cNvPr id="1991" name="OpenSolver29">
          <a:extLst>
            <a:ext uri="{FF2B5EF4-FFF2-40B4-BE49-F238E27FC236}">
              <a16:creationId xmlns:a16="http://schemas.microsoft.com/office/drawing/2014/main" id="{BD2C5CBF-A192-A2A1-0A96-D73F7606A8C3}"/>
            </a:ext>
          </a:extLst>
        </xdr:cNvPr>
        <xdr:cNvSpPr/>
      </xdr:nvSpPr>
      <xdr:spPr>
        <a:xfrm>
          <a:off x="5547360" y="19084289"/>
          <a:ext cx="792480" cy="1280161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10</xdr:col>
      <xdr:colOff>0</xdr:colOff>
      <xdr:row>104</xdr:row>
      <xdr:rowOff>182879</xdr:rowOff>
    </xdr:from>
    <xdr:to>
      <xdr:col>11</xdr:col>
      <xdr:colOff>0</xdr:colOff>
      <xdr:row>112</xdr:row>
      <xdr:rowOff>0</xdr:rowOff>
    </xdr:to>
    <xdr:sp macro="" textlink="">
      <xdr:nvSpPr>
        <xdr:cNvPr id="1992" name="OpenSolver30">
          <a:extLst>
            <a:ext uri="{FF2B5EF4-FFF2-40B4-BE49-F238E27FC236}">
              <a16:creationId xmlns:a16="http://schemas.microsoft.com/office/drawing/2014/main" id="{22C58FB2-D34C-2555-D3F6-8C0D65687E45}"/>
            </a:ext>
          </a:extLst>
        </xdr:cNvPr>
        <xdr:cNvSpPr/>
      </xdr:nvSpPr>
      <xdr:spPr>
        <a:xfrm>
          <a:off x="7924800" y="19084289"/>
          <a:ext cx="792480" cy="1280161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108</xdr:row>
      <xdr:rowOff>91440</xdr:rowOff>
    </xdr:from>
    <xdr:to>
      <xdr:col>10</xdr:col>
      <xdr:colOff>0</xdr:colOff>
      <xdr:row>108</xdr:row>
      <xdr:rowOff>91440</xdr:rowOff>
    </xdr:to>
    <xdr:cxnSp macro="">
      <xdr:nvCxnSpPr>
        <xdr:cNvPr id="1993" name="OpenSolver31">
          <a:extLst>
            <a:ext uri="{FF2B5EF4-FFF2-40B4-BE49-F238E27FC236}">
              <a16:creationId xmlns:a16="http://schemas.microsoft.com/office/drawing/2014/main" id="{E4A96CEF-A909-29D3-0554-1441FF0A451E}"/>
            </a:ext>
          </a:extLst>
        </xdr:cNvPr>
        <xdr:cNvCxnSpPr>
          <a:stCxn id="1991" idx="3"/>
          <a:endCxn id="1992" idx="1"/>
        </xdr:cNvCxnSpPr>
      </xdr:nvCxnSpPr>
      <xdr:spPr>
        <a:xfrm>
          <a:off x="6339840" y="19724370"/>
          <a:ext cx="158496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107</xdr:row>
      <xdr:rowOff>147320</xdr:rowOff>
    </xdr:from>
    <xdr:to>
      <xdr:col>9</xdr:col>
      <xdr:colOff>190500</xdr:colOff>
      <xdr:row>109</xdr:row>
      <xdr:rowOff>35560</xdr:rowOff>
    </xdr:to>
    <xdr:sp macro="" textlink="">
      <xdr:nvSpPr>
        <xdr:cNvPr id="1994" name="OpenSolver32">
          <a:extLst>
            <a:ext uri="{FF2B5EF4-FFF2-40B4-BE49-F238E27FC236}">
              <a16:creationId xmlns:a16="http://schemas.microsoft.com/office/drawing/2014/main" id="{7D4FDA3A-1EFC-A7AA-CE33-A67D194F028B}"/>
            </a:ext>
          </a:extLst>
        </xdr:cNvPr>
        <xdr:cNvSpPr/>
      </xdr:nvSpPr>
      <xdr:spPr>
        <a:xfrm>
          <a:off x="6941820" y="1959737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8</xdr:col>
      <xdr:colOff>0</xdr:colOff>
      <xdr:row>88</xdr:row>
      <xdr:rowOff>0</xdr:rowOff>
    </xdr:to>
    <xdr:sp macro="" textlink="">
      <xdr:nvSpPr>
        <xdr:cNvPr id="1995" name="OpenSolver33">
          <a:extLst>
            <a:ext uri="{FF2B5EF4-FFF2-40B4-BE49-F238E27FC236}">
              <a16:creationId xmlns:a16="http://schemas.microsoft.com/office/drawing/2014/main" id="{1DACFD65-A1CB-2233-27A4-696BAEBE2FC6}"/>
            </a:ext>
          </a:extLst>
        </xdr:cNvPr>
        <xdr:cNvSpPr/>
      </xdr:nvSpPr>
      <xdr:spPr>
        <a:xfrm>
          <a:off x="3169920" y="14695170"/>
          <a:ext cx="3169920" cy="128016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0</xdr:rowOff>
    </xdr:from>
    <xdr:to>
      <xdr:col>14</xdr:col>
      <xdr:colOff>0</xdr:colOff>
      <xdr:row>88</xdr:row>
      <xdr:rowOff>0</xdr:rowOff>
    </xdr:to>
    <xdr:sp macro="" textlink="">
      <xdr:nvSpPr>
        <xdr:cNvPr id="1996" name="OpenSolver34">
          <a:extLst>
            <a:ext uri="{FF2B5EF4-FFF2-40B4-BE49-F238E27FC236}">
              <a16:creationId xmlns:a16="http://schemas.microsoft.com/office/drawing/2014/main" id="{F4F9ACC0-51E3-DC55-A2E8-710B45F176D2}"/>
            </a:ext>
          </a:extLst>
        </xdr:cNvPr>
        <xdr:cNvSpPr/>
      </xdr:nvSpPr>
      <xdr:spPr>
        <a:xfrm>
          <a:off x="7924800" y="14695170"/>
          <a:ext cx="3169920" cy="128016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CC0099"/>
              </a:solidFill>
            </a:rPr>
            <a:t>≤</a:t>
          </a:r>
        </a:p>
      </xdr:txBody>
    </xdr:sp>
    <xdr:clientData/>
  </xdr:twoCellAnchor>
  <xdr:twoCellAnchor>
    <xdr:from>
      <xdr:col>8</xdr:col>
      <xdr:colOff>0</xdr:colOff>
      <xdr:row>84</xdr:row>
      <xdr:rowOff>91440</xdr:rowOff>
    </xdr:from>
    <xdr:to>
      <xdr:col>10</xdr:col>
      <xdr:colOff>0</xdr:colOff>
      <xdr:row>84</xdr:row>
      <xdr:rowOff>91440</xdr:rowOff>
    </xdr:to>
    <xdr:cxnSp macro="">
      <xdr:nvCxnSpPr>
        <xdr:cNvPr id="1997" name="OpenSolver35">
          <a:extLst>
            <a:ext uri="{FF2B5EF4-FFF2-40B4-BE49-F238E27FC236}">
              <a16:creationId xmlns:a16="http://schemas.microsoft.com/office/drawing/2014/main" id="{F8796ECE-4770-FAC5-3944-2D75013A6C85}"/>
            </a:ext>
          </a:extLst>
        </xdr:cNvPr>
        <xdr:cNvCxnSpPr>
          <a:stCxn id="1995" idx="3"/>
          <a:endCxn id="1996" idx="1"/>
        </xdr:cNvCxnSpPr>
      </xdr:nvCxnSpPr>
      <xdr:spPr>
        <a:xfrm>
          <a:off x="6339840" y="15335250"/>
          <a:ext cx="158496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83</xdr:row>
      <xdr:rowOff>147320</xdr:rowOff>
    </xdr:from>
    <xdr:to>
      <xdr:col>9</xdr:col>
      <xdr:colOff>190500</xdr:colOff>
      <xdr:row>85</xdr:row>
      <xdr:rowOff>35560</xdr:rowOff>
    </xdr:to>
    <xdr:sp macro="" textlink="">
      <xdr:nvSpPr>
        <xdr:cNvPr id="1998" name="OpenSolver36">
          <a:extLst>
            <a:ext uri="{FF2B5EF4-FFF2-40B4-BE49-F238E27FC236}">
              <a16:creationId xmlns:a16="http://schemas.microsoft.com/office/drawing/2014/main" id="{DA94C768-2CF0-DDA4-6716-6EBD12EB2955}"/>
            </a:ext>
          </a:extLst>
        </xdr:cNvPr>
        <xdr:cNvSpPr/>
      </xdr:nvSpPr>
      <xdr:spPr>
        <a:xfrm>
          <a:off x="6941820" y="152082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0</xdr:colOff>
      <xdr:row>93</xdr:row>
      <xdr:rowOff>0</xdr:rowOff>
    </xdr:from>
    <xdr:to>
      <xdr:col>8</xdr:col>
      <xdr:colOff>0</xdr:colOff>
      <xdr:row>100</xdr:row>
      <xdr:rowOff>1</xdr:rowOff>
    </xdr:to>
    <xdr:sp macro="" textlink="">
      <xdr:nvSpPr>
        <xdr:cNvPr id="1999" name="OpenSolver37">
          <a:extLst>
            <a:ext uri="{FF2B5EF4-FFF2-40B4-BE49-F238E27FC236}">
              <a16:creationId xmlns:a16="http://schemas.microsoft.com/office/drawing/2014/main" id="{50A894CF-FD46-75C5-92B5-A716EAC69E02}"/>
            </a:ext>
          </a:extLst>
        </xdr:cNvPr>
        <xdr:cNvSpPr/>
      </xdr:nvSpPr>
      <xdr:spPr>
        <a:xfrm>
          <a:off x="5547360" y="16889730"/>
          <a:ext cx="792480" cy="128016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0</xdr:colOff>
      <xdr:row>93</xdr:row>
      <xdr:rowOff>0</xdr:rowOff>
    </xdr:from>
    <xdr:to>
      <xdr:col>11</xdr:col>
      <xdr:colOff>0</xdr:colOff>
      <xdr:row>100</xdr:row>
      <xdr:rowOff>1</xdr:rowOff>
    </xdr:to>
    <xdr:sp macro="" textlink="">
      <xdr:nvSpPr>
        <xdr:cNvPr id="2000" name="OpenSolver38">
          <a:extLst>
            <a:ext uri="{FF2B5EF4-FFF2-40B4-BE49-F238E27FC236}">
              <a16:creationId xmlns:a16="http://schemas.microsoft.com/office/drawing/2014/main" id="{FA41466E-9C88-EBAE-64AB-D5952B163D10}"/>
            </a:ext>
          </a:extLst>
        </xdr:cNvPr>
        <xdr:cNvSpPr/>
      </xdr:nvSpPr>
      <xdr:spPr>
        <a:xfrm>
          <a:off x="7924800" y="16889730"/>
          <a:ext cx="792480" cy="128016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8</xdr:col>
      <xdr:colOff>0</xdr:colOff>
      <xdr:row>96</xdr:row>
      <xdr:rowOff>91441</xdr:rowOff>
    </xdr:from>
    <xdr:to>
      <xdr:col>10</xdr:col>
      <xdr:colOff>0</xdr:colOff>
      <xdr:row>96</xdr:row>
      <xdr:rowOff>91441</xdr:rowOff>
    </xdr:to>
    <xdr:cxnSp macro="">
      <xdr:nvCxnSpPr>
        <xdr:cNvPr id="2001" name="OpenSolver39">
          <a:extLst>
            <a:ext uri="{FF2B5EF4-FFF2-40B4-BE49-F238E27FC236}">
              <a16:creationId xmlns:a16="http://schemas.microsoft.com/office/drawing/2014/main" id="{1EC47947-A2AE-CB73-5D13-63C3610CADED}"/>
            </a:ext>
          </a:extLst>
        </xdr:cNvPr>
        <xdr:cNvCxnSpPr>
          <a:stCxn id="1999" idx="3"/>
          <a:endCxn id="2000" idx="1"/>
        </xdr:cNvCxnSpPr>
      </xdr:nvCxnSpPr>
      <xdr:spPr>
        <a:xfrm>
          <a:off x="6339840" y="17529811"/>
          <a:ext cx="158496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95</xdr:row>
      <xdr:rowOff>147322</xdr:rowOff>
    </xdr:from>
    <xdr:to>
      <xdr:col>9</xdr:col>
      <xdr:colOff>190500</xdr:colOff>
      <xdr:row>97</xdr:row>
      <xdr:rowOff>35562</xdr:rowOff>
    </xdr:to>
    <xdr:sp macro="" textlink="">
      <xdr:nvSpPr>
        <xdr:cNvPr id="2002" name="OpenSolver40">
          <a:extLst>
            <a:ext uri="{FF2B5EF4-FFF2-40B4-BE49-F238E27FC236}">
              <a16:creationId xmlns:a16="http://schemas.microsoft.com/office/drawing/2014/main" id="{AAC82D59-7C69-1EA5-94C3-4B5CC94C0CC0}"/>
            </a:ext>
          </a:extLst>
        </xdr:cNvPr>
        <xdr:cNvSpPr/>
      </xdr:nvSpPr>
      <xdr:spPr>
        <a:xfrm>
          <a:off x="6941820" y="1740281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12700</xdr:colOff>
      <xdr:row>2</xdr:row>
      <xdr:rowOff>12700</xdr:rowOff>
    </xdr:from>
    <xdr:to>
      <xdr:col>8</xdr:col>
      <xdr:colOff>0</xdr:colOff>
      <xdr:row>9</xdr:row>
      <xdr:rowOff>0</xdr:rowOff>
    </xdr:to>
    <xdr:sp macro="" textlink="">
      <xdr:nvSpPr>
        <xdr:cNvPr id="2003" name="OpenSolver41">
          <a:extLst>
            <a:ext uri="{FF2B5EF4-FFF2-40B4-BE49-F238E27FC236}">
              <a16:creationId xmlns:a16="http://schemas.microsoft.com/office/drawing/2014/main" id="{2FE34F77-08D4-A17D-2D26-7D5B330EE10A}"/>
            </a:ext>
          </a:extLst>
        </xdr:cNvPr>
        <xdr:cNvSpPr/>
      </xdr:nvSpPr>
      <xdr:spPr>
        <a:xfrm>
          <a:off x="1597660" y="382270"/>
          <a:ext cx="4742180" cy="127889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1</xdr:row>
      <xdr:rowOff>121920</xdr:rowOff>
    </xdr:from>
    <xdr:to>
      <xdr:col>2</xdr:col>
      <xdr:colOff>311471</xdr:colOff>
      <xdr:row>2</xdr:row>
      <xdr:rowOff>62230</xdr:rowOff>
    </xdr:to>
    <xdr:sp macro="" textlink="">
      <xdr:nvSpPr>
        <xdr:cNvPr id="2004" name="OpenSolver42">
          <a:extLst>
            <a:ext uri="{FF2B5EF4-FFF2-40B4-BE49-F238E27FC236}">
              <a16:creationId xmlns:a16="http://schemas.microsoft.com/office/drawing/2014/main" id="{CF1E4A5E-2098-451F-EA74-209BCAD16E0C}"/>
            </a:ext>
          </a:extLst>
        </xdr:cNvPr>
        <xdr:cNvSpPr/>
      </xdr:nvSpPr>
      <xdr:spPr>
        <a:xfrm>
          <a:off x="1587500" y="3048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8</xdr:col>
      <xdr:colOff>0</xdr:colOff>
      <xdr:row>21</xdr:row>
      <xdr:rowOff>0</xdr:rowOff>
    </xdr:to>
    <xdr:sp macro="" textlink="">
      <xdr:nvSpPr>
        <xdr:cNvPr id="2005" name="OpenSolver43">
          <a:extLst>
            <a:ext uri="{FF2B5EF4-FFF2-40B4-BE49-F238E27FC236}">
              <a16:creationId xmlns:a16="http://schemas.microsoft.com/office/drawing/2014/main" id="{35151621-A654-ACA4-7A23-005D2D6E3237}"/>
            </a:ext>
          </a:extLst>
        </xdr:cNvPr>
        <xdr:cNvSpPr/>
      </xdr:nvSpPr>
      <xdr:spPr>
        <a:xfrm>
          <a:off x="1597660" y="2592070"/>
          <a:ext cx="4742180" cy="12674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13</xdr:row>
      <xdr:rowOff>121920</xdr:rowOff>
    </xdr:from>
    <xdr:to>
      <xdr:col>2</xdr:col>
      <xdr:colOff>311471</xdr:colOff>
      <xdr:row>14</xdr:row>
      <xdr:rowOff>62230</xdr:rowOff>
    </xdr:to>
    <xdr:sp macro="" textlink="">
      <xdr:nvSpPr>
        <xdr:cNvPr id="2006" name="OpenSolver44">
          <a:extLst>
            <a:ext uri="{FF2B5EF4-FFF2-40B4-BE49-F238E27FC236}">
              <a16:creationId xmlns:a16="http://schemas.microsoft.com/office/drawing/2014/main" id="{0E33194D-CCD4-0AB9-3228-ED6782B88E61}"/>
            </a:ext>
          </a:extLst>
        </xdr:cNvPr>
        <xdr:cNvSpPr/>
      </xdr:nvSpPr>
      <xdr:spPr>
        <a:xfrm>
          <a:off x="1587500" y="25146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25</xdr:row>
      <xdr:rowOff>12700</xdr:rowOff>
    </xdr:from>
    <xdr:to>
      <xdr:col>8</xdr:col>
      <xdr:colOff>0</xdr:colOff>
      <xdr:row>32</xdr:row>
      <xdr:rowOff>0</xdr:rowOff>
    </xdr:to>
    <xdr:sp macro="" textlink="">
      <xdr:nvSpPr>
        <xdr:cNvPr id="2007" name="OpenSolver45">
          <a:extLst>
            <a:ext uri="{FF2B5EF4-FFF2-40B4-BE49-F238E27FC236}">
              <a16:creationId xmlns:a16="http://schemas.microsoft.com/office/drawing/2014/main" id="{E7863CB6-9764-D95D-399F-9CA34CED848C}"/>
            </a:ext>
          </a:extLst>
        </xdr:cNvPr>
        <xdr:cNvSpPr/>
      </xdr:nvSpPr>
      <xdr:spPr>
        <a:xfrm>
          <a:off x="1597660" y="4603750"/>
          <a:ext cx="4742180" cy="12674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24</xdr:row>
      <xdr:rowOff>113030</xdr:rowOff>
    </xdr:from>
    <xdr:to>
      <xdr:col>2</xdr:col>
      <xdr:colOff>311471</xdr:colOff>
      <xdr:row>25</xdr:row>
      <xdr:rowOff>57150</xdr:rowOff>
    </xdr:to>
    <xdr:sp macro="" textlink="">
      <xdr:nvSpPr>
        <xdr:cNvPr id="2008" name="OpenSolver46">
          <a:extLst>
            <a:ext uri="{FF2B5EF4-FFF2-40B4-BE49-F238E27FC236}">
              <a16:creationId xmlns:a16="http://schemas.microsoft.com/office/drawing/2014/main" id="{85B90ABE-C346-1695-1C58-3B66BF4150C6}"/>
            </a:ext>
          </a:extLst>
        </xdr:cNvPr>
        <xdr:cNvSpPr/>
      </xdr:nvSpPr>
      <xdr:spPr>
        <a:xfrm>
          <a:off x="1587500" y="45212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50</xdr:row>
      <xdr:rowOff>12700</xdr:rowOff>
    </xdr:from>
    <xdr:to>
      <xdr:col>7</xdr:col>
      <xdr:colOff>0</xdr:colOff>
      <xdr:row>57</xdr:row>
      <xdr:rowOff>0</xdr:rowOff>
    </xdr:to>
    <xdr:sp macro="" textlink="">
      <xdr:nvSpPr>
        <xdr:cNvPr id="2009" name="OpenSolver47">
          <a:extLst>
            <a:ext uri="{FF2B5EF4-FFF2-40B4-BE49-F238E27FC236}">
              <a16:creationId xmlns:a16="http://schemas.microsoft.com/office/drawing/2014/main" id="{B6C5C9A5-EA84-0B61-6080-47EDF56B99D9}"/>
            </a:ext>
          </a:extLst>
        </xdr:cNvPr>
        <xdr:cNvSpPr/>
      </xdr:nvSpPr>
      <xdr:spPr>
        <a:xfrm>
          <a:off x="1597660" y="9175750"/>
          <a:ext cx="3949700" cy="12674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49</xdr:row>
      <xdr:rowOff>113030</xdr:rowOff>
    </xdr:from>
    <xdr:to>
      <xdr:col>2</xdr:col>
      <xdr:colOff>311471</xdr:colOff>
      <xdr:row>50</xdr:row>
      <xdr:rowOff>57150</xdr:rowOff>
    </xdr:to>
    <xdr:sp macro="" textlink="">
      <xdr:nvSpPr>
        <xdr:cNvPr id="2010" name="OpenSolver48">
          <a:extLst>
            <a:ext uri="{FF2B5EF4-FFF2-40B4-BE49-F238E27FC236}">
              <a16:creationId xmlns:a16="http://schemas.microsoft.com/office/drawing/2014/main" id="{88D3AD67-AAD8-BCD1-1738-602C8AFF1B8A}"/>
            </a:ext>
          </a:extLst>
        </xdr:cNvPr>
        <xdr:cNvSpPr/>
      </xdr:nvSpPr>
      <xdr:spPr>
        <a:xfrm>
          <a:off x="1587500" y="90932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36</xdr:row>
      <xdr:rowOff>12700</xdr:rowOff>
    </xdr:from>
    <xdr:to>
      <xdr:col>8</xdr:col>
      <xdr:colOff>0</xdr:colOff>
      <xdr:row>43</xdr:row>
      <xdr:rowOff>0</xdr:rowOff>
    </xdr:to>
    <xdr:sp macro="" textlink="">
      <xdr:nvSpPr>
        <xdr:cNvPr id="2011" name="OpenSolver49">
          <a:extLst>
            <a:ext uri="{FF2B5EF4-FFF2-40B4-BE49-F238E27FC236}">
              <a16:creationId xmlns:a16="http://schemas.microsoft.com/office/drawing/2014/main" id="{3D6A0C92-EA14-D509-287A-B43C4CFBCBEC}"/>
            </a:ext>
          </a:extLst>
        </xdr:cNvPr>
        <xdr:cNvSpPr/>
      </xdr:nvSpPr>
      <xdr:spPr>
        <a:xfrm>
          <a:off x="1597660" y="6615430"/>
          <a:ext cx="4742180" cy="12674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2540</xdr:colOff>
      <xdr:row>35</xdr:row>
      <xdr:rowOff>120650</xdr:rowOff>
    </xdr:from>
    <xdr:to>
      <xdr:col>2</xdr:col>
      <xdr:colOff>311471</xdr:colOff>
      <xdr:row>36</xdr:row>
      <xdr:rowOff>64770</xdr:rowOff>
    </xdr:to>
    <xdr:sp macro="" textlink="">
      <xdr:nvSpPr>
        <xdr:cNvPr id="2012" name="OpenSolver50">
          <a:extLst>
            <a:ext uri="{FF2B5EF4-FFF2-40B4-BE49-F238E27FC236}">
              <a16:creationId xmlns:a16="http://schemas.microsoft.com/office/drawing/2014/main" id="{A007B1AA-A406-44DA-9DCB-C19881FA55F8}"/>
            </a:ext>
          </a:extLst>
        </xdr:cNvPr>
        <xdr:cNvSpPr/>
      </xdr:nvSpPr>
      <xdr:spPr>
        <a:xfrm>
          <a:off x="1587500" y="65405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F02299E0-0AA6-BD60-38E6-AEDC17A9893A}"/>
            </a:ext>
          </a:extLst>
        </xdr:cNvPr>
        <xdr:cNvSpPr/>
      </xdr:nvSpPr>
      <xdr:spPr>
        <a:xfrm>
          <a:off x="990600" y="544830"/>
          <a:ext cx="11490960" cy="558165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15</xdr:col>
      <xdr:colOff>0</xdr:colOff>
      <xdr:row>79</xdr:row>
      <xdr:rowOff>201929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B516871A-0A78-E127-F84B-B573A6A79DAC}"/>
            </a:ext>
          </a:extLst>
        </xdr:cNvPr>
        <xdr:cNvSpPr/>
      </xdr:nvSpPr>
      <xdr:spPr>
        <a:xfrm>
          <a:off x="990600" y="12340590"/>
          <a:ext cx="11490960" cy="4762499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83</xdr:row>
      <xdr:rowOff>0</xdr:rowOff>
    </xdr:from>
    <xdr:to>
      <xdr:col>15</xdr:col>
      <xdr:colOff>0</xdr:colOff>
      <xdr:row>107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E9B37662-C111-C7FA-9E8C-66729742A9E3}"/>
            </a:ext>
          </a:extLst>
        </xdr:cNvPr>
        <xdr:cNvSpPr/>
      </xdr:nvSpPr>
      <xdr:spPr>
        <a:xfrm>
          <a:off x="990600" y="17670780"/>
          <a:ext cx="11490960" cy="475869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110</xdr:row>
      <xdr:rowOff>0</xdr:rowOff>
    </xdr:from>
    <xdr:to>
      <xdr:col>15</xdr:col>
      <xdr:colOff>0</xdr:colOff>
      <xdr:row>133</xdr:row>
      <xdr:rowOff>186689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E490355D-B3F4-62E9-2F5B-E72FF7E78472}"/>
            </a:ext>
          </a:extLst>
        </xdr:cNvPr>
        <xdr:cNvSpPr/>
      </xdr:nvSpPr>
      <xdr:spPr>
        <a:xfrm>
          <a:off x="990600" y="22981920"/>
          <a:ext cx="11490960" cy="4480559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137</xdr:row>
      <xdr:rowOff>0</xdr:rowOff>
    </xdr:from>
    <xdr:to>
      <xdr:col>15</xdr:col>
      <xdr:colOff>0</xdr:colOff>
      <xdr:row>161</xdr:row>
      <xdr:rowOff>1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13D8CCBD-4C79-F960-AC4E-7582B441F27F}"/>
            </a:ext>
          </a:extLst>
        </xdr:cNvPr>
        <xdr:cNvSpPr/>
      </xdr:nvSpPr>
      <xdr:spPr>
        <a:xfrm>
          <a:off x="990600" y="28022550"/>
          <a:ext cx="11490960" cy="4480561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163</xdr:row>
      <xdr:rowOff>186689</xdr:rowOff>
    </xdr:from>
    <xdr:to>
      <xdr:col>15</xdr:col>
      <xdr:colOff>0</xdr:colOff>
      <xdr:row>187</xdr:row>
      <xdr:rowOff>186689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7174E4B4-CC18-0942-7505-0643C27FD57E}"/>
            </a:ext>
          </a:extLst>
        </xdr:cNvPr>
        <xdr:cNvSpPr/>
      </xdr:nvSpPr>
      <xdr:spPr>
        <a:xfrm>
          <a:off x="990600" y="33063179"/>
          <a:ext cx="11490960" cy="44805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191</xdr:row>
      <xdr:rowOff>1</xdr:rowOff>
    </xdr:from>
    <xdr:to>
      <xdr:col>15</xdr:col>
      <xdr:colOff>0</xdr:colOff>
      <xdr:row>215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BC0287F7-AE56-B07E-96A4-3515B5709A0E}"/>
            </a:ext>
          </a:extLst>
        </xdr:cNvPr>
        <xdr:cNvSpPr/>
      </xdr:nvSpPr>
      <xdr:spPr>
        <a:xfrm>
          <a:off x="990600" y="38103811"/>
          <a:ext cx="11490960" cy="448056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217</xdr:row>
      <xdr:rowOff>186689</xdr:rowOff>
    </xdr:from>
    <xdr:to>
      <xdr:col>15</xdr:col>
      <xdr:colOff>0</xdr:colOff>
      <xdr:row>242</xdr:row>
      <xdr:rowOff>0</xdr:rowOff>
    </xdr:to>
    <xdr:sp macro="" textlink="">
      <xdr:nvSpPr>
        <xdr:cNvPr id="10" name="OpenSolver9">
          <a:extLst>
            <a:ext uri="{FF2B5EF4-FFF2-40B4-BE49-F238E27FC236}">
              <a16:creationId xmlns:a16="http://schemas.microsoft.com/office/drawing/2014/main" id="{03380AD9-7949-EDF3-215A-B92C24E9113D}"/>
            </a:ext>
          </a:extLst>
        </xdr:cNvPr>
        <xdr:cNvSpPr/>
      </xdr:nvSpPr>
      <xdr:spPr>
        <a:xfrm>
          <a:off x="990600" y="43144439"/>
          <a:ext cx="11490960" cy="4480561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245</xdr:row>
      <xdr:rowOff>1</xdr:rowOff>
    </xdr:from>
    <xdr:to>
      <xdr:col>15</xdr:col>
      <xdr:colOff>0</xdr:colOff>
      <xdr:row>268</xdr:row>
      <xdr:rowOff>186689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1E748E3F-36CF-1BBF-B78D-F10A48871274}"/>
            </a:ext>
          </a:extLst>
        </xdr:cNvPr>
        <xdr:cNvSpPr/>
      </xdr:nvSpPr>
      <xdr:spPr>
        <a:xfrm>
          <a:off x="990600" y="48185071"/>
          <a:ext cx="11490960" cy="4480558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272</xdr:row>
      <xdr:rowOff>0</xdr:rowOff>
    </xdr:from>
    <xdr:to>
      <xdr:col>15</xdr:col>
      <xdr:colOff>0</xdr:colOff>
      <xdr:row>295</xdr:row>
      <xdr:rowOff>186688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6B1CA90C-0ABA-A90A-BF0B-3A8CF9DB5C9C}"/>
            </a:ext>
          </a:extLst>
        </xdr:cNvPr>
        <xdr:cNvSpPr/>
      </xdr:nvSpPr>
      <xdr:spPr>
        <a:xfrm>
          <a:off x="990600" y="53225700"/>
          <a:ext cx="11490960" cy="4480558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298</xdr:row>
      <xdr:rowOff>186689</xdr:rowOff>
    </xdr:from>
    <xdr:to>
      <xdr:col>15</xdr:col>
      <xdr:colOff>0</xdr:colOff>
      <xdr:row>322</xdr:row>
      <xdr:rowOff>186686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B87DD911-5C64-32D9-0DA8-0029B174BF68}"/>
            </a:ext>
          </a:extLst>
        </xdr:cNvPr>
        <xdr:cNvSpPr/>
      </xdr:nvSpPr>
      <xdr:spPr>
        <a:xfrm>
          <a:off x="990600" y="58266329"/>
          <a:ext cx="11490960" cy="4480557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</xdr:col>
      <xdr:colOff>868680</xdr:colOff>
      <xdr:row>326</xdr:row>
      <xdr:rowOff>104140</xdr:rowOff>
    </xdr:from>
    <xdr:to>
      <xdr:col>4</xdr:col>
      <xdr:colOff>206872</xdr:colOff>
      <xdr:row>327</xdr:row>
      <xdr:rowOff>48260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B65E345C-2D70-1C4B-192F-FDDDE2E654F7}"/>
            </a:ext>
          </a:extLst>
        </xdr:cNvPr>
        <xdr:cNvSpPr/>
      </xdr:nvSpPr>
      <xdr:spPr>
        <a:xfrm>
          <a:off x="2743200" y="63411100"/>
          <a:ext cx="222112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2</xdr:col>
      <xdr:colOff>0</xdr:colOff>
      <xdr:row>330</xdr:row>
      <xdr:rowOff>198118</xdr:rowOff>
    </xdr:from>
    <xdr:to>
      <xdr:col>15</xdr:col>
      <xdr:colOff>0</xdr:colOff>
      <xdr:row>354</xdr:row>
      <xdr:rowOff>198116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80DDB112-68EF-35CE-560C-8A6A74AAA25F}"/>
            </a:ext>
          </a:extLst>
        </xdr:cNvPr>
        <xdr:cNvSpPr/>
      </xdr:nvSpPr>
      <xdr:spPr>
        <a:xfrm>
          <a:off x="990600" y="64507108"/>
          <a:ext cx="11490960" cy="4754878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0</xdr:colOff>
      <xdr:row>330</xdr:row>
      <xdr:rowOff>198118</xdr:rowOff>
    </xdr:from>
    <xdr:to>
      <xdr:col>29</xdr:col>
      <xdr:colOff>792479</xdr:colOff>
      <xdr:row>354</xdr:row>
      <xdr:rowOff>198116</xdr:rowOff>
    </xdr:to>
    <xdr:sp macro="" textlink="">
      <xdr:nvSpPr>
        <xdr:cNvPr id="18" name="OpenSolver17">
          <a:extLst>
            <a:ext uri="{FF2B5EF4-FFF2-40B4-BE49-F238E27FC236}">
              <a16:creationId xmlns:a16="http://schemas.microsoft.com/office/drawing/2014/main" id="{369A9390-2DE3-4797-6868-3AC2AC307571}"/>
            </a:ext>
          </a:extLst>
        </xdr:cNvPr>
        <xdr:cNvSpPr/>
      </xdr:nvSpPr>
      <xdr:spPr>
        <a:xfrm>
          <a:off x="14961870" y="64507108"/>
          <a:ext cx="10504169" cy="4754878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00FF"/>
              </a:solidFill>
            </a:rPr>
            <a:t>=</a:t>
          </a:r>
        </a:p>
      </xdr:txBody>
    </xdr:sp>
    <xdr:clientData/>
  </xdr:twoCellAnchor>
  <xdr:twoCellAnchor>
    <xdr:from>
      <xdr:col>15</xdr:col>
      <xdr:colOff>0</xdr:colOff>
      <xdr:row>342</xdr:row>
      <xdr:rowOff>198117</xdr:rowOff>
    </xdr:from>
    <xdr:to>
      <xdr:col>17</xdr:col>
      <xdr:colOff>0</xdr:colOff>
      <xdr:row>342</xdr:row>
      <xdr:rowOff>198117</xdr:rowOff>
    </xdr:to>
    <xdr:cxnSp macro="">
      <xdr:nvCxnSpPr>
        <xdr:cNvPr id="19" name="OpenSolver18">
          <a:extLst>
            <a:ext uri="{FF2B5EF4-FFF2-40B4-BE49-F238E27FC236}">
              <a16:creationId xmlns:a16="http://schemas.microsoft.com/office/drawing/2014/main" id="{012AE943-7A22-C8C6-AFBD-1715EBB6D5E7}"/>
            </a:ext>
          </a:extLst>
        </xdr:cNvPr>
        <xdr:cNvCxnSpPr>
          <a:stCxn id="17" idx="3"/>
          <a:endCxn id="18" idx="1"/>
        </xdr:cNvCxnSpPr>
      </xdr:nvCxnSpPr>
      <xdr:spPr>
        <a:xfrm>
          <a:off x="12481560" y="66884547"/>
          <a:ext cx="248031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257174</xdr:colOff>
      <xdr:row>342</xdr:row>
      <xdr:rowOff>71120</xdr:rowOff>
    </xdr:from>
    <xdr:to>
      <xdr:col>16</xdr:col>
      <xdr:colOff>638174</xdr:colOff>
      <xdr:row>343</xdr:row>
      <xdr:rowOff>127000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8F280505-38C3-F3C6-9BF2-3F962D0DEA26}"/>
            </a:ext>
          </a:extLst>
        </xdr:cNvPr>
        <xdr:cNvSpPr/>
      </xdr:nvSpPr>
      <xdr:spPr>
        <a:xfrm>
          <a:off x="13531214" y="667575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0</xdr:colOff>
      <xdr:row>362</xdr:row>
      <xdr:rowOff>0</xdr:rowOff>
    </xdr:from>
    <xdr:to>
      <xdr:col>15</xdr:col>
      <xdr:colOff>0</xdr:colOff>
      <xdr:row>372</xdr:row>
      <xdr:rowOff>182879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CEF5543F-1C11-8812-7E04-CBD2966AE31F}"/>
            </a:ext>
          </a:extLst>
        </xdr:cNvPr>
        <xdr:cNvSpPr/>
      </xdr:nvSpPr>
      <xdr:spPr>
        <a:xfrm>
          <a:off x="990600" y="70675500"/>
          <a:ext cx="11490960" cy="2011679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17</xdr:col>
      <xdr:colOff>0</xdr:colOff>
      <xdr:row>362</xdr:row>
      <xdr:rowOff>0</xdr:rowOff>
    </xdr:from>
    <xdr:to>
      <xdr:col>29</xdr:col>
      <xdr:colOff>792479</xdr:colOff>
      <xdr:row>372</xdr:row>
      <xdr:rowOff>182879</xdr:rowOff>
    </xdr:to>
    <xdr:sp macro="" textlink="">
      <xdr:nvSpPr>
        <xdr:cNvPr id="22" name="OpenSolver21">
          <a:extLst>
            <a:ext uri="{FF2B5EF4-FFF2-40B4-BE49-F238E27FC236}">
              <a16:creationId xmlns:a16="http://schemas.microsoft.com/office/drawing/2014/main" id="{EF8974DC-3AE5-D444-6BE5-1F6F3AF09F7D}"/>
            </a:ext>
          </a:extLst>
        </xdr:cNvPr>
        <xdr:cNvSpPr/>
      </xdr:nvSpPr>
      <xdr:spPr>
        <a:xfrm>
          <a:off x="14961870" y="70675500"/>
          <a:ext cx="10504169" cy="2011679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8000"/>
              </a:solidFill>
            </a:rPr>
            <a:t>=</a:t>
          </a:r>
        </a:p>
      </xdr:txBody>
    </xdr:sp>
    <xdr:clientData/>
  </xdr:twoCellAnchor>
  <xdr:twoCellAnchor>
    <xdr:from>
      <xdr:col>15</xdr:col>
      <xdr:colOff>0</xdr:colOff>
      <xdr:row>367</xdr:row>
      <xdr:rowOff>91440</xdr:rowOff>
    </xdr:from>
    <xdr:to>
      <xdr:col>17</xdr:col>
      <xdr:colOff>0</xdr:colOff>
      <xdr:row>367</xdr:row>
      <xdr:rowOff>91440</xdr:rowOff>
    </xdr:to>
    <xdr:cxnSp macro="">
      <xdr:nvCxnSpPr>
        <xdr:cNvPr id="23" name="OpenSolver22">
          <a:extLst>
            <a:ext uri="{FF2B5EF4-FFF2-40B4-BE49-F238E27FC236}">
              <a16:creationId xmlns:a16="http://schemas.microsoft.com/office/drawing/2014/main" id="{195C6F40-6E33-5136-8C59-783B28119B8B}"/>
            </a:ext>
          </a:extLst>
        </xdr:cNvPr>
        <xdr:cNvCxnSpPr>
          <a:stCxn id="21" idx="3"/>
          <a:endCxn id="22" idx="1"/>
        </xdr:cNvCxnSpPr>
      </xdr:nvCxnSpPr>
      <xdr:spPr>
        <a:xfrm>
          <a:off x="12481560" y="71681340"/>
          <a:ext cx="248031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257174</xdr:colOff>
      <xdr:row>366</xdr:row>
      <xdr:rowOff>147322</xdr:rowOff>
    </xdr:from>
    <xdr:to>
      <xdr:col>16</xdr:col>
      <xdr:colOff>638174</xdr:colOff>
      <xdr:row>368</xdr:row>
      <xdr:rowOff>35562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CB6333DB-FBEB-4BDF-1823-1913BACFB7CD}"/>
            </a:ext>
          </a:extLst>
        </xdr:cNvPr>
        <xdr:cNvSpPr/>
      </xdr:nvSpPr>
      <xdr:spPr>
        <a:xfrm>
          <a:off x="13531214" y="715543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0</xdr:colOff>
      <xdr:row>378</xdr:row>
      <xdr:rowOff>198118</xdr:rowOff>
    </xdr:from>
    <xdr:to>
      <xdr:col>14</xdr:col>
      <xdr:colOff>883919</xdr:colOff>
      <xdr:row>402</xdr:row>
      <xdr:rowOff>198116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83B82FA7-967D-EBAF-DE8B-F5C950DA36A0}"/>
            </a:ext>
          </a:extLst>
        </xdr:cNvPr>
        <xdr:cNvSpPr/>
      </xdr:nvSpPr>
      <xdr:spPr>
        <a:xfrm>
          <a:off x="1874520" y="73917808"/>
          <a:ext cx="10607039" cy="4754878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17</xdr:col>
      <xdr:colOff>0</xdr:colOff>
      <xdr:row>378</xdr:row>
      <xdr:rowOff>198118</xdr:rowOff>
    </xdr:from>
    <xdr:to>
      <xdr:col>28</xdr:col>
      <xdr:colOff>792479</xdr:colOff>
      <xdr:row>402</xdr:row>
      <xdr:rowOff>198116</xdr:rowOff>
    </xdr:to>
    <xdr:sp macro="" textlink="">
      <xdr:nvSpPr>
        <xdr:cNvPr id="26" name="OpenSolver25">
          <a:extLst>
            <a:ext uri="{FF2B5EF4-FFF2-40B4-BE49-F238E27FC236}">
              <a16:creationId xmlns:a16="http://schemas.microsoft.com/office/drawing/2014/main" id="{73262F88-DE9B-4D92-E82E-8DB29B25B3A2}"/>
            </a:ext>
          </a:extLst>
        </xdr:cNvPr>
        <xdr:cNvSpPr/>
      </xdr:nvSpPr>
      <xdr:spPr>
        <a:xfrm>
          <a:off x="14961870" y="73917808"/>
          <a:ext cx="9711689" cy="4754878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14</xdr:col>
      <xdr:colOff>883919</xdr:colOff>
      <xdr:row>390</xdr:row>
      <xdr:rowOff>198117</xdr:rowOff>
    </xdr:from>
    <xdr:to>
      <xdr:col>17</xdr:col>
      <xdr:colOff>0</xdr:colOff>
      <xdr:row>390</xdr:row>
      <xdr:rowOff>198117</xdr:rowOff>
    </xdr:to>
    <xdr:cxnSp macro="">
      <xdr:nvCxnSpPr>
        <xdr:cNvPr id="27" name="OpenSolver26">
          <a:extLst>
            <a:ext uri="{FF2B5EF4-FFF2-40B4-BE49-F238E27FC236}">
              <a16:creationId xmlns:a16="http://schemas.microsoft.com/office/drawing/2014/main" id="{DB2E0F5E-B76B-F602-C045-05D396598BFC}"/>
            </a:ext>
          </a:extLst>
        </xdr:cNvPr>
        <xdr:cNvCxnSpPr>
          <a:stCxn id="25" idx="3"/>
          <a:endCxn id="26" idx="1"/>
        </xdr:cNvCxnSpPr>
      </xdr:nvCxnSpPr>
      <xdr:spPr>
        <a:xfrm>
          <a:off x="12481559" y="76295247"/>
          <a:ext cx="2480311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257174</xdr:colOff>
      <xdr:row>390</xdr:row>
      <xdr:rowOff>71120</xdr:rowOff>
    </xdr:from>
    <xdr:to>
      <xdr:col>16</xdr:col>
      <xdr:colOff>638174</xdr:colOff>
      <xdr:row>391</xdr:row>
      <xdr:rowOff>127000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EA706295-B226-3FEB-8F5B-656A557252F0}"/>
            </a:ext>
          </a:extLst>
        </xdr:cNvPr>
        <xdr:cNvSpPr/>
      </xdr:nvSpPr>
      <xdr:spPr>
        <a:xfrm>
          <a:off x="13531214" y="761682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792479</xdr:colOff>
      <xdr:row>407</xdr:row>
      <xdr:rowOff>232409</xdr:rowOff>
    </xdr:from>
    <xdr:to>
      <xdr:col>17</xdr:col>
      <xdr:colOff>0</xdr:colOff>
      <xdr:row>431</xdr:row>
      <xdr:rowOff>198118</xdr:rowOff>
    </xdr:to>
    <xdr:sp macro="" textlink="">
      <xdr:nvSpPr>
        <xdr:cNvPr id="30" name="OpenSolver29">
          <a:extLst>
            <a:ext uri="{FF2B5EF4-FFF2-40B4-BE49-F238E27FC236}">
              <a16:creationId xmlns:a16="http://schemas.microsoft.com/office/drawing/2014/main" id="{C5455899-47FC-9D98-C5E6-010847D0227B}"/>
            </a:ext>
          </a:extLst>
        </xdr:cNvPr>
        <xdr:cNvSpPr/>
      </xdr:nvSpPr>
      <xdr:spPr>
        <a:xfrm>
          <a:off x="13274039" y="79754729"/>
          <a:ext cx="1687831" cy="4754879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15</xdr:col>
      <xdr:colOff>249382</xdr:colOff>
      <xdr:row>419</xdr:row>
      <xdr:rowOff>197946</xdr:rowOff>
    </xdr:from>
    <xdr:to>
      <xdr:col>16</xdr:col>
      <xdr:colOff>2770</xdr:colOff>
      <xdr:row>426</xdr:row>
      <xdr:rowOff>24763</xdr:rowOff>
    </xdr:to>
    <xdr:cxnSp macro="">
      <xdr:nvCxnSpPr>
        <xdr:cNvPr id="31" name="OpenSolver30">
          <a:extLst>
            <a:ext uri="{FF2B5EF4-FFF2-40B4-BE49-F238E27FC236}">
              <a16:creationId xmlns:a16="http://schemas.microsoft.com/office/drawing/2014/main" id="{28D1D1FD-04BF-49DC-9E46-00EF1F9F160E}"/>
            </a:ext>
          </a:extLst>
        </xdr:cNvPr>
        <xdr:cNvCxnSpPr>
          <a:cxnSpLocks/>
          <a:endCxn id="30" idx="1"/>
        </xdr:cNvCxnSpPr>
      </xdr:nvCxnSpPr>
      <xdr:spPr>
        <a:xfrm flipV="1">
          <a:off x="12766964" y="82680982"/>
          <a:ext cx="543097" cy="1233054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205739</xdr:colOff>
      <xdr:row>419</xdr:row>
      <xdr:rowOff>71115</xdr:rowOff>
    </xdr:from>
    <xdr:to>
      <xdr:col>15</xdr:col>
      <xdr:colOff>586740</xdr:colOff>
      <xdr:row>420</xdr:row>
      <xdr:rowOff>126995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32AAD480-B49A-4616-57B8-6FAD881B2B78}"/>
            </a:ext>
          </a:extLst>
        </xdr:cNvPr>
        <xdr:cNvSpPr/>
      </xdr:nvSpPr>
      <xdr:spPr>
        <a:xfrm>
          <a:off x="12687299" y="82005165"/>
          <a:ext cx="381001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14</xdr:col>
      <xdr:colOff>0</xdr:colOff>
      <xdr:row>436</xdr:row>
      <xdr:rowOff>2</xdr:rowOff>
    </xdr:from>
    <xdr:to>
      <xdr:col>15</xdr:col>
      <xdr:colOff>0</xdr:colOff>
      <xdr:row>460</xdr:row>
      <xdr:rowOff>1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1073F527-E495-C2CF-7653-237740E67CFC}"/>
            </a:ext>
          </a:extLst>
        </xdr:cNvPr>
        <xdr:cNvSpPr/>
      </xdr:nvSpPr>
      <xdr:spPr>
        <a:xfrm>
          <a:off x="11597640" y="85359242"/>
          <a:ext cx="883920" cy="47548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15</xdr:col>
      <xdr:colOff>792479</xdr:colOff>
      <xdr:row>436</xdr:row>
      <xdr:rowOff>2</xdr:rowOff>
    </xdr:from>
    <xdr:to>
      <xdr:col>17</xdr:col>
      <xdr:colOff>0</xdr:colOff>
      <xdr:row>460</xdr:row>
      <xdr:rowOff>1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CFC337B2-F666-6784-7102-2ACBDCDB8E23}"/>
            </a:ext>
          </a:extLst>
        </xdr:cNvPr>
        <xdr:cNvSpPr/>
      </xdr:nvSpPr>
      <xdr:spPr>
        <a:xfrm>
          <a:off x="13274039" y="85359242"/>
          <a:ext cx="1687831" cy="47548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ES" sz="1100" b="1">
              <a:solidFill>
                <a:srgbClr val="00CC33"/>
              </a:solidFill>
            </a:rPr>
            <a:t>≤</a:t>
          </a:r>
        </a:p>
      </xdr:txBody>
    </xdr:sp>
    <xdr:clientData/>
  </xdr:twoCellAnchor>
  <xdr:twoCellAnchor>
    <xdr:from>
      <xdr:col>15</xdr:col>
      <xdr:colOff>0</xdr:colOff>
      <xdr:row>448</xdr:row>
      <xdr:rowOff>2</xdr:rowOff>
    </xdr:from>
    <xdr:to>
      <xdr:col>15</xdr:col>
      <xdr:colOff>792479</xdr:colOff>
      <xdr:row>448</xdr:row>
      <xdr:rowOff>2</xdr:rowOff>
    </xdr:to>
    <xdr:cxnSp macro="">
      <xdr:nvCxnSpPr>
        <xdr:cNvPr id="35" name="OpenSolver34">
          <a:extLst>
            <a:ext uri="{FF2B5EF4-FFF2-40B4-BE49-F238E27FC236}">
              <a16:creationId xmlns:a16="http://schemas.microsoft.com/office/drawing/2014/main" id="{F5C306E0-F707-98E4-4E34-06A2454F5790}"/>
            </a:ext>
          </a:extLst>
        </xdr:cNvPr>
        <xdr:cNvCxnSpPr>
          <a:stCxn id="33" idx="3"/>
          <a:endCxn id="34" idx="1"/>
        </xdr:cNvCxnSpPr>
      </xdr:nvCxnSpPr>
      <xdr:spPr>
        <a:xfrm>
          <a:off x="12481560" y="87736682"/>
          <a:ext cx="792479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205739</xdr:colOff>
      <xdr:row>447</xdr:row>
      <xdr:rowOff>71119</xdr:rowOff>
    </xdr:from>
    <xdr:to>
      <xdr:col>15</xdr:col>
      <xdr:colOff>586740</xdr:colOff>
      <xdr:row>448</xdr:row>
      <xdr:rowOff>126999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CE75F3F8-CD5C-4A4C-91B8-0B183FCFBE6B}"/>
            </a:ext>
          </a:extLst>
        </xdr:cNvPr>
        <xdr:cNvSpPr/>
      </xdr:nvSpPr>
      <xdr:spPr>
        <a:xfrm>
          <a:off x="12687299" y="87609679"/>
          <a:ext cx="381001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12700</xdr:colOff>
      <xdr:row>2</xdr:row>
      <xdr:rowOff>12700</xdr:rowOff>
    </xdr:from>
    <xdr:to>
      <xdr:col>15</xdr:col>
      <xdr:colOff>0</xdr:colOff>
      <xdr:row>26</xdr:row>
      <xdr:rowOff>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6E339F54-3B9F-B317-BE2E-6FCE185E5599}"/>
            </a:ext>
          </a:extLst>
        </xdr:cNvPr>
        <xdr:cNvSpPr/>
      </xdr:nvSpPr>
      <xdr:spPr>
        <a:xfrm>
          <a:off x="1003300" y="557530"/>
          <a:ext cx="11478260" cy="556895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</xdr:row>
      <xdr:rowOff>212090</xdr:rowOff>
    </xdr:from>
    <xdr:to>
      <xdr:col>2</xdr:col>
      <xdr:colOff>308931</xdr:colOff>
      <xdr:row>2</xdr:row>
      <xdr:rowOff>64770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AC4EE73B-5467-4EE8-44BF-C03C18610676}"/>
            </a:ext>
          </a:extLst>
        </xdr:cNvPr>
        <xdr:cNvSpPr/>
      </xdr:nvSpPr>
      <xdr:spPr>
        <a:xfrm>
          <a:off x="990600" y="4826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29</xdr:row>
      <xdr:rowOff>12700</xdr:rowOff>
    </xdr:from>
    <xdr:to>
      <xdr:col>15</xdr:col>
      <xdr:colOff>0</xdr:colOff>
      <xdr:row>53</xdr:row>
      <xdr:rowOff>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385715BB-0A05-0902-DF8D-CA098A2CD86D}"/>
            </a:ext>
          </a:extLst>
        </xdr:cNvPr>
        <xdr:cNvSpPr/>
      </xdr:nvSpPr>
      <xdr:spPr>
        <a:xfrm>
          <a:off x="1003300" y="6866890"/>
          <a:ext cx="11478260" cy="474599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28</xdr:row>
      <xdr:rowOff>214630</xdr:rowOff>
    </xdr:from>
    <xdr:to>
      <xdr:col>2</xdr:col>
      <xdr:colOff>308931</xdr:colOff>
      <xdr:row>29</xdr:row>
      <xdr:rowOff>67310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E4711EC0-3C0B-C33F-2967-667A9DEBE41E}"/>
            </a:ext>
          </a:extLst>
        </xdr:cNvPr>
        <xdr:cNvSpPr/>
      </xdr:nvSpPr>
      <xdr:spPr>
        <a:xfrm>
          <a:off x="990600" y="67945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56</xdr:row>
      <xdr:rowOff>12700</xdr:rowOff>
    </xdr:from>
    <xdr:to>
      <xdr:col>15</xdr:col>
      <xdr:colOff>0</xdr:colOff>
      <xdr:row>79</xdr:row>
      <xdr:rowOff>201929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73932B5A-E4A2-6F7C-5F7D-D4D419E4107C}"/>
            </a:ext>
          </a:extLst>
        </xdr:cNvPr>
        <xdr:cNvSpPr/>
      </xdr:nvSpPr>
      <xdr:spPr>
        <a:xfrm>
          <a:off x="1003300" y="12353290"/>
          <a:ext cx="11478260" cy="47497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55</xdr:row>
      <xdr:rowOff>214630</xdr:rowOff>
    </xdr:from>
    <xdr:to>
      <xdr:col>2</xdr:col>
      <xdr:colOff>308931</xdr:colOff>
      <xdr:row>56</xdr:row>
      <xdr:rowOff>67310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F07178CD-5926-ED89-8070-01FF17D2E078}"/>
            </a:ext>
          </a:extLst>
        </xdr:cNvPr>
        <xdr:cNvSpPr/>
      </xdr:nvSpPr>
      <xdr:spPr>
        <a:xfrm>
          <a:off x="990600" y="122809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83</xdr:row>
      <xdr:rowOff>12700</xdr:rowOff>
    </xdr:from>
    <xdr:to>
      <xdr:col>15</xdr:col>
      <xdr:colOff>0</xdr:colOff>
      <xdr:row>107</xdr:row>
      <xdr:rowOff>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3D6FF7A4-5B74-08FB-7036-1D62AF702C21}"/>
            </a:ext>
          </a:extLst>
        </xdr:cNvPr>
        <xdr:cNvSpPr/>
      </xdr:nvSpPr>
      <xdr:spPr>
        <a:xfrm>
          <a:off x="1003300" y="17683480"/>
          <a:ext cx="11478260" cy="474599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82</xdr:row>
      <xdr:rowOff>133350</xdr:rowOff>
    </xdr:from>
    <xdr:to>
      <xdr:col>2</xdr:col>
      <xdr:colOff>308931</xdr:colOff>
      <xdr:row>83</xdr:row>
      <xdr:rowOff>58420</xdr:rowOff>
    </xdr:to>
    <xdr:sp macro="" textlink="">
      <xdr:nvSpPr>
        <xdr:cNvPr id="44" name="OpenSolver43">
          <a:extLst>
            <a:ext uri="{FF2B5EF4-FFF2-40B4-BE49-F238E27FC236}">
              <a16:creationId xmlns:a16="http://schemas.microsoft.com/office/drawing/2014/main" id="{E36FCF0F-7534-79E6-285A-FDCEFF11DB3E}"/>
            </a:ext>
          </a:extLst>
        </xdr:cNvPr>
        <xdr:cNvSpPr/>
      </xdr:nvSpPr>
      <xdr:spPr>
        <a:xfrm>
          <a:off x="990600" y="176022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110</xdr:row>
      <xdr:rowOff>12700</xdr:rowOff>
    </xdr:from>
    <xdr:to>
      <xdr:col>15</xdr:col>
      <xdr:colOff>0</xdr:colOff>
      <xdr:row>133</xdr:row>
      <xdr:rowOff>186689</xdr:rowOff>
    </xdr:to>
    <xdr:sp macro="" textlink="">
      <xdr:nvSpPr>
        <xdr:cNvPr id="45" name="OpenSolver44">
          <a:extLst>
            <a:ext uri="{FF2B5EF4-FFF2-40B4-BE49-F238E27FC236}">
              <a16:creationId xmlns:a16="http://schemas.microsoft.com/office/drawing/2014/main" id="{3D1F3EA9-91E1-F4A5-31C8-A5C3A8D7ACD7}"/>
            </a:ext>
          </a:extLst>
        </xdr:cNvPr>
        <xdr:cNvSpPr/>
      </xdr:nvSpPr>
      <xdr:spPr>
        <a:xfrm>
          <a:off x="1003300" y="22994620"/>
          <a:ext cx="11478260" cy="446785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109</xdr:row>
      <xdr:rowOff>128270</xdr:rowOff>
    </xdr:from>
    <xdr:to>
      <xdr:col>2</xdr:col>
      <xdr:colOff>308931</xdr:colOff>
      <xdr:row>110</xdr:row>
      <xdr:rowOff>68580</xdr:rowOff>
    </xdr:to>
    <xdr:sp macro="" textlink="">
      <xdr:nvSpPr>
        <xdr:cNvPr id="46" name="OpenSolver45">
          <a:extLst>
            <a:ext uri="{FF2B5EF4-FFF2-40B4-BE49-F238E27FC236}">
              <a16:creationId xmlns:a16="http://schemas.microsoft.com/office/drawing/2014/main" id="{41D2ED69-F03F-B311-A663-72BE83923451}"/>
            </a:ext>
          </a:extLst>
        </xdr:cNvPr>
        <xdr:cNvSpPr/>
      </xdr:nvSpPr>
      <xdr:spPr>
        <a:xfrm>
          <a:off x="990600" y="229235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137</xdr:row>
      <xdr:rowOff>12700</xdr:rowOff>
    </xdr:from>
    <xdr:to>
      <xdr:col>15</xdr:col>
      <xdr:colOff>0</xdr:colOff>
      <xdr:row>161</xdr:row>
      <xdr:rowOff>1</xdr:rowOff>
    </xdr:to>
    <xdr:sp macro="" textlink="">
      <xdr:nvSpPr>
        <xdr:cNvPr id="47" name="OpenSolver46">
          <a:extLst>
            <a:ext uri="{FF2B5EF4-FFF2-40B4-BE49-F238E27FC236}">
              <a16:creationId xmlns:a16="http://schemas.microsoft.com/office/drawing/2014/main" id="{CF7DFB81-2F00-AB39-6CF2-587EF5ED74F7}"/>
            </a:ext>
          </a:extLst>
        </xdr:cNvPr>
        <xdr:cNvSpPr/>
      </xdr:nvSpPr>
      <xdr:spPr>
        <a:xfrm>
          <a:off x="1003300" y="28035250"/>
          <a:ext cx="11478260" cy="4467861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136</xdr:row>
      <xdr:rowOff>129540</xdr:rowOff>
    </xdr:from>
    <xdr:to>
      <xdr:col>2</xdr:col>
      <xdr:colOff>308931</xdr:colOff>
      <xdr:row>137</xdr:row>
      <xdr:rowOff>69850</xdr:rowOff>
    </xdr:to>
    <xdr:sp macro="" textlink="">
      <xdr:nvSpPr>
        <xdr:cNvPr id="48" name="OpenSolver47">
          <a:extLst>
            <a:ext uri="{FF2B5EF4-FFF2-40B4-BE49-F238E27FC236}">
              <a16:creationId xmlns:a16="http://schemas.microsoft.com/office/drawing/2014/main" id="{75BC7048-9CAC-BF5E-77ED-DED4AA1947A3}"/>
            </a:ext>
          </a:extLst>
        </xdr:cNvPr>
        <xdr:cNvSpPr/>
      </xdr:nvSpPr>
      <xdr:spPr>
        <a:xfrm>
          <a:off x="990600" y="279654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164</xdr:row>
      <xdr:rowOff>12699</xdr:rowOff>
    </xdr:from>
    <xdr:to>
      <xdr:col>15</xdr:col>
      <xdr:colOff>0</xdr:colOff>
      <xdr:row>187</xdr:row>
      <xdr:rowOff>186689</xdr:rowOff>
    </xdr:to>
    <xdr:sp macro="" textlink="">
      <xdr:nvSpPr>
        <xdr:cNvPr id="49" name="OpenSolver48">
          <a:extLst>
            <a:ext uri="{FF2B5EF4-FFF2-40B4-BE49-F238E27FC236}">
              <a16:creationId xmlns:a16="http://schemas.microsoft.com/office/drawing/2014/main" id="{EF061148-FFC4-9B78-75AE-0AF42FB518A6}"/>
            </a:ext>
          </a:extLst>
        </xdr:cNvPr>
        <xdr:cNvSpPr/>
      </xdr:nvSpPr>
      <xdr:spPr>
        <a:xfrm>
          <a:off x="1003300" y="33075879"/>
          <a:ext cx="11478260" cy="44678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163</xdr:row>
      <xdr:rowOff>118110</xdr:rowOff>
    </xdr:from>
    <xdr:to>
      <xdr:col>2</xdr:col>
      <xdr:colOff>308931</xdr:colOff>
      <xdr:row>164</xdr:row>
      <xdr:rowOff>58420</xdr:rowOff>
    </xdr:to>
    <xdr:sp macro="" textlink="">
      <xdr:nvSpPr>
        <xdr:cNvPr id="50" name="OpenSolver49">
          <a:extLst>
            <a:ext uri="{FF2B5EF4-FFF2-40B4-BE49-F238E27FC236}">
              <a16:creationId xmlns:a16="http://schemas.microsoft.com/office/drawing/2014/main" id="{B1957B04-A2FE-CC64-6709-3F708DD131CD}"/>
            </a:ext>
          </a:extLst>
        </xdr:cNvPr>
        <xdr:cNvSpPr/>
      </xdr:nvSpPr>
      <xdr:spPr>
        <a:xfrm>
          <a:off x="990600" y="329946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191</xdr:row>
      <xdr:rowOff>12701</xdr:rowOff>
    </xdr:from>
    <xdr:to>
      <xdr:col>15</xdr:col>
      <xdr:colOff>0</xdr:colOff>
      <xdr:row>215</xdr:row>
      <xdr:rowOff>1</xdr:rowOff>
    </xdr:to>
    <xdr:sp macro="" textlink="">
      <xdr:nvSpPr>
        <xdr:cNvPr id="51" name="OpenSolver50">
          <a:extLst>
            <a:ext uri="{FF2B5EF4-FFF2-40B4-BE49-F238E27FC236}">
              <a16:creationId xmlns:a16="http://schemas.microsoft.com/office/drawing/2014/main" id="{93E78956-8D3D-61A3-342E-D81AA55D6AFD}"/>
            </a:ext>
          </a:extLst>
        </xdr:cNvPr>
        <xdr:cNvSpPr/>
      </xdr:nvSpPr>
      <xdr:spPr>
        <a:xfrm>
          <a:off x="1003300" y="38116511"/>
          <a:ext cx="11478260" cy="446786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190</xdr:row>
      <xdr:rowOff>119380</xdr:rowOff>
    </xdr:from>
    <xdr:to>
      <xdr:col>2</xdr:col>
      <xdr:colOff>308931</xdr:colOff>
      <xdr:row>191</xdr:row>
      <xdr:rowOff>59690</xdr:rowOff>
    </xdr:to>
    <xdr:sp macro="" textlink="">
      <xdr:nvSpPr>
        <xdr:cNvPr id="52" name="OpenSolver51">
          <a:extLst>
            <a:ext uri="{FF2B5EF4-FFF2-40B4-BE49-F238E27FC236}">
              <a16:creationId xmlns:a16="http://schemas.microsoft.com/office/drawing/2014/main" id="{636B1C76-113E-2851-4EA9-11FA71112F83}"/>
            </a:ext>
          </a:extLst>
        </xdr:cNvPr>
        <xdr:cNvSpPr/>
      </xdr:nvSpPr>
      <xdr:spPr>
        <a:xfrm>
          <a:off x="990600" y="380365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218</xdr:row>
      <xdr:rowOff>12699</xdr:rowOff>
    </xdr:from>
    <xdr:to>
      <xdr:col>15</xdr:col>
      <xdr:colOff>0</xdr:colOff>
      <xdr:row>242</xdr:row>
      <xdr:rowOff>0</xdr:rowOff>
    </xdr:to>
    <xdr:sp macro="" textlink="">
      <xdr:nvSpPr>
        <xdr:cNvPr id="53" name="OpenSolver52">
          <a:extLst>
            <a:ext uri="{FF2B5EF4-FFF2-40B4-BE49-F238E27FC236}">
              <a16:creationId xmlns:a16="http://schemas.microsoft.com/office/drawing/2014/main" id="{9273F289-1A48-6A12-6969-C3CB097C5884}"/>
            </a:ext>
          </a:extLst>
        </xdr:cNvPr>
        <xdr:cNvSpPr/>
      </xdr:nvSpPr>
      <xdr:spPr>
        <a:xfrm>
          <a:off x="1003300" y="43157139"/>
          <a:ext cx="11478260" cy="4467861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217</xdr:row>
      <xdr:rowOff>120650</xdr:rowOff>
    </xdr:from>
    <xdr:to>
      <xdr:col>2</xdr:col>
      <xdr:colOff>308931</xdr:colOff>
      <xdr:row>218</xdr:row>
      <xdr:rowOff>60960</xdr:rowOff>
    </xdr:to>
    <xdr:sp macro="" textlink="">
      <xdr:nvSpPr>
        <xdr:cNvPr id="54" name="OpenSolver53">
          <a:extLst>
            <a:ext uri="{FF2B5EF4-FFF2-40B4-BE49-F238E27FC236}">
              <a16:creationId xmlns:a16="http://schemas.microsoft.com/office/drawing/2014/main" id="{458F6157-4F47-B138-99B1-4869F8A642D6}"/>
            </a:ext>
          </a:extLst>
        </xdr:cNvPr>
        <xdr:cNvSpPr/>
      </xdr:nvSpPr>
      <xdr:spPr>
        <a:xfrm>
          <a:off x="990600" y="430784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245</xdr:row>
      <xdr:rowOff>12701</xdr:rowOff>
    </xdr:from>
    <xdr:to>
      <xdr:col>15</xdr:col>
      <xdr:colOff>0</xdr:colOff>
      <xdr:row>268</xdr:row>
      <xdr:rowOff>186689</xdr:rowOff>
    </xdr:to>
    <xdr:sp macro="" textlink="">
      <xdr:nvSpPr>
        <xdr:cNvPr id="55" name="OpenSolver54">
          <a:extLst>
            <a:ext uri="{FF2B5EF4-FFF2-40B4-BE49-F238E27FC236}">
              <a16:creationId xmlns:a16="http://schemas.microsoft.com/office/drawing/2014/main" id="{E3842836-37BB-A841-352C-7ACA74325785}"/>
            </a:ext>
          </a:extLst>
        </xdr:cNvPr>
        <xdr:cNvSpPr/>
      </xdr:nvSpPr>
      <xdr:spPr>
        <a:xfrm>
          <a:off x="1003300" y="48197771"/>
          <a:ext cx="11478260" cy="4467858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244</xdr:row>
      <xdr:rowOff>121920</xdr:rowOff>
    </xdr:from>
    <xdr:to>
      <xdr:col>2</xdr:col>
      <xdr:colOff>308931</xdr:colOff>
      <xdr:row>245</xdr:row>
      <xdr:rowOff>62230</xdr:rowOff>
    </xdr:to>
    <xdr:sp macro="" textlink="">
      <xdr:nvSpPr>
        <xdr:cNvPr id="56" name="OpenSolver55">
          <a:extLst>
            <a:ext uri="{FF2B5EF4-FFF2-40B4-BE49-F238E27FC236}">
              <a16:creationId xmlns:a16="http://schemas.microsoft.com/office/drawing/2014/main" id="{D03289F0-3F68-29F4-4D71-DE837FB6A3E5}"/>
            </a:ext>
          </a:extLst>
        </xdr:cNvPr>
        <xdr:cNvSpPr/>
      </xdr:nvSpPr>
      <xdr:spPr>
        <a:xfrm>
          <a:off x="990600" y="481203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272</xdr:row>
      <xdr:rowOff>12700</xdr:rowOff>
    </xdr:from>
    <xdr:to>
      <xdr:col>15</xdr:col>
      <xdr:colOff>0</xdr:colOff>
      <xdr:row>295</xdr:row>
      <xdr:rowOff>186688</xdr:rowOff>
    </xdr:to>
    <xdr:sp macro="" textlink="">
      <xdr:nvSpPr>
        <xdr:cNvPr id="57" name="OpenSolver56">
          <a:extLst>
            <a:ext uri="{FF2B5EF4-FFF2-40B4-BE49-F238E27FC236}">
              <a16:creationId xmlns:a16="http://schemas.microsoft.com/office/drawing/2014/main" id="{98820A3E-76CE-98D2-23D6-5BD2BA914CD6}"/>
            </a:ext>
          </a:extLst>
        </xdr:cNvPr>
        <xdr:cNvSpPr/>
      </xdr:nvSpPr>
      <xdr:spPr>
        <a:xfrm>
          <a:off x="1003300" y="53238400"/>
          <a:ext cx="11478260" cy="4467858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271</xdr:row>
      <xdr:rowOff>123190</xdr:rowOff>
    </xdr:from>
    <xdr:to>
      <xdr:col>2</xdr:col>
      <xdr:colOff>308931</xdr:colOff>
      <xdr:row>272</xdr:row>
      <xdr:rowOff>63500</xdr:rowOff>
    </xdr:to>
    <xdr:sp macro="" textlink="">
      <xdr:nvSpPr>
        <xdr:cNvPr id="58" name="OpenSolver57">
          <a:extLst>
            <a:ext uri="{FF2B5EF4-FFF2-40B4-BE49-F238E27FC236}">
              <a16:creationId xmlns:a16="http://schemas.microsoft.com/office/drawing/2014/main" id="{47576401-B64F-101C-6DF6-2C86705020E4}"/>
            </a:ext>
          </a:extLst>
        </xdr:cNvPr>
        <xdr:cNvSpPr/>
      </xdr:nvSpPr>
      <xdr:spPr>
        <a:xfrm>
          <a:off x="990600" y="531622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2</xdr:col>
      <xdr:colOff>12700</xdr:colOff>
      <xdr:row>299</xdr:row>
      <xdr:rowOff>12699</xdr:rowOff>
    </xdr:from>
    <xdr:to>
      <xdr:col>15</xdr:col>
      <xdr:colOff>0</xdr:colOff>
      <xdr:row>322</xdr:row>
      <xdr:rowOff>186686</xdr:rowOff>
    </xdr:to>
    <xdr:sp macro="" textlink="">
      <xdr:nvSpPr>
        <xdr:cNvPr id="59" name="OpenSolver58">
          <a:extLst>
            <a:ext uri="{FF2B5EF4-FFF2-40B4-BE49-F238E27FC236}">
              <a16:creationId xmlns:a16="http://schemas.microsoft.com/office/drawing/2014/main" id="{35C3BF29-8883-883D-8AA0-F87911A84C7C}"/>
            </a:ext>
          </a:extLst>
        </xdr:cNvPr>
        <xdr:cNvSpPr/>
      </xdr:nvSpPr>
      <xdr:spPr>
        <a:xfrm>
          <a:off x="1003300" y="58279029"/>
          <a:ext cx="11478260" cy="446785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E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298</xdr:row>
      <xdr:rowOff>124460</xdr:rowOff>
    </xdr:from>
    <xdr:to>
      <xdr:col>2</xdr:col>
      <xdr:colOff>308931</xdr:colOff>
      <xdr:row>299</xdr:row>
      <xdr:rowOff>64770</xdr:rowOff>
    </xdr:to>
    <xdr:sp macro="" textlink="">
      <xdr:nvSpPr>
        <xdr:cNvPr id="60" name="OpenSolver59">
          <a:extLst>
            <a:ext uri="{FF2B5EF4-FFF2-40B4-BE49-F238E27FC236}">
              <a16:creationId xmlns:a16="http://schemas.microsoft.com/office/drawing/2014/main" id="{E0F4E4B2-B4D6-0359-7FB5-577890E45A75}"/>
            </a:ext>
          </a:extLst>
        </xdr:cNvPr>
        <xdr:cNvSpPr/>
      </xdr:nvSpPr>
      <xdr:spPr>
        <a:xfrm>
          <a:off x="990600" y="582041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E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F097-0981-4A7D-87B5-099E3D20F584}">
  <sheetPr>
    <tabColor rgb="FF92D050"/>
  </sheetPr>
  <dimension ref="B32:CB1098"/>
  <sheetViews>
    <sheetView tabSelected="1" topLeftCell="C22" zoomScale="40" zoomScaleNormal="40" workbookViewId="0">
      <selection activeCell="V34" sqref="V34:V44"/>
    </sheetView>
  </sheetViews>
  <sheetFormatPr baseColWidth="10" defaultRowHeight="14.4" x14ac:dyDescent="0.55000000000000004"/>
  <cols>
    <col min="1" max="10" width="10.9453125" style="104"/>
    <col min="11" max="12" width="11.1015625" style="104" customWidth="1"/>
    <col min="13" max="19" width="10.9453125" style="104"/>
    <col min="20" max="20" width="10.9453125" style="102"/>
    <col min="21" max="21" width="3.7890625" style="104" customWidth="1"/>
    <col min="22" max="22" width="18.62890625" style="104" customWidth="1"/>
    <col min="23" max="39" width="7" style="104" customWidth="1"/>
    <col min="40" max="40" width="14.7890625" style="104" bestFit="1" customWidth="1"/>
    <col min="41" max="41" width="14.7890625" style="104" customWidth="1"/>
    <col min="60" max="16384" width="10.9453125" style="104"/>
  </cols>
  <sheetData>
    <row r="32" spans="63:63" x14ac:dyDescent="0.55000000000000004">
      <c r="BK32" s="104" t="str">
        <f>CONCATENATE("OBLIGATORIEDAD DE (",BK33,")")</f>
        <v>OBLIGATORIEDAD DE (Set up)</v>
      </c>
    </row>
    <row r="33" spans="18:80" x14ac:dyDescent="0.55000000000000004">
      <c r="V33" s="104" t="s">
        <v>152</v>
      </c>
      <c r="W33" s="106" t="s">
        <v>92</v>
      </c>
      <c r="X33" s="106" t="s">
        <v>93</v>
      </c>
      <c r="Y33" s="106" t="s">
        <v>94</v>
      </c>
      <c r="Z33" s="106" t="s">
        <v>95</v>
      </c>
      <c r="AA33" s="106" t="s">
        <v>96</v>
      </c>
      <c r="AB33" s="106" t="s">
        <v>97</v>
      </c>
      <c r="AC33" s="106" t="s">
        <v>98</v>
      </c>
      <c r="AD33" s="106" t="s">
        <v>99</v>
      </c>
      <c r="AE33" s="106" t="s">
        <v>100</v>
      </c>
      <c r="AF33" s="106" t="s">
        <v>101</v>
      </c>
      <c r="AG33" s="106" t="s">
        <v>102</v>
      </c>
      <c r="AH33" s="106" t="s">
        <v>103</v>
      </c>
      <c r="AI33" s="106" t="s">
        <v>104</v>
      </c>
      <c r="AJ33" s="106" t="s">
        <v>142</v>
      </c>
      <c r="AK33" s="106" t="s">
        <v>143</v>
      </c>
      <c r="AL33" s="106" t="s">
        <v>144</v>
      </c>
      <c r="AM33" s="106" t="s">
        <v>145</v>
      </c>
      <c r="AN33" s="104" t="s">
        <v>150</v>
      </c>
      <c r="AR33" t="str">
        <f>$W$33</f>
        <v>16h</v>
      </c>
      <c r="AS33" t="str">
        <f>$X$33</f>
        <v>17h</v>
      </c>
      <c r="AT33" t="str">
        <f>$Y$33</f>
        <v>18h</v>
      </c>
      <c r="AU33" t="str">
        <f>$Z$33</f>
        <v>19h</v>
      </c>
      <c r="AV33" t="str">
        <f>$AA$33</f>
        <v>20h</v>
      </c>
      <c r="AW33" t="str">
        <f>$AB$33</f>
        <v>21h</v>
      </c>
      <c r="AX33" t="str">
        <f>$AC$33</f>
        <v>22h</v>
      </c>
      <c r="AY33" t="str">
        <f>$AD$33</f>
        <v>23h</v>
      </c>
      <c r="AZ33" t="str">
        <f>$AE$33</f>
        <v>00h</v>
      </c>
      <c r="BA33" t="str">
        <f>$AF$33</f>
        <v>01h</v>
      </c>
      <c r="BB33" t="str">
        <f>$AG$33</f>
        <v>02h</v>
      </c>
      <c r="BC33" t="str">
        <f>$AH$33</f>
        <v>03h</v>
      </c>
      <c r="BD33" t="str">
        <f>$AI$33</f>
        <v>04h</v>
      </c>
      <c r="BE33" t="str">
        <f>$AJ$33</f>
        <v>05h</v>
      </c>
      <c r="BF33" t="str">
        <f>$AK$33</f>
        <v>06h</v>
      </c>
      <c r="BG33" t="str">
        <f>$AL$33</f>
        <v>07h</v>
      </c>
      <c r="BH33" t="str">
        <f>$AM$33</f>
        <v>08h</v>
      </c>
      <c r="BK33" s="104" t="str">
        <f>V34</f>
        <v>Set up</v>
      </c>
      <c r="BL33" s="104" t="str">
        <f>$W$33</f>
        <v>16h</v>
      </c>
      <c r="BM33" s="104" t="str">
        <f>$X$33</f>
        <v>17h</v>
      </c>
      <c r="BN33" s="104" t="str">
        <f>$Y$33</f>
        <v>18h</v>
      </c>
      <c r="BO33" s="104" t="str">
        <f>$Z$33</f>
        <v>19h</v>
      </c>
      <c r="BP33" s="104" t="str">
        <f>$AA$33</f>
        <v>20h</v>
      </c>
      <c r="BQ33" s="104" t="str">
        <f>$AB$33</f>
        <v>21h</v>
      </c>
      <c r="BR33" s="104" t="str">
        <f>$AC$33</f>
        <v>22h</v>
      </c>
      <c r="BS33" s="104" t="str">
        <f>$AD$33</f>
        <v>23h</v>
      </c>
      <c r="BT33" s="104" t="str">
        <f>$AE$33</f>
        <v>00h</v>
      </c>
      <c r="BU33" s="104" t="str">
        <f>$AF$33</f>
        <v>01h</v>
      </c>
      <c r="BV33" s="104" t="str">
        <f>$AG$33</f>
        <v>02h</v>
      </c>
      <c r="BW33" s="104" t="str">
        <f>$AH$33</f>
        <v>03h</v>
      </c>
      <c r="BX33" s="104" t="str">
        <f>$AI$33</f>
        <v>04h</v>
      </c>
      <c r="BY33" s="104" t="str">
        <f>$AJ$33</f>
        <v>05h</v>
      </c>
      <c r="BZ33" s="104" t="str">
        <f>$AK$33</f>
        <v>06h</v>
      </c>
      <c r="CA33" s="104" t="str">
        <f>$AL$33</f>
        <v>07h</v>
      </c>
      <c r="CB33" s="104" t="str">
        <f>$AM$33</f>
        <v>08h</v>
      </c>
    </row>
    <row r="34" spans="18:80" x14ac:dyDescent="0.55000000000000004">
      <c r="R34" s="104" t="s">
        <v>156</v>
      </c>
      <c r="S34" s="109">
        <v>12</v>
      </c>
      <c r="U34" s="104">
        <v>1</v>
      </c>
      <c r="V34" s="106" t="s">
        <v>149</v>
      </c>
      <c r="W34" s="107">
        <v>1</v>
      </c>
      <c r="X34" s="107">
        <v>1</v>
      </c>
      <c r="Y34" s="107">
        <v>1</v>
      </c>
      <c r="Z34" s="107">
        <v>1</v>
      </c>
      <c r="AA34" s="107">
        <v>1</v>
      </c>
      <c r="AB34" s="107">
        <v>1</v>
      </c>
      <c r="AC34" s="107">
        <v>1</v>
      </c>
      <c r="AD34" s="107">
        <v>1</v>
      </c>
      <c r="AE34" s="107">
        <v>1</v>
      </c>
      <c r="AF34" s="107">
        <v>1</v>
      </c>
      <c r="AG34" s="107">
        <v>1</v>
      </c>
      <c r="AH34" s="107">
        <v>1</v>
      </c>
      <c r="AI34" s="107">
        <v>0</v>
      </c>
      <c r="AJ34" s="107">
        <v>0</v>
      </c>
      <c r="AK34" s="107">
        <v>0</v>
      </c>
      <c r="AL34" s="107">
        <v>0</v>
      </c>
      <c r="AM34" s="107">
        <v>0</v>
      </c>
      <c r="AN34" s="104">
        <f>SUM(W34:AM34)</f>
        <v>12</v>
      </c>
      <c r="AP34" s="104" t="str">
        <f>$V$34</f>
        <v>Set up</v>
      </c>
      <c r="AQ34" s="104" t="str">
        <f>$V$53</f>
        <v>Jennifer</v>
      </c>
      <c r="AR34" s="54">
        <v>0</v>
      </c>
      <c r="AS34" s="54">
        <v>1</v>
      </c>
      <c r="AT34" s="54">
        <v>0</v>
      </c>
      <c r="AU34" s="54">
        <v>0</v>
      </c>
      <c r="AV34" s="54">
        <v>1</v>
      </c>
      <c r="AW34" s="54">
        <v>0</v>
      </c>
      <c r="AX34" s="54">
        <v>1</v>
      </c>
      <c r="AY34" s="54">
        <v>0</v>
      </c>
      <c r="AZ34" s="54">
        <v>0</v>
      </c>
      <c r="BA34" s="54">
        <v>1</v>
      </c>
      <c r="BB34" s="54">
        <v>0</v>
      </c>
      <c r="BC34" s="54">
        <v>0</v>
      </c>
      <c r="BD34" s="54">
        <v>0</v>
      </c>
      <c r="BE34" s="54">
        <v>0</v>
      </c>
      <c r="BF34" s="54">
        <v>0</v>
      </c>
      <c r="BG34" s="54">
        <v>0</v>
      </c>
      <c r="BH34" s="54">
        <v>0</v>
      </c>
      <c r="BK34" s="104" t="str">
        <f>$V$53</f>
        <v>Jennifer</v>
      </c>
      <c r="BL34" s="108">
        <v>0</v>
      </c>
      <c r="BM34" s="108">
        <v>0</v>
      </c>
      <c r="BN34" s="108">
        <v>0</v>
      </c>
      <c r="BO34" s="108">
        <v>0</v>
      </c>
      <c r="BP34" s="108">
        <v>0</v>
      </c>
      <c r="BQ34" s="108">
        <v>0</v>
      </c>
      <c r="BR34" s="108">
        <v>0</v>
      </c>
      <c r="BS34" s="108">
        <v>0</v>
      </c>
      <c r="BT34" s="108">
        <v>0</v>
      </c>
      <c r="BU34" s="108">
        <v>0</v>
      </c>
      <c r="BV34" s="108">
        <v>0</v>
      </c>
      <c r="BW34" s="108">
        <v>0</v>
      </c>
      <c r="BX34" s="108">
        <v>0</v>
      </c>
      <c r="BY34" s="108">
        <v>0</v>
      </c>
      <c r="BZ34" s="108">
        <v>0</v>
      </c>
      <c r="CA34" s="108">
        <v>0</v>
      </c>
      <c r="CB34" s="108">
        <v>0</v>
      </c>
    </row>
    <row r="35" spans="18:80" x14ac:dyDescent="0.55000000000000004">
      <c r="R35" s="104" t="s">
        <v>157</v>
      </c>
      <c r="S35" s="109">
        <v>-8</v>
      </c>
      <c r="U35" s="104">
        <v>2</v>
      </c>
      <c r="V35" s="106" t="s">
        <v>35</v>
      </c>
      <c r="W35" s="107">
        <v>1</v>
      </c>
      <c r="X35" s="107">
        <v>1</v>
      </c>
      <c r="Y35" s="107">
        <v>1</v>
      </c>
      <c r="Z35" s="107">
        <v>1</v>
      </c>
      <c r="AA35" s="107">
        <v>1</v>
      </c>
      <c r="AB35" s="107">
        <v>1</v>
      </c>
      <c r="AC35" s="107">
        <v>1</v>
      </c>
      <c r="AD35" s="107">
        <v>1</v>
      </c>
      <c r="AE35" s="107">
        <v>1</v>
      </c>
      <c r="AF35" s="107">
        <v>1</v>
      </c>
      <c r="AG35" s="107">
        <v>1</v>
      </c>
      <c r="AH35" s="107">
        <v>1</v>
      </c>
      <c r="AI35" s="107">
        <v>0</v>
      </c>
      <c r="AJ35" s="107">
        <v>0</v>
      </c>
      <c r="AK35" s="107">
        <v>0</v>
      </c>
      <c r="AL35" s="107">
        <v>0</v>
      </c>
      <c r="AM35" s="107">
        <v>0</v>
      </c>
      <c r="AN35" s="104">
        <f t="shared" ref="AN35:AN48" si="0">SUM(W35:AM35)</f>
        <v>12</v>
      </c>
      <c r="AQ35" s="104" t="str">
        <f>$V$54</f>
        <v>Galileo</v>
      </c>
      <c r="AR35" s="54">
        <v>0</v>
      </c>
      <c r="AS35" s="54">
        <v>0</v>
      </c>
      <c r="AT35" s="54">
        <v>0</v>
      </c>
      <c r="AU35" s="54">
        <v>0</v>
      </c>
      <c r="AV35" s="54">
        <v>0</v>
      </c>
      <c r="AW35" s="54">
        <v>0</v>
      </c>
      <c r="AX35" s="54">
        <v>0</v>
      </c>
      <c r="AY35" s="54">
        <v>0</v>
      </c>
      <c r="AZ35" s="54">
        <v>1</v>
      </c>
      <c r="BA35" s="54">
        <v>0</v>
      </c>
      <c r="BB35" s="54">
        <v>0</v>
      </c>
      <c r="BC35" s="54">
        <v>0</v>
      </c>
      <c r="BD35" s="54">
        <v>0</v>
      </c>
      <c r="BE35" s="54">
        <v>0</v>
      </c>
      <c r="BF35" s="54">
        <v>0</v>
      </c>
      <c r="BG35" s="54">
        <v>0</v>
      </c>
      <c r="BH35" s="54">
        <v>0</v>
      </c>
      <c r="BK35" s="104" t="str">
        <f>$V$54</f>
        <v>Galileo</v>
      </c>
      <c r="BL35" s="108">
        <v>0</v>
      </c>
      <c r="BM35" s="108">
        <v>0</v>
      </c>
      <c r="BN35" s="108">
        <v>0</v>
      </c>
      <c r="BO35" s="108">
        <v>0</v>
      </c>
      <c r="BP35" s="108">
        <v>0</v>
      </c>
      <c r="BQ35" s="108">
        <v>0</v>
      </c>
      <c r="BR35" s="108">
        <v>0</v>
      </c>
      <c r="BS35" s="108">
        <v>0</v>
      </c>
      <c r="BT35" s="108">
        <v>0</v>
      </c>
      <c r="BU35" s="108">
        <v>0</v>
      </c>
      <c r="BV35" s="108">
        <v>0</v>
      </c>
      <c r="BW35" s="108">
        <v>0</v>
      </c>
      <c r="BX35" s="108">
        <v>0</v>
      </c>
      <c r="BY35" s="108">
        <v>0</v>
      </c>
      <c r="BZ35" s="108">
        <v>0</v>
      </c>
      <c r="CA35" s="108">
        <v>0</v>
      </c>
      <c r="CB35" s="108">
        <v>0</v>
      </c>
    </row>
    <row r="36" spans="18:80" x14ac:dyDescent="0.55000000000000004">
      <c r="U36" s="104">
        <v>3</v>
      </c>
      <c r="V36" s="106" t="s">
        <v>36</v>
      </c>
      <c r="W36" s="107">
        <v>1</v>
      </c>
      <c r="X36" s="107">
        <v>1</v>
      </c>
      <c r="Y36" s="107">
        <v>1</v>
      </c>
      <c r="Z36" s="107">
        <v>1</v>
      </c>
      <c r="AA36" s="107">
        <v>1</v>
      </c>
      <c r="AB36" s="107">
        <v>1</v>
      </c>
      <c r="AC36" s="107">
        <v>1</v>
      </c>
      <c r="AD36" s="107">
        <v>1</v>
      </c>
      <c r="AE36" s="107">
        <v>1</v>
      </c>
      <c r="AF36" s="107">
        <v>1</v>
      </c>
      <c r="AG36" s="107">
        <v>1</v>
      </c>
      <c r="AH36" s="107">
        <v>1</v>
      </c>
      <c r="AI36" s="107">
        <v>0</v>
      </c>
      <c r="AJ36" s="107">
        <v>0</v>
      </c>
      <c r="AK36" s="107">
        <v>0</v>
      </c>
      <c r="AL36" s="107">
        <v>0</v>
      </c>
      <c r="AM36" s="107">
        <v>0</v>
      </c>
      <c r="AN36" s="104">
        <f t="shared" si="0"/>
        <v>12</v>
      </c>
      <c r="AQ36" s="104" t="str">
        <f>$V$55</f>
        <v>Óscar</v>
      </c>
      <c r="AR36" s="54">
        <v>0</v>
      </c>
      <c r="AS36" s="54">
        <v>0</v>
      </c>
      <c r="AT36" s="54">
        <v>0</v>
      </c>
      <c r="AU36" s="54">
        <v>0</v>
      </c>
      <c r="AV36" s="54">
        <v>0</v>
      </c>
      <c r="AW36" s="54">
        <v>0</v>
      </c>
      <c r="AX36" s="54">
        <v>0</v>
      </c>
      <c r="AY36" s="54">
        <v>0</v>
      </c>
      <c r="AZ36" s="54">
        <v>0</v>
      </c>
      <c r="BA36" s="54">
        <v>0</v>
      </c>
      <c r="BB36" s="54">
        <v>1</v>
      </c>
      <c r="BC36" s="54">
        <v>0</v>
      </c>
      <c r="BD36" s="54">
        <v>0</v>
      </c>
      <c r="BE36" s="54">
        <v>0</v>
      </c>
      <c r="BF36" s="54">
        <v>0</v>
      </c>
      <c r="BG36" s="54">
        <v>0</v>
      </c>
      <c r="BH36" s="54">
        <v>0</v>
      </c>
      <c r="BK36" s="104" t="str">
        <f>$V$55</f>
        <v>Óscar</v>
      </c>
      <c r="BL36" s="108">
        <v>0</v>
      </c>
      <c r="BM36" s="108">
        <v>0</v>
      </c>
      <c r="BN36" s="108">
        <v>0</v>
      </c>
      <c r="BO36" s="108">
        <v>0</v>
      </c>
      <c r="BP36" s="108">
        <v>0</v>
      </c>
      <c r="BQ36" s="108">
        <v>0</v>
      </c>
      <c r="BR36" s="108">
        <v>0</v>
      </c>
      <c r="BS36" s="108">
        <v>0</v>
      </c>
      <c r="BT36" s="108">
        <v>0</v>
      </c>
      <c r="BU36" s="108">
        <v>0</v>
      </c>
      <c r="BV36" s="108">
        <v>0</v>
      </c>
      <c r="BW36" s="108">
        <v>0</v>
      </c>
      <c r="BX36" s="108">
        <v>0</v>
      </c>
      <c r="BY36" s="108">
        <v>0</v>
      </c>
      <c r="BZ36" s="108">
        <v>0</v>
      </c>
      <c r="CA36" s="108">
        <v>0</v>
      </c>
      <c r="CB36" s="108">
        <v>0</v>
      </c>
    </row>
    <row r="37" spans="18:80" x14ac:dyDescent="0.55000000000000004">
      <c r="R37" s="104" t="s">
        <v>159</v>
      </c>
      <c r="S37" s="104">
        <f>100*(S34-S35)+10*SUM(D53:S92)+10*SUM(C99:S138)</f>
        <v>2000</v>
      </c>
      <c r="U37" s="104">
        <v>4</v>
      </c>
      <c r="V37" s="106" t="s">
        <v>37</v>
      </c>
      <c r="W37" s="107">
        <v>1</v>
      </c>
      <c r="X37" s="107">
        <v>1</v>
      </c>
      <c r="Y37" s="107">
        <v>1</v>
      </c>
      <c r="Z37" s="107">
        <v>1</v>
      </c>
      <c r="AA37" s="107">
        <v>1</v>
      </c>
      <c r="AB37" s="107">
        <v>1</v>
      </c>
      <c r="AC37" s="107">
        <v>1</v>
      </c>
      <c r="AD37" s="107">
        <v>1</v>
      </c>
      <c r="AE37" s="107">
        <v>1</v>
      </c>
      <c r="AF37" s="107">
        <v>1</v>
      </c>
      <c r="AG37" s="107">
        <v>1</v>
      </c>
      <c r="AH37" s="107">
        <v>1</v>
      </c>
      <c r="AI37" s="107">
        <v>0</v>
      </c>
      <c r="AJ37" s="107">
        <v>0</v>
      </c>
      <c r="AK37" s="107">
        <v>0</v>
      </c>
      <c r="AL37" s="107">
        <v>0</v>
      </c>
      <c r="AM37" s="107">
        <v>0</v>
      </c>
      <c r="AN37" s="104">
        <f t="shared" si="0"/>
        <v>12</v>
      </c>
      <c r="AQ37" s="104" t="str">
        <f>$V$56</f>
        <v>Sebastián</v>
      </c>
      <c r="AR37" s="54">
        <v>0</v>
      </c>
      <c r="AS37" s="54">
        <v>0</v>
      </c>
      <c r="AT37" s="54">
        <v>0</v>
      </c>
      <c r="AU37" s="54">
        <v>0</v>
      </c>
      <c r="AV37" s="54">
        <v>0</v>
      </c>
      <c r="AW37" s="54">
        <v>0</v>
      </c>
      <c r="AX37" s="54">
        <v>0</v>
      </c>
      <c r="AY37" s="54">
        <v>0</v>
      </c>
      <c r="AZ37" s="54">
        <v>0</v>
      </c>
      <c r="BA37" s="54">
        <v>0</v>
      </c>
      <c r="BB37" s="54">
        <v>0</v>
      </c>
      <c r="BC37" s="54">
        <v>0</v>
      </c>
      <c r="BD37" s="54">
        <v>0</v>
      </c>
      <c r="BE37" s="54">
        <v>0</v>
      </c>
      <c r="BF37" s="54">
        <v>0</v>
      </c>
      <c r="BG37" s="54">
        <v>0</v>
      </c>
      <c r="BH37" s="54">
        <v>0</v>
      </c>
      <c r="BK37" s="104" t="str">
        <f>$V$56</f>
        <v>Sebastián</v>
      </c>
      <c r="BL37" s="108">
        <v>0</v>
      </c>
      <c r="BM37" s="108">
        <v>0</v>
      </c>
      <c r="BN37" s="108">
        <v>0</v>
      </c>
      <c r="BO37" s="108">
        <v>0</v>
      </c>
      <c r="BP37" s="108">
        <v>0</v>
      </c>
      <c r="BQ37" s="108">
        <v>0</v>
      </c>
      <c r="BR37" s="108">
        <v>0</v>
      </c>
      <c r="BS37" s="108">
        <v>0</v>
      </c>
      <c r="BT37" s="108">
        <v>0</v>
      </c>
      <c r="BU37" s="108">
        <v>0</v>
      </c>
      <c r="BV37" s="108">
        <v>0</v>
      </c>
      <c r="BW37" s="108">
        <v>0</v>
      </c>
      <c r="BX37" s="108">
        <v>0</v>
      </c>
      <c r="BY37" s="108">
        <v>0</v>
      </c>
      <c r="BZ37" s="108">
        <v>0</v>
      </c>
      <c r="CA37" s="108">
        <v>0</v>
      </c>
      <c r="CB37" s="108">
        <v>0</v>
      </c>
    </row>
    <row r="38" spans="18:80" x14ac:dyDescent="0.55000000000000004">
      <c r="U38" s="104">
        <v>5</v>
      </c>
      <c r="V38" s="106" t="s">
        <v>38</v>
      </c>
      <c r="W38" s="107">
        <v>1</v>
      </c>
      <c r="X38" s="107">
        <v>1</v>
      </c>
      <c r="Y38" s="107">
        <v>1</v>
      </c>
      <c r="Z38" s="107">
        <v>1</v>
      </c>
      <c r="AA38" s="107">
        <v>1</v>
      </c>
      <c r="AB38" s="107">
        <v>1</v>
      </c>
      <c r="AC38" s="107">
        <v>1</v>
      </c>
      <c r="AD38" s="107">
        <v>1</v>
      </c>
      <c r="AE38" s="107">
        <v>1</v>
      </c>
      <c r="AF38" s="107">
        <v>1</v>
      </c>
      <c r="AG38" s="107">
        <v>1</v>
      </c>
      <c r="AH38" s="107">
        <v>1</v>
      </c>
      <c r="AI38" s="107">
        <v>0</v>
      </c>
      <c r="AJ38" s="107">
        <v>0</v>
      </c>
      <c r="AK38" s="107">
        <v>0</v>
      </c>
      <c r="AL38" s="107">
        <v>0</v>
      </c>
      <c r="AM38" s="107">
        <v>0</v>
      </c>
      <c r="AN38" s="104">
        <f t="shared" si="0"/>
        <v>12</v>
      </c>
      <c r="AQ38" s="104" t="str">
        <f>$V$57</f>
        <v>Marcos</v>
      </c>
      <c r="AR38" s="54">
        <v>0</v>
      </c>
      <c r="AS38" s="54">
        <v>0</v>
      </c>
      <c r="AT38" s="54">
        <v>0</v>
      </c>
      <c r="AU38" s="54">
        <v>0</v>
      </c>
      <c r="AV38" s="54">
        <v>0</v>
      </c>
      <c r="AW38" s="54">
        <v>0</v>
      </c>
      <c r="AX38" s="54">
        <v>0</v>
      </c>
      <c r="AY38" s="54">
        <v>1</v>
      </c>
      <c r="AZ38" s="54">
        <v>0</v>
      </c>
      <c r="BA38" s="54">
        <v>0</v>
      </c>
      <c r="BB38" s="54">
        <v>0</v>
      </c>
      <c r="BC38" s="54">
        <v>0</v>
      </c>
      <c r="BD38" s="54">
        <v>0</v>
      </c>
      <c r="BE38" s="54">
        <v>0</v>
      </c>
      <c r="BF38" s="54">
        <v>0</v>
      </c>
      <c r="BG38" s="54">
        <v>0</v>
      </c>
      <c r="BH38" s="54">
        <v>0</v>
      </c>
      <c r="BK38" s="104" t="str">
        <f>$V$57</f>
        <v>Marcos</v>
      </c>
      <c r="BL38" s="108">
        <v>0</v>
      </c>
      <c r="BM38" s="108">
        <v>0</v>
      </c>
      <c r="BN38" s="108">
        <v>0</v>
      </c>
      <c r="BO38" s="108">
        <v>0</v>
      </c>
      <c r="BP38" s="108">
        <v>0</v>
      </c>
      <c r="BQ38" s="108">
        <v>0</v>
      </c>
      <c r="BR38" s="108">
        <v>0</v>
      </c>
      <c r="BS38" s="108">
        <v>0</v>
      </c>
      <c r="BT38" s="108">
        <v>0</v>
      </c>
      <c r="BU38" s="108">
        <v>0</v>
      </c>
      <c r="BV38" s="108">
        <v>0</v>
      </c>
      <c r="BW38" s="108">
        <v>0</v>
      </c>
      <c r="BX38" s="108">
        <v>0</v>
      </c>
      <c r="BY38" s="108">
        <v>0</v>
      </c>
      <c r="BZ38" s="108">
        <v>0</v>
      </c>
      <c r="CA38" s="108">
        <v>0</v>
      </c>
      <c r="CB38" s="108">
        <v>0</v>
      </c>
    </row>
    <row r="39" spans="18:80" x14ac:dyDescent="0.55000000000000004">
      <c r="U39" s="104">
        <v>6</v>
      </c>
      <c r="V39" s="106" t="s">
        <v>39</v>
      </c>
      <c r="W39" s="107">
        <v>0</v>
      </c>
      <c r="X39" s="107">
        <v>0</v>
      </c>
      <c r="Y39" s="107">
        <v>0</v>
      </c>
      <c r="Z39" s="107">
        <v>0</v>
      </c>
      <c r="AA39" s="107">
        <v>0</v>
      </c>
      <c r="AB39" s="107">
        <v>0</v>
      </c>
      <c r="AC39" s="107">
        <v>0</v>
      </c>
      <c r="AD39" s="107">
        <v>0</v>
      </c>
      <c r="AE39" s="107">
        <v>0</v>
      </c>
      <c r="AF39" s="107">
        <v>0</v>
      </c>
      <c r="AG39" s="107">
        <v>0</v>
      </c>
      <c r="AH39" s="107">
        <v>0</v>
      </c>
      <c r="AI39" s="107">
        <v>0</v>
      </c>
      <c r="AJ39" s="107">
        <v>0</v>
      </c>
      <c r="AK39" s="107">
        <v>0</v>
      </c>
      <c r="AL39" s="107">
        <v>0</v>
      </c>
      <c r="AM39" s="107">
        <v>0</v>
      </c>
      <c r="AN39" s="104">
        <f t="shared" si="0"/>
        <v>0</v>
      </c>
      <c r="AQ39" s="104" t="str">
        <f>$V$58</f>
        <v>Weixin</v>
      </c>
      <c r="AR39" s="54">
        <v>0</v>
      </c>
      <c r="AS39" s="54">
        <v>0</v>
      </c>
      <c r="AT39" s="54">
        <v>0</v>
      </c>
      <c r="AU39" s="54">
        <v>1</v>
      </c>
      <c r="AV39" s="54">
        <v>0</v>
      </c>
      <c r="AW39" s="54">
        <v>0</v>
      </c>
      <c r="AX39" s="54">
        <v>0</v>
      </c>
      <c r="AY39" s="54">
        <v>0</v>
      </c>
      <c r="AZ39" s="54">
        <v>0</v>
      </c>
      <c r="BA39" s="54">
        <v>0</v>
      </c>
      <c r="BB39" s="54">
        <v>0</v>
      </c>
      <c r="BC39" s="54">
        <v>0</v>
      </c>
      <c r="BD39" s="54">
        <v>0</v>
      </c>
      <c r="BE39" s="54">
        <v>0</v>
      </c>
      <c r="BF39" s="54">
        <v>0</v>
      </c>
      <c r="BG39" s="54">
        <v>0</v>
      </c>
      <c r="BH39" s="54">
        <v>0</v>
      </c>
      <c r="BK39" s="104" t="str">
        <f>$V$58</f>
        <v>Weixin</v>
      </c>
      <c r="BL39" s="108">
        <v>0</v>
      </c>
      <c r="BM39" s="108">
        <v>0</v>
      </c>
      <c r="BN39" s="108">
        <v>0</v>
      </c>
      <c r="BO39" s="108">
        <v>0</v>
      </c>
      <c r="BP39" s="108">
        <v>0</v>
      </c>
      <c r="BQ39" s="108">
        <v>0</v>
      </c>
      <c r="BR39" s="108">
        <v>0</v>
      </c>
      <c r="BS39" s="108">
        <v>0</v>
      </c>
      <c r="BT39" s="108">
        <v>0</v>
      </c>
      <c r="BU39" s="108">
        <v>0</v>
      </c>
      <c r="BV39" s="108">
        <v>0</v>
      </c>
      <c r="BW39" s="108">
        <v>0</v>
      </c>
      <c r="BX39" s="108">
        <v>0</v>
      </c>
      <c r="BY39" s="108">
        <v>0</v>
      </c>
      <c r="BZ39" s="108">
        <v>0</v>
      </c>
      <c r="CA39" s="108">
        <v>0</v>
      </c>
      <c r="CB39" s="108">
        <v>0</v>
      </c>
    </row>
    <row r="40" spans="18:80" x14ac:dyDescent="0.55000000000000004">
      <c r="U40" s="104">
        <v>7</v>
      </c>
      <c r="V40" s="106" t="s">
        <v>40</v>
      </c>
      <c r="W40" s="107">
        <v>0</v>
      </c>
      <c r="X40" s="107">
        <v>0</v>
      </c>
      <c r="Y40" s="107">
        <v>0</v>
      </c>
      <c r="Z40" s="107">
        <v>0</v>
      </c>
      <c r="AA40" s="107">
        <v>0</v>
      </c>
      <c r="AB40" s="107">
        <v>0</v>
      </c>
      <c r="AC40" s="107">
        <v>0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  <c r="AJ40" s="107">
        <v>0</v>
      </c>
      <c r="AK40" s="107">
        <v>0</v>
      </c>
      <c r="AL40" s="107">
        <v>0</v>
      </c>
      <c r="AM40" s="107">
        <v>0</v>
      </c>
      <c r="AN40" s="104">
        <f t="shared" si="0"/>
        <v>0</v>
      </c>
      <c r="AQ40" s="104" t="str">
        <f>$V$59</f>
        <v>Benjamin</v>
      </c>
      <c r="AR40" s="54">
        <v>1</v>
      </c>
      <c r="AS40" s="54">
        <v>0</v>
      </c>
      <c r="AT40" s="54">
        <v>1</v>
      </c>
      <c r="AU40" s="54">
        <v>0</v>
      </c>
      <c r="AV40" s="54">
        <v>0</v>
      </c>
      <c r="AW40" s="54">
        <v>1</v>
      </c>
      <c r="AX40" s="54">
        <v>0</v>
      </c>
      <c r="AY40" s="54">
        <v>0</v>
      </c>
      <c r="AZ40" s="54">
        <v>0</v>
      </c>
      <c r="BA40" s="54">
        <v>0</v>
      </c>
      <c r="BB40" s="54">
        <v>0</v>
      </c>
      <c r="BC40" s="54">
        <v>1</v>
      </c>
      <c r="BD40" s="54">
        <v>0</v>
      </c>
      <c r="BE40" s="54">
        <v>0</v>
      </c>
      <c r="BF40" s="54">
        <v>0</v>
      </c>
      <c r="BG40" s="54">
        <v>0</v>
      </c>
      <c r="BH40" s="54">
        <v>0</v>
      </c>
      <c r="BK40" s="104" t="str">
        <f>$V$59</f>
        <v>Benjamin</v>
      </c>
      <c r="BL40" s="108">
        <v>0</v>
      </c>
      <c r="BM40" s="108">
        <v>0</v>
      </c>
      <c r="BN40" s="108">
        <v>0</v>
      </c>
      <c r="BO40" s="108">
        <v>0</v>
      </c>
      <c r="BP40" s="108">
        <v>0</v>
      </c>
      <c r="BQ40" s="108">
        <v>0</v>
      </c>
      <c r="BR40" s="108">
        <v>0</v>
      </c>
      <c r="BS40" s="108">
        <v>0</v>
      </c>
      <c r="BT40" s="108">
        <v>0</v>
      </c>
      <c r="BU40" s="108">
        <v>0</v>
      </c>
      <c r="BV40" s="108">
        <v>0</v>
      </c>
      <c r="BW40" s="108">
        <v>0</v>
      </c>
      <c r="BX40" s="108">
        <v>0</v>
      </c>
      <c r="BY40" s="108">
        <v>0</v>
      </c>
      <c r="BZ40" s="108">
        <v>0</v>
      </c>
      <c r="CA40" s="108">
        <v>0</v>
      </c>
      <c r="CB40" s="108">
        <v>0</v>
      </c>
    </row>
    <row r="41" spans="18:80" x14ac:dyDescent="0.55000000000000004">
      <c r="U41" s="104">
        <v>8</v>
      </c>
      <c r="V41" s="106" t="s">
        <v>41</v>
      </c>
      <c r="W41" s="107">
        <v>0</v>
      </c>
      <c r="X41" s="107">
        <v>0</v>
      </c>
      <c r="Y41" s="107">
        <v>0</v>
      </c>
      <c r="Z41" s="107">
        <v>0</v>
      </c>
      <c r="AA41" s="107">
        <v>0</v>
      </c>
      <c r="AB41" s="107">
        <v>0</v>
      </c>
      <c r="AC41" s="107">
        <v>0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  <c r="AJ41" s="107">
        <v>0</v>
      </c>
      <c r="AK41" s="107">
        <v>0</v>
      </c>
      <c r="AL41" s="107">
        <v>0</v>
      </c>
      <c r="AM41" s="107">
        <v>0</v>
      </c>
      <c r="AN41" s="104">
        <f t="shared" si="0"/>
        <v>0</v>
      </c>
      <c r="AQ41" s="104" t="str">
        <f>$V$60</f>
        <v>Joelle</v>
      </c>
      <c r="AR41" s="54">
        <v>0</v>
      </c>
      <c r="AS41" s="54">
        <v>0</v>
      </c>
      <c r="AT41" s="54">
        <v>0</v>
      </c>
      <c r="AU41" s="54">
        <v>0</v>
      </c>
      <c r="AV41" s="54">
        <v>0</v>
      </c>
      <c r="AW41" s="54">
        <v>0</v>
      </c>
      <c r="AX41" s="54">
        <v>0</v>
      </c>
      <c r="AY41" s="54">
        <v>0</v>
      </c>
      <c r="AZ41" s="54">
        <v>0</v>
      </c>
      <c r="BA41" s="54">
        <v>0</v>
      </c>
      <c r="BB41" s="54">
        <v>0</v>
      </c>
      <c r="BC41" s="54">
        <v>0</v>
      </c>
      <c r="BD41" s="54">
        <v>0</v>
      </c>
      <c r="BE41" s="54">
        <v>0</v>
      </c>
      <c r="BF41" s="54">
        <v>0</v>
      </c>
      <c r="BG41" s="54">
        <v>0</v>
      </c>
      <c r="BH41" s="54">
        <v>0</v>
      </c>
      <c r="BK41" s="104" t="str">
        <f>$V$60</f>
        <v>Joelle</v>
      </c>
      <c r="BL41" s="108">
        <v>0</v>
      </c>
      <c r="BM41" s="108">
        <v>0</v>
      </c>
      <c r="BN41" s="108">
        <v>0</v>
      </c>
      <c r="BO41" s="108">
        <v>0</v>
      </c>
      <c r="BP41" s="108">
        <v>0</v>
      </c>
      <c r="BQ41" s="108">
        <v>0</v>
      </c>
      <c r="BR41" s="108">
        <v>0</v>
      </c>
      <c r="BS41" s="108">
        <v>0</v>
      </c>
      <c r="BT41" s="108">
        <v>0</v>
      </c>
      <c r="BU41" s="108">
        <v>0</v>
      </c>
      <c r="BV41" s="108">
        <v>0</v>
      </c>
      <c r="BW41" s="108">
        <v>0</v>
      </c>
      <c r="BX41" s="108">
        <v>0</v>
      </c>
      <c r="BY41" s="108">
        <v>0</v>
      </c>
      <c r="BZ41" s="108">
        <v>0</v>
      </c>
      <c r="CA41" s="108">
        <v>0</v>
      </c>
      <c r="CB41" s="108">
        <v>0</v>
      </c>
    </row>
    <row r="42" spans="18:80" x14ac:dyDescent="0.55000000000000004">
      <c r="U42" s="104">
        <v>9</v>
      </c>
      <c r="V42" s="106" t="s">
        <v>42</v>
      </c>
      <c r="W42" s="107">
        <v>0</v>
      </c>
      <c r="X42" s="107">
        <v>0</v>
      </c>
      <c r="Y42" s="107">
        <v>0</v>
      </c>
      <c r="Z42" s="107">
        <v>0</v>
      </c>
      <c r="AA42" s="107">
        <v>0</v>
      </c>
      <c r="AB42" s="107">
        <v>0</v>
      </c>
      <c r="AC42" s="107">
        <v>0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  <c r="AJ42" s="107">
        <v>0</v>
      </c>
      <c r="AK42" s="107">
        <v>0</v>
      </c>
      <c r="AL42" s="107">
        <v>0</v>
      </c>
      <c r="AM42" s="107">
        <v>0</v>
      </c>
      <c r="AN42" s="104">
        <f t="shared" si="0"/>
        <v>0</v>
      </c>
      <c r="AQ42" s="104" t="str">
        <f>$V$61</f>
        <v>Alexia</v>
      </c>
      <c r="AR42" s="54">
        <v>0</v>
      </c>
      <c r="AS42" s="54">
        <v>0</v>
      </c>
      <c r="AT42" s="54">
        <v>0</v>
      </c>
      <c r="AU42" s="54">
        <v>0</v>
      </c>
      <c r="AV42" s="54">
        <v>0</v>
      </c>
      <c r="AW42" s="54">
        <v>0</v>
      </c>
      <c r="AX42" s="54">
        <v>0</v>
      </c>
      <c r="AY42" s="54">
        <v>0</v>
      </c>
      <c r="AZ42" s="54">
        <v>0</v>
      </c>
      <c r="BA42" s="54">
        <v>0</v>
      </c>
      <c r="BB42" s="54">
        <v>0</v>
      </c>
      <c r="BC42" s="54">
        <v>0</v>
      </c>
      <c r="BD42" s="54">
        <v>0</v>
      </c>
      <c r="BE42" s="54">
        <v>0</v>
      </c>
      <c r="BF42" s="54">
        <v>0</v>
      </c>
      <c r="BG42" s="54">
        <v>0</v>
      </c>
      <c r="BH42" s="54">
        <v>0</v>
      </c>
      <c r="BK42" s="104" t="str">
        <f>$V$61</f>
        <v>Alexia</v>
      </c>
      <c r="BL42" s="108">
        <v>0</v>
      </c>
      <c r="BM42" s="108">
        <v>0</v>
      </c>
      <c r="BN42" s="108">
        <v>0</v>
      </c>
      <c r="BO42" s="108">
        <v>0</v>
      </c>
      <c r="BP42" s="108">
        <v>0</v>
      </c>
      <c r="BQ42" s="108">
        <v>0</v>
      </c>
      <c r="BR42" s="108">
        <v>0</v>
      </c>
      <c r="BS42" s="108">
        <v>0</v>
      </c>
      <c r="BT42" s="108">
        <v>0</v>
      </c>
      <c r="BU42" s="108">
        <v>0</v>
      </c>
      <c r="BV42" s="108">
        <v>0</v>
      </c>
      <c r="BW42" s="108">
        <v>0</v>
      </c>
      <c r="BX42" s="108">
        <v>0</v>
      </c>
      <c r="BY42" s="108">
        <v>0</v>
      </c>
      <c r="BZ42" s="108">
        <v>0</v>
      </c>
      <c r="CA42" s="108">
        <v>0</v>
      </c>
      <c r="CB42" s="108">
        <v>0</v>
      </c>
    </row>
    <row r="43" spans="18:80" x14ac:dyDescent="0.55000000000000004">
      <c r="U43" s="104">
        <v>10</v>
      </c>
      <c r="V43" s="106" t="s">
        <v>43</v>
      </c>
      <c r="W43" s="107">
        <v>0</v>
      </c>
      <c r="X43" s="107">
        <v>0</v>
      </c>
      <c r="Y43" s="107">
        <v>0</v>
      </c>
      <c r="Z43" s="107">
        <v>0</v>
      </c>
      <c r="AA43" s="107">
        <v>0</v>
      </c>
      <c r="AB43" s="107">
        <v>0</v>
      </c>
      <c r="AC43" s="107">
        <v>0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  <c r="AJ43" s="107">
        <v>0</v>
      </c>
      <c r="AK43" s="107">
        <v>0</v>
      </c>
      <c r="AL43" s="107">
        <v>0</v>
      </c>
      <c r="AM43" s="107">
        <v>0</v>
      </c>
      <c r="AN43" s="104">
        <f t="shared" si="0"/>
        <v>0</v>
      </c>
      <c r="AQ43" s="104" t="str">
        <f>$V$62</f>
        <v>Joao</v>
      </c>
      <c r="AR43" s="54">
        <v>0</v>
      </c>
      <c r="AS43" s="54">
        <v>0</v>
      </c>
      <c r="AT43" s="54">
        <v>0</v>
      </c>
      <c r="AU43" s="54">
        <v>0</v>
      </c>
      <c r="AV43" s="54">
        <v>0</v>
      </c>
      <c r="AW43" s="54">
        <v>0</v>
      </c>
      <c r="AX43" s="54">
        <v>0</v>
      </c>
      <c r="AY43" s="54">
        <v>0</v>
      </c>
      <c r="AZ43" s="54">
        <v>0</v>
      </c>
      <c r="BA43" s="54">
        <v>0</v>
      </c>
      <c r="BB43" s="54">
        <v>0</v>
      </c>
      <c r="BC43" s="54">
        <v>0</v>
      </c>
      <c r="BD43" s="54">
        <v>0</v>
      </c>
      <c r="BE43" s="54">
        <v>0</v>
      </c>
      <c r="BF43" s="54">
        <v>0</v>
      </c>
      <c r="BG43" s="54">
        <v>0</v>
      </c>
      <c r="BH43" s="54">
        <v>0</v>
      </c>
      <c r="BK43" s="104" t="str">
        <f>$V$62</f>
        <v>Joao</v>
      </c>
      <c r="BL43" s="108">
        <v>0</v>
      </c>
      <c r="BM43" s="108">
        <v>0</v>
      </c>
      <c r="BN43" s="108">
        <v>0</v>
      </c>
      <c r="BO43" s="108">
        <v>0</v>
      </c>
      <c r="BP43" s="108">
        <v>0</v>
      </c>
      <c r="BQ43" s="108">
        <v>0</v>
      </c>
      <c r="BR43" s="108">
        <v>0</v>
      </c>
      <c r="BS43" s="108">
        <v>0</v>
      </c>
      <c r="BT43" s="108">
        <v>0</v>
      </c>
      <c r="BU43" s="108">
        <v>0</v>
      </c>
      <c r="BV43" s="108">
        <v>0</v>
      </c>
      <c r="BW43" s="108">
        <v>0</v>
      </c>
      <c r="BX43" s="108">
        <v>0</v>
      </c>
      <c r="BY43" s="108">
        <v>0</v>
      </c>
      <c r="BZ43" s="108">
        <v>0</v>
      </c>
      <c r="CA43" s="108">
        <v>0</v>
      </c>
      <c r="CB43" s="108">
        <v>0</v>
      </c>
    </row>
    <row r="44" spans="18:80" x14ac:dyDescent="0.55000000000000004">
      <c r="U44" s="104">
        <v>11</v>
      </c>
      <c r="V44" s="106" t="s">
        <v>44</v>
      </c>
      <c r="W44" s="107">
        <v>0</v>
      </c>
      <c r="X44" s="107">
        <v>0</v>
      </c>
      <c r="Y44" s="107">
        <v>0</v>
      </c>
      <c r="Z44" s="107">
        <v>0</v>
      </c>
      <c r="AA44" s="107">
        <v>0</v>
      </c>
      <c r="AB44" s="107">
        <v>0</v>
      </c>
      <c r="AC44" s="107">
        <v>0</v>
      </c>
      <c r="AD44" s="107">
        <v>0</v>
      </c>
      <c r="AE44" s="107">
        <v>0</v>
      </c>
      <c r="AF44" s="107">
        <v>0</v>
      </c>
      <c r="AG44" s="107">
        <v>0</v>
      </c>
      <c r="AH44" s="107">
        <v>0</v>
      </c>
      <c r="AI44" s="107">
        <v>0</v>
      </c>
      <c r="AJ44" s="107">
        <v>0</v>
      </c>
      <c r="AK44" s="107">
        <v>0</v>
      </c>
      <c r="AL44" s="107">
        <v>0</v>
      </c>
      <c r="AM44" s="107">
        <v>0</v>
      </c>
      <c r="AN44" s="104">
        <f t="shared" si="0"/>
        <v>0</v>
      </c>
      <c r="AQ44" s="104" t="str">
        <f>$V$63</f>
        <v>Maxime</v>
      </c>
      <c r="AR44" s="54">
        <v>0</v>
      </c>
      <c r="AS44" s="54">
        <v>0</v>
      </c>
      <c r="AT44" s="54">
        <v>0</v>
      </c>
      <c r="AU44" s="54">
        <v>0</v>
      </c>
      <c r="AV44" s="54">
        <v>0</v>
      </c>
      <c r="AW44" s="54">
        <v>0</v>
      </c>
      <c r="AX44" s="54">
        <v>0</v>
      </c>
      <c r="AY44" s="54">
        <v>0</v>
      </c>
      <c r="AZ44" s="54">
        <v>0</v>
      </c>
      <c r="BA44" s="54">
        <v>0</v>
      </c>
      <c r="BB44" s="54">
        <v>0</v>
      </c>
      <c r="BC44" s="54">
        <v>0</v>
      </c>
      <c r="BD44" s="54">
        <v>0</v>
      </c>
      <c r="BE44" s="54">
        <v>0</v>
      </c>
      <c r="BF44" s="54">
        <v>0</v>
      </c>
      <c r="BG44" s="54">
        <v>0</v>
      </c>
      <c r="BH44" s="54">
        <v>0</v>
      </c>
      <c r="BK44" s="104" t="str">
        <f>$V$63</f>
        <v>Maxime</v>
      </c>
      <c r="BL44" s="108">
        <v>0</v>
      </c>
      <c r="BM44" s="108">
        <v>0</v>
      </c>
      <c r="BN44" s="108">
        <v>0</v>
      </c>
      <c r="BO44" s="108">
        <v>0</v>
      </c>
      <c r="BP44" s="108">
        <v>0</v>
      </c>
      <c r="BQ44" s="108">
        <v>0</v>
      </c>
      <c r="BR44" s="108">
        <v>0</v>
      </c>
      <c r="BS44" s="108">
        <v>1</v>
      </c>
      <c r="BT44" s="108">
        <v>0</v>
      </c>
      <c r="BU44" s="108">
        <v>0</v>
      </c>
      <c r="BV44" s="108">
        <v>0</v>
      </c>
      <c r="BW44" s="108">
        <v>0</v>
      </c>
      <c r="BX44" s="108">
        <v>0</v>
      </c>
      <c r="BY44" s="108">
        <v>0</v>
      </c>
      <c r="BZ44" s="108">
        <v>0</v>
      </c>
      <c r="CA44" s="108">
        <v>0</v>
      </c>
      <c r="CB44" s="108">
        <v>0</v>
      </c>
    </row>
    <row r="45" spans="18:80" x14ac:dyDescent="0.55000000000000004">
      <c r="U45" s="104">
        <v>12</v>
      </c>
      <c r="V45" s="106" t="s">
        <v>160</v>
      </c>
      <c r="W45" s="107">
        <v>0</v>
      </c>
      <c r="X45" s="107">
        <v>0</v>
      </c>
      <c r="Y45" s="107">
        <v>0</v>
      </c>
      <c r="Z45" s="107">
        <v>0</v>
      </c>
      <c r="AA45" s="107">
        <v>0</v>
      </c>
      <c r="AB45" s="107">
        <v>0</v>
      </c>
      <c r="AC45" s="107">
        <v>0</v>
      </c>
      <c r="AD45" s="107">
        <v>0</v>
      </c>
      <c r="AE45" s="107">
        <v>0</v>
      </c>
      <c r="AF45" s="107">
        <v>0</v>
      </c>
      <c r="AG45" s="107">
        <v>0</v>
      </c>
      <c r="AH45" s="107">
        <v>0</v>
      </c>
      <c r="AI45" s="107">
        <v>0</v>
      </c>
      <c r="AJ45" s="107">
        <v>0</v>
      </c>
      <c r="AK45" s="107">
        <v>0</v>
      </c>
      <c r="AL45" s="107">
        <v>0</v>
      </c>
      <c r="AM45" s="107">
        <v>0</v>
      </c>
      <c r="AN45" s="104">
        <f t="shared" si="0"/>
        <v>0</v>
      </c>
      <c r="AQ45" s="104" t="str">
        <f>$V$64</f>
        <v>Alex</v>
      </c>
      <c r="AR45" s="54">
        <v>0</v>
      </c>
      <c r="AS45" s="54">
        <v>0</v>
      </c>
      <c r="AT45" s="54">
        <v>0</v>
      </c>
      <c r="AU45" s="54">
        <v>0</v>
      </c>
      <c r="AV45" s="54">
        <v>0</v>
      </c>
      <c r="AW45" s="54">
        <v>0</v>
      </c>
      <c r="AX45" s="54">
        <v>0</v>
      </c>
      <c r="AY45" s="54">
        <v>0</v>
      </c>
      <c r="AZ45" s="54">
        <v>0</v>
      </c>
      <c r="BA45" s="54">
        <v>0</v>
      </c>
      <c r="BB45" s="54">
        <v>0</v>
      </c>
      <c r="BC45" s="54">
        <v>0</v>
      </c>
      <c r="BD45" s="54">
        <v>0</v>
      </c>
      <c r="BE45" s="54">
        <v>0</v>
      </c>
      <c r="BF45" s="54">
        <v>0</v>
      </c>
      <c r="BG45" s="54">
        <v>0</v>
      </c>
      <c r="BH45" s="54">
        <v>0</v>
      </c>
      <c r="BK45" s="104" t="str">
        <f>$V$64</f>
        <v>Alex</v>
      </c>
      <c r="BL45" s="108">
        <v>0</v>
      </c>
      <c r="BM45" s="108">
        <v>0</v>
      </c>
      <c r="BN45" s="108">
        <v>0</v>
      </c>
      <c r="BO45" s="108">
        <v>0</v>
      </c>
      <c r="BP45" s="108">
        <v>0</v>
      </c>
      <c r="BQ45" s="108">
        <v>0</v>
      </c>
      <c r="BR45" s="108">
        <v>0</v>
      </c>
      <c r="BS45" s="108">
        <v>0</v>
      </c>
      <c r="BT45" s="108">
        <v>1</v>
      </c>
      <c r="BU45" s="108">
        <v>0</v>
      </c>
      <c r="BV45" s="108">
        <v>0</v>
      </c>
      <c r="BW45" s="108">
        <v>0</v>
      </c>
      <c r="BX45" s="108">
        <v>0</v>
      </c>
      <c r="BY45" s="108">
        <v>0</v>
      </c>
      <c r="BZ45" s="108">
        <v>0</v>
      </c>
      <c r="CA45" s="108">
        <v>0</v>
      </c>
      <c r="CB45" s="108">
        <v>0</v>
      </c>
    </row>
    <row r="46" spans="18:80" x14ac:dyDescent="0.55000000000000004">
      <c r="U46" s="104">
        <v>13</v>
      </c>
      <c r="V46" s="106" t="s">
        <v>161</v>
      </c>
      <c r="W46" s="107">
        <v>0</v>
      </c>
      <c r="X46" s="107">
        <v>0</v>
      </c>
      <c r="Y46" s="107">
        <v>0</v>
      </c>
      <c r="Z46" s="107">
        <v>0</v>
      </c>
      <c r="AA46" s="107">
        <v>0</v>
      </c>
      <c r="AB46" s="107">
        <v>0</v>
      </c>
      <c r="AC46" s="107">
        <v>0</v>
      </c>
      <c r="AD46" s="107">
        <v>0</v>
      </c>
      <c r="AE46" s="107">
        <v>0</v>
      </c>
      <c r="AF46" s="107">
        <v>0</v>
      </c>
      <c r="AG46" s="107">
        <v>0</v>
      </c>
      <c r="AH46" s="107">
        <v>0</v>
      </c>
      <c r="AI46" s="107">
        <v>0</v>
      </c>
      <c r="AJ46" s="107">
        <v>0</v>
      </c>
      <c r="AK46" s="107">
        <v>0</v>
      </c>
      <c r="AL46" s="107">
        <v>0</v>
      </c>
      <c r="AM46" s="107">
        <v>0</v>
      </c>
      <c r="AN46" s="104">
        <f t="shared" si="0"/>
        <v>0</v>
      </c>
      <c r="AQ46" s="104" t="str">
        <f>$V$65</f>
        <v>Alyssa</v>
      </c>
      <c r="AR46" s="54">
        <v>0</v>
      </c>
      <c r="AS46" s="54">
        <v>0</v>
      </c>
      <c r="AT46" s="54">
        <v>0</v>
      </c>
      <c r="AU46" s="54">
        <v>0</v>
      </c>
      <c r="AV46" s="54">
        <v>0</v>
      </c>
      <c r="AW46" s="54">
        <v>0</v>
      </c>
      <c r="AX46" s="54">
        <v>0</v>
      </c>
      <c r="AY46" s="54">
        <v>0</v>
      </c>
      <c r="AZ46" s="54">
        <v>0</v>
      </c>
      <c r="BA46" s="54">
        <v>0</v>
      </c>
      <c r="BB46" s="54">
        <v>0</v>
      </c>
      <c r="BC46" s="54">
        <v>0</v>
      </c>
      <c r="BD46" s="54">
        <v>0</v>
      </c>
      <c r="BE46" s="54">
        <v>0</v>
      </c>
      <c r="BF46" s="54">
        <v>0</v>
      </c>
      <c r="BG46" s="54">
        <v>0</v>
      </c>
      <c r="BH46" s="54">
        <v>0</v>
      </c>
      <c r="BK46" s="104" t="str">
        <f>$V$65</f>
        <v>Alyssa</v>
      </c>
      <c r="BL46" s="108">
        <v>0</v>
      </c>
      <c r="BM46" s="108">
        <v>0</v>
      </c>
      <c r="BN46" s="108">
        <v>0</v>
      </c>
      <c r="BO46" s="108">
        <v>0</v>
      </c>
      <c r="BP46" s="108">
        <v>0</v>
      </c>
      <c r="BQ46" s="108">
        <v>0</v>
      </c>
      <c r="BR46" s="108">
        <v>0</v>
      </c>
      <c r="BS46" s="108">
        <v>0</v>
      </c>
      <c r="BT46" s="108">
        <v>0</v>
      </c>
      <c r="BU46" s="108">
        <v>0</v>
      </c>
      <c r="BV46" s="108">
        <v>0</v>
      </c>
      <c r="BW46" s="108">
        <v>0</v>
      </c>
      <c r="BX46" s="108">
        <v>0</v>
      </c>
      <c r="BY46" s="108">
        <v>0</v>
      </c>
      <c r="BZ46" s="108">
        <v>0</v>
      </c>
      <c r="CA46" s="108">
        <v>0</v>
      </c>
      <c r="CB46" s="108">
        <v>0</v>
      </c>
    </row>
    <row r="47" spans="18:80" x14ac:dyDescent="0.55000000000000004">
      <c r="U47" s="104">
        <v>14</v>
      </c>
      <c r="V47" s="106" t="s">
        <v>162</v>
      </c>
      <c r="W47" s="107">
        <v>0</v>
      </c>
      <c r="X47" s="107">
        <v>0</v>
      </c>
      <c r="Y47" s="107">
        <v>0</v>
      </c>
      <c r="Z47" s="107">
        <v>0</v>
      </c>
      <c r="AA47" s="107">
        <v>0</v>
      </c>
      <c r="AB47" s="107">
        <v>0</v>
      </c>
      <c r="AC47" s="107">
        <v>0</v>
      </c>
      <c r="AD47" s="107">
        <v>0</v>
      </c>
      <c r="AE47" s="107">
        <v>0</v>
      </c>
      <c r="AF47" s="107">
        <v>0</v>
      </c>
      <c r="AG47" s="107">
        <v>0</v>
      </c>
      <c r="AH47" s="107">
        <v>0</v>
      </c>
      <c r="AI47" s="107">
        <v>0</v>
      </c>
      <c r="AJ47" s="107">
        <v>0</v>
      </c>
      <c r="AK47" s="107">
        <v>0</v>
      </c>
      <c r="AL47" s="107">
        <v>0</v>
      </c>
      <c r="AM47" s="107">
        <v>0</v>
      </c>
      <c r="AN47" s="104">
        <f t="shared" si="0"/>
        <v>0</v>
      </c>
      <c r="AQ47" s="104" t="str">
        <f>$V$66</f>
        <v>Amanda</v>
      </c>
      <c r="AR47" s="54">
        <v>0</v>
      </c>
      <c r="AS47" s="54">
        <v>0</v>
      </c>
      <c r="AT47" s="54">
        <v>0</v>
      </c>
      <c r="AU47" s="54">
        <v>0</v>
      </c>
      <c r="AV47" s="54">
        <v>0</v>
      </c>
      <c r="AW47" s="54">
        <v>0</v>
      </c>
      <c r="AX47" s="54">
        <v>0</v>
      </c>
      <c r="AY47" s="54">
        <v>0</v>
      </c>
      <c r="AZ47" s="54">
        <v>0</v>
      </c>
      <c r="BA47" s="54">
        <v>0</v>
      </c>
      <c r="BB47" s="54">
        <v>0</v>
      </c>
      <c r="BC47" s="54">
        <v>0</v>
      </c>
      <c r="BD47" s="54">
        <v>0</v>
      </c>
      <c r="BE47" s="54">
        <v>0</v>
      </c>
      <c r="BF47" s="54">
        <v>0</v>
      </c>
      <c r="BG47" s="54">
        <v>0</v>
      </c>
      <c r="BH47" s="54">
        <v>0</v>
      </c>
      <c r="BK47" s="104" t="str">
        <f>$V$66</f>
        <v>Amanda</v>
      </c>
      <c r="BL47" s="108">
        <v>0</v>
      </c>
      <c r="BM47" s="108">
        <v>0</v>
      </c>
      <c r="BN47" s="108">
        <v>0</v>
      </c>
      <c r="BO47" s="108">
        <v>0</v>
      </c>
      <c r="BP47" s="108">
        <v>0</v>
      </c>
      <c r="BQ47" s="108">
        <v>0</v>
      </c>
      <c r="BR47" s="108">
        <v>0</v>
      </c>
      <c r="BS47" s="108">
        <v>0</v>
      </c>
      <c r="BT47" s="108">
        <v>0</v>
      </c>
      <c r="BU47" s="108">
        <v>0</v>
      </c>
      <c r="BV47" s="108">
        <v>0</v>
      </c>
      <c r="BW47" s="108">
        <v>0</v>
      </c>
      <c r="BX47" s="108">
        <v>0</v>
      </c>
      <c r="BY47" s="108">
        <v>0</v>
      </c>
      <c r="BZ47" s="108">
        <v>0</v>
      </c>
      <c r="CA47" s="108">
        <v>0</v>
      </c>
      <c r="CB47" s="108">
        <v>0</v>
      </c>
    </row>
    <row r="48" spans="18:80" x14ac:dyDescent="0.55000000000000004">
      <c r="U48" s="104">
        <v>15</v>
      </c>
      <c r="V48" s="106" t="s">
        <v>163</v>
      </c>
      <c r="W48" s="107">
        <v>0</v>
      </c>
      <c r="X48" s="107">
        <v>0</v>
      </c>
      <c r="Y48" s="107">
        <v>0</v>
      </c>
      <c r="Z48" s="107">
        <v>0</v>
      </c>
      <c r="AA48" s="107">
        <v>0</v>
      </c>
      <c r="AB48" s="107">
        <v>0</v>
      </c>
      <c r="AC48" s="107">
        <v>0</v>
      </c>
      <c r="AD48" s="107">
        <v>0</v>
      </c>
      <c r="AE48" s="107">
        <v>0</v>
      </c>
      <c r="AF48" s="107">
        <v>0</v>
      </c>
      <c r="AG48" s="107">
        <v>0</v>
      </c>
      <c r="AH48" s="107">
        <v>0</v>
      </c>
      <c r="AI48" s="107">
        <v>0</v>
      </c>
      <c r="AJ48" s="107">
        <v>0</v>
      </c>
      <c r="AK48" s="107">
        <v>0</v>
      </c>
      <c r="AL48" s="107">
        <v>0</v>
      </c>
      <c r="AM48" s="107">
        <v>0</v>
      </c>
      <c r="AN48" s="104">
        <f t="shared" si="0"/>
        <v>0</v>
      </c>
      <c r="AQ48" s="104" t="str">
        <f>$V$67</f>
        <v>Antoine</v>
      </c>
      <c r="AR48" s="54">
        <v>0</v>
      </c>
      <c r="AS48" s="54">
        <v>0</v>
      </c>
      <c r="AT48" s="54">
        <v>0</v>
      </c>
      <c r="AU48" s="54">
        <v>0</v>
      </c>
      <c r="AV48" s="54">
        <v>0</v>
      </c>
      <c r="AW48" s="54">
        <v>0</v>
      </c>
      <c r="AX48" s="54">
        <v>0</v>
      </c>
      <c r="AY48" s="54">
        <v>0</v>
      </c>
      <c r="AZ48" s="54">
        <v>0</v>
      </c>
      <c r="BA48" s="54">
        <v>0</v>
      </c>
      <c r="BB48" s="54">
        <v>0</v>
      </c>
      <c r="BC48" s="54">
        <v>0</v>
      </c>
      <c r="BD48" s="54">
        <v>0</v>
      </c>
      <c r="BE48" s="54">
        <v>0</v>
      </c>
      <c r="BF48" s="54">
        <v>0</v>
      </c>
      <c r="BG48" s="54">
        <v>0</v>
      </c>
      <c r="BH48" s="54">
        <v>0</v>
      </c>
      <c r="BK48" s="104" t="str">
        <f>$V$67</f>
        <v>Antoine</v>
      </c>
      <c r="BL48" s="108">
        <v>0</v>
      </c>
      <c r="BM48" s="108">
        <v>0</v>
      </c>
      <c r="BN48" s="108">
        <v>0</v>
      </c>
      <c r="BO48" s="108">
        <v>0</v>
      </c>
      <c r="BP48" s="108">
        <v>0</v>
      </c>
      <c r="BQ48" s="108">
        <v>0</v>
      </c>
      <c r="BR48" s="108">
        <v>0</v>
      </c>
      <c r="BS48" s="108">
        <v>0</v>
      </c>
      <c r="BT48" s="108">
        <v>0</v>
      </c>
      <c r="BU48" s="108">
        <v>0</v>
      </c>
      <c r="BV48" s="108">
        <v>0</v>
      </c>
      <c r="BW48" s="108">
        <v>0</v>
      </c>
      <c r="BX48" s="108">
        <v>0</v>
      </c>
      <c r="BY48" s="108">
        <v>0</v>
      </c>
      <c r="BZ48" s="108">
        <v>0</v>
      </c>
      <c r="CA48" s="108">
        <v>0</v>
      </c>
      <c r="CB48" s="108">
        <v>0</v>
      </c>
    </row>
    <row r="49" spans="3:80" x14ac:dyDescent="0.55000000000000004">
      <c r="AQ49" s="104" t="str">
        <f>$V$68</f>
        <v>Beatriz</v>
      </c>
      <c r="AR49" s="54">
        <v>0</v>
      </c>
      <c r="AS49" s="54">
        <v>0</v>
      </c>
      <c r="AT49" s="54">
        <v>0</v>
      </c>
      <c r="AU49" s="54">
        <v>0</v>
      </c>
      <c r="AV49" s="54">
        <v>0</v>
      </c>
      <c r="AW49" s="54">
        <v>0</v>
      </c>
      <c r="AX49" s="54">
        <v>0</v>
      </c>
      <c r="AY49" s="54">
        <v>0</v>
      </c>
      <c r="AZ49" s="54">
        <v>0</v>
      </c>
      <c r="BA49" s="54">
        <v>0</v>
      </c>
      <c r="BB49" s="54">
        <v>0</v>
      </c>
      <c r="BC49" s="54">
        <v>0</v>
      </c>
      <c r="BD49" s="54">
        <v>0</v>
      </c>
      <c r="BE49" s="54">
        <v>0</v>
      </c>
      <c r="BF49" s="54">
        <v>0</v>
      </c>
      <c r="BG49" s="54">
        <v>0</v>
      </c>
      <c r="BH49" s="54">
        <v>0</v>
      </c>
      <c r="BK49" s="104" t="str">
        <f>$V$68</f>
        <v>Beatriz</v>
      </c>
      <c r="BL49" s="108">
        <v>0</v>
      </c>
      <c r="BM49" s="108">
        <v>0</v>
      </c>
      <c r="BN49" s="108">
        <v>0</v>
      </c>
      <c r="BO49" s="108">
        <v>0</v>
      </c>
      <c r="BP49" s="108">
        <v>0</v>
      </c>
      <c r="BQ49" s="108">
        <v>0</v>
      </c>
      <c r="BR49" s="108">
        <v>0</v>
      </c>
      <c r="BS49" s="108">
        <v>0</v>
      </c>
      <c r="BT49" s="108">
        <v>0</v>
      </c>
      <c r="BU49" s="108">
        <v>0</v>
      </c>
      <c r="BV49" s="108">
        <v>0</v>
      </c>
      <c r="BW49" s="108">
        <v>0</v>
      </c>
      <c r="BX49" s="108">
        <v>0</v>
      </c>
      <c r="BY49" s="108">
        <v>0</v>
      </c>
      <c r="BZ49" s="108">
        <v>0</v>
      </c>
      <c r="CA49" s="108">
        <v>0</v>
      </c>
      <c r="CB49" s="108">
        <v>0</v>
      </c>
    </row>
    <row r="50" spans="3:80" x14ac:dyDescent="0.55000000000000004">
      <c r="AQ50" s="104" t="str">
        <f>$V$69</f>
        <v>Charelle</v>
      </c>
      <c r="AR50" s="54">
        <v>0</v>
      </c>
      <c r="AS50" s="54">
        <v>0</v>
      </c>
      <c r="AT50" s="54">
        <v>0</v>
      </c>
      <c r="AU50" s="54">
        <v>0</v>
      </c>
      <c r="AV50" s="54">
        <v>0</v>
      </c>
      <c r="AW50" s="54">
        <v>0</v>
      </c>
      <c r="AX50" s="54">
        <v>0</v>
      </c>
      <c r="AY50" s="54">
        <v>0</v>
      </c>
      <c r="AZ50" s="54">
        <v>0</v>
      </c>
      <c r="BA50" s="54">
        <v>0</v>
      </c>
      <c r="BB50" s="54">
        <v>0</v>
      </c>
      <c r="BC50" s="54">
        <v>0</v>
      </c>
      <c r="BD50" s="54">
        <v>0</v>
      </c>
      <c r="BE50" s="54">
        <v>0</v>
      </c>
      <c r="BF50" s="54">
        <v>0</v>
      </c>
      <c r="BG50" s="54">
        <v>0</v>
      </c>
      <c r="BH50" s="54">
        <v>0</v>
      </c>
      <c r="BK50" s="104" t="str">
        <f>$V$69</f>
        <v>Charelle</v>
      </c>
      <c r="BL50" s="108">
        <v>0</v>
      </c>
      <c r="BM50" s="108">
        <v>0</v>
      </c>
      <c r="BN50" s="108">
        <v>0</v>
      </c>
      <c r="BO50" s="108">
        <v>0</v>
      </c>
      <c r="BP50" s="108">
        <v>0</v>
      </c>
      <c r="BQ50" s="108">
        <v>0</v>
      </c>
      <c r="BR50" s="108">
        <v>0</v>
      </c>
      <c r="BS50" s="108">
        <v>0</v>
      </c>
      <c r="BT50" s="108">
        <v>0</v>
      </c>
      <c r="BU50" s="108">
        <v>0</v>
      </c>
      <c r="BV50" s="108">
        <v>0</v>
      </c>
      <c r="BW50" s="108">
        <v>0</v>
      </c>
      <c r="BX50" s="108">
        <v>0</v>
      </c>
      <c r="BY50" s="108">
        <v>0</v>
      </c>
      <c r="BZ50" s="108">
        <v>0</v>
      </c>
      <c r="CA50" s="108">
        <v>0</v>
      </c>
      <c r="CB50" s="108">
        <v>0</v>
      </c>
    </row>
    <row r="51" spans="3:80" x14ac:dyDescent="0.55000000000000004">
      <c r="C51" s="104" t="s">
        <v>154</v>
      </c>
      <c r="AQ51" s="104" t="str">
        <f>$V$70</f>
        <v>Dimitri</v>
      </c>
      <c r="AR51" s="54">
        <v>0</v>
      </c>
      <c r="AS51" s="54">
        <v>0</v>
      </c>
      <c r="AT51" s="54">
        <v>0</v>
      </c>
      <c r="AU51" s="54">
        <v>0</v>
      </c>
      <c r="AV51" s="54">
        <v>0</v>
      </c>
      <c r="AW51" s="54">
        <v>0</v>
      </c>
      <c r="AX51" s="54">
        <v>0</v>
      </c>
      <c r="AY51" s="54">
        <v>0</v>
      </c>
      <c r="AZ51" s="54">
        <v>0</v>
      </c>
      <c r="BA51" s="54">
        <v>0</v>
      </c>
      <c r="BB51" s="54">
        <v>0</v>
      </c>
      <c r="BC51" s="54">
        <v>0</v>
      </c>
      <c r="BD51" s="54">
        <v>0</v>
      </c>
      <c r="BE51" s="54">
        <v>0</v>
      </c>
      <c r="BF51" s="54">
        <v>0</v>
      </c>
      <c r="BG51" s="54">
        <v>0</v>
      </c>
      <c r="BH51" s="54">
        <v>0</v>
      </c>
      <c r="BK51" s="104" t="str">
        <f>$V$70</f>
        <v>Dimitri</v>
      </c>
      <c r="BL51" s="108">
        <v>0</v>
      </c>
      <c r="BM51" s="108">
        <v>0</v>
      </c>
      <c r="BN51" s="108">
        <v>0</v>
      </c>
      <c r="BO51" s="108">
        <v>0</v>
      </c>
      <c r="BP51" s="108">
        <v>0</v>
      </c>
      <c r="BQ51" s="108">
        <v>0</v>
      </c>
      <c r="BR51" s="108">
        <v>0</v>
      </c>
      <c r="BS51" s="108">
        <v>0</v>
      </c>
      <c r="BT51" s="108">
        <v>0</v>
      </c>
      <c r="BU51" s="108">
        <v>0</v>
      </c>
      <c r="BV51" s="108">
        <v>0</v>
      </c>
      <c r="BW51" s="108">
        <v>0</v>
      </c>
      <c r="BX51" s="108">
        <v>0</v>
      </c>
      <c r="BY51" s="108">
        <v>0</v>
      </c>
      <c r="BZ51" s="108">
        <v>0</v>
      </c>
      <c r="CA51" s="108">
        <v>0</v>
      </c>
      <c r="CB51" s="108">
        <v>0</v>
      </c>
    </row>
    <row r="52" spans="3:80" x14ac:dyDescent="0.55000000000000004">
      <c r="C52" s="104" t="s">
        <v>135</v>
      </c>
      <c r="D52" s="104" t="str">
        <f>$W$33</f>
        <v>16h</v>
      </c>
      <c r="E52" s="104" t="str">
        <f>$X$33</f>
        <v>17h</v>
      </c>
      <c r="F52" s="104" t="str">
        <f>$Y$33</f>
        <v>18h</v>
      </c>
      <c r="G52" s="104" t="str">
        <f>$Z$33</f>
        <v>19h</v>
      </c>
      <c r="H52" s="104" t="str">
        <f>$AA$33</f>
        <v>20h</v>
      </c>
      <c r="I52" s="104" t="str">
        <f>$AB$33</f>
        <v>21h</v>
      </c>
      <c r="J52" s="104" t="str">
        <f>$AC$33</f>
        <v>22h</v>
      </c>
      <c r="K52" s="104" t="str">
        <f>$AD$33</f>
        <v>23h</v>
      </c>
      <c r="L52" s="104" t="str">
        <f>$AE$33</f>
        <v>00h</v>
      </c>
      <c r="M52" s="104" t="str">
        <f>$AF$33</f>
        <v>01h</v>
      </c>
      <c r="N52" s="104" t="str">
        <f>$AG$33</f>
        <v>02h</v>
      </c>
      <c r="O52" s="104" t="str">
        <f>$AH$33</f>
        <v>03h</v>
      </c>
      <c r="P52" s="104" t="str">
        <f>$AI$33</f>
        <v>04h</v>
      </c>
      <c r="Q52" s="104" t="str">
        <f>$AJ$33</f>
        <v>05h</v>
      </c>
      <c r="R52" s="104" t="str">
        <f>$AK$33</f>
        <v>06h</v>
      </c>
      <c r="S52" s="104" t="str">
        <f>$AL$33</f>
        <v>07h</v>
      </c>
      <c r="V52" s="104" t="s">
        <v>151</v>
      </c>
      <c r="W52" s="104" t="str">
        <f>$W$33</f>
        <v>16h</v>
      </c>
      <c r="X52" s="104" t="str">
        <f>$X$33</f>
        <v>17h</v>
      </c>
      <c r="Y52" s="104" t="str">
        <f>$Y$33</f>
        <v>18h</v>
      </c>
      <c r="Z52" s="104" t="str">
        <f>$Z$33</f>
        <v>19h</v>
      </c>
      <c r="AA52" s="104" t="str">
        <f>$AA$33</f>
        <v>20h</v>
      </c>
      <c r="AB52" s="104" t="str">
        <f>$AB$33</f>
        <v>21h</v>
      </c>
      <c r="AC52" s="104" t="str">
        <f>$AC$33</f>
        <v>22h</v>
      </c>
      <c r="AD52" s="104" t="str">
        <f>$AD$33</f>
        <v>23h</v>
      </c>
      <c r="AE52" s="104" t="str">
        <f>$AE$33</f>
        <v>00h</v>
      </c>
      <c r="AF52" s="104" t="str">
        <f>$AF$33</f>
        <v>01h</v>
      </c>
      <c r="AG52" s="104" t="str">
        <f>$AG$33</f>
        <v>02h</v>
      </c>
      <c r="AH52" s="104" t="str">
        <f>$AH$33</f>
        <v>03h</v>
      </c>
      <c r="AI52" s="104" t="str">
        <f>$AI$33</f>
        <v>04h</v>
      </c>
      <c r="AJ52" s="104" t="str">
        <f>$AJ$33</f>
        <v>05h</v>
      </c>
      <c r="AK52" s="104" t="str">
        <f>$AK$33</f>
        <v>06h</v>
      </c>
      <c r="AL52" s="104" t="str">
        <f>$AL$33</f>
        <v>07h</v>
      </c>
      <c r="AM52" s="104" t="str">
        <f>$AM$33</f>
        <v>08h</v>
      </c>
      <c r="AN52" s="104" t="s">
        <v>148</v>
      </c>
      <c r="AQ52" s="104" t="str">
        <f>$V$71</f>
        <v>Marina</v>
      </c>
      <c r="AR52" s="54">
        <v>0</v>
      </c>
      <c r="AS52" s="54">
        <v>0</v>
      </c>
      <c r="AT52" s="54">
        <v>0</v>
      </c>
      <c r="AU52" s="54">
        <v>0</v>
      </c>
      <c r="AV52" s="54">
        <v>0</v>
      </c>
      <c r="AW52" s="54">
        <v>0</v>
      </c>
      <c r="AX52" s="54">
        <v>0</v>
      </c>
      <c r="AY52" s="54">
        <v>0</v>
      </c>
      <c r="AZ52" s="54">
        <v>0</v>
      </c>
      <c r="BA52" s="54">
        <v>0</v>
      </c>
      <c r="BB52" s="54">
        <v>0</v>
      </c>
      <c r="BC52" s="54">
        <v>0</v>
      </c>
      <c r="BD52" s="54">
        <v>0</v>
      </c>
      <c r="BE52" s="54">
        <v>0</v>
      </c>
      <c r="BF52" s="54">
        <v>0</v>
      </c>
      <c r="BG52" s="54">
        <v>0</v>
      </c>
      <c r="BH52" s="54">
        <v>0</v>
      </c>
      <c r="BK52" s="104" t="str">
        <f>$V$71</f>
        <v>Marina</v>
      </c>
      <c r="BL52" s="108">
        <v>0</v>
      </c>
      <c r="BM52" s="108">
        <v>0</v>
      </c>
      <c r="BN52" s="108">
        <v>0</v>
      </c>
      <c r="BO52" s="108">
        <v>0</v>
      </c>
      <c r="BP52" s="108">
        <v>0</v>
      </c>
      <c r="BQ52" s="108">
        <v>0</v>
      </c>
      <c r="BR52" s="108">
        <v>0</v>
      </c>
      <c r="BS52" s="108">
        <v>0</v>
      </c>
      <c r="BT52" s="108">
        <v>0</v>
      </c>
      <c r="BU52" s="108">
        <v>0</v>
      </c>
      <c r="BV52" s="108">
        <v>0</v>
      </c>
      <c r="BW52" s="108">
        <v>0</v>
      </c>
      <c r="BX52" s="108">
        <v>0</v>
      </c>
      <c r="BY52" s="108">
        <v>0</v>
      </c>
      <c r="BZ52" s="108">
        <v>0</v>
      </c>
      <c r="CA52" s="108">
        <v>0</v>
      </c>
      <c r="CB52" s="108">
        <v>0</v>
      </c>
    </row>
    <row r="53" spans="3:80" x14ac:dyDescent="0.55000000000000004">
      <c r="C53" s="104" t="str">
        <f>$V$53</f>
        <v>Jennifer</v>
      </c>
      <c r="D53" s="54">
        <v>0</v>
      </c>
      <c r="E53" s="54">
        <v>0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0</v>
      </c>
      <c r="P53" s="54">
        <v>0</v>
      </c>
      <c r="Q53" s="54">
        <v>0</v>
      </c>
      <c r="R53" s="54">
        <v>0</v>
      </c>
      <c r="S53" s="54">
        <v>0</v>
      </c>
      <c r="U53" s="104">
        <v>1</v>
      </c>
      <c r="V53" s="106" t="s">
        <v>46</v>
      </c>
      <c r="W53" s="102">
        <v>1</v>
      </c>
      <c r="X53" s="102">
        <v>1</v>
      </c>
      <c r="Y53" s="102">
        <v>1</v>
      </c>
      <c r="Z53" s="102">
        <v>1</v>
      </c>
      <c r="AA53" s="102">
        <v>1</v>
      </c>
      <c r="AB53" s="102">
        <v>1</v>
      </c>
      <c r="AC53" s="102">
        <v>1</v>
      </c>
      <c r="AD53" s="102">
        <v>1</v>
      </c>
      <c r="AE53" s="102">
        <v>1</v>
      </c>
      <c r="AF53" s="102">
        <v>1</v>
      </c>
      <c r="AG53" s="102">
        <v>1</v>
      </c>
      <c r="AH53" s="102">
        <v>1</v>
      </c>
      <c r="AI53" s="102">
        <v>0</v>
      </c>
      <c r="AJ53" s="102">
        <v>0</v>
      </c>
      <c r="AK53" s="102">
        <v>0</v>
      </c>
      <c r="AL53" s="102">
        <v>0</v>
      </c>
      <c r="AM53" s="102">
        <v>0</v>
      </c>
      <c r="AN53" s="104">
        <f t="shared" ref="AN53:AN92" si="1">SUM(W53:AM53)</f>
        <v>12</v>
      </c>
      <c r="AQ53" s="104" t="str">
        <f>$V$72</f>
        <v>Michel</v>
      </c>
      <c r="AR53" s="54">
        <v>0</v>
      </c>
      <c r="AS53" s="54">
        <v>0</v>
      </c>
      <c r="AT53" s="54">
        <v>0</v>
      </c>
      <c r="AU53" s="54">
        <v>0</v>
      </c>
      <c r="AV53" s="54">
        <v>0</v>
      </c>
      <c r="AW53" s="54">
        <v>0</v>
      </c>
      <c r="AX53" s="54">
        <v>0</v>
      </c>
      <c r="AY53" s="54">
        <v>0</v>
      </c>
      <c r="AZ53" s="54">
        <v>0</v>
      </c>
      <c r="BA53" s="54">
        <v>0</v>
      </c>
      <c r="BB53" s="54">
        <v>0</v>
      </c>
      <c r="BC53" s="54">
        <v>0</v>
      </c>
      <c r="BD53" s="54">
        <v>0</v>
      </c>
      <c r="BE53" s="54">
        <v>0</v>
      </c>
      <c r="BF53" s="54">
        <v>0</v>
      </c>
      <c r="BG53" s="54">
        <v>0</v>
      </c>
      <c r="BH53" s="54">
        <v>0</v>
      </c>
      <c r="BK53" s="104" t="str">
        <f>$V$72</f>
        <v>Michel</v>
      </c>
      <c r="BL53" s="108">
        <v>0</v>
      </c>
      <c r="BM53" s="108">
        <v>0</v>
      </c>
      <c r="BN53" s="108">
        <v>0</v>
      </c>
      <c r="BO53" s="108">
        <v>0</v>
      </c>
      <c r="BP53" s="108">
        <v>0</v>
      </c>
      <c r="BQ53" s="108">
        <v>0</v>
      </c>
      <c r="BR53" s="108">
        <v>0</v>
      </c>
      <c r="BS53" s="108">
        <v>0</v>
      </c>
      <c r="BT53" s="108">
        <v>0</v>
      </c>
      <c r="BU53" s="108">
        <v>0</v>
      </c>
      <c r="BV53" s="108">
        <v>0</v>
      </c>
      <c r="BW53" s="108">
        <v>0</v>
      </c>
      <c r="BX53" s="108">
        <v>0</v>
      </c>
      <c r="BY53" s="108">
        <v>0</v>
      </c>
      <c r="BZ53" s="108">
        <v>0</v>
      </c>
      <c r="CA53" s="108">
        <v>0</v>
      </c>
      <c r="CB53" s="108">
        <v>0</v>
      </c>
    </row>
    <row r="54" spans="3:80" x14ac:dyDescent="0.55000000000000004">
      <c r="C54" s="104" t="str">
        <f>$V$54</f>
        <v>Galileo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54">
        <v>0</v>
      </c>
      <c r="R54" s="54">
        <v>0</v>
      </c>
      <c r="S54" s="54">
        <v>0</v>
      </c>
      <c r="U54" s="104">
        <v>2</v>
      </c>
      <c r="V54" s="106" t="s">
        <v>47</v>
      </c>
      <c r="W54" s="102">
        <v>1</v>
      </c>
      <c r="X54" s="102">
        <v>1</v>
      </c>
      <c r="Y54" s="102">
        <v>1</v>
      </c>
      <c r="Z54" s="102">
        <v>1</v>
      </c>
      <c r="AA54" s="102">
        <v>1</v>
      </c>
      <c r="AB54" s="102">
        <v>1</v>
      </c>
      <c r="AC54" s="102">
        <v>1</v>
      </c>
      <c r="AD54" s="102">
        <v>1</v>
      </c>
      <c r="AE54" s="102">
        <v>1</v>
      </c>
      <c r="AF54" s="102">
        <v>1</v>
      </c>
      <c r="AG54" s="102">
        <v>1</v>
      </c>
      <c r="AH54" s="102">
        <v>1</v>
      </c>
      <c r="AI54" s="102">
        <v>0</v>
      </c>
      <c r="AJ54" s="102">
        <v>0</v>
      </c>
      <c r="AK54" s="102">
        <v>0</v>
      </c>
      <c r="AL54" s="102">
        <v>0</v>
      </c>
      <c r="AM54" s="102">
        <v>0</v>
      </c>
      <c r="AN54" s="104">
        <f t="shared" si="1"/>
        <v>12</v>
      </c>
      <c r="AQ54" s="104" t="str">
        <f>$V$73</f>
        <v>Nour</v>
      </c>
      <c r="AR54" s="54">
        <v>0</v>
      </c>
      <c r="AS54" s="54">
        <v>0</v>
      </c>
      <c r="AT54" s="54">
        <v>0</v>
      </c>
      <c r="AU54" s="54">
        <v>0</v>
      </c>
      <c r="AV54" s="54">
        <v>0</v>
      </c>
      <c r="AW54" s="54">
        <v>0</v>
      </c>
      <c r="AX54" s="54">
        <v>0</v>
      </c>
      <c r="AY54" s="54">
        <v>0</v>
      </c>
      <c r="AZ54" s="54">
        <v>0</v>
      </c>
      <c r="BA54" s="54">
        <v>0</v>
      </c>
      <c r="BB54" s="54">
        <v>0</v>
      </c>
      <c r="BC54" s="54">
        <v>0</v>
      </c>
      <c r="BD54" s="54">
        <v>0</v>
      </c>
      <c r="BE54" s="54">
        <v>0</v>
      </c>
      <c r="BF54" s="54">
        <v>0</v>
      </c>
      <c r="BG54" s="54">
        <v>0</v>
      </c>
      <c r="BH54" s="54">
        <v>0</v>
      </c>
      <c r="BK54" s="104" t="str">
        <f>$V$73</f>
        <v>Nour</v>
      </c>
      <c r="BL54" s="108">
        <v>0</v>
      </c>
      <c r="BM54" s="108">
        <v>0</v>
      </c>
      <c r="BN54" s="108">
        <v>0</v>
      </c>
      <c r="BO54" s="108">
        <v>0</v>
      </c>
      <c r="BP54" s="108">
        <v>0</v>
      </c>
      <c r="BQ54" s="108">
        <v>0</v>
      </c>
      <c r="BR54" s="108">
        <v>0</v>
      </c>
      <c r="BS54" s="108">
        <v>0</v>
      </c>
      <c r="BT54" s="108">
        <v>0</v>
      </c>
      <c r="BU54" s="108">
        <v>0</v>
      </c>
      <c r="BV54" s="108">
        <v>0</v>
      </c>
      <c r="BW54" s="108">
        <v>0</v>
      </c>
      <c r="BX54" s="108">
        <v>0</v>
      </c>
      <c r="BY54" s="108">
        <v>0</v>
      </c>
      <c r="BZ54" s="108">
        <v>0</v>
      </c>
      <c r="CA54" s="108">
        <v>0</v>
      </c>
      <c r="CB54" s="108">
        <v>0</v>
      </c>
    </row>
    <row r="55" spans="3:80" x14ac:dyDescent="0.55000000000000004">
      <c r="C55" s="104" t="str">
        <f>$V$55</f>
        <v>Óscar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4">
        <v>0</v>
      </c>
      <c r="U55" s="104">
        <v>3</v>
      </c>
      <c r="V55" s="106" t="s">
        <v>48</v>
      </c>
      <c r="W55" s="102">
        <v>1</v>
      </c>
      <c r="X55" s="102">
        <v>1</v>
      </c>
      <c r="Y55" s="102">
        <v>1</v>
      </c>
      <c r="Z55" s="102">
        <v>1</v>
      </c>
      <c r="AA55" s="102">
        <v>1</v>
      </c>
      <c r="AB55" s="102">
        <v>1</v>
      </c>
      <c r="AC55" s="102">
        <v>1</v>
      </c>
      <c r="AD55" s="102">
        <v>1</v>
      </c>
      <c r="AE55" s="102">
        <v>1</v>
      </c>
      <c r="AF55" s="102">
        <v>1</v>
      </c>
      <c r="AG55" s="102">
        <v>1</v>
      </c>
      <c r="AH55" s="102">
        <v>1</v>
      </c>
      <c r="AI55" s="102">
        <v>0</v>
      </c>
      <c r="AJ55" s="102">
        <v>0</v>
      </c>
      <c r="AK55" s="102">
        <v>0</v>
      </c>
      <c r="AL55" s="102">
        <v>0</v>
      </c>
      <c r="AM55" s="102">
        <v>0</v>
      </c>
      <c r="AN55" s="104">
        <f t="shared" si="1"/>
        <v>12</v>
      </c>
      <c r="AQ55" s="104" t="str">
        <f>$V$74</f>
        <v>Samuel</v>
      </c>
      <c r="AR55" s="54">
        <v>0</v>
      </c>
      <c r="AS55" s="54">
        <v>0</v>
      </c>
      <c r="AT55" s="54">
        <v>0</v>
      </c>
      <c r="AU55" s="54">
        <v>0</v>
      </c>
      <c r="AV55" s="54">
        <v>0</v>
      </c>
      <c r="AW55" s="54">
        <v>0</v>
      </c>
      <c r="AX55" s="54">
        <v>0</v>
      </c>
      <c r="AY55" s="54">
        <v>0</v>
      </c>
      <c r="AZ55" s="54">
        <v>0</v>
      </c>
      <c r="BA55" s="54">
        <v>0</v>
      </c>
      <c r="BB55" s="54">
        <v>0</v>
      </c>
      <c r="BC55" s="54">
        <v>0</v>
      </c>
      <c r="BD55" s="54">
        <v>0</v>
      </c>
      <c r="BE55" s="54">
        <v>0</v>
      </c>
      <c r="BF55" s="54">
        <v>0</v>
      </c>
      <c r="BG55" s="54">
        <v>0</v>
      </c>
      <c r="BH55" s="54">
        <v>0</v>
      </c>
      <c r="BK55" s="104" t="str">
        <f>$V$74</f>
        <v>Samuel</v>
      </c>
      <c r="BL55" s="108">
        <v>0</v>
      </c>
      <c r="BM55" s="108">
        <v>0</v>
      </c>
      <c r="BN55" s="108">
        <v>0</v>
      </c>
      <c r="BO55" s="108">
        <v>0</v>
      </c>
      <c r="BP55" s="108">
        <v>0</v>
      </c>
      <c r="BQ55" s="108">
        <v>0</v>
      </c>
      <c r="BR55" s="108">
        <v>0</v>
      </c>
      <c r="BS55" s="108">
        <v>0</v>
      </c>
      <c r="BT55" s="108">
        <v>0</v>
      </c>
      <c r="BU55" s="108">
        <v>0</v>
      </c>
      <c r="BV55" s="108">
        <v>0</v>
      </c>
      <c r="BW55" s="108">
        <v>0</v>
      </c>
      <c r="BX55" s="108">
        <v>0</v>
      </c>
      <c r="BY55" s="108">
        <v>0</v>
      </c>
      <c r="BZ55" s="108">
        <v>0</v>
      </c>
      <c r="CA55" s="108">
        <v>0</v>
      </c>
      <c r="CB55" s="108">
        <v>0</v>
      </c>
    </row>
    <row r="56" spans="3:80" x14ac:dyDescent="0.55000000000000004">
      <c r="C56" s="104" t="str">
        <f>$V$56</f>
        <v>Sebastián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0</v>
      </c>
      <c r="P56" s="54">
        <v>0</v>
      </c>
      <c r="Q56" s="54">
        <v>0</v>
      </c>
      <c r="R56" s="54">
        <v>0</v>
      </c>
      <c r="S56" s="54">
        <v>0</v>
      </c>
      <c r="U56" s="104">
        <v>4</v>
      </c>
      <c r="V56" s="106" t="s">
        <v>49</v>
      </c>
      <c r="W56" s="102">
        <v>1</v>
      </c>
      <c r="X56" s="102">
        <v>1</v>
      </c>
      <c r="Y56" s="102">
        <v>1</v>
      </c>
      <c r="Z56" s="102">
        <v>1</v>
      </c>
      <c r="AA56" s="102">
        <v>1</v>
      </c>
      <c r="AB56" s="102">
        <v>1</v>
      </c>
      <c r="AC56" s="102">
        <v>1</v>
      </c>
      <c r="AD56" s="102">
        <v>1</v>
      </c>
      <c r="AE56" s="102">
        <v>1</v>
      </c>
      <c r="AF56" s="102">
        <v>1</v>
      </c>
      <c r="AG56" s="102">
        <v>1</v>
      </c>
      <c r="AH56" s="102">
        <v>1</v>
      </c>
      <c r="AI56" s="102">
        <v>0</v>
      </c>
      <c r="AJ56" s="102">
        <v>0</v>
      </c>
      <c r="AK56" s="102">
        <v>0</v>
      </c>
      <c r="AL56" s="102">
        <v>0</v>
      </c>
      <c r="AM56" s="102">
        <v>0</v>
      </c>
      <c r="AN56" s="104">
        <f t="shared" si="1"/>
        <v>12</v>
      </c>
      <c r="AQ56" s="104" t="str">
        <f>$V$75</f>
        <v>Yassin</v>
      </c>
      <c r="AR56" s="54">
        <v>0</v>
      </c>
      <c r="AS56" s="54">
        <v>0</v>
      </c>
      <c r="AT56" s="54">
        <v>0</v>
      </c>
      <c r="AU56" s="54">
        <v>0</v>
      </c>
      <c r="AV56" s="54">
        <v>0</v>
      </c>
      <c r="AW56" s="54">
        <v>0</v>
      </c>
      <c r="AX56" s="54">
        <v>0</v>
      </c>
      <c r="AY56" s="54">
        <v>0</v>
      </c>
      <c r="AZ56" s="54">
        <v>0</v>
      </c>
      <c r="BA56" s="54">
        <v>0</v>
      </c>
      <c r="BB56" s="54">
        <v>0</v>
      </c>
      <c r="BC56" s="54">
        <v>0</v>
      </c>
      <c r="BD56" s="54">
        <v>0</v>
      </c>
      <c r="BE56" s="54">
        <v>0</v>
      </c>
      <c r="BF56" s="54">
        <v>0</v>
      </c>
      <c r="BG56" s="54">
        <v>0</v>
      </c>
      <c r="BH56" s="54">
        <v>0</v>
      </c>
      <c r="BK56" s="104" t="str">
        <f>$V$75</f>
        <v>Yassin</v>
      </c>
      <c r="BL56" s="108">
        <v>0</v>
      </c>
      <c r="BM56" s="108">
        <v>0</v>
      </c>
      <c r="BN56" s="108">
        <v>0</v>
      </c>
      <c r="BO56" s="108">
        <v>0</v>
      </c>
      <c r="BP56" s="108">
        <v>0</v>
      </c>
      <c r="BQ56" s="108">
        <v>0</v>
      </c>
      <c r="BR56" s="108">
        <v>0</v>
      </c>
      <c r="BS56" s="108">
        <v>0</v>
      </c>
      <c r="BT56" s="108">
        <v>0</v>
      </c>
      <c r="BU56" s="108">
        <v>0</v>
      </c>
      <c r="BV56" s="108">
        <v>0</v>
      </c>
      <c r="BW56" s="108">
        <v>0</v>
      </c>
      <c r="BX56" s="108">
        <v>0</v>
      </c>
      <c r="BY56" s="108">
        <v>0</v>
      </c>
      <c r="BZ56" s="108">
        <v>0</v>
      </c>
      <c r="CA56" s="108">
        <v>0</v>
      </c>
      <c r="CB56" s="108">
        <v>0</v>
      </c>
    </row>
    <row r="57" spans="3:80" x14ac:dyDescent="0.55000000000000004">
      <c r="C57" s="104" t="str">
        <f>$V$57</f>
        <v>Marcos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54">
        <v>0</v>
      </c>
      <c r="Q57" s="54">
        <v>0</v>
      </c>
      <c r="R57" s="54">
        <v>0</v>
      </c>
      <c r="S57" s="54">
        <v>0</v>
      </c>
      <c r="U57" s="104">
        <v>5</v>
      </c>
      <c r="V57" s="106" t="s">
        <v>50</v>
      </c>
      <c r="W57" s="102">
        <v>1</v>
      </c>
      <c r="X57" s="102">
        <v>1</v>
      </c>
      <c r="Y57" s="102">
        <v>1</v>
      </c>
      <c r="Z57" s="102">
        <v>1</v>
      </c>
      <c r="AA57" s="102">
        <v>1</v>
      </c>
      <c r="AB57" s="102">
        <v>1</v>
      </c>
      <c r="AC57" s="102">
        <v>1</v>
      </c>
      <c r="AD57" s="102">
        <v>1</v>
      </c>
      <c r="AE57" s="102">
        <v>1</v>
      </c>
      <c r="AF57" s="102">
        <v>1</v>
      </c>
      <c r="AG57" s="102">
        <v>1</v>
      </c>
      <c r="AH57" s="102">
        <v>1</v>
      </c>
      <c r="AI57" s="102">
        <v>0</v>
      </c>
      <c r="AJ57" s="102">
        <v>0</v>
      </c>
      <c r="AK57" s="102">
        <v>0</v>
      </c>
      <c r="AL57" s="102">
        <v>0</v>
      </c>
      <c r="AM57" s="102">
        <v>0</v>
      </c>
      <c r="AN57" s="104">
        <f t="shared" si="1"/>
        <v>12</v>
      </c>
      <c r="AQ57" s="104" t="str">
        <f>$V$76</f>
        <v>Kamar</v>
      </c>
      <c r="AR57" s="54">
        <v>0</v>
      </c>
      <c r="AS57" s="54">
        <v>0</v>
      </c>
      <c r="AT57" s="54">
        <v>0</v>
      </c>
      <c r="AU57" s="54">
        <v>0</v>
      </c>
      <c r="AV57" s="54">
        <v>0</v>
      </c>
      <c r="AW57" s="54">
        <v>0</v>
      </c>
      <c r="AX57" s="54">
        <v>0</v>
      </c>
      <c r="AY57" s="54">
        <v>0</v>
      </c>
      <c r="AZ57" s="54">
        <v>0</v>
      </c>
      <c r="BA57" s="54">
        <v>0</v>
      </c>
      <c r="BB57" s="54">
        <v>0</v>
      </c>
      <c r="BC57" s="54">
        <v>0</v>
      </c>
      <c r="BD57" s="54">
        <v>0</v>
      </c>
      <c r="BE57" s="54">
        <v>0</v>
      </c>
      <c r="BF57" s="54">
        <v>0</v>
      </c>
      <c r="BG57" s="54">
        <v>0</v>
      </c>
      <c r="BH57" s="54">
        <v>0</v>
      </c>
      <c r="BK57" s="104" t="str">
        <f>$V$76</f>
        <v>Kamar</v>
      </c>
      <c r="BL57" s="108">
        <v>0</v>
      </c>
      <c r="BM57" s="108">
        <v>0</v>
      </c>
      <c r="BN57" s="108">
        <v>0</v>
      </c>
      <c r="BO57" s="108">
        <v>0</v>
      </c>
      <c r="BP57" s="108">
        <v>0</v>
      </c>
      <c r="BQ57" s="108">
        <v>0</v>
      </c>
      <c r="BR57" s="108">
        <v>0</v>
      </c>
      <c r="BS57" s="108">
        <v>0</v>
      </c>
      <c r="BT57" s="108">
        <v>0</v>
      </c>
      <c r="BU57" s="108">
        <v>0</v>
      </c>
      <c r="BV57" s="108">
        <v>0</v>
      </c>
      <c r="BW57" s="108">
        <v>0</v>
      </c>
      <c r="BX57" s="108">
        <v>0</v>
      </c>
      <c r="BY57" s="108">
        <v>0</v>
      </c>
      <c r="BZ57" s="108">
        <v>0</v>
      </c>
      <c r="CA57" s="108">
        <v>0</v>
      </c>
      <c r="CB57" s="108">
        <v>0</v>
      </c>
    </row>
    <row r="58" spans="3:80" x14ac:dyDescent="0.55000000000000004">
      <c r="C58" s="104" t="str">
        <f>$V$58</f>
        <v>Weixin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0</v>
      </c>
      <c r="O58" s="54">
        <v>0</v>
      </c>
      <c r="P58" s="54">
        <v>0</v>
      </c>
      <c r="Q58" s="54">
        <v>0</v>
      </c>
      <c r="R58" s="54">
        <v>0</v>
      </c>
      <c r="S58" s="54">
        <v>0</v>
      </c>
      <c r="U58" s="104">
        <v>6</v>
      </c>
      <c r="V58" s="106" t="s">
        <v>51</v>
      </c>
      <c r="W58" s="102">
        <v>1</v>
      </c>
      <c r="X58" s="102">
        <v>1</v>
      </c>
      <c r="Y58" s="102">
        <v>1</v>
      </c>
      <c r="Z58" s="102">
        <v>1</v>
      </c>
      <c r="AA58" s="102">
        <v>1</v>
      </c>
      <c r="AB58" s="102">
        <v>1</v>
      </c>
      <c r="AC58" s="102">
        <v>1</v>
      </c>
      <c r="AD58" s="102">
        <v>1</v>
      </c>
      <c r="AE58" s="102">
        <v>1</v>
      </c>
      <c r="AF58" s="102">
        <v>1</v>
      </c>
      <c r="AG58" s="102">
        <v>1</v>
      </c>
      <c r="AH58" s="102">
        <v>1</v>
      </c>
      <c r="AI58" s="102">
        <v>0</v>
      </c>
      <c r="AJ58" s="102">
        <v>0</v>
      </c>
      <c r="AK58" s="102">
        <v>0</v>
      </c>
      <c r="AL58" s="102">
        <v>0</v>
      </c>
      <c r="AM58" s="102">
        <v>0</v>
      </c>
      <c r="AN58" s="104">
        <f t="shared" si="1"/>
        <v>12</v>
      </c>
      <c r="AQ58" s="104" t="str">
        <f>$V$77</f>
        <v>-</v>
      </c>
      <c r="AR58" s="54">
        <v>0</v>
      </c>
      <c r="AS58" s="54">
        <v>0</v>
      </c>
      <c r="AT58" s="54">
        <v>0</v>
      </c>
      <c r="AU58" s="54">
        <v>0</v>
      </c>
      <c r="AV58" s="54">
        <v>0</v>
      </c>
      <c r="AW58" s="54">
        <v>0</v>
      </c>
      <c r="AX58" s="54">
        <v>0</v>
      </c>
      <c r="AY58" s="54">
        <v>0</v>
      </c>
      <c r="AZ58" s="54">
        <v>0</v>
      </c>
      <c r="BA58" s="54">
        <v>0</v>
      </c>
      <c r="BB58" s="54">
        <v>0</v>
      </c>
      <c r="BC58" s="54">
        <v>0</v>
      </c>
      <c r="BD58" s="54">
        <v>0</v>
      </c>
      <c r="BE58" s="54">
        <v>0</v>
      </c>
      <c r="BF58" s="54">
        <v>0</v>
      </c>
      <c r="BG58" s="54">
        <v>0</v>
      </c>
      <c r="BH58" s="54">
        <v>0</v>
      </c>
      <c r="BK58" s="104" t="str">
        <f>$V$77</f>
        <v>-</v>
      </c>
      <c r="BL58" s="108">
        <v>0</v>
      </c>
      <c r="BM58" s="108">
        <v>0</v>
      </c>
      <c r="BN58" s="108">
        <v>0</v>
      </c>
      <c r="BO58" s="108">
        <v>0</v>
      </c>
      <c r="BP58" s="108">
        <v>0</v>
      </c>
      <c r="BQ58" s="108">
        <v>0</v>
      </c>
      <c r="BR58" s="108">
        <v>0</v>
      </c>
      <c r="BS58" s="108">
        <v>0</v>
      </c>
      <c r="BT58" s="108">
        <v>0</v>
      </c>
      <c r="BU58" s="108">
        <v>0</v>
      </c>
      <c r="BV58" s="108">
        <v>0</v>
      </c>
      <c r="BW58" s="108">
        <v>0</v>
      </c>
      <c r="BX58" s="108">
        <v>0</v>
      </c>
      <c r="BY58" s="108">
        <v>0</v>
      </c>
      <c r="BZ58" s="108">
        <v>0</v>
      </c>
      <c r="CA58" s="108">
        <v>0</v>
      </c>
      <c r="CB58" s="108">
        <v>0</v>
      </c>
    </row>
    <row r="59" spans="3:80" x14ac:dyDescent="0.55000000000000004">
      <c r="C59" s="104" t="str">
        <f>$V$59</f>
        <v>Benjamin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4">
        <v>0</v>
      </c>
      <c r="R59" s="54">
        <v>0</v>
      </c>
      <c r="S59" s="54">
        <v>0</v>
      </c>
      <c r="U59" s="104">
        <v>7</v>
      </c>
      <c r="V59" s="106" t="s">
        <v>52</v>
      </c>
      <c r="W59" s="102">
        <v>1</v>
      </c>
      <c r="X59" s="102">
        <v>1</v>
      </c>
      <c r="Y59" s="102">
        <v>1</v>
      </c>
      <c r="Z59" s="102">
        <v>1</v>
      </c>
      <c r="AA59" s="102">
        <v>1</v>
      </c>
      <c r="AB59" s="102">
        <v>1</v>
      </c>
      <c r="AC59" s="102">
        <v>1</v>
      </c>
      <c r="AD59" s="102">
        <v>1</v>
      </c>
      <c r="AE59" s="102">
        <v>1</v>
      </c>
      <c r="AF59" s="102">
        <v>1</v>
      </c>
      <c r="AG59" s="102">
        <v>1</v>
      </c>
      <c r="AH59" s="102">
        <v>1</v>
      </c>
      <c r="AI59" s="102">
        <v>0</v>
      </c>
      <c r="AJ59" s="102">
        <v>0</v>
      </c>
      <c r="AK59" s="102">
        <v>0</v>
      </c>
      <c r="AL59" s="102">
        <v>0</v>
      </c>
      <c r="AM59" s="102">
        <v>0</v>
      </c>
      <c r="AN59" s="104">
        <f t="shared" si="1"/>
        <v>12</v>
      </c>
      <c r="AQ59" s="104" t="str">
        <f>$V$78</f>
        <v>-</v>
      </c>
      <c r="AR59" s="54">
        <v>0</v>
      </c>
      <c r="AS59" s="54">
        <v>0</v>
      </c>
      <c r="AT59" s="54">
        <v>0</v>
      </c>
      <c r="AU59" s="54">
        <v>0</v>
      </c>
      <c r="AV59" s="54">
        <v>0</v>
      </c>
      <c r="AW59" s="54">
        <v>0</v>
      </c>
      <c r="AX59" s="54">
        <v>0</v>
      </c>
      <c r="AY59" s="54">
        <v>0</v>
      </c>
      <c r="AZ59" s="54">
        <v>0</v>
      </c>
      <c r="BA59" s="54">
        <v>0</v>
      </c>
      <c r="BB59" s="54">
        <v>0</v>
      </c>
      <c r="BC59" s="54">
        <v>0</v>
      </c>
      <c r="BD59" s="54">
        <v>0</v>
      </c>
      <c r="BE59" s="54">
        <v>0</v>
      </c>
      <c r="BF59" s="54">
        <v>0</v>
      </c>
      <c r="BG59" s="54">
        <v>0</v>
      </c>
      <c r="BH59" s="54">
        <v>0</v>
      </c>
      <c r="BK59" s="104" t="str">
        <f>$V$78</f>
        <v>-</v>
      </c>
      <c r="BL59" s="108">
        <v>0</v>
      </c>
      <c r="BM59" s="108">
        <v>0</v>
      </c>
      <c r="BN59" s="108">
        <v>0</v>
      </c>
      <c r="BO59" s="108">
        <v>0</v>
      </c>
      <c r="BP59" s="108">
        <v>0</v>
      </c>
      <c r="BQ59" s="108">
        <v>0</v>
      </c>
      <c r="BR59" s="108">
        <v>0</v>
      </c>
      <c r="BS59" s="108">
        <v>0</v>
      </c>
      <c r="BT59" s="108">
        <v>0</v>
      </c>
      <c r="BU59" s="108">
        <v>0</v>
      </c>
      <c r="BV59" s="108">
        <v>0</v>
      </c>
      <c r="BW59" s="108">
        <v>0</v>
      </c>
      <c r="BX59" s="108">
        <v>0</v>
      </c>
      <c r="BY59" s="108">
        <v>0</v>
      </c>
      <c r="BZ59" s="108">
        <v>0</v>
      </c>
      <c r="CA59" s="108">
        <v>0</v>
      </c>
      <c r="CB59" s="108">
        <v>0</v>
      </c>
    </row>
    <row r="60" spans="3:80" x14ac:dyDescent="0.55000000000000004">
      <c r="C60" s="104" t="str">
        <f>$V$60</f>
        <v>Joelle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U60" s="104">
        <v>8</v>
      </c>
      <c r="V60" s="106" t="s">
        <v>53</v>
      </c>
      <c r="W60" s="102">
        <v>0</v>
      </c>
      <c r="X60" s="102">
        <v>0</v>
      </c>
      <c r="Y60" s="102">
        <v>0</v>
      </c>
      <c r="Z60" s="102">
        <v>0</v>
      </c>
      <c r="AA60" s="102">
        <v>0</v>
      </c>
      <c r="AB60" s="102">
        <v>0</v>
      </c>
      <c r="AC60" s="102">
        <v>0</v>
      </c>
      <c r="AD60" s="102">
        <v>0</v>
      </c>
      <c r="AE60" s="102">
        <v>0</v>
      </c>
      <c r="AF60" s="102">
        <v>0</v>
      </c>
      <c r="AG60" s="102">
        <v>0</v>
      </c>
      <c r="AH60" s="102">
        <v>0</v>
      </c>
      <c r="AI60" s="102">
        <v>0</v>
      </c>
      <c r="AJ60" s="102">
        <v>0</v>
      </c>
      <c r="AK60" s="102">
        <v>0</v>
      </c>
      <c r="AL60" s="102">
        <v>0</v>
      </c>
      <c r="AM60" s="102">
        <v>0</v>
      </c>
      <c r="AN60" s="104">
        <f t="shared" si="1"/>
        <v>0</v>
      </c>
      <c r="AQ60" s="104" t="str">
        <f>$V$79</f>
        <v>-</v>
      </c>
      <c r="AR60" s="54">
        <v>0</v>
      </c>
      <c r="AS60" s="54">
        <v>0</v>
      </c>
      <c r="AT60" s="54">
        <v>0</v>
      </c>
      <c r="AU60" s="54">
        <v>0</v>
      </c>
      <c r="AV60" s="54">
        <v>0</v>
      </c>
      <c r="AW60" s="54">
        <v>0</v>
      </c>
      <c r="AX60" s="54">
        <v>0</v>
      </c>
      <c r="AY60" s="54">
        <v>0</v>
      </c>
      <c r="AZ60" s="54">
        <v>0</v>
      </c>
      <c r="BA60" s="54">
        <v>0</v>
      </c>
      <c r="BB60" s="54">
        <v>0</v>
      </c>
      <c r="BC60" s="54">
        <v>0</v>
      </c>
      <c r="BD60" s="54">
        <v>0</v>
      </c>
      <c r="BE60" s="54">
        <v>0</v>
      </c>
      <c r="BF60" s="54">
        <v>0</v>
      </c>
      <c r="BG60" s="54">
        <v>0</v>
      </c>
      <c r="BH60" s="54">
        <v>0</v>
      </c>
      <c r="BK60" s="104" t="str">
        <f>$V$79</f>
        <v>-</v>
      </c>
      <c r="BL60" s="108">
        <v>0</v>
      </c>
      <c r="BM60" s="108">
        <v>0</v>
      </c>
      <c r="BN60" s="108">
        <v>0</v>
      </c>
      <c r="BO60" s="108">
        <v>0</v>
      </c>
      <c r="BP60" s="108">
        <v>0</v>
      </c>
      <c r="BQ60" s="108">
        <v>0</v>
      </c>
      <c r="BR60" s="108">
        <v>0</v>
      </c>
      <c r="BS60" s="108">
        <v>0</v>
      </c>
      <c r="BT60" s="108">
        <v>0</v>
      </c>
      <c r="BU60" s="108">
        <v>0</v>
      </c>
      <c r="BV60" s="108">
        <v>0</v>
      </c>
      <c r="BW60" s="108">
        <v>0</v>
      </c>
      <c r="BX60" s="108">
        <v>0</v>
      </c>
      <c r="BY60" s="108">
        <v>0</v>
      </c>
      <c r="BZ60" s="108">
        <v>0</v>
      </c>
      <c r="CA60" s="108">
        <v>0</v>
      </c>
      <c r="CB60" s="108">
        <v>0</v>
      </c>
    </row>
    <row r="61" spans="3:80" x14ac:dyDescent="0.55000000000000004">
      <c r="C61" s="104" t="str">
        <f>$V$61</f>
        <v>Alexia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U61" s="104">
        <v>9</v>
      </c>
      <c r="V61" s="106" t="s">
        <v>54</v>
      </c>
      <c r="W61" s="102">
        <v>0</v>
      </c>
      <c r="X61" s="102">
        <v>0</v>
      </c>
      <c r="Y61" s="102">
        <v>0</v>
      </c>
      <c r="Z61" s="102">
        <v>0</v>
      </c>
      <c r="AA61" s="102">
        <v>0</v>
      </c>
      <c r="AB61" s="102">
        <v>0</v>
      </c>
      <c r="AC61" s="102">
        <v>0</v>
      </c>
      <c r="AD61" s="102">
        <v>0</v>
      </c>
      <c r="AE61" s="102">
        <v>0</v>
      </c>
      <c r="AF61" s="102">
        <v>0</v>
      </c>
      <c r="AG61" s="102">
        <v>0</v>
      </c>
      <c r="AH61" s="102">
        <v>0</v>
      </c>
      <c r="AI61" s="102">
        <v>0</v>
      </c>
      <c r="AJ61" s="102">
        <v>0</v>
      </c>
      <c r="AK61" s="102">
        <v>0</v>
      </c>
      <c r="AL61" s="102">
        <v>0</v>
      </c>
      <c r="AM61" s="102">
        <v>0</v>
      </c>
      <c r="AN61" s="104">
        <f t="shared" si="1"/>
        <v>0</v>
      </c>
      <c r="AQ61" s="104" t="str">
        <f>$V$80</f>
        <v>-</v>
      </c>
      <c r="AR61" s="54">
        <v>0</v>
      </c>
      <c r="AS61" s="54">
        <v>0</v>
      </c>
      <c r="AT61" s="54">
        <v>0</v>
      </c>
      <c r="AU61" s="54">
        <v>0</v>
      </c>
      <c r="AV61" s="54">
        <v>0</v>
      </c>
      <c r="AW61" s="54">
        <v>0</v>
      </c>
      <c r="AX61" s="54">
        <v>0</v>
      </c>
      <c r="AY61" s="54">
        <v>0</v>
      </c>
      <c r="AZ61" s="54">
        <v>0</v>
      </c>
      <c r="BA61" s="54">
        <v>0</v>
      </c>
      <c r="BB61" s="54">
        <v>0</v>
      </c>
      <c r="BC61" s="54">
        <v>0</v>
      </c>
      <c r="BD61" s="54">
        <v>0</v>
      </c>
      <c r="BE61" s="54">
        <v>0</v>
      </c>
      <c r="BF61" s="54">
        <v>0</v>
      </c>
      <c r="BG61" s="54">
        <v>0</v>
      </c>
      <c r="BH61" s="54">
        <v>0</v>
      </c>
      <c r="BK61" s="104" t="str">
        <f>$V$80</f>
        <v>-</v>
      </c>
      <c r="BL61" s="108">
        <v>0</v>
      </c>
      <c r="BM61" s="108">
        <v>0</v>
      </c>
      <c r="BN61" s="108">
        <v>0</v>
      </c>
      <c r="BO61" s="108">
        <v>0</v>
      </c>
      <c r="BP61" s="108">
        <v>0</v>
      </c>
      <c r="BQ61" s="108">
        <v>0</v>
      </c>
      <c r="BR61" s="108">
        <v>0</v>
      </c>
      <c r="BS61" s="108">
        <v>0</v>
      </c>
      <c r="BT61" s="108">
        <v>0</v>
      </c>
      <c r="BU61" s="108">
        <v>0</v>
      </c>
      <c r="BV61" s="108">
        <v>0</v>
      </c>
      <c r="BW61" s="108">
        <v>0</v>
      </c>
      <c r="BX61" s="108">
        <v>0</v>
      </c>
      <c r="BY61" s="108">
        <v>0</v>
      </c>
      <c r="BZ61" s="108">
        <v>0</v>
      </c>
      <c r="CA61" s="108">
        <v>0</v>
      </c>
      <c r="CB61" s="108">
        <v>0</v>
      </c>
    </row>
    <row r="62" spans="3:80" x14ac:dyDescent="0.55000000000000004">
      <c r="C62" s="104" t="str">
        <f>$V$62</f>
        <v>Joao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U62" s="104">
        <v>10</v>
      </c>
      <c r="V62" s="106" t="s">
        <v>55</v>
      </c>
      <c r="W62" s="102">
        <v>0</v>
      </c>
      <c r="X62" s="102">
        <v>0</v>
      </c>
      <c r="Y62" s="102">
        <v>0</v>
      </c>
      <c r="Z62" s="102">
        <v>0</v>
      </c>
      <c r="AA62" s="102">
        <v>0</v>
      </c>
      <c r="AB62" s="102">
        <v>0</v>
      </c>
      <c r="AC62" s="102">
        <v>0</v>
      </c>
      <c r="AD62" s="102">
        <v>0</v>
      </c>
      <c r="AE62" s="102">
        <v>0</v>
      </c>
      <c r="AF62" s="102">
        <v>0</v>
      </c>
      <c r="AG62" s="102">
        <v>0</v>
      </c>
      <c r="AH62" s="102">
        <v>0</v>
      </c>
      <c r="AI62" s="102">
        <v>0</v>
      </c>
      <c r="AJ62" s="102">
        <v>0</v>
      </c>
      <c r="AK62" s="102">
        <v>0</v>
      </c>
      <c r="AL62" s="102">
        <v>0</v>
      </c>
      <c r="AM62" s="102">
        <v>0</v>
      </c>
      <c r="AN62" s="104">
        <f t="shared" si="1"/>
        <v>0</v>
      </c>
      <c r="AQ62" s="104" t="str">
        <f>$V$81</f>
        <v>-</v>
      </c>
      <c r="AR62" s="54">
        <v>0</v>
      </c>
      <c r="AS62" s="54">
        <v>0</v>
      </c>
      <c r="AT62" s="54">
        <v>0</v>
      </c>
      <c r="AU62" s="54">
        <v>0</v>
      </c>
      <c r="AV62" s="54">
        <v>0</v>
      </c>
      <c r="AW62" s="54">
        <v>0</v>
      </c>
      <c r="AX62" s="54">
        <v>0</v>
      </c>
      <c r="AY62" s="54">
        <v>0</v>
      </c>
      <c r="AZ62" s="54">
        <v>0</v>
      </c>
      <c r="BA62" s="54">
        <v>0</v>
      </c>
      <c r="BB62" s="54">
        <v>0</v>
      </c>
      <c r="BC62" s="54">
        <v>0</v>
      </c>
      <c r="BD62" s="54">
        <v>0</v>
      </c>
      <c r="BE62" s="54">
        <v>0</v>
      </c>
      <c r="BF62" s="54">
        <v>0</v>
      </c>
      <c r="BG62" s="54">
        <v>0</v>
      </c>
      <c r="BH62" s="54">
        <v>0</v>
      </c>
      <c r="BK62" s="104" t="str">
        <f>$V$81</f>
        <v>-</v>
      </c>
      <c r="BL62" s="108">
        <v>0</v>
      </c>
      <c r="BM62" s="108">
        <v>0</v>
      </c>
      <c r="BN62" s="108">
        <v>0</v>
      </c>
      <c r="BO62" s="108">
        <v>0</v>
      </c>
      <c r="BP62" s="108">
        <v>0</v>
      </c>
      <c r="BQ62" s="108">
        <v>0</v>
      </c>
      <c r="BR62" s="108">
        <v>0</v>
      </c>
      <c r="BS62" s="108">
        <v>0</v>
      </c>
      <c r="BT62" s="108">
        <v>0</v>
      </c>
      <c r="BU62" s="108">
        <v>0</v>
      </c>
      <c r="BV62" s="108">
        <v>0</v>
      </c>
      <c r="BW62" s="108">
        <v>0</v>
      </c>
      <c r="BX62" s="108">
        <v>0</v>
      </c>
      <c r="BY62" s="108">
        <v>0</v>
      </c>
      <c r="BZ62" s="108">
        <v>0</v>
      </c>
      <c r="CA62" s="108">
        <v>0</v>
      </c>
      <c r="CB62" s="108">
        <v>0</v>
      </c>
    </row>
    <row r="63" spans="3:80" x14ac:dyDescent="0.55000000000000004">
      <c r="C63" s="104" t="str">
        <f>$V$63</f>
        <v>Maxime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U63" s="104">
        <v>11</v>
      </c>
      <c r="V63" s="106" t="s">
        <v>56</v>
      </c>
      <c r="W63" s="102">
        <v>0</v>
      </c>
      <c r="X63" s="102">
        <v>0</v>
      </c>
      <c r="Y63" s="102">
        <v>0</v>
      </c>
      <c r="Z63" s="102">
        <v>0</v>
      </c>
      <c r="AA63" s="102">
        <v>0</v>
      </c>
      <c r="AB63" s="102">
        <v>0</v>
      </c>
      <c r="AC63" s="102">
        <v>0</v>
      </c>
      <c r="AD63" s="102">
        <v>0</v>
      </c>
      <c r="AE63" s="102">
        <v>0</v>
      </c>
      <c r="AF63" s="102">
        <v>0</v>
      </c>
      <c r="AG63" s="102">
        <v>0</v>
      </c>
      <c r="AH63" s="102">
        <v>0</v>
      </c>
      <c r="AI63" s="102">
        <v>0</v>
      </c>
      <c r="AJ63" s="102">
        <v>0</v>
      </c>
      <c r="AK63" s="102">
        <v>0</v>
      </c>
      <c r="AL63" s="102">
        <v>0</v>
      </c>
      <c r="AM63" s="102">
        <v>0</v>
      </c>
      <c r="AN63" s="104">
        <f t="shared" si="1"/>
        <v>0</v>
      </c>
      <c r="AQ63" s="104" t="str">
        <f>$V$82</f>
        <v>-</v>
      </c>
      <c r="AR63" s="54">
        <v>0</v>
      </c>
      <c r="AS63" s="54">
        <v>0</v>
      </c>
      <c r="AT63" s="54">
        <v>0</v>
      </c>
      <c r="AU63" s="54">
        <v>0</v>
      </c>
      <c r="AV63" s="54">
        <v>0</v>
      </c>
      <c r="AW63" s="54">
        <v>0</v>
      </c>
      <c r="AX63" s="54">
        <v>0</v>
      </c>
      <c r="AY63" s="54">
        <v>0</v>
      </c>
      <c r="AZ63" s="54">
        <v>0</v>
      </c>
      <c r="BA63" s="54">
        <v>0</v>
      </c>
      <c r="BB63" s="54">
        <v>0</v>
      </c>
      <c r="BC63" s="54">
        <v>0</v>
      </c>
      <c r="BD63" s="54">
        <v>0</v>
      </c>
      <c r="BE63" s="54">
        <v>0</v>
      </c>
      <c r="BF63" s="54">
        <v>0</v>
      </c>
      <c r="BG63" s="54">
        <v>0</v>
      </c>
      <c r="BH63" s="54">
        <v>0</v>
      </c>
      <c r="BK63" s="104" t="str">
        <f>$V$82</f>
        <v>-</v>
      </c>
      <c r="BL63" s="108">
        <v>0</v>
      </c>
      <c r="BM63" s="108">
        <v>0</v>
      </c>
      <c r="BN63" s="108">
        <v>0</v>
      </c>
      <c r="BO63" s="108">
        <v>0</v>
      </c>
      <c r="BP63" s="108">
        <v>0</v>
      </c>
      <c r="BQ63" s="108">
        <v>0</v>
      </c>
      <c r="BR63" s="108">
        <v>0</v>
      </c>
      <c r="BS63" s="108">
        <v>0</v>
      </c>
      <c r="BT63" s="108">
        <v>0</v>
      </c>
      <c r="BU63" s="108">
        <v>0</v>
      </c>
      <c r="BV63" s="108">
        <v>0</v>
      </c>
      <c r="BW63" s="108">
        <v>0</v>
      </c>
      <c r="BX63" s="108">
        <v>0</v>
      </c>
      <c r="BY63" s="108">
        <v>0</v>
      </c>
      <c r="BZ63" s="108">
        <v>0</v>
      </c>
      <c r="CA63" s="108">
        <v>0</v>
      </c>
      <c r="CB63" s="108">
        <v>0</v>
      </c>
    </row>
    <row r="64" spans="3:80" x14ac:dyDescent="0.55000000000000004">
      <c r="C64" s="104" t="str">
        <f>$V$64</f>
        <v>Alex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U64" s="104">
        <v>12</v>
      </c>
      <c r="V64" s="106" t="s">
        <v>57</v>
      </c>
      <c r="W64" s="102">
        <v>0</v>
      </c>
      <c r="X64" s="102">
        <v>0</v>
      </c>
      <c r="Y64" s="102">
        <v>0</v>
      </c>
      <c r="Z64" s="102">
        <v>0</v>
      </c>
      <c r="AA64" s="102">
        <v>0</v>
      </c>
      <c r="AB64" s="102">
        <v>0</v>
      </c>
      <c r="AC64" s="102">
        <v>0</v>
      </c>
      <c r="AD64" s="102">
        <v>0</v>
      </c>
      <c r="AE64" s="102">
        <v>0</v>
      </c>
      <c r="AF64" s="102">
        <v>0</v>
      </c>
      <c r="AG64" s="102">
        <v>0</v>
      </c>
      <c r="AH64" s="102">
        <v>0</v>
      </c>
      <c r="AI64" s="102">
        <v>0</v>
      </c>
      <c r="AJ64" s="102">
        <v>0</v>
      </c>
      <c r="AK64" s="102">
        <v>0</v>
      </c>
      <c r="AL64" s="102">
        <v>0</v>
      </c>
      <c r="AM64" s="102">
        <v>0</v>
      </c>
      <c r="AN64" s="104">
        <f t="shared" si="1"/>
        <v>0</v>
      </c>
      <c r="AQ64" s="104" t="str">
        <f>$V$83</f>
        <v>-</v>
      </c>
      <c r="AR64" s="54">
        <v>0</v>
      </c>
      <c r="AS64" s="54">
        <v>0</v>
      </c>
      <c r="AT64" s="54">
        <v>0</v>
      </c>
      <c r="AU64" s="54">
        <v>0</v>
      </c>
      <c r="AV64" s="54">
        <v>0</v>
      </c>
      <c r="AW64" s="54">
        <v>0</v>
      </c>
      <c r="AX64" s="54">
        <v>0</v>
      </c>
      <c r="AY64" s="54">
        <v>0</v>
      </c>
      <c r="AZ64" s="54">
        <v>0</v>
      </c>
      <c r="BA64" s="54">
        <v>0</v>
      </c>
      <c r="BB64" s="54">
        <v>0</v>
      </c>
      <c r="BC64" s="54">
        <v>0</v>
      </c>
      <c r="BD64" s="54">
        <v>0</v>
      </c>
      <c r="BE64" s="54">
        <v>0</v>
      </c>
      <c r="BF64" s="54">
        <v>0</v>
      </c>
      <c r="BG64" s="54">
        <v>0</v>
      </c>
      <c r="BH64" s="54">
        <v>0</v>
      </c>
      <c r="BK64" s="104" t="str">
        <f>$V$83</f>
        <v>-</v>
      </c>
      <c r="BL64" s="108">
        <v>0</v>
      </c>
      <c r="BM64" s="108">
        <v>0</v>
      </c>
      <c r="BN64" s="108">
        <v>0</v>
      </c>
      <c r="BO64" s="108">
        <v>0</v>
      </c>
      <c r="BP64" s="108">
        <v>0</v>
      </c>
      <c r="BQ64" s="108">
        <v>0</v>
      </c>
      <c r="BR64" s="108">
        <v>0</v>
      </c>
      <c r="BS64" s="108">
        <v>0</v>
      </c>
      <c r="BT64" s="108">
        <v>0</v>
      </c>
      <c r="BU64" s="108">
        <v>0</v>
      </c>
      <c r="BV64" s="108">
        <v>0</v>
      </c>
      <c r="BW64" s="108">
        <v>0</v>
      </c>
      <c r="BX64" s="108">
        <v>0</v>
      </c>
      <c r="BY64" s="108">
        <v>0</v>
      </c>
      <c r="BZ64" s="108">
        <v>0</v>
      </c>
      <c r="CA64" s="108">
        <v>0</v>
      </c>
      <c r="CB64" s="108">
        <v>0</v>
      </c>
    </row>
    <row r="65" spans="3:80" x14ac:dyDescent="0.55000000000000004">
      <c r="C65" s="104" t="str">
        <f>$V$65</f>
        <v>Alyssa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U65" s="104">
        <v>13</v>
      </c>
      <c r="V65" s="106" t="s">
        <v>58</v>
      </c>
      <c r="W65" s="102">
        <v>0</v>
      </c>
      <c r="X65" s="102">
        <v>0</v>
      </c>
      <c r="Y65" s="102">
        <v>0</v>
      </c>
      <c r="Z65" s="102">
        <v>0</v>
      </c>
      <c r="AA65" s="102">
        <v>0</v>
      </c>
      <c r="AB65" s="102">
        <v>0</v>
      </c>
      <c r="AC65" s="102">
        <v>0</v>
      </c>
      <c r="AD65" s="102">
        <v>0</v>
      </c>
      <c r="AE65" s="102">
        <v>0</v>
      </c>
      <c r="AF65" s="102">
        <v>0</v>
      </c>
      <c r="AG65" s="102">
        <v>0</v>
      </c>
      <c r="AH65" s="102">
        <v>0</v>
      </c>
      <c r="AI65" s="102">
        <v>0</v>
      </c>
      <c r="AJ65" s="102">
        <v>0</v>
      </c>
      <c r="AK65" s="102">
        <v>0</v>
      </c>
      <c r="AL65" s="102">
        <v>0</v>
      </c>
      <c r="AM65" s="102">
        <v>0</v>
      </c>
      <c r="AN65" s="104">
        <f t="shared" si="1"/>
        <v>0</v>
      </c>
      <c r="AQ65" s="104" t="str">
        <f>$V$84</f>
        <v>-</v>
      </c>
      <c r="AR65" s="54">
        <v>0</v>
      </c>
      <c r="AS65" s="54">
        <v>0</v>
      </c>
      <c r="AT65" s="54">
        <v>0</v>
      </c>
      <c r="AU65" s="54">
        <v>0</v>
      </c>
      <c r="AV65" s="54">
        <v>0</v>
      </c>
      <c r="AW65" s="54">
        <v>0</v>
      </c>
      <c r="AX65" s="54">
        <v>0</v>
      </c>
      <c r="AY65" s="54">
        <v>0</v>
      </c>
      <c r="AZ65" s="54">
        <v>0</v>
      </c>
      <c r="BA65" s="54">
        <v>0</v>
      </c>
      <c r="BB65" s="54">
        <v>0</v>
      </c>
      <c r="BC65" s="54">
        <v>0</v>
      </c>
      <c r="BD65" s="54">
        <v>0</v>
      </c>
      <c r="BE65" s="54">
        <v>0</v>
      </c>
      <c r="BF65" s="54">
        <v>0</v>
      </c>
      <c r="BG65" s="54">
        <v>0</v>
      </c>
      <c r="BH65" s="54">
        <v>0</v>
      </c>
      <c r="BK65" s="104" t="str">
        <f>$V$84</f>
        <v>-</v>
      </c>
      <c r="BL65" s="108">
        <v>0</v>
      </c>
      <c r="BM65" s="108">
        <v>0</v>
      </c>
      <c r="BN65" s="108">
        <v>0</v>
      </c>
      <c r="BO65" s="108">
        <v>0</v>
      </c>
      <c r="BP65" s="108">
        <v>0</v>
      </c>
      <c r="BQ65" s="108">
        <v>0</v>
      </c>
      <c r="BR65" s="108">
        <v>0</v>
      </c>
      <c r="BS65" s="108">
        <v>0</v>
      </c>
      <c r="BT65" s="108">
        <v>0</v>
      </c>
      <c r="BU65" s="108">
        <v>0</v>
      </c>
      <c r="BV65" s="108">
        <v>0</v>
      </c>
      <c r="BW65" s="108">
        <v>0</v>
      </c>
      <c r="BX65" s="108">
        <v>0</v>
      </c>
      <c r="BY65" s="108">
        <v>0</v>
      </c>
      <c r="BZ65" s="108">
        <v>0</v>
      </c>
      <c r="CA65" s="108">
        <v>0</v>
      </c>
      <c r="CB65" s="108">
        <v>0</v>
      </c>
    </row>
    <row r="66" spans="3:80" x14ac:dyDescent="0.55000000000000004">
      <c r="C66" s="104" t="str">
        <f>$V$66</f>
        <v>Amanda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4">
        <v>0</v>
      </c>
      <c r="U66" s="104">
        <v>14</v>
      </c>
      <c r="V66" s="106" t="s">
        <v>59</v>
      </c>
      <c r="W66" s="102">
        <v>0</v>
      </c>
      <c r="X66" s="102">
        <v>0</v>
      </c>
      <c r="Y66" s="102">
        <v>0</v>
      </c>
      <c r="Z66" s="102">
        <v>0</v>
      </c>
      <c r="AA66" s="102">
        <v>0</v>
      </c>
      <c r="AB66" s="102">
        <v>0</v>
      </c>
      <c r="AC66" s="102">
        <v>0</v>
      </c>
      <c r="AD66" s="102">
        <v>0</v>
      </c>
      <c r="AE66" s="102">
        <v>0</v>
      </c>
      <c r="AF66" s="102">
        <v>0</v>
      </c>
      <c r="AG66" s="102">
        <v>0</v>
      </c>
      <c r="AH66" s="102">
        <v>0</v>
      </c>
      <c r="AI66" s="102">
        <v>0</v>
      </c>
      <c r="AJ66" s="102">
        <v>0</v>
      </c>
      <c r="AK66" s="102">
        <v>0</v>
      </c>
      <c r="AL66" s="102">
        <v>0</v>
      </c>
      <c r="AM66" s="102">
        <v>0</v>
      </c>
      <c r="AN66" s="104">
        <f t="shared" si="1"/>
        <v>0</v>
      </c>
      <c r="AQ66" s="104" t="str">
        <f>$V$85</f>
        <v>-</v>
      </c>
      <c r="AR66" s="54">
        <v>0</v>
      </c>
      <c r="AS66" s="54">
        <v>0</v>
      </c>
      <c r="AT66" s="54">
        <v>0</v>
      </c>
      <c r="AU66" s="54">
        <v>0</v>
      </c>
      <c r="AV66" s="54">
        <v>0</v>
      </c>
      <c r="AW66" s="54">
        <v>0</v>
      </c>
      <c r="AX66" s="54">
        <v>0</v>
      </c>
      <c r="AY66" s="54">
        <v>0</v>
      </c>
      <c r="AZ66" s="54">
        <v>0</v>
      </c>
      <c r="BA66" s="54">
        <v>0</v>
      </c>
      <c r="BB66" s="54">
        <v>0</v>
      </c>
      <c r="BC66" s="54">
        <v>0</v>
      </c>
      <c r="BD66" s="54">
        <v>0</v>
      </c>
      <c r="BE66" s="54">
        <v>0</v>
      </c>
      <c r="BF66" s="54">
        <v>0</v>
      </c>
      <c r="BG66" s="54">
        <v>0</v>
      </c>
      <c r="BH66" s="54">
        <v>0</v>
      </c>
      <c r="BK66" s="104" t="str">
        <f>$V$85</f>
        <v>-</v>
      </c>
      <c r="BL66" s="108">
        <v>0</v>
      </c>
      <c r="BM66" s="108">
        <v>0</v>
      </c>
      <c r="BN66" s="108">
        <v>0</v>
      </c>
      <c r="BO66" s="108">
        <v>0</v>
      </c>
      <c r="BP66" s="108">
        <v>0</v>
      </c>
      <c r="BQ66" s="108">
        <v>0</v>
      </c>
      <c r="BR66" s="108">
        <v>0</v>
      </c>
      <c r="BS66" s="108">
        <v>0</v>
      </c>
      <c r="BT66" s="108">
        <v>0</v>
      </c>
      <c r="BU66" s="108">
        <v>0</v>
      </c>
      <c r="BV66" s="108">
        <v>0</v>
      </c>
      <c r="BW66" s="108">
        <v>0</v>
      </c>
      <c r="BX66" s="108">
        <v>0</v>
      </c>
      <c r="BY66" s="108">
        <v>0</v>
      </c>
      <c r="BZ66" s="108">
        <v>0</v>
      </c>
      <c r="CA66" s="108">
        <v>0</v>
      </c>
      <c r="CB66" s="108">
        <v>0</v>
      </c>
    </row>
    <row r="67" spans="3:80" x14ac:dyDescent="0.55000000000000004">
      <c r="C67" s="104" t="str">
        <f>$V$67</f>
        <v>Antoine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0</v>
      </c>
      <c r="O67" s="54">
        <v>0</v>
      </c>
      <c r="P67" s="54">
        <v>0</v>
      </c>
      <c r="Q67" s="54">
        <v>0</v>
      </c>
      <c r="R67" s="54">
        <v>0</v>
      </c>
      <c r="S67" s="54">
        <v>0</v>
      </c>
      <c r="U67" s="104">
        <v>15</v>
      </c>
      <c r="V67" s="106" t="s">
        <v>60</v>
      </c>
      <c r="W67" s="102">
        <v>0</v>
      </c>
      <c r="X67" s="102">
        <v>0</v>
      </c>
      <c r="Y67" s="102">
        <v>0</v>
      </c>
      <c r="Z67" s="102">
        <v>0</v>
      </c>
      <c r="AA67" s="102">
        <v>0</v>
      </c>
      <c r="AB67" s="102">
        <v>0</v>
      </c>
      <c r="AC67" s="102">
        <v>0</v>
      </c>
      <c r="AD67" s="102">
        <v>0</v>
      </c>
      <c r="AE67" s="102">
        <v>0</v>
      </c>
      <c r="AF67" s="102">
        <v>0</v>
      </c>
      <c r="AG67" s="102">
        <v>0</v>
      </c>
      <c r="AH67" s="102">
        <v>0</v>
      </c>
      <c r="AI67" s="102">
        <v>0</v>
      </c>
      <c r="AJ67" s="102">
        <v>0</v>
      </c>
      <c r="AK67" s="102">
        <v>0</v>
      </c>
      <c r="AL67" s="102">
        <v>0</v>
      </c>
      <c r="AM67" s="102">
        <v>0</v>
      </c>
      <c r="AN67" s="104">
        <f t="shared" si="1"/>
        <v>0</v>
      </c>
      <c r="AQ67" s="104" t="str">
        <f>$V$86</f>
        <v>-</v>
      </c>
      <c r="AR67" s="54">
        <v>0</v>
      </c>
      <c r="AS67" s="54">
        <v>0</v>
      </c>
      <c r="AT67" s="54">
        <v>0</v>
      </c>
      <c r="AU67" s="54">
        <v>0</v>
      </c>
      <c r="AV67" s="54">
        <v>0</v>
      </c>
      <c r="AW67" s="54">
        <v>0</v>
      </c>
      <c r="AX67" s="54">
        <v>0</v>
      </c>
      <c r="AY67" s="54">
        <v>0</v>
      </c>
      <c r="AZ67" s="54">
        <v>0</v>
      </c>
      <c r="BA67" s="54">
        <v>0</v>
      </c>
      <c r="BB67" s="54">
        <v>0</v>
      </c>
      <c r="BC67" s="54">
        <v>0</v>
      </c>
      <c r="BD67" s="54">
        <v>0</v>
      </c>
      <c r="BE67" s="54">
        <v>0</v>
      </c>
      <c r="BF67" s="54">
        <v>0</v>
      </c>
      <c r="BG67" s="54">
        <v>0</v>
      </c>
      <c r="BH67" s="54">
        <v>0</v>
      </c>
      <c r="BK67" s="104" t="str">
        <f>$V$86</f>
        <v>-</v>
      </c>
      <c r="BL67" s="108">
        <v>0</v>
      </c>
      <c r="BM67" s="108">
        <v>0</v>
      </c>
      <c r="BN67" s="108">
        <v>0</v>
      </c>
      <c r="BO67" s="108">
        <v>0</v>
      </c>
      <c r="BP67" s="108">
        <v>0</v>
      </c>
      <c r="BQ67" s="108">
        <v>0</v>
      </c>
      <c r="BR67" s="108">
        <v>0</v>
      </c>
      <c r="BS67" s="108">
        <v>0</v>
      </c>
      <c r="BT67" s="108">
        <v>0</v>
      </c>
      <c r="BU67" s="108">
        <v>0</v>
      </c>
      <c r="BV67" s="108">
        <v>0</v>
      </c>
      <c r="BW67" s="108">
        <v>0</v>
      </c>
      <c r="BX67" s="108">
        <v>0</v>
      </c>
      <c r="BY67" s="108">
        <v>0</v>
      </c>
      <c r="BZ67" s="108">
        <v>0</v>
      </c>
      <c r="CA67" s="108">
        <v>0</v>
      </c>
      <c r="CB67" s="108">
        <v>0</v>
      </c>
    </row>
    <row r="68" spans="3:80" x14ac:dyDescent="0.55000000000000004">
      <c r="C68" s="104" t="str">
        <f>$V$68</f>
        <v>Beatriz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U68" s="104">
        <v>16</v>
      </c>
      <c r="V68" s="106" t="s">
        <v>61</v>
      </c>
      <c r="W68" s="102">
        <v>0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102">
        <v>0</v>
      </c>
      <c r="AH68" s="102">
        <v>0</v>
      </c>
      <c r="AI68" s="102">
        <v>0</v>
      </c>
      <c r="AJ68" s="102">
        <v>0</v>
      </c>
      <c r="AK68" s="102">
        <v>0</v>
      </c>
      <c r="AL68" s="102">
        <v>0</v>
      </c>
      <c r="AM68" s="102">
        <v>0</v>
      </c>
      <c r="AN68" s="104">
        <f t="shared" si="1"/>
        <v>0</v>
      </c>
      <c r="AQ68" s="104" t="str">
        <f>$V$87</f>
        <v>-</v>
      </c>
      <c r="AR68" s="54">
        <v>0</v>
      </c>
      <c r="AS68" s="54">
        <v>0</v>
      </c>
      <c r="AT68" s="54">
        <v>0</v>
      </c>
      <c r="AU68" s="54">
        <v>0</v>
      </c>
      <c r="AV68" s="54">
        <v>0</v>
      </c>
      <c r="AW68" s="54">
        <v>0</v>
      </c>
      <c r="AX68" s="54">
        <v>0</v>
      </c>
      <c r="AY68" s="54">
        <v>0</v>
      </c>
      <c r="AZ68" s="54">
        <v>0</v>
      </c>
      <c r="BA68" s="54">
        <v>0</v>
      </c>
      <c r="BB68" s="54">
        <v>0</v>
      </c>
      <c r="BC68" s="54">
        <v>0</v>
      </c>
      <c r="BD68" s="54">
        <v>0</v>
      </c>
      <c r="BE68" s="54">
        <v>0</v>
      </c>
      <c r="BF68" s="54">
        <v>0</v>
      </c>
      <c r="BG68" s="54">
        <v>0</v>
      </c>
      <c r="BH68" s="54">
        <v>0</v>
      </c>
      <c r="BK68" s="104" t="str">
        <f>$V$87</f>
        <v>-</v>
      </c>
      <c r="BL68" s="108">
        <v>0</v>
      </c>
      <c r="BM68" s="108">
        <v>0</v>
      </c>
      <c r="BN68" s="108">
        <v>0</v>
      </c>
      <c r="BO68" s="108">
        <v>0</v>
      </c>
      <c r="BP68" s="108">
        <v>0</v>
      </c>
      <c r="BQ68" s="108">
        <v>0</v>
      </c>
      <c r="BR68" s="108">
        <v>0</v>
      </c>
      <c r="BS68" s="108">
        <v>0</v>
      </c>
      <c r="BT68" s="108">
        <v>0</v>
      </c>
      <c r="BU68" s="108">
        <v>0</v>
      </c>
      <c r="BV68" s="108">
        <v>0</v>
      </c>
      <c r="BW68" s="108">
        <v>0</v>
      </c>
      <c r="BX68" s="108">
        <v>0</v>
      </c>
      <c r="BY68" s="108">
        <v>0</v>
      </c>
      <c r="BZ68" s="108">
        <v>0</v>
      </c>
      <c r="CA68" s="108">
        <v>0</v>
      </c>
      <c r="CB68" s="108">
        <v>0</v>
      </c>
    </row>
    <row r="69" spans="3:80" x14ac:dyDescent="0.55000000000000004">
      <c r="C69" s="104" t="str">
        <f>$V$69</f>
        <v>Charelle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U69" s="104">
        <v>17</v>
      </c>
      <c r="V69" s="106" t="s">
        <v>62</v>
      </c>
      <c r="W69" s="102">
        <v>0</v>
      </c>
      <c r="X69" s="102">
        <v>0</v>
      </c>
      <c r="Y69" s="102">
        <v>0</v>
      </c>
      <c r="Z69" s="102">
        <v>0</v>
      </c>
      <c r="AA69" s="102">
        <v>0</v>
      </c>
      <c r="AB69" s="102">
        <v>0</v>
      </c>
      <c r="AC69" s="102">
        <v>0</v>
      </c>
      <c r="AD69" s="102">
        <v>0</v>
      </c>
      <c r="AE69" s="102">
        <v>0</v>
      </c>
      <c r="AF69" s="102">
        <v>0</v>
      </c>
      <c r="AG69" s="102">
        <v>0</v>
      </c>
      <c r="AH69" s="102">
        <v>0</v>
      </c>
      <c r="AI69" s="102">
        <v>0</v>
      </c>
      <c r="AJ69" s="102">
        <v>0</v>
      </c>
      <c r="AK69" s="102">
        <v>0</v>
      </c>
      <c r="AL69" s="102">
        <v>0</v>
      </c>
      <c r="AM69" s="102">
        <v>0</v>
      </c>
      <c r="AN69" s="104">
        <f t="shared" si="1"/>
        <v>0</v>
      </c>
      <c r="AQ69" s="104" t="str">
        <f>$V$88</f>
        <v>-</v>
      </c>
      <c r="AR69" s="54">
        <v>0</v>
      </c>
      <c r="AS69" s="54">
        <v>0</v>
      </c>
      <c r="AT69" s="54">
        <v>0</v>
      </c>
      <c r="AU69" s="54">
        <v>0</v>
      </c>
      <c r="AV69" s="54">
        <v>0</v>
      </c>
      <c r="AW69" s="54">
        <v>0</v>
      </c>
      <c r="AX69" s="54">
        <v>0</v>
      </c>
      <c r="AY69" s="54">
        <v>0</v>
      </c>
      <c r="AZ69" s="54">
        <v>0</v>
      </c>
      <c r="BA69" s="54">
        <v>0</v>
      </c>
      <c r="BB69" s="54">
        <v>0</v>
      </c>
      <c r="BC69" s="54">
        <v>0</v>
      </c>
      <c r="BD69" s="54">
        <v>0</v>
      </c>
      <c r="BE69" s="54">
        <v>0</v>
      </c>
      <c r="BF69" s="54">
        <v>0</v>
      </c>
      <c r="BG69" s="54">
        <v>0</v>
      </c>
      <c r="BH69" s="54">
        <v>0</v>
      </c>
      <c r="BK69" s="104" t="str">
        <f>$V$88</f>
        <v>-</v>
      </c>
      <c r="BL69" s="108">
        <v>0</v>
      </c>
      <c r="BM69" s="108">
        <v>0</v>
      </c>
      <c r="BN69" s="108">
        <v>0</v>
      </c>
      <c r="BO69" s="108">
        <v>0</v>
      </c>
      <c r="BP69" s="108">
        <v>0</v>
      </c>
      <c r="BQ69" s="108">
        <v>0</v>
      </c>
      <c r="BR69" s="108">
        <v>0</v>
      </c>
      <c r="BS69" s="108">
        <v>0</v>
      </c>
      <c r="BT69" s="108">
        <v>0</v>
      </c>
      <c r="BU69" s="108">
        <v>0</v>
      </c>
      <c r="BV69" s="108">
        <v>0</v>
      </c>
      <c r="BW69" s="108">
        <v>0</v>
      </c>
      <c r="BX69" s="108">
        <v>0</v>
      </c>
      <c r="BY69" s="108">
        <v>0</v>
      </c>
      <c r="BZ69" s="108">
        <v>0</v>
      </c>
      <c r="CA69" s="108">
        <v>0</v>
      </c>
      <c r="CB69" s="108">
        <v>0</v>
      </c>
    </row>
    <row r="70" spans="3:80" x14ac:dyDescent="0.55000000000000004">
      <c r="C70" s="104" t="str">
        <f>$V$70</f>
        <v>Dimitri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U70" s="104">
        <v>18</v>
      </c>
      <c r="V70" s="106" t="s">
        <v>63</v>
      </c>
      <c r="W70" s="102">
        <v>0</v>
      </c>
      <c r="X70" s="102">
        <v>0</v>
      </c>
      <c r="Y70" s="102">
        <v>0</v>
      </c>
      <c r="Z70" s="102">
        <v>0</v>
      </c>
      <c r="AA70" s="102">
        <v>0</v>
      </c>
      <c r="AB70" s="102">
        <v>0</v>
      </c>
      <c r="AC70" s="102">
        <v>0</v>
      </c>
      <c r="AD70" s="102">
        <v>0</v>
      </c>
      <c r="AE70" s="102">
        <v>0</v>
      </c>
      <c r="AF70" s="102">
        <v>0</v>
      </c>
      <c r="AG70" s="102">
        <v>0</v>
      </c>
      <c r="AH70" s="102">
        <v>0</v>
      </c>
      <c r="AI70" s="102">
        <v>0</v>
      </c>
      <c r="AJ70" s="102">
        <v>0</v>
      </c>
      <c r="AK70" s="102">
        <v>0</v>
      </c>
      <c r="AL70" s="102">
        <v>0</v>
      </c>
      <c r="AM70" s="102">
        <v>0</v>
      </c>
      <c r="AN70" s="104">
        <f t="shared" si="1"/>
        <v>0</v>
      </c>
      <c r="AQ70" s="104" t="str">
        <f>$V$89</f>
        <v>-</v>
      </c>
      <c r="AR70" s="54">
        <v>0</v>
      </c>
      <c r="AS70" s="54">
        <v>0</v>
      </c>
      <c r="AT70" s="54">
        <v>0</v>
      </c>
      <c r="AU70" s="54">
        <v>0</v>
      </c>
      <c r="AV70" s="54">
        <v>0</v>
      </c>
      <c r="AW70" s="54">
        <v>0</v>
      </c>
      <c r="AX70" s="54">
        <v>0</v>
      </c>
      <c r="AY70" s="54">
        <v>0</v>
      </c>
      <c r="AZ70" s="54">
        <v>0</v>
      </c>
      <c r="BA70" s="54">
        <v>0</v>
      </c>
      <c r="BB70" s="54">
        <v>0</v>
      </c>
      <c r="BC70" s="54">
        <v>0</v>
      </c>
      <c r="BD70" s="54">
        <v>0</v>
      </c>
      <c r="BE70" s="54">
        <v>0</v>
      </c>
      <c r="BF70" s="54">
        <v>0</v>
      </c>
      <c r="BG70" s="54">
        <v>0</v>
      </c>
      <c r="BH70" s="54">
        <v>0</v>
      </c>
      <c r="BK70" s="104" t="str">
        <f>$V$89</f>
        <v>-</v>
      </c>
      <c r="BL70" s="108">
        <v>0</v>
      </c>
      <c r="BM70" s="108">
        <v>0</v>
      </c>
      <c r="BN70" s="108">
        <v>0</v>
      </c>
      <c r="BO70" s="108">
        <v>0</v>
      </c>
      <c r="BP70" s="108">
        <v>0</v>
      </c>
      <c r="BQ70" s="108">
        <v>0</v>
      </c>
      <c r="BR70" s="108">
        <v>0</v>
      </c>
      <c r="BS70" s="108">
        <v>0</v>
      </c>
      <c r="BT70" s="108">
        <v>0</v>
      </c>
      <c r="BU70" s="108">
        <v>0</v>
      </c>
      <c r="BV70" s="108">
        <v>0</v>
      </c>
      <c r="BW70" s="108">
        <v>0</v>
      </c>
      <c r="BX70" s="108">
        <v>0</v>
      </c>
      <c r="BY70" s="108">
        <v>0</v>
      </c>
      <c r="BZ70" s="108">
        <v>0</v>
      </c>
      <c r="CA70" s="108">
        <v>0</v>
      </c>
      <c r="CB70" s="108">
        <v>0</v>
      </c>
    </row>
    <row r="71" spans="3:80" x14ac:dyDescent="0.55000000000000004">
      <c r="C71" s="104" t="str">
        <f>$V$71</f>
        <v>Marina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U71" s="104">
        <v>19</v>
      </c>
      <c r="V71" s="106" t="s">
        <v>64</v>
      </c>
      <c r="W71" s="102">
        <v>0</v>
      </c>
      <c r="X71" s="102">
        <v>0</v>
      </c>
      <c r="Y71" s="102">
        <v>0</v>
      </c>
      <c r="Z71" s="102">
        <v>0</v>
      </c>
      <c r="AA71" s="102">
        <v>0</v>
      </c>
      <c r="AB71" s="102">
        <v>0</v>
      </c>
      <c r="AC71" s="102">
        <v>0</v>
      </c>
      <c r="AD71" s="102">
        <v>0</v>
      </c>
      <c r="AE71" s="102">
        <v>0</v>
      </c>
      <c r="AF71" s="102">
        <v>0</v>
      </c>
      <c r="AG71" s="102">
        <v>0</v>
      </c>
      <c r="AH71" s="102">
        <v>0</v>
      </c>
      <c r="AI71" s="102">
        <v>0</v>
      </c>
      <c r="AJ71" s="102">
        <v>0</v>
      </c>
      <c r="AK71" s="102">
        <v>0</v>
      </c>
      <c r="AL71" s="102">
        <v>0</v>
      </c>
      <c r="AM71" s="102">
        <v>0</v>
      </c>
      <c r="AN71" s="104">
        <f t="shared" si="1"/>
        <v>0</v>
      </c>
      <c r="AQ71" s="104" t="str">
        <f>$V$90</f>
        <v>-</v>
      </c>
      <c r="AR71" s="54">
        <v>0</v>
      </c>
      <c r="AS71" s="54">
        <v>0</v>
      </c>
      <c r="AT71" s="54">
        <v>0</v>
      </c>
      <c r="AU71" s="54">
        <v>0</v>
      </c>
      <c r="AV71" s="54">
        <v>0</v>
      </c>
      <c r="AW71" s="54">
        <v>0</v>
      </c>
      <c r="AX71" s="54">
        <v>0</v>
      </c>
      <c r="AY71" s="54">
        <v>0</v>
      </c>
      <c r="AZ71" s="54">
        <v>0</v>
      </c>
      <c r="BA71" s="54">
        <v>0</v>
      </c>
      <c r="BB71" s="54">
        <v>0</v>
      </c>
      <c r="BC71" s="54">
        <v>0</v>
      </c>
      <c r="BD71" s="54">
        <v>0</v>
      </c>
      <c r="BE71" s="54">
        <v>0</v>
      </c>
      <c r="BF71" s="54">
        <v>0</v>
      </c>
      <c r="BG71" s="54">
        <v>0</v>
      </c>
      <c r="BH71" s="54">
        <v>0</v>
      </c>
      <c r="BK71" s="104" t="str">
        <f>$V$90</f>
        <v>-</v>
      </c>
      <c r="BL71" s="108">
        <v>0</v>
      </c>
      <c r="BM71" s="108">
        <v>0</v>
      </c>
      <c r="BN71" s="108">
        <v>0</v>
      </c>
      <c r="BO71" s="108">
        <v>0</v>
      </c>
      <c r="BP71" s="108">
        <v>0</v>
      </c>
      <c r="BQ71" s="108">
        <v>0</v>
      </c>
      <c r="BR71" s="108">
        <v>0</v>
      </c>
      <c r="BS71" s="108">
        <v>0</v>
      </c>
      <c r="BT71" s="108">
        <v>0</v>
      </c>
      <c r="BU71" s="108">
        <v>0</v>
      </c>
      <c r="BV71" s="108">
        <v>0</v>
      </c>
      <c r="BW71" s="108">
        <v>0</v>
      </c>
      <c r="BX71" s="108">
        <v>0</v>
      </c>
      <c r="BY71" s="108">
        <v>0</v>
      </c>
      <c r="BZ71" s="108">
        <v>0</v>
      </c>
      <c r="CA71" s="108">
        <v>0</v>
      </c>
      <c r="CB71" s="108">
        <v>0</v>
      </c>
    </row>
    <row r="72" spans="3:80" x14ac:dyDescent="0.55000000000000004">
      <c r="C72" s="104" t="str">
        <f>$V$72</f>
        <v>Michel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U72" s="104">
        <v>20</v>
      </c>
      <c r="V72" s="106" t="s">
        <v>65</v>
      </c>
      <c r="W72" s="102">
        <v>0</v>
      </c>
      <c r="X72" s="102">
        <v>0</v>
      </c>
      <c r="Y72" s="102">
        <v>0</v>
      </c>
      <c r="Z72" s="102">
        <v>0</v>
      </c>
      <c r="AA72" s="102">
        <v>0</v>
      </c>
      <c r="AB72" s="102">
        <v>0</v>
      </c>
      <c r="AC72" s="102">
        <v>0</v>
      </c>
      <c r="AD72" s="102">
        <v>0</v>
      </c>
      <c r="AE72" s="102">
        <v>0</v>
      </c>
      <c r="AF72" s="102">
        <v>0</v>
      </c>
      <c r="AG72" s="102">
        <v>0</v>
      </c>
      <c r="AH72" s="102">
        <v>0</v>
      </c>
      <c r="AI72" s="102">
        <v>0</v>
      </c>
      <c r="AJ72" s="102">
        <v>0</v>
      </c>
      <c r="AK72" s="102">
        <v>0</v>
      </c>
      <c r="AL72" s="102">
        <v>0</v>
      </c>
      <c r="AM72" s="102">
        <v>0</v>
      </c>
      <c r="AN72" s="104">
        <f t="shared" si="1"/>
        <v>0</v>
      </c>
      <c r="AQ72" s="104" t="str">
        <f>$V$91</f>
        <v>-</v>
      </c>
      <c r="AR72" s="54">
        <v>0</v>
      </c>
      <c r="AS72" s="54">
        <v>0</v>
      </c>
      <c r="AT72" s="54">
        <v>0</v>
      </c>
      <c r="AU72" s="54">
        <v>0</v>
      </c>
      <c r="AV72" s="54">
        <v>0</v>
      </c>
      <c r="AW72" s="54">
        <v>0</v>
      </c>
      <c r="AX72" s="54">
        <v>0</v>
      </c>
      <c r="AY72" s="54">
        <v>0</v>
      </c>
      <c r="AZ72" s="54">
        <v>0</v>
      </c>
      <c r="BA72" s="54">
        <v>0</v>
      </c>
      <c r="BB72" s="54">
        <v>0</v>
      </c>
      <c r="BC72" s="54">
        <v>0</v>
      </c>
      <c r="BD72" s="54">
        <v>0</v>
      </c>
      <c r="BE72" s="54">
        <v>0</v>
      </c>
      <c r="BF72" s="54">
        <v>0</v>
      </c>
      <c r="BG72" s="54">
        <v>0</v>
      </c>
      <c r="BH72" s="54">
        <v>0</v>
      </c>
      <c r="BK72" s="104" t="str">
        <f>$V$91</f>
        <v>-</v>
      </c>
      <c r="BL72" s="108">
        <v>0</v>
      </c>
      <c r="BM72" s="108">
        <v>0</v>
      </c>
      <c r="BN72" s="108">
        <v>0</v>
      </c>
      <c r="BO72" s="108">
        <v>0</v>
      </c>
      <c r="BP72" s="108">
        <v>0</v>
      </c>
      <c r="BQ72" s="108">
        <v>0</v>
      </c>
      <c r="BR72" s="108">
        <v>0</v>
      </c>
      <c r="BS72" s="108">
        <v>0</v>
      </c>
      <c r="BT72" s="108">
        <v>0</v>
      </c>
      <c r="BU72" s="108">
        <v>0</v>
      </c>
      <c r="BV72" s="108">
        <v>0</v>
      </c>
      <c r="BW72" s="108">
        <v>0</v>
      </c>
      <c r="BX72" s="108">
        <v>0</v>
      </c>
      <c r="BY72" s="108">
        <v>0</v>
      </c>
      <c r="BZ72" s="108">
        <v>0</v>
      </c>
      <c r="CA72" s="108">
        <v>0</v>
      </c>
      <c r="CB72" s="108">
        <v>0</v>
      </c>
    </row>
    <row r="73" spans="3:80" x14ac:dyDescent="0.55000000000000004">
      <c r="C73" s="104" t="str">
        <f>$V$73</f>
        <v>Nour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U73" s="104">
        <v>21</v>
      </c>
      <c r="V73" s="106" t="s">
        <v>66</v>
      </c>
      <c r="W73" s="102">
        <v>0</v>
      </c>
      <c r="X73" s="102">
        <v>0</v>
      </c>
      <c r="Y73" s="102">
        <v>0</v>
      </c>
      <c r="Z73" s="102">
        <v>0</v>
      </c>
      <c r="AA73" s="102">
        <v>0</v>
      </c>
      <c r="AB73" s="102">
        <v>0</v>
      </c>
      <c r="AC73" s="102">
        <v>0</v>
      </c>
      <c r="AD73" s="102">
        <v>0</v>
      </c>
      <c r="AE73" s="102">
        <v>0</v>
      </c>
      <c r="AF73" s="102">
        <v>0</v>
      </c>
      <c r="AG73" s="102">
        <v>0</v>
      </c>
      <c r="AH73" s="102">
        <v>0</v>
      </c>
      <c r="AI73" s="102">
        <v>0</v>
      </c>
      <c r="AJ73" s="102">
        <v>0</v>
      </c>
      <c r="AK73" s="102">
        <v>0</v>
      </c>
      <c r="AL73" s="102">
        <v>0</v>
      </c>
      <c r="AM73" s="102">
        <v>0</v>
      </c>
      <c r="AN73" s="104">
        <f t="shared" si="1"/>
        <v>0</v>
      </c>
      <c r="AQ73" s="104" t="str">
        <f>$V$92</f>
        <v>-</v>
      </c>
      <c r="AR73" s="54">
        <v>0</v>
      </c>
      <c r="AS73" s="54">
        <v>0</v>
      </c>
      <c r="AT73" s="54">
        <v>0</v>
      </c>
      <c r="AU73" s="54">
        <v>0</v>
      </c>
      <c r="AV73" s="54">
        <v>0</v>
      </c>
      <c r="AW73" s="54">
        <v>0</v>
      </c>
      <c r="AX73" s="54">
        <v>0</v>
      </c>
      <c r="AY73" s="54">
        <v>0</v>
      </c>
      <c r="AZ73" s="54">
        <v>0</v>
      </c>
      <c r="BA73" s="54">
        <v>0</v>
      </c>
      <c r="BB73" s="54">
        <v>0</v>
      </c>
      <c r="BC73" s="54">
        <v>0</v>
      </c>
      <c r="BD73" s="54">
        <v>0</v>
      </c>
      <c r="BE73" s="54">
        <v>0</v>
      </c>
      <c r="BF73" s="54">
        <v>0</v>
      </c>
      <c r="BG73" s="54">
        <v>0</v>
      </c>
      <c r="BH73" s="54">
        <v>0</v>
      </c>
      <c r="BK73" s="104" t="str">
        <f>$V$92</f>
        <v>-</v>
      </c>
      <c r="BL73" s="108">
        <v>0</v>
      </c>
      <c r="BM73" s="108">
        <v>0</v>
      </c>
      <c r="BN73" s="108">
        <v>0</v>
      </c>
      <c r="BO73" s="108">
        <v>0</v>
      </c>
      <c r="BP73" s="108">
        <v>0</v>
      </c>
      <c r="BQ73" s="108">
        <v>0</v>
      </c>
      <c r="BR73" s="108">
        <v>0</v>
      </c>
      <c r="BS73" s="108">
        <v>0</v>
      </c>
      <c r="BT73" s="108">
        <v>0</v>
      </c>
      <c r="BU73" s="108">
        <v>0</v>
      </c>
      <c r="BV73" s="108">
        <v>0</v>
      </c>
      <c r="BW73" s="108">
        <v>0</v>
      </c>
      <c r="BX73" s="108">
        <v>0</v>
      </c>
      <c r="BY73" s="108">
        <v>0</v>
      </c>
      <c r="BZ73" s="108">
        <v>0</v>
      </c>
      <c r="CA73" s="108">
        <v>0</v>
      </c>
      <c r="CB73" s="108">
        <v>0</v>
      </c>
    </row>
    <row r="74" spans="3:80" x14ac:dyDescent="0.55000000000000004">
      <c r="C74" s="104" t="str">
        <f>$V$74</f>
        <v>Samuel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U74" s="104">
        <v>22</v>
      </c>
      <c r="V74" s="106" t="s">
        <v>67</v>
      </c>
      <c r="W74" s="102">
        <v>0</v>
      </c>
      <c r="X74" s="102">
        <v>0</v>
      </c>
      <c r="Y74" s="102">
        <v>0</v>
      </c>
      <c r="Z74" s="102">
        <v>0</v>
      </c>
      <c r="AA74" s="102">
        <v>0</v>
      </c>
      <c r="AB74" s="102">
        <v>0</v>
      </c>
      <c r="AC74" s="102">
        <v>0</v>
      </c>
      <c r="AD74" s="102">
        <v>0</v>
      </c>
      <c r="AE74" s="102">
        <v>0</v>
      </c>
      <c r="AF74" s="102">
        <v>0</v>
      </c>
      <c r="AG74" s="102">
        <v>0</v>
      </c>
      <c r="AH74" s="102">
        <v>0</v>
      </c>
      <c r="AI74" s="102">
        <v>0</v>
      </c>
      <c r="AJ74" s="102">
        <v>0</v>
      </c>
      <c r="AK74" s="102">
        <v>0</v>
      </c>
      <c r="AL74" s="102">
        <v>0</v>
      </c>
      <c r="AM74" s="102">
        <v>0</v>
      </c>
      <c r="AN74" s="104">
        <f t="shared" si="1"/>
        <v>0</v>
      </c>
      <c r="AP74" t="str">
        <f>$V$35</f>
        <v>Entry</v>
      </c>
      <c r="AQ74" s="104" t="str">
        <f>$V$53</f>
        <v>Jennifer</v>
      </c>
      <c r="AR74" s="54">
        <v>1</v>
      </c>
      <c r="AS74" s="54">
        <v>0</v>
      </c>
      <c r="AT74" s="54">
        <v>0</v>
      </c>
      <c r="AU74" s="54">
        <v>1</v>
      </c>
      <c r="AV74" s="54">
        <v>0</v>
      </c>
      <c r="AW74" s="54">
        <v>0</v>
      </c>
      <c r="AX74" s="54">
        <v>0</v>
      </c>
      <c r="AY74" s="54">
        <v>0</v>
      </c>
      <c r="AZ74" s="54">
        <v>1</v>
      </c>
      <c r="BA74" s="54">
        <v>0</v>
      </c>
      <c r="BB74" s="54">
        <v>0</v>
      </c>
      <c r="BC74" s="54">
        <v>0</v>
      </c>
      <c r="BD74" s="54">
        <v>0</v>
      </c>
      <c r="BE74" s="54">
        <v>0</v>
      </c>
      <c r="BF74" s="54">
        <v>0</v>
      </c>
      <c r="BG74" s="54">
        <v>0</v>
      </c>
      <c r="BH74" s="54">
        <v>0</v>
      </c>
    </row>
    <row r="75" spans="3:80" x14ac:dyDescent="0.55000000000000004">
      <c r="C75" s="104" t="str">
        <f>$V$75</f>
        <v>Yassin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U75" s="104">
        <v>23</v>
      </c>
      <c r="V75" s="106" t="s">
        <v>68</v>
      </c>
      <c r="W75" s="102">
        <v>0</v>
      </c>
      <c r="X75" s="102">
        <v>0</v>
      </c>
      <c r="Y75" s="102">
        <v>0</v>
      </c>
      <c r="Z75" s="102">
        <v>0</v>
      </c>
      <c r="AA75" s="102">
        <v>0</v>
      </c>
      <c r="AB75" s="102">
        <v>0</v>
      </c>
      <c r="AC75" s="102">
        <v>0</v>
      </c>
      <c r="AD75" s="102">
        <v>0</v>
      </c>
      <c r="AE75" s="102">
        <v>0</v>
      </c>
      <c r="AF75" s="102">
        <v>0</v>
      </c>
      <c r="AG75" s="102">
        <v>0</v>
      </c>
      <c r="AH75" s="102">
        <v>0</v>
      </c>
      <c r="AI75" s="102">
        <v>0</v>
      </c>
      <c r="AJ75" s="102">
        <v>0</v>
      </c>
      <c r="AK75" s="102">
        <v>0</v>
      </c>
      <c r="AL75" s="102">
        <v>0</v>
      </c>
      <c r="AM75" s="102">
        <v>0</v>
      </c>
      <c r="AN75" s="104">
        <f t="shared" si="1"/>
        <v>0</v>
      </c>
      <c r="AQ75" s="104" t="str">
        <f>$V$54</f>
        <v>Galileo</v>
      </c>
      <c r="AR75" s="54">
        <v>0</v>
      </c>
      <c r="AS75" s="54">
        <v>1</v>
      </c>
      <c r="AT75" s="54">
        <v>0</v>
      </c>
      <c r="AU75" s="54">
        <v>0</v>
      </c>
      <c r="AV75" s="54">
        <v>0</v>
      </c>
      <c r="AW75" s="54">
        <v>0</v>
      </c>
      <c r="AX75" s="54">
        <v>0</v>
      </c>
      <c r="AY75" s="54">
        <v>0</v>
      </c>
      <c r="AZ75" s="54">
        <v>0</v>
      </c>
      <c r="BA75" s="54">
        <v>0</v>
      </c>
      <c r="BB75" s="54">
        <v>0</v>
      </c>
      <c r="BC75" s="54">
        <v>0</v>
      </c>
      <c r="BD75" s="54">
        <v>0</v>
      </c>
      <c r="BE75" s="54">
        <v>0</v>
      </c>
      <c r="BF75" s="54">
        <v>0</v>
      </c>
      <c r="BG75" s="54">
        <v>0</v>
      </c>
      <c r="BH75" s="54">
        <v>0</v>
      </c>
      <c r="BK75" s="104" t="str">
        <f>CONCATENATE("OBLIGATORIEDAD DE (",BK76,")")</f>
        <v>OBLIGATORIEDAD DE (Entry)</v>
      </c>
    </row>
    <row r="76" spans="3:80" x14ac:dyDescent="0.55000000000000004">
      <c r="C76" s="104" t="str">
        <f>$V$76</f>
        <v>Kamar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U76" s="104">
        <v>24</v>
      </c>
      <c r="V76" s="106" t="s">
        <v>69</v>
      </c>
      <c r="W76" s="102">
        <v>0</v>
      </c>
      <c r="X76" s="102">
        <v>0</v>
      </c>
      <c r="Y76" s="102">
        <v>0</v>
      </c>
      <c r="Z76" s="102">
        <v>0</v>
      </c>
      <c r="AA76" s="102">
        <v>0</v>
      </c>
      <c r="AB76" s="102">
        <v>0</v>
      </c>
      <c r="AC76" s="102">
        <v>0</v>
      </c>
      <c r="AD76" s="102">
        <v>0</v>
      </c>
      <c r="AE76" s="102">
        <v>0</v>
      </c>
      <c r="AF76" s="102">
        <v>0</v>
      </c>
      <c r="AG76" s="102">
        <v>0</v>
      </c>
      <c r="AH76" s="102">
        <v>0</v>
      </c>
      <c r="AI76" s="102">
        <v>0</v>
      </c>
      <c r="AJ76" s="102">
        <v>0</v>
      </c>
      <c r="AK76" s="102">
        <v>0</v>
      </c>
      <c r="AL76" s="102">
        <v>0</v>
      </c>
      <c r="AM76" s="102">
        <v>0</v>
      </c>
      <c r="AN76" s="104">
        <f t="shared" si="1"/>
        <v>0</v>
      </c>
      <c r="AQ76" s="104" t="str">
        <f>$V$55</f>
        <v>Óscar</v>
      </c>
      <c r="AR76" s="54">
        <v>0</v>
      </c>
      <c r="AS76" s="54">
        <v>0</v>
      </c>
      <c r="AT76" s="54">
        <v>1</v>
      </c>
      <c r="AU76" s="54">
        <v>0</v>
      </c>
      <c r="AV76" s="54">
        <v>0</v>
      </c>
      <c r="AW76" s="54">
        <v>0</v>
      </c>
      <c r="AX76" s="54">
        <v>0</v>
      </c>
      <c r="AY76" s="54">
        <v>0</v>
      </c>
      <c r="AZ76" s="54">
        <v>0</v>
      </c>
      <c r="BA76" s="54">
        <v>0</v>
      </c>
      <c r="BB76" s="54">
        <v>0</v>
      </c>
      <c r="BC76" s="54">
        <v>0</v>
      </c>
      <c r="BD76" s="54">
        <v>0</v>
      </c>
      <c r="BE76" s="54">
        <v>0</v>
      </c>
      <c r="BF76" s="54">
        <v>0</v>
      </c>
      <c r="BG76" s="54">
        <v>0</v>
      </c>
      <c r="BH76" s="54">
        <v>0</v>
      </c>
      <c r="BK76" s="104" t="str">
        <f>V35</f>
        <v>Entry</v>
      </c>
      <c r="BL76" s="104" t="str">
        <f>$W$33</f>
        <v>16h</v>
      </c>
      <c r="BM76" s="104" t="str">
        <f>$X$33</f>
        <v>17h</v>
      </c>
      <c r="BN76" s="104" t="str">
        <f>$Y$33</f>
        <v>18h</v>
      </c>
      <c r="BO76" s="104" t="str">
        <f>$Z$33</f>
        <v>19h</v>
      </c>
      <c r="BP76" s="104" t="str">
        <f>$AA$33</f>
        <v>20h</v>
      </c>
      <c r="BQ76" s="104" t="str">
        <f>$AB$33</f>
        <v>21h</v>
      </c>
      <c r="BR76" s="104" t="str">
        <f>$AC$33</f>
        <v>22h</v>
      </c>
      <c r="BS76" s="104" t="str">
        <f>$AD$33</f>
        <v>23h</v>
      </c>
      <c r="BT76" s="104" t="str">
        <f>$AE$33</f>
        <v>00h</v>
      </c>
      <c r="BU76" s="104" t="str">
        <f>$AF$33</f>
        <v>01h</v>
      </c>
      <c r="BV76" s="104" t="str">
        <f>$AG$33</f>
        <v>02h</v>
      </c>
      <c r="BW76" s="104" t="str">
        <f>$AH$33</f>
        <v>03h</v>
      </c>
      <c r="BX76" s="104" t="str">
        <f>$AI$33</f>
        <v>04h</v>
      </c>
      <c r="BY76" s="104" t="str">
        <f>$AJ$33</f>
        <v>05h</v>
      </c>
      <c r="BZ76" s="104" t="str">
        <f>$AK$33</f>
        <v>06h</v>
      </c>
      <c r="CA76" s="104" t="str">
        <f>$AL$33</f>
        <v>07h</v>
      </c>
      <c r="CB76" s="104" t="str">
        <f>$AM$33</f>
        <v>08h</v>
      </c>
    </row>
    <row r="77" spans="3:80" x14ac:dyDescent="0.55000000000000004">
      <c r="C77" s="104" t="str">
        <f>$V$77</f>
        <v>-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U77" s="104">
        <v>25</v>
      </c>
      <c r="V77" s="106" t="s">
        <v>146</v>
      </c>
      <c r="W77" s="102">
        <v>0</v>
      </c>
      <c r="X77" s="102">
        <v>0</v>
      </c>
      <c r="Y77" s="102">
        <v>0</v>
      </c>
      <c r="Z77" s="102">
        <v>0</v>
      </c>
      <c r="AA77" s="102">
        <v>0</v>
      </c>
      <c r="AB77" s="102">
        <v>0</v>
      </c>
      <c r="AC77" s="102">
        <v>0</v>
      </c>
      <c r="AD77" s="102">
        <v>0</v>
      </c>
      <c r="AE77" s="102">
        <v>0</v>
      </c>
      <c r="AF77" s="102">
        <v>0</v>
      </c>
      <c r="AG77" s="102">
        <v>0</v>
      </c>
      <c r="AH77" s="102">
        <v>0</v>
      </c>
      <c r="AI77" s="102">
        <v>0</v>
      </c>
      <c r="AJ77" s="102">
        <v>0</v>
      </c>
      <c r="AK77" s="102">
        <v>0</v>
      </c>
      <c r="AL77" s="102">
        <v>0</v>
      </c>
      <c r="AM77" s="102">
        <v>0</v>
      </c>
      <c r="AN77" s="104">
        <f t="shared" si="1"/>
        <v>0</v>
      </c>
      <c r="AQ77" s="104" t="str">
        <f>$V$56</f>
        <v>Sebastián</v>
      </c>
      <c r="AR77" s="54">
        <v>0</v>
      </c>
      <c r="AS77" s="54">
        <v>0</v>
      </c>
      <c r="AT77" s="54">
        <v>0</v>
      </c>
      <c r="AU77" s="54">
        <v>0</v>
      </c>
      <c r="AV77" s="54">
        <v>0</v>
      </c>
      <c r="AW77" s="54">
        <v>1</v>
      </c>
      <c r="AX77" s="54">
        <v>0</v>
      </c>
      <c r="AY77" s="54">
        <v>1</v>
      </c>
      <c r="AZ77" s="54">
        <v>0</v>
      </c>
      <c r="BA77" s="54">
        <v>0</v>
      </c>
      <c r="BB77" s="54">
        <v>0</v>
      </c>
      <c r="BC77" s="54">
        <v>1</v>
      </c>
      <c r="BD77" s="54">
        <v>0</v>
      </c>
      <c r="BE77" s="54">
        <v>0</v>
      </c>
      <c r="BF77" s="54">
        <v>0</v>
      </c>
      <c r="BG77" s="54">
        <v>0</v>
      </c>
      <c r="BH77" s="54">
        <v>0</v>
      </c>
      <c r="BK77" s="104" t="str">
        <f>$V$53</f>
        <v>Jennifer</v>
      </c>
      <c r="BL77" s="108">
        <v>0</v>
      </c>
      <c r="BM77" s="108">
        <v>0</v>
      </c>
      <c r="BN77" s="108">
        <v>0</v>
      </c>
      <c r="BO77" s="108">
        <v>0</v>
      </c>
      <c r="BP77" s="108">
        <v>0</v>
      </c>
      <c r="BQ77" s="108">
        <v>0</v>
      </c>
      <c r="BR77" s="108">
        <v>0</v>
      </c>
      <c r="BS77" s="108">
        <v>0</v>
      </c>
      <c r="BT77" s="108">
        <v>0</v>
      </c>
      <c r="BU77" s="108">
        <v>0</v>
      </c>
      <c r="BV77" s="108">
        <v>0</v>
      </c>
      <c r="BW77" s="108">
        <v>0</v>
      </c>
      <c r="BX77" s="108">
        <v>0</v>
      </c>
      <c r="BY77" s="108">
        <v>0</v>
      </c>
      <c r="BZ77" s="108">
        <v>0</v>
      </c>
      <c r="CA77" s="108">
        <v>0</v>
      </c>
      <c r="CB77" s="108">
        <v>0</v>
      </c>
    </row>
    <row r="78" spans="3:80" x14ac:dyDescent="0.55000000000000004">
      <c r="C78" s="104" t="str">
        <f>$V$78</f>
        <v>-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U78" s="104">
        <v>26</v>
      </c>
      <c r="V78" s="106" t="s">
        <v>146</v>
      </c>
      <c r="W78" s="102">
        <v>0</v>
      </c>
      <c r="X78" s="102">
        <v>0</v>
      </c>
      <c r="Y78" s="102">
        <v>0</v>
      </c>
      <c r="Z78" s="102">
        <v>0</v>
      </c>
      <c r="AA78" s="102">
        <v>0</v>
      </c>
      <c r="AB78" s="102">
        <v>0</v>
      </c>
      <c r="AC78" s="102">
        <v>0</v>
      </c>
      <c r="AD78" s="102">
        <v>0</v>
      </c>
      <c r="AE78" s="102">
        <v>0</v>
      </c>
      <c r="AF78" s="102">
        <v>0</v>
      </c>
      <c r="AG78" s="102">
        <v>0</v>
      </c>
      <c r="AH78" s="102">
        <v>0</v>
      </c>
      <c r="AI78" s="102">
        <v>0</v>
      </c>
      <c r="AJ78" s="102">
        <v>0</v>
      </c>
      <c r="AK78" s="102">
        <v>0</v>
      </c>
      <c r="AL78" s="102">
        <v>0</v>
      </c>
      <c r="AM78" s="102">
        <v>0</v>
      </c>
      <c r="AN78" s="104">
        <f t="shared" si="1"/>
        <v>0</v>
      </c>
      <c r="AQ78" s="104" t="str">
        <f>$V$57</f>
        <v>Marcos</v>
      </c>
      <c r="AR78" s="54">
        <v>0</v>
      </c>
      <c r="AS78" s="54">
        <v>0</v>
      </c>
      <c r="AT78" s="54">
        <v>0</v>
      </c>
      <c r="AU78" s="54">
        <v>0</v>
      </c>
      <c r="AV78" s="54">
        <v>0</v>
      </c>
      <c r="AW78" s="54">
        <v>0</v>
      </c>
      <c r="AX78" s="54">
        <v>0</v>
      </c>
      <c r="AY78" s="54">
        <v>0</v>
      </c>
      <c r="AZ78" s="54">
        <v>0</v>
      </c>
      <c r="BA78" s="54">
        <v>0</v>
      </c>
      <c r="BB78" s="54">
        <v>1</v>
      </c>
      <c r="BC78" s="54">
        <v>0</v>
      </c>
      <c r="BD78" s="54">
        <v>0</v>
      </c>
      <c r="BE78" s="54">
        <v>0</v>
      </c>
      <c r="BF78" s="54">
        <v>0</v>
      </c>
      <c r="BG78" s="54">
        <v>0</v>
      </c>
      <c r="BH78" s="54">
        <v>0</v>
      </c>
      <c r="BK78" s="104" t="str">
        <f>$V$54</f>
        <v>Galileo</v>
      </c>
      <c r="BL78" s="108">
        <v>0</v>
      </c>
      <c r="BM78" s="108">
        <v>0</v>
      </c>
      <c r="BN78" s="108">
        <v>0</v>
      </c>
      <c r="BO78" s="108">
        <v>0</v>
      </c>
      <c r="BP78" s="108">
        <v>0</v>
      </c>
      <c r="BQ78" s="108">
        <v>0</v>
      </c>
      <c r="BR78" s="108">
        <v>0</v>
      </c>
      <c r="BS78" s="108">
        <v>0</v>
      </c>
      <c r="BT78" s="108">
        <v>0</v>
      </c>
      <c r="BU78" s="108">
        <v>0</v>
      </c>
      <c r="BV78" s="108">
        <v>0</v>
      </c>
      <c r="BW78" s="108">
        <v>0</v>
      </c>
      <c r="BX78" s="108">
        <v>0</v>
      </c>
      <c r="BY78" s="108">
        <v>0</v>
      </c>
      <c r="BZ78" s="108">
        <v>0</v>
      </c>
      <c r="CA78" s="108">
        <v>0</v>
      </c>
      <c r="CB78" s="108">
        <v>0</v>
      </c>
    </row>
    <row r="79" spans="3:80" x14ac:dyDescent="0.55000000000000004">
      <c r="C79" s="104" t="str">
        <f>$V$79</f>
        <v>-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U79" s="104">
        <v>27</v>
      </c>
      <c r="V79" s="106" t="s">
        <v>146</v>
      </c>
      <c r="W79" s="102">
        <v>0</v>
      </c>
      <c r="X79" s="102">
        <v>0</v>
      </c>
      <c r="Y79" s="102">
        <v>0</v>
      </c>
      <c r="Z79" s="102">
        <v>0</v>
      </c>
      <c r="AA79" s="102">
        <v>0</v>
      </c>
      <c r="AB79" s="102">
        <v>0</v>
      </c>
      <c r="AC79" s="102">
        <v>0</v>
      </c>
      <c r="AD79" s="102">
        <v>0</v>
      </c>
      <c r="AE79" s="102">
        <v>0</v>
      </c>
      <c r="AF79" s="102">
        <v>0</v>
      </c>
      <c r="AG79" s="102">
        <v>0</v>
      </c>
      <c r="AH79" s="102">
        <v>0</v>
      </c>
      <c r="AI79" s="102">
        <v>0</v>
      </c>
      <c r="AJ79" s="102">
        <v>0</v>
      </c>
      <c r="AK79" s="102">
        <v>0</v>
      </c>
      <c r="AL79" s="102">
        <v>0</v>
      </c>
      <c r="AM79" s="102">
        <v>0</v>
      </c>
      <c r="AN79" s="104">
        <f t="shared" si="1"/>
        <v>0</v>
      </c>
      <c r="AQ79" s="104" t="str">
        <f>$V$58</f>
        <v>Weixin</v>
      </c>
      <c r="AR79" s="54">
        <v>0</v>
      </c>
      <c r="AS79" s="54">
        <v>0</v>
      </c>
      <c r="AT79" s="54">
        <v>0</v>
      </c>
      <c r="AU79" s="54">
        <v>0</v>
      </c>
      <c r="AV79" s="54">
        <v>1</v>
      </c>
      <c r="AW79" s="54">
        <v>0</v>
      </c>
      <c r="AX79" s="54">
        <v>1</v>
      </c>
      <c r="AY79" s="54">
        <v>0</v>
      </c>
      <c r="AZ79" s="54">
        <v>0</v>
      </c>
      <c r="BA79" s="54">
        <v>1</v>
      </c>
      <c r="BB79" s="54">
        <v>0</v>
      </c>
      <c r="BC79" s="54">
        <v>0</v>
      </c>
      <c r="BD79" s="54">
        <v>0</v>
      </c>
      <c r="BE79" s="54">
        <v>0</v>
      </c>
      <c r="BF79" s="54">
        <v>0</v>
      </c>
      <c r="BG79" s="54">
        <v>0</v>
      </c>
      <c r="BH79" s="54">
        <v>0</v>
      </c>
      <c r="BK79" s="104" t="str">
        <f>$V$55</f>
        <v>Óscar</v>
      </c>
      <c r="BL79" s="108">
        <v>0</v>
      </c>
      <c r="BM79" s="108">
        <v>0</v>
      </c>
      <c r="BN79" s="108">
        <v>0</v>
      </c>
      <c r="BO79" s="108">
        <v>0</v>
      </c>
      <c r="BP79" s="108">
        <v>0</v>
      </c>
      <c r="BQ79" s="108">
        <v>0</v>
      </c>
      <c r="BR79" s="108">
        <v>0</v>
      </c>
      <c r="BS79" s="108">
        <v>0</v>
      </c>
      <c r="BT79" s="108">
        <v>0</v>
      </c>
      <c r="BU79" s="108">
        <v>0</v>
      </c>
      <c r="BV79" s="108">
        <v>0</v>
      </c>
      <c r="BW79" s="108">
        <v>0</v>
      </c>
      <c r="BX79" s="108">
        <v>0</v>
      </c>
      <c r="BY79" s="108">
        <v>0</v>
      </c>
      <c r="BZ79" s="108">
        <v>0</v>
      </c>
      <c r="CA79" s="108">
        <v>0</v>
      </c>
      <c r="CB79" s="108">
        <v>0</v>
      </c>
    </row>
    <row r="80" spans="3:80" x14ac:dyDescent="0.55000000000000004">
      <c r="C80" s="104" t="str">
        <f>$V$80</f>
        <v>-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U80" s="104">
        <v>28</v>
      </c>
      <c r="V80" s="106" t="s">
        <v>146</v>
      </c>
      <c r="W80" s="102">
        <v>0</v>
      </c>
      <c r="X80" s="102">
        <v>0</v>
      </c>
      <c r="Y80" s="102">
        <v>0</v>
      </c>
      <c r="Z80" s="102">
        <v>0</v>
      </c>
      <c r="AA80" s="102">
        <v>0</v>
      </c>
      <c r="AB80" s="102">
        <v>0</v>
      </c>
      <c r="AC80" s="102">
        <v>0</v>
      </c>
      <c r="AD80" s="102">
        <v>0</v>
      </c>
      <c r="AE80" s="102">
        <v>0</v>
      </c>
      <c r="AF80" s="102">
        <v>0</v>
      </c>
      <c r="AG80" s="102">
        <v>0</v>
      </c>
      <c r="AH80" s="102">
        <v>0</v>
      </c>
      <c r="AI80" s="102">
        <v>0</v>
      </c>
      <c r="AJ80" s="102">
        <v>0</v>
      </c>
      <c r="AK80" s="102">
        <v>0</v>
      </c>
      <c r="AL80" s="102">
        <v>0</v>
      </c>
      <c r="AM80" s="102">
        <v>0</v>
      </c>
      <c r="AN80" s="104">
        <f t="shared" si="1"/>
        <v>0</v>
      </c>
      <c r="AQ80" s="104" t="str">
        <f>$V$59</f>
        <v>Benjamin</v>
      </c>
      <c r="AR80" s="54">
        <v>0</v>
      </c>
      <c r="AS80" s="54">
        <v>0</v>
      </c>
      <c r="AT80" s="54">
        <v>0</v>
      </c>
      <c r="AU80" s="54">
        <v>0</v>
      </c>
      <c r="AV80" s="54">
        <v>0</v>
      </c>
      <c r="AW80" s="54">
        <v>0</v>
      </c>
      <c r="AX80" s="54">
        <v>0</v>
      </c>
      <c r="AY80" s="54">
        <v>0</v>
      </c>
      <c r="AZ80" s="54">
        <v>0</v>
      </c>
      <c r="BA80" s="54">
        <v>0</v>
      </c>
      <c r="BB80" s="54">
        <v>0</v>
      </c>
      <c r="BC80" s="54">
        <v>0</v>
      </c>
      <c r="BD80" s="54">
        <v>0</v>
      </c>
      <c r="BE80" s="54">
        <v>0</v>
      </c>
      <c r="BF80" s="54">
        <v>0</v>
      </c>
      <c r="BG80" s="54">
        <v>0</v>
      </c>
      <c r="BH80" s="54">
        <v>0</v>
      </c>
      <c r="BK80" s="104" t="str">
        <f>$V$56</f>
        <v>Sebastián</v>
      </c>
      <c r="BL80" s="108">
        <v>0</v>
      </c>
      <c r="BM80" s="108">
        <v>0</v>
      </c>
      <c r="BN80" s="108">
        <v>0</v>
      </c>
      <c r="BO80" s="108">
        <v>0</v>
      </c>
      <c r="BP80" s="108">
        <v>0</v>
      </c>
      <c r="BQ80" s="108">
        <v>0</v>
      </c>
      <c r="BR80" s="108">
        <v>0</v>
      </c>
      <c r="BS80" s="108">
        <v>0</v>
      </c>
      <c r="BT80" s="108">
        <v>0</v>
      </c>
      <c r="BU80" s="108">
        <v>0</v>
      </c>
      <c r="BV80" s="108">
        <v>0</v>
      </c>
      <c r="BW80" s="108">
        <v>0</v>
      </c>
      <c r="BX80" s="108">
        <v>0</v>
      </c>
      <c r="BY80" s="108">
        <v>0</v>
      </c>
      <c r="BZ80" s="108">
        <v>0</v>
      </c>
      <c r="CA80" s="108">
        <v>0</v>
      </c>
      <c r="CB80" s="108">
        <v>0</v>
      </c>
    </row>
    <row r="81" spans="3:80" x14ac:dyDescent="0.55000000000000004">
      <c r="C81" s="104" t="str">
        <f>$V$81</f>
        <v>-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4">
        <v>0</v>
      </c>
      <c r="O81" s="54">
        <v>0</v>
      </c>
      <c r="P81" s="54">
        <v>0</v>
      </c>
      <c r="Q81" s="54">
        <v>0</v>
      </c>
      <c r="R81" s="54">
        <v>0</v>
      </c>
      <c r="S81" s="54">
        <v>0</v>
      </c>
      <c r="U81" s="104">
        <v>29</v>
      </c>
      <c r="V81" s="106" t="s">
        <v>146</v>
      </c>
      <c r="W81" s="102">
        <v>0</v>
      </c>
      <c r="X81" s="102">
        <v>0</v>
      </c>
      <c r="Y81" s="102">
        <v>0</v>
      </c>
      <c r="Z81" s="102">
        <v>0</v>
      </c>
      <c r="AA81" s="102">
        <v>0</v>
      </c>
      <c r="AB81" s="102">
        <v>0</v>
      </c>
      <c r="AC81" s="102">
        <v>0</v>
      </c>
      <c r="AD81" s="102">
        <v>0</v>
      </c>
      <c r="AE81" s="102">
        <v>0</v>
      </c>
      <c r="AF81" s="102">
        <v>0</v>
      </c>
      <c r="AG81" s="102">
        <v>0</v>
      </c>
      <c r="AH81" s="102">
        <v>0</v>
      </c>
      <c r="AI81" s="102">
        <v>0</v>
      </c>
      <c r="AJ81" s="102">
        <v>0</v>
      </c>
      <c r="AK81" s="102">
        <v>0</v>
      </c>
      <c r="AL81" s="102">
        <v>0</v>
      </c>
      <c r="AM81" s="102">
        <v>0</v>
      </c>
      <c r="AN81" s="104">
        <f t="shared" si="1"/>
        <v>0</v>
      </c>
      <c r="AQ81" s="104" t="str">
        <f>$V$60</f>
        <v>Joelle</v>
      </c>
      <c r="AR81" s="54">
        <v>0</v>
      </c>
      <c r="AS81" s="54">
        <v>0</v>
      </c>
      <c r="AT81" s="54">
        <v>0</v>
      </c>
      <c r="AU81" s="54">
        <v>0</v>
      </c>
      <c r="AV81" s="54">
        <v>0</v>
      </c>
      <c r="AW81" s="54">
        <v>0</v>
      </c>
      <c r="AX81" s="54">
        <v>0</v>
      </c>
      <c r="AY81" s="54">
        <v>0</v>
      </c>
      <c r="AZ81" s="54">
        <v>0</v>
      </c>
      <c r="BA81" s="54">
        <v>0</v>
      </c>
      <c r="BB81" s="54">
        <v>0</v>
      </c>
      <c r="BC81" s="54">
        <v>0</v>
      </c>
      <c r="BD81" s="54">
        <v>0</v>
      </c>
      <c r="BE81" s="54">
        <v>0</v>
      </c>
      <c r="BF81" s="54">
        <v>0</v>
      </c>
      <c r="BG81" s="54">
        <v>0</v>
      </c>
      <c r="BH81" s="54">
        <v>0</v>
      </c>
      <c r="BK81" s="104" t="str">
        <f>$V$57</f>
        <v>Marcos</v>
      </c>
      <c r="BL81" s="108">
        <v>0</v>
      </c>
      <c r="BM81" s="108">
        <v>0</v>
      </c>
      <c r="BN81" s="108">
        <v>0</v>
      </c>
      <c r="BO81" s="108">
        <v>0</v>
      </c>
      <c r="BP81" s="108">
        <v>0</v>
      </c>
      <c r="BQ81" s="108">
        <v>0</v>
      </c>
      <c r="BR81" s="108">
        <v>0</v>
      </c>
      <c r="BS81" s="108">
        <v>0</v>
      </c>
      <c r="BT81" s="108">
        <v>0</v>
      </c>
      <c r="BU81" s="108">
        <v>0</v>
      </c>
      <c r="BV81" s="108">
        <v>0</v>
      </c>
      <c r="BW81" s="108">
        <v>0</v>
      </c>
      <c r="BX81" s="108">
        <v>0</v>
      </c>
      <c r="BY81" s="108">
        <v>0</v>
      </c>
      <c r="BZ81" s="108">
        <v>0</v>
      </c>
      <c r="CA81" s="108">
        <v>0</v>
      </c>
      <c r="CB81" s="108">
        <v>0</v>
      </c>
    </row>
    <row r="82" spans="3:80" x14ac:dyDescent="0.55000000000000004">
      <c r="C82" s="104" t="str">
        <f>$V$82</f>
        <v>-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4">
        <v>0</v>
      </c>
      <c r="O82" s="54">
        <v>0</v>
      </c>
      <c r="P82" s="54">
        <v>0</v>
      </c>
      <c r="Q82" s="54">
        <v>0</v>
      </c>
      <c r="R82" s="54">
        <v>0</v>
      </c>
      <c r="S82" s="54">
        <v>0</v>
      </c>
      <c r="U82" s="104">
        <v>30</v>
      </c>
      <c r="V82" s="106" t="s">
        <v>146</v>
      </c>
      <c r="W82" s="102">
        <v>0</v>
      </c>
      <c r="X82" s="102">
        <v>0</v>
      </c>
      <c r="Y82" s="102">
        <v>0</v>
      </c>
      <c r="Z82" s="102">
        <v>0</v>
      </c>
      <c r="AA82" s="102">
        <v>0</v>
      </c>
      <c r="AB82" s="102">
        <v>0</v>
      </c>
      <c r="AC82" s="102">
        <v>0</v>
      </c>
      <c r="AD82" s="102">
        <v>0</v>
      </c>
      <c r="AE82" s="102">
        <v>0</v>
      </c>
      <c r="AF82" s="102">
        <v>0</v>
      </c>
      <c r="AG82" s="102">
        <v>0</v>
      </c>
      <c r="AH82" s="102">
        <v>0</v>
      </c>
      <c r="AI82" s="102">
        <v>0</v>
      </c>
      <c r="AJ82" s="102">
        <v>0</v>
      </c>
      <c r="AK82" s="102">
        <v>0</v>
      </c>
      <c r="AL82" s="102">
        <v>0</v>
      </c>
      <c r="AM82" s="102">
        <v>0</v>
      </c>
      <c r="AN82" s="104">
        <f t="shared" si="1"/>
        <v>0</v>
      </c>
      <c r="AQ82" s="104" t="str">
        <f>$V$61</f>
        <v>Alexia</v>
      </c>
      <c r="AR82" s="54">
        <v>0</v>
      </c>
      <c r="AS82" s="54">
        <v>0</v>
      </c>
      <c r="AT82" s="54">
        <v>0</v>
      </c>
      <c r="AU82" s="54">
        <v>0</v>
      </c>
      <c r="AV82" s="54">
        <v>0</v>
      </c>
      <c r="AW82" s="54">
        <v>0</v>
      </c>
      <c r="AX82" s="54">
        <v>0</v>
      </c>
      <c r="AY82" s="54">
        <v>0</v>
      </c>
      <c r="AZ82" s="54">
        <v>0</v>
      </c>
      <c r="BA82" s="54">
        <v>0</v>
      </c>
      <c r="BB82" s="54">
        <v>0</v>
      </c>
      <c r="BC82" s="54">
        <v>0</v>
      </c>
      <c r="BD82" s="54">
        <v>0</v>
      </c>
      <c r="BE82" s="54">
        <v>0</v>
      </c>
      <c r="BF82" s="54">
        <v>0</v>
      </c>
      <c r="BG82" s="54">
        <v>0</v>
      </c>
      <c r="BH82" s="54">
        <v>0</v>
      </c>
      <c r="BK82" s="104" t="str">
        <f>$V$58</f>
        <v>Weixin</v>
      </c>
      <c r="BL82" s="108">
        <v>0</v>
      </c>
      <c r="BM82" s="108">
        <v>0</v>
      </c>
      <c r="BN82" s="108">
        <v>0</v>
      </c>
      <c r="BO82" s="108">
        <v>0</v>
      </c>
      <c r="BP82" s="108">
        <v>0</v>
      </c>
      <c r="BQ82" s="108">
        <v>0</v>
      </c>
      <c r="BR82" s="108">
        <v>0</v>
      </c>
      <c r="BS82" s="108">
        <v>0</v>
      </c>
      <c r="BT82" s="108">
        <v>0</v>
      </c>
      <c r="BU82" s="108">
        <v>0</v>
      </c>
      <c r="BV82" s="108">
        <v>0</v>
      </c>
      <c r="BW82" s="108">
        <v>0</v>
      </c>
      <c r="BX82" s="108">
        <v>0</v>
      </c>
      <c r="BY82" s="108">
        <v>0</v>
      </c>
      <c r="BZ82" s="108">
        <v>0</v>
      </c>
      <c r="CA82" s="108">
        <v>0</v>
      </c>
      <c r="CB82" s="108">
        <v>0</v>
      </c>
    </row>
    <row r="83" spans="3:80" x14ac:dyDescent="0.55000000000000004">
      <c r="C83" s="104" t="str">
        <f>$V$83</f>
        <v>-</v>
      </c>
      <c r="D83" s="54">
        <v>0</v>
      </c>
      <c r="E83" s="54">
        <v>0</v>
      </c>
      <c r="F83" s="54">
        <v>0</v>
      </c>
      <c r="G83" s="54">
        <v>0</v>
      </c>
      <c r="H83" s="54">
        <v>0</v>
      </c>
      <c r="I83" s="54">
        <v>0</v>
      </c>
      <c r="J83" s="54">
        <v>0</v>
      </c>
      <c r="K83" s="54">
        <v>0</v>
      </c>
      <c r="L83" s="54">
        <v>0</v>
      </c>
      <c r="M83" s="54">
        <v>0</v>
      </c>
      <c r="N83" s="54">
        <v>0</v>
      </c>
      <c r="O83" s="54">
        <v>0</v>
      </c>
      <c r="P83" s="54">
        <v>0</v>
      </c>
      <c r="Q83" s="54">
        <v>0</v>
      </c>
      <c r="R83" s="54">
        <v>0</v>
      </c>
      <c r="S83" s="54">
        <v>0</v>
      </c>
      <c r="U83" s="104">
        <v>31</v>
      </c>
      <c r="V83" s="106" t="s">
        <v>146</v>
      </c>
      <c r="W83" s="102">
        <v>0</v>
      </c>
      <c r="X83" s="102">
        <v>0</v>
      </c>
      <c r="Y83" s="102">
        <v>0</v>
      </c>
      <c r="Z83" s="102">
        <v>0</v>
      </c>
      <c r="AA83" s="102">
        <v>0</v>
      </c>
      <c r="AB83" s="102">
        <v>0</v>
      </c>
      <c r="AC83" s="102">
        <v>0</v>
      </c>
      <c r="AD83" s="102">
        <v>0</v>
      </c>
      <c r="AE83" s="102">
        <v>0</v>
      </c>
      <c r="AF83" s="102">
        <v>0</v>
      </c>
      <c r="AG83" s="102">
        <v>0</v>
      </c>
      <c r="AH83" s="102">
        <v>0</v>
      </c>
      <c r="AI83" s="102">
        <v>0</v>
      </c>
      <c r="AJ83" s="102">
        <v>0</v>
      </c>
      <c r="AK83" s="102">
        <v>0</v>
      </c>
      <c r="AL83" s="102">
        <v>0</v>
      </c>
      <c r="AM83" s="102">
        <v>0</v>
      </c>
      <c r="AN83" s="104">
        <f t="shared" si="1"/>
        <v>0</v>
      </c>
      <c r="AQ83" s="104" t="str">
        <f>$V$62</f>
        <v>Joao</v>
      </c>
      <c r="AR83" s="54">
        <v>0</v>
      </c>
      <c r="AS83" s="54">
        <v>0</v>
      </c>
      <c r="AT83" s="54">
        <v>0</v>
      </c>
      <c r="AU83" s="54">
        <v>0</v>
      </c>
      <c r="AV83" s="54">
        <v>0</v>
      </c>
      <c r="AW83" s="54">
        <v>0</v>
      </c>
      <c r="AX83" s="54">
        <v>0</v>
      </c>
      <c r="AY83" s="54">
        <v>0</v>
      </c>
      <c r="AZ83" s="54">
        <v>0</v>
      </c>
      <c r="BA83" s="54">
        <v>0</v>
      </c>
      <c r="BB83" s="54">
        <v>0</v>
      </c>
      <c r="BC83" s="54">
        <v>0</v>
      </c>
      <c r="BD83" s="54">
        <v>0</v>
      </c>
      <c r="BE83" s="54">
        <v>0</v>
      </c>
      <c r="BF83" s="54">
        <v>0</v>
      </c>
      <c r="BG83" s="54">
        <v>0</v>
      </c>
      <c r="BH83" s="54">
        <v>0</v>
      </c>
      <c r="BK83" s="104" t="str">
        <f>$V$59</f>
        <v>Benjamin</v>
      </c>
      <c r="BL83" s="108">
        <v>0</v>
      </c>
      <c r="BM83" s="108">
        <v>0</v>
      </c>
      <c r="BN83" s="108">
        <v>0</v>
      </c>
      <c r="BO83" s="108">
        <v>0</v>
      </c>
      <c r="BP83" s="108">
        <v>0</v>
      </c>
      <c r="BQ83" s="108">
        <v>0</v>
      </c>
      <c r="BR83" s="108">
        <v>0</v>
      </c>
      <c r="BS83" s="108">
        <v>0</v>
      </c>
      <c r="BT83" s="108">
        <v>0</v>
      </c>
      <c r="BU83" s="108">
        <v>0</v>
      </c>
      <c r="BV83" s="108">
        <v>0</v>
      </c>
      <c r="BW83" s="108">
        <v>0</v>
      </c>
      <c r="BX83" s="108">
        <v>0</v>
      </c>
      <c r="BY83" s="108">
        <v>0</v>
      </c>
      <c r="BZ83" s="108">
        <v>0</v>
      </c>
      <c r="CA83" s="108">
        <v>0</v>
      </c>
      <c r="CB83" s="108">
        <v>0</v>
      </c>
    </row>
    <row r="84" spans="3:80" x14ac:dyDescent="0.55000000000000004">
      <c r="C84" s="104" t="str">
        <f>$V$84</f>
        <v>-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4">
        <v>0</v>
      </c>
      <c r="O84" s="54">
        <v>0</v>
      </c>
      <c r="P84" s="54">
        <v>0</v>
      </c>
      <c r="Q84" s="54">
        <v>0</v>
      </c>
      <c r="R84" s="54">
        <v>0</v>
      </c>
      <c r="S84" s="54">
        <v>0</v>
      </c>
      <c r="U84" s="104">
        <v>32</v>
      </c>
      <c r="V84" s="106" t="s">
        <v>146</v>
      </c>
      <c r="W84" s="102">
        <v>0</v>
      </c>
      <c r="X84" s="102">
        <v>0</v>
      </c>
      <c r="Y84" s="102">
        <v>0</v>
      </c>
      <c r="Z84" s="102">
        <v>0</v>
      </c>
      <c r="AA84" s="102">
        <v>0</v>
      </c>
      <c r="AB84" s="102">
        <v>0</v>
      </c>
      <c r="AC84" s="102">
        <v>0</v>
      </c>
      <c r="AD84" s="102">
        <v>0</v>
      </c>
      <c r="AE84" s="102">
        <v>0</v>
      </c>
      <c r="AF84" s="102">
        <v>0</v>
      </c>
      <c r="AG84" s="102">
        <v>0</v>
      </c>
      <c r="AH84" s="102">
        <v>0</v>
      </c>
      <c r="AI84" s="102">
        <v>0</v>
      </c>
      <c r="AJ84" s="102">
        <v>0</v>
      </c>
      <c r="AK84" s="102">
        <v>0</v>
      </c>
      <c r="AL84" s="102">
        <v>0</v>
      </c>
      <c r="AM84" s="102">
        <v>0</v>
      </c>
      <c r="AN84" s="104">
        <f t="shared" si="1"/>
        <v>0</v>
      </c>
      <c r="AQ84" s="104" t="str">
        <f>$V$63</f>
        <v>Maxime</v>
      </c>
      <c r="AR84" s="54">
        <v>0</v>
      </c>
      <c r="AS84" s="54">
        <v>0</v>
      </c>
      <c r="AT84" s="54">
        <v>0</v>
      </c>
      <c r="AU84" s="54">
        <v>0</v>
      </c>
      <c r="AV84" s="54">
        <v>0</v>
      </c>
      <c r="AW84" s="54">
        <v>0</v>
      </c>
      <c r="AX84" s="54">
        <v>0</v>
      </c>
      <c r="AY84" s="54">
        <v>0</v>
      </c>
      <c r="AZ84" s="54">
        <v>0</v>
      </c>
      <c r="BA84" s="54">
        <v>0</v>
      </c>
      <c r="BB84" s="54">
        <v>0</v>
      </c>
      <c r="BC84" s="54">
        <v>0</v>
      </c>
      <c r="BD84" s="54">
        <v>0</v>
      </c>
      <c r="BE84" s="54">
        <v>0</v>
      </c>
      <c r="BF84" s="54">
        <v>0</v>
      </c>
      <c r="BG84" s="54">
        <v>0</v>
      </c>
      <c r="BH84" s="54">
        <v>0</v>
      </c>
      <c r="BK84" s="104" t="str">
        <f>$V$60</f>
        <v>Joelle</v>
      </c>
      <c r="BL84" s="108">
        <v>0</v>
      </c>
      <c r="BM84" s="108">
        <v>0</v>
      </c>
      <c r="BN84" s="108">
        <v>0</v>
      </c>
      <c r="BO84" s="108">
        <v>0</v>
      </c>
      <c r="BP84" s="108">
        <v>0</v>
      </c>
      <c r="BQ84" s="108">
        <v>0</v>
      </c>
      <c r="BR84" s="108">
        <v>0</v>
      </c>
      <c r="BS84" s="108">
        <v>0</v>
      </c>
      <c r="BT84" s="108">
        <v>0</v>
      </c>
      <c r="BU84" s="108">
        <v>0</v>
      </c>
      <c r="BV84" s="108">
        <v>0</v>
      </c>
      <c r="BW84" s="108">
        <v>0</v>
      </c>
      <c r="BX84" s="108">
        <v>0</v>
      </c>
      <c r="BY84" s="108">
        <v>0</v>
      </c>
      <c r="BZ84" s="108">
        <v>0</v>
      </c>
      <c r="CA84" s="108">
        <v>0</v>
      </c>
      <c r="CB84" s="108">
        <v>0</v>
      </c>
    </row>
    <row r="85" spans="3:80" x14ac:dyDescent="0.55000000000000004">
      <c r="C85" s="104" t="str">
        <f>$V$85</f>
        <v>-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U85" s="104">
        <v>33</v>
      </c>
      <c r="V85" s="106" t="s">
        <v>146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102">
        <v>0</v>
      </c>
      <c r="AH85" s="102">
        <v>0</v>
      </c>
      <c r="AI85" s="102">
        <v>0</v>
      </c>
      <c r="AJ85" s="102">
        <v>0</v>
      </c>
      <c r="AK85" s="102">
        <v>0</v>
      </c>
      <c r="AL85" s="102">
        <v>0</v>
      </c>
      <c r="AM85" s="102">
        <v>0</v>
      </c>
      <c r="AN85" s="104">
        <f t="shared" si="1"/>
        <v>0</v>
      </c>
      <c r="AQ85" s="104" t="str">
        <f>$V$64</f>
        <v>Alex</v>
      </c>
      <c r="AR85" s="54">
        <v>0</v>
      </c>
      <c r="AS85" s="54">
        <v>0</v>
      </c>
      <c r="AT85" s="54">
        <v>0</v>
      </c>
      <c r="AU85" s="54">
        <v>0</v>
      </c>
      <c r="AV85" s="54">
        <v>0</v>
      </c>
      <c r="AW85" s="54">
        <v>0</v>
      </c>
      <c r="AX85" s="54">
        <v>0</v>
      </c>
      <c r="AY85" s="54">
        <v>0</v>
      </c>
      <c r="AZ85" s="54">
        <v>0</v>
      </c>
      <c r="BA85" s="54">
        <v>0</v>
      </c>
      <c r="BB85" s="54">
        <v>0</v>
      </c>
      <c r="BC85" s="54">
        <v>0</v>
      </c>
      <c r="BD85" s="54">
        <v>0</v>
      </c>
      <c r="BE85" s="54">
        <v>0</v>
      </c>
      <c r="BF85" s="54">
        <v>0</v>
      </c>
      <c r="BG85" s="54">
        <v>0</v>
      </c>
      <c r="BH85" s="54">
        <v>0</v>
      </c>
      <c r="BK85" s="104" t="str">
        <f>$V$61</f>
        <v>Alexia</v>
      </c>
      <c r="BL85" s="108">
        <v>0</v>
      </c>
      <c r="BM85" s="108">
        <v>0</v>
      </c>
      <c r="BN85" s="108">
        <v>0</v>
      </c>
      <c r="BO85" s="108">
        <v>0</v>
      </c>
      <c r="BP85" s="108">
        <v>0</v>
      </c>
      <c r="BQ85" s="108">
        <v>0</v>
      </c>
      <c r="BR85" s="108">
        <v>0</v>
      </c>
      <c r="BS85" s="108">
        <v>0</v>
      </c>
      <c r="BT85" s="108">
        <v>0</v>
      </c>
      <c r="BU85" s="108">
        <v>0</v>
      </c>
      <c r="BV85" s="108">
        <v>0</v>
      </c>
      <c r="BW85" s="108">
        <v>0</v>
      </c>
      <c r="BX85" s="108">
        <v>0</v>
      </c>
      <c r="BY85" s="108">
        <v>0</v>
      </c>
      <c r="BZ85" s="108">
        <v>0</v>
      </c>
      <c r="CA85" s="108">
        <v>0</v>
      </c>
      <c r="CB85" s="108">
        <v>0</v>
      </c>
    </row>
    <row r="86" spans="3:80" x14ac:dyDescent="0.55000000000000004">
      <c r="C86" s="104" t="str">
        <f>$V$86</f>
        <v>-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54">
        <v>0</v>
      </c>
      <c r="P86" s="54">
        <v>0</v>
      </c>
      <c r="Q86" s="54">
        <v>0</v>
      </c>
      <c r="R86" s="54">
        <v>0</v>
      </c>
      <c r="S86" s="54">
        <v>0</v>
      </c>
      <c r="U86" s="104">
        <v>34</v>
      </c>
      <c r="V86" s="106" t="s">
        <v>146</v>
      </c>
      <c r="W86" s="102">
        <v>0</v>
      </c>
      <c r="X86" s="102">
        <v>0</v>
      </c>
      <c r="Y86" s="102">
        <v>0</v>
      </c>
      <c r="Z86" s="102">
        <v>0</v>
      </c>
      <c r="AA86" s="102">
        <v>0</v>
      </c>
      <c r="AB86" s="102">
        <v>0</v>
      </c>
      <c r="AC86" s="102">
        <v>0</v>
      </c>
      <c r="AD86" s="102">
        <v>0</v>
      </c>
      <c r="AE86" s="102">
        <v>0</v>
      </c>
      <c r="AF86" s="102">
        <v>0</v>
      </c>
      <c r="AG86" s="102">
        <v>0</v>
      </c>
      <c r="AH86" s="102">
        <v>0</v>
      </c>
      <c r="AI86" s="102">
        <v>0</v>
      </c>
      <c r="AJ86" s="102">
        <v>0</v>
      </c>
      <c r="AK86" s="102">
        <v>0</v>
      </c>
      <c r="AL86" s="102">
        <v>0</v>
      </c>
      <c r="AM86" s="102">
        <v>0</v>
      </c>
      <c r="AN86" s="104">
        <f t="shared" si="1"/>
        <v>0</v>
      </c>
      <c r="AQ86" s="104" t="str">
        <f>$V$65</f>
        <v>Alyssa</v>
      </c>
      <c r="AR86" s="54">
        <v>0</v>
      </c>
      <c r="AS86" s="54">
        <v>0</v>
      </c>
      <c r="AT86" s="54">
        <v>0</v>
      </c>
      <c r="AU86" s="54">
        <v>0</v>
      </c>
      <c r="AV86" s="54">
        <v>0</v>
      </c>
      <c r="AW86" s="54">
        <v>0</v>
      </c>
      <c r="AX86" s="54">
        <v>0</v>
      </c>
      <c r="AY86" s="54">
        <v>0</v>
      </c>
      <c r="AZ86" s="54">
        <v>0</v>
      </c>
      <c r="BA86" s="54">
        <v>0</v>
      </c>
      <c r="BB86" s="54">
        <v>0</v>
      </c>
      <c r="BC86" s="54">
        <v>0</v>
      </c>
      <c r="BD86" s="54">
        <v>0</v>
      </c>
      <c r="BE86" s="54">
        <v>0</v>
      </c>
      <c r="BF86" s="54">
        <v>0</v>
      </c>
      <c r="BG86" s="54">
        <v>0</v>
      </c>
      <c r="BH86" s="54">
        <v>0</v>
      </c>
      <c r="BK86" s="104" t="str">
        <f>$V$62</f>
        <v>Joao</v>
      </c>
      <c r="BL86" s="108">
        <v>0</v>
      </c>
      <c r="BM86" s="108">
        <v>0</v>
      </c>
      <c r="BN86" s="108">
        <v>0</v>
      </c>
      <c r="BO86" s="108">
        <v>0</v>
      </c>
      <c r="BP86" s="108">
        <v>0</v>
      </c>
      <c r="BQ86" s="108">
        <v>0</v>
      </c>
      <c r="BR86" s="108">
        <v>0</v>
      </c>
      <c r="BS86" s="108">
        <v>0</v>
      </c>
      <c r="BT86" s="108">
        <v>0</v>
      </c>
      <c r="BU86" s="108">
        <v>0</v>
      </c>
      <c r="BV86" s="108">
        <v>0</v>
      </c>
      <c r="BW86" s="108">
        <v>0</v>
      </c>
      <c r="BX86" s="108">
        <v>0</v>
      </c>
      <c r="BY86" s="108">
        <v>0</v>
      </c>
      <c r="BZ86" s="108">
        <v>0</v>
      </c>
      <c r="CA86" s="108">
        <v>0</v>
      </c>
      <c r="CB86" s="108">
        <v>0</v>
      </c>
    </row>
    <row r="87" spans="3:80" x14ac:dyDescent="0.55000000000000004">
      <c r="C87" s="104" t="str">
        <f>$V$87</f>
        <v>-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0</v>
      </c>
      <c r="O87" s="54">
        <v>0</v>
      </c>
      <c r="P87" s="54">
        <v>0</v>
      </c>
      <c r="Q87" s="54">
        <v>0</v>
      </c>
      <c r="R87" s="54">
        <v>0</v>
      </c>
      <c r="S87" s="54">
        <v>0</v>
      </c>
      <c r="U87" s="104">
        <v>35</v>
      </c>
      <c r="V87" s="106" t="s">
        <v>146</v>
      </c>
      <c r="W87" s="102">
        <v>0</v>
      </c>
      <c r="X87" s="102">
        <v>0</v>
      </c>
      <c r="Y87" s="102">
        <v>0</v>
      </c>
      <c r="Z87" s="102">
        <v>0</v>
      </c>
      <c r="AA87" s="102">
        <v>0</v>
      </c>
      <c r="AB87" s="102">
        <v>0</v>
      </c>
      <c r="AC87" s="102">
        <v>0</v>
      </c>
      <c r="AD87" s="102">
        <v>0</v>
      </c>
      <c r="AE87" s="102">
        <v>0</v>
      </c>
      <c r="AF87" s="102">
        <v>0</v>
      </c>
      <c r="AG87" s="102">
        <v>0</v>
      </c>
      <c r="AH87" s="102">
        <v>0</v>
      </c>
      <c r="AI87" s="102">
        <v>0</v>
      </c>
      <c r="AJ87" s="102">
        <v>0</v>
      </c>
      <c r="AK87" s="102">
        <v>0</v>
      </c>
      <c r="AL87" s="102">
        <v>0</v>
      </c>
      <c r="AM87" s="102">
        <v>0</v>
      </c>
      <c r="AN87" s="104">
        <f t="shared" si="1"/>
        <v>0</v>
      </c>
      <c r="AQ87" s="104" t="str">
        <f>$V$66</f>
        <v>Amanda</v>
      </c>
      <c r="AR87" s="54">
        <v>0</v>
      </c>
      <c r="AS87" s="54">
        <v>0</v>
      </c>
      <c r="AT87" s="54">
        <v>0</v>
      </c>
      <c r="AU87" s="54">
        <v>0</v>
      </c>
      <c r="AV87" s="54">
        <v>0</v>
      </c>
      <c r="AW87" s="54">
        <v>0</v>
      </c>
      <c r="AX87" s="54">
        <v>0</v>
      </c>
      <c r="AY87" s="54">
        <v>0</v>
      </c>
      <c r="AZ87" s="54">
        <v>0</v>
      </c>
      <c r="BA87" s="54">
        <v>0</v>
      </c>
      <c r="BB87" s="54">
        <v>0</v>
      </c>
      <c r="BC87" s="54">
        <v>0</v>
      </c>
      <c r="BD87" s="54">
        <v>0</v>
      </c>
      <c r="BE87" s="54">
        <v>0</v>
      </c>
      <c r="BF87" s="54">
        <v>0</v>
      </c>
      <c r="BG87" s="54">
        <v>0</v>
      </c>
      <c r="BH87" s="54">
        <v>0</v>
      </c>
      <c r="BK87" s="104" t="str">
        <f>$V$63</f>
        <v>Maxime</v>
      </c>
      <c r="BL87" s="108">
        <v>0</v>
      </c>
      <c r="BM87" s="108">
        <v>0</v>
      </c>
      <c r="BN87" s="108">
        <v>0</v>
      </c>
      <c r="BO87" s="108">
        <v>0</v>
      </c>
      <c r="BP87" s="108">
        <v>0</v>
      </c>
      <c r="BQ87" s="108">
        <v>0</v>
      </c>
      <c r="BR87" s="108">
        <v>0</v>
      </c>
      <c r="BS87" s="108">
        <v>0</v>
      </c>
      <c r="BT87" s="108">
        <v>0</v>
      </c>
      <c r="BU87" s="108">
        <v>0</v>
      </c>
      <c r="BV87" s="108">
        <v>0</v>
      </c>
      <c r="BW87" s="108">
        <v>0</v>
      </c>
      <c r="BX87" s="108">
        <v>0</v>
      </c>
      <c r="BY87" s="108">
        <v>0</v>
      </c>
      <c r="BZ87" s="108">
        <v>0</v>
      </c>
      <c r="CA87" s="108">
        <v>0</v>
      </c>
      <c r="CB87" s="108">
        <v>0</v>
      </c>
    </row>
    <row r="88" spans="3:80" x14ac:dyDescent="0.55000000000000004">
      <c r="C88" s="104" t="str">
        <f>$V$88</f>
        <v>-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4">
        <v>0</v>
      </c>
      <c r="P88" s="54">
        <v>0</v>
      </c>
      <c r="Q88" s="54">
        <v>0</v>
      </c>
      <c r="R88" s="54">
        <v>0</v>
      </c>
      <c r="S88" s="54">
        <v>0</v>
      </c>
      <c r="U88" s="104">
        <v>36</v>
      </c>
      <c r="V88" s="106" t="s">
        <v>146</v>
      </c>
      <c r="W88" s="102">
        <v>0</v>
      </c>
      <c r="X88" s="102">
        <v>0</v>
      </c>
      <c r="Y88" s="102">
        <v>0</v>
      </c>
      <c r="Z88" s="102">
        <v>0</v>
      </c>
      <c r="AA88" s="102">
        <v>0</v>
      </c>
      <c r="AB88" s="102">
        <v>0</v>
      </c>
      <c r="AC88" s="102">
        <v>0</v>
      </c>
      <c r="AD88" s="102">
        <v>0</v>
      </c>
      <c r="AE88" s="102">
        <v>0</v>
      </c>
      <c r="AF88" s="102">
        <v>0</v>
      </c>
      <c r="AG88" s="102">
        <v>0</v>
      </c>
      <c r="AH88" s="102">
        <v>0</v>
      </c>
      <c r="AI88" s="102">
        <v>0</v>
      </c>
      <c r="AJ88" s="102">
        <v>0</v>
      </c>
      <c r="AK88" s="102">
        <v>0</v>
      </c>
      <c r="AL88" s="102">
        <v>0</v>
      </c>
      <c r="AM88" s="102">
        <v>0</v>
      </c>
      <c r="AN88" s="104">
        <f t="shared" si="1"/>
        <v>0</v>
      </c>
      <c r="AQ88" s="104" t="str">
        <f>$V$67</f>
        <v>Antoine</v>
      </c>
      <c r="AR88" s="54">
        <v>0</v>
      </c>
      <c r="AS88" s="54">
        <v>0</v>
      </c>
      <c r="AT88" s="54">
        <v>0</v>
      </c>
      <c r="AU88" s="54">
        <v>0</v>
      </c>
      <c r="AV88" s="54">
        <v>0</v>
      </c>
      <c r="AW88" s="54">
        <v>0</v>
      </c>
      <c r="AX88" s="54">
        <v>0</v>
      </c>
      <c r="AY88" s="54">
        <v>0</v>
      </c>
      <c r="AZ88" s="54">
        <v>0</v>
      </c>
      <c r="BA88" s="54">
        <v>0</v>
      </c>
      <c r="BB88" s="54">
        <v>0</v>
      </c>
      <c r="BC88" s="54">
        <v>0</v>
      </c>
      <c r="BD88" s="54">
        <v>0</v>
      </c>
      <c r="BE88" s="54">
        <v>0</v>
      </c>
      <c r="BF88" s="54">
        <v>0</v>
      </c>
      <c r="BG88" s="54">
        <v>0</v>
      </c>
      <c r="BH88" s="54">
        <v>0</v>
      </c>
      <c r="BK88" s="104" t="str">
        <f>$V$64</f>
        <v>Alex</v>
      </c>
      <c r="BL88" s="108">
        <v>0</v>
      </c>
      <c r="BM88" s="108">
        <v>0</v>
      </c>
      <c r="BN88" s="108">
        <v>0</v>
      </c>
      <c r="BO88" s="108">
        <v>0</v>
      </c>
      <c r="BP88" s="108">
        <v>0</v>
      </c>
      <c r="BQ88" s="108">
        <v>0</v>
      </c>
      <c r="BR88" s="108">
        <v>0</v>
      </c>
      <c r="BS88" s="108">
        <v>0</v>
      </c>
      <c r="BT88" s="108">
        <v>0</v>
      </c>
      <c r="BU88" s="108">
        <v>0</v>
      </c>
      <c r="BV88" s="108">
        <v>0</v>
      </c>
      <c r="BW88" s="108">
        <v>0</v>
      </c>
      <c r="BX88" s="108">
        <v>0</v>
      </c>
      <c r="BY88" s="108">
        <v>0</v>
      </c>
      <c r="BZ88" s="108">
        <v>0</v>
      </c>
      <c r="CA88" s="108">
        <v>0</v>
      </c>
      <c r="CB88" s="108">
        <v>0</v>
      </c>
    </row>
    <row r="89" spans="3:80" x14ac:dyDescent="0.55000000000000004">
      <c r="C89" s="104" t="str">
        <f>$V$89</f>
        <v>-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4">
        <v>0</v>
      </c>
      <c r="P89" s="54">
        <v>0</v>
      </c>
      <c r="Q89" s="54">
        <v>0</v>
      </c>
      <c r="R89" s="54">
        <v>0</v>
      </c>
      <c r="S89" s="54">
        <v>0</v>
      </c>
      <c r="U89" s="104">
        <v>37</v>
      </c>
      <c r="V89" s="106" t="s">
        <v>146</v>
      </c>
      <c r="W89" s="102">
        <v>0</v>
      </c>
      <c r="X89" s="102">
        <v>0</v>
      </c>
      <c r="Y89" s="102">
        <v>0</v>
      </c>
      <c r="Z89" s="102">
        <v>0</v>
      </c>
      <c r="AA89" s="102">
        <v>0</v>
      </c>
      <c r="AB89" s="102">
        <v>0</v>
      </c>
      <c r="AC89" s="102">
        <v>0</v>
      </c>
      <c r="AD89" s="102">
        <v>0</v>
      </c>
      <c r="AE89" s="102">
        <v>0</v>
      </c>
      <c r="AF89" s="102">
        <v>0</v>
      </c>
      <c r="AG89" s="102">
        <v>0</v>
      </c>
      <c r="AH89" s="102">
        <v>0</v>
      </c>
      <c r="AI89" s="102">
        <v>0</v>
      </c>
      <c r="AJ89" s="102">
        <v>0</v>
      </c>
      <c r="AK89" s="102">
        <v>0</v>
      </c>
      <c r="AL89" s="102">
        <v>0</v>
      </c>
      <c r="AM89" s="102">
        <v>0</v>
      </c>
      <c r="AN89" s="104">
        <f t="shared" si="1"/>
        <v>0</v>
      </c>
      <c r="AQ89" s="104" t="str">
        <f>$V$68</f>
        <v>Beatriz</v>
      </c>
      <c r="AR89" s="54">
        <v>0</v>
      </c>
      <c r="AS89" s="54">
        <v>0</v>
      </c>
      <c r="AT89" s="54">
        <v>0</v>
      </c>
      <c r="AU89" s="54">
        <v>0</v>
      </c>
      <c r="AV89" s="54">
        <v>0</v>
      </c>
      <c r="AW89" s="54">
        <v>0</v>
      </c>
      <c r="AX89" s="54">
        <v>0</v>
      </c>
      <c r="AY89" s="54">
        <v>0</v>
      </c>
      <c r="AZ89" s="54">
        <v>0</v>
      </c>
      <c r="BA89" s="54">
        <v>0</v>
      </c>
      <c r="BB89" s="54">
        <v>0</v>
      </c>
      <c r="BC89" s="54">
        <v>0</v>
      </c>
      <c r="BD89" s="54">
        <v>0</v>
      </c>
      <c r="BE89" s="54">
        <v>0</v>
      </c>
      <c r="BF89" s="54">
        <v>0</v>
      </c>
      <c r="BG89" s="54">
        <v>0</v>
      </c>
      <c r="BH89" s="54">
        <v>0</v>
      </c>
      <c r="BK89" s="104" t="str">
        <f>$V$65</f>
        <v>Alyssa</v>
      </c>
      <c r="BL89" s="108">
        <v>0</v>
      </c>
      <c r="BM89" s="108">
        <v>0</v>
      </c>
      <c r="BN89" s="108">
        <v>0</v>
      </c>
      <c r="BO89" s="108">
        <v>0</v>
      </c>
      <c r="BP89" s="108">
        <v>0</v>
      </c>
      <c r="BQ89" s="108">
        <v>0</v>
      </c>
      <c r="BR89" s="108">
        <v>0</v>
      </c>
      <c r="BS89" s="108">
        <v>0</v>
      </c>
      <c r="BT89" s="108">
        <v>0</v>
      </c>
      <c r="BU89" s="108">
        <v>0</v>
      </c>
      <c r="BV89" s="108">
        <v>0</v>
      </c>
      <c r="BW89" s="108">
        <v>0</v>
      </c>
      <c r="BX89" s="108">
        <v>0</v>
      </c>
      <c r="BY89" s="108">
        <v>0</v>
      </c>
      <c r="BZ89" s="108">
        <v>0</v>
      </c>
      <c r="CA89" s="108">
        <v>0</v>
      </c>
      <c r="CB89" s="108">
        <v>0</v>
      </c>
    </row>
    <row r="90" spans="3:80" x14ac:dyDescent="0.55000000000000004">
      <c r="C90" s="104" t="str">
        <f>$V$90</f>
        <v>-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4">
        <v>0</v>
      </c>
      <c r="O90" s="54">
        <v>0</v>
      </c>
      <c r="P90" s="54">
        <v>0</v>
      </c>
      <c r="Q90" s="54">
        <v>0</v>
      </c>
      <c r="R90" s="54">
        <v>0</v>
      </c>
      <c r="S90" s="54">
        <v>0</v>
      </c>
      <c r="U90" s="104">
        <v>38</v>
      </c>
      <c r="V90" s="106" t="s">
        <v>146</v>
      </c>
      <c r="W90" s="102">
        <v>0</v>
      </c>
      <c r="X90" s="102">
        <v>0</v>
      </c>
      <c r="Y90" s="102">
        <v>0</v>
      </c>
      <c r="Z90" s="102">
        <v>0</v>
      </c>
      <c r="AA90" s="102">
        <v>0</v>
      </c>
      <c r="AB90" s="102">
        <v>0</v>
      </c>
      <c r="AC90" s="102">
        <v>0</v>
      </c>
      <c r="AD90" s="102">
        <v>0</v>
      </c>
      <c r="AE90" s="102">
        <v>0</v>
      </c>
      <c r="AF90" s="102">
        <v>0</v>
      </c>
      <c r="AG90" s="102">
        <v>0</v>
      </c>
      <c r="AH90" s="102">
        <v>0</v>
      </c>
      <c r="AI90" s="102">
        <v>0</v>
      </c>
      <c r="AJ90" s="102">
        <v>0</v>
      </c>
      <c r="AK90" s="102">
        <v>0</v>
      </c>
      <c r="AL90" s="102">
        <v>0</v>
      </c>
      <c r="AM90" s="102">
        <v>0</v>
      </c>
      <c r="AN90" s="104">
        <f t="shared" si="1"/>
        <v>0</v>
      </c>
      <c r="AQ90" s="104" t="str">
        <f>$V$69</f>
        <v>Charelle</v>
      </c>
      <c r="AR90" s="54">
        <v>0</v>
      </c>
      <c r="AS90" s="54">
        <v>0</v>
      </c>
      <c r="AT90" s="54">
        <v>0</v>
      </c>
      <c r="AU90" s="54">
        <v>0</v>
      </c>
      <c r="AV90" s="54">
        <v>0</v>
      </c>
      <c r="AW90" s="54">
        <v>0</v>
      </c>
      <c r="AX90" s="54">
        <v>0</v>
      </c>
      <c r="AY90" s="54">
        <v>0</v>
      </c>
      <c r="AZ90" s="54">
        <v>0</v>
      </c>
      <c r="BA90" s="54">
        <v>0</v>
      </c>
      <c r="BB90" s="54">
        <v>0</v>
      </c>
      <c r="BC90" s="54">
        <v>0</v>
      </c>
      <c r="BD90" s="54">
        <v>0</v>
      </c>
      <c r="BE90" s="54">
        <v>0</v>
      </c>
      <c r="BF90" s="54">
        <v>0</v>
      </c>
      <c r="BG90" s="54">
        <v>0</v>
      </c>
      <c r="BH90" s="54">
        <v>0</v>
      </c>
      <c r="BK90" s="104" t="str">
        <f>$V$66</f>
        <v>Amanda</v>
      </c>
      <c r="BL90" s="108">
        <v>0</v>
      </c>
      <c r="BM90" s="108">
        <v>0</v>
      </c>
      <c r="BN90" s="108">
        <v>0</v>
      </c>
      <c r="BO90" s="108">
        <v>0</v>
      </c>
      <c r="BP90" s="108">
        <v>0</v>
      </c>
      <c r="BQ90" s="108">
        <v>0</v>
      </c>
      <c r="BR90" s="108">
        <v>0</v>
      </c>
      <c r="BS90" s="108">
        <v>0</v>
      </c>
      <c r="BT90" s="108">
        <v>0</v>
      </c>
      <c r="BU90" s="108">
        <v>0</v>
      </c>
      <c r="BV90" s="108">
        <v>0</v>
      </c>
      <c r="BW90" s="108">
        <v>0</v>
      </c>
      <c r="BX90" s="108">
        <v>0</v>
      </c>
      <c r="BY90" s="108">
        <v>0</v>
      </c>
      <c r="BZ90" s="108">
        <v>0</v>
      </c>
      <c r="CA90" s="108">
        <v>0</v>
      </c>
      <c r="CB90" s="108">
        <v>0</v>
      </c>
    </row>
    <row r="91" spans="3:80" x14ac:dyDescent="0.55000000000000004">
      <c r="C91" s="104" t="str">
        <f>$V$91</f>
        <v>-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4">
        <v>0</v>
      </c>
      <c r="O91" s="54">
        <v>0</v>
      </c>
      <c r="P91" s="54">
        <v>0</v>
      </c>
      <c r="Q91" s="54">
        <v>0</v>
      </c>
      <c r="R91" s="54">
        <v>0</v>
      </c>
      <c r="S91" s="54">
        <v>0</v>
      </c>
      <c r="U91" s="104">
        <v>39</v>
      </c>
      <c r="V91" s="106" t="s">
        <v>146</v>
      </c>
      <c r="W91" s="102">
        <v>0</v>
      </c>
      <c r="X91" s="102">
        <v>0</v>
      </c>
      <c r="Y91" s="102">
        <v>0</v>
      </c>
      <c r="Z91" s="102">
        <v>0</v>
      </c>
      <c r="AA91" s="102">
        <v>0</v>
      </c>
      <c r="AB91" s="102">
        <v>0</v>
      </c>
      <c r="AC91" s="102">
        <v>0</v>
      </c>
      <c r="AD91" s="102">
        <v>0</v>
      </c>
      <c r="AE91" s="102">
        <v>0</v>
      </c>
      <c r="AF91" s="102">
        <v>0</v>
      </c>
      <c r="AG91" s="102">
        <v>0</v>
      </c>
      <c r="AH91" s="102">
        <v>0</v>
      </c>
      <c r="AI91" s="102">
        <v>0</v>
      </c>
      <c r="AJ91" s="102">
        <v>0</v>
      </c>
      <c r="AK91" s="102">
        <v>0</v>
      </c>
      <c r="AL91" s="102">
        <v>0</v>
      </c>
      <c r="AM91" s="102">
        <v>0</v>
      </c>
      <c r="AN91" s="104">
        <f t="shared" si="1"/>
        <v>0</v>
      </c>
      <c r="AQ91" s="104" t="str">
        <f>$V$70</f>
        <v>Dimitri</v>
      </c>
      <c r="AR91" s="54">
        <v>0</v>
      </c>
      <c r="AS91" s="54">
        <v>0</v>
      </c>
      <c r="AT91" s="54">
        <v>0</v>
      </c>
      <c r="AU91" s="54">
        <v>0</v>
      </c>
      <c r="AV91" s="54">
        <v>0</v>
      </c>
      <c r="AW91" s="54">
        <v>0</v>
      </c>
      <c r="AX91" s="54">
        <v>0</v>
      </c>
      <c r="AY91" s="54">
        <v>0</v>
      </c>
      <c r="AZ91" s="54">
        <v>0</v>
      </c>
      <c r="BA91" s="54">
        <v>0</v>
      </c>
      <c r="BB91" s="54">
        <v>0</v>
      </c>
      <c r="BC91" s="54">
        <v>0</v>
      </c>
      <c r="BD91" s="54">
        <v>0</v>
      </c>
      <c r="BE91" s="54">
        <v>0</v>
      </c>
      <c r="BF91" s="54">
        <v>0</v>
      </c>
      <c r="BG91" s="54">
        <v>0</v>
      </c>
      <c r="BH91" s="54">
        <v>0</v>
      </c>
      <c r="BK91" s="104" t="str">
        <f>$V$67</f>
        <v>Antoine</v>
      </c>
      <c r="BL91" s="108">
        <v>0</v>
      </c>
      <c r="BM91" s="108">
        <v>0</v>
      </c>
      <c r="BN91" s="108">
        <v>0</v>
      </c>
      <c r="BO91" s="108">
        <v>0</v>
      </c>
      <c r="BP91" s="108">
        <v>0</v>
      </c>
      <c r="BQ91" s="108">
        <v>0</v>
      </c>
      <c r="BR91" s="108">
        <v>0</v>
      </c>
      <c r="BS91" s="108">
        <v>0</v>
      </c>
      <c r="BT91" s="108">
        <v>0</v>
      </c>
      <c r="BU91" s="108">
        <v>0</v>
      </c>
      <c r="BV91" s="108">
        <v>0</v>
      </c>
      <c r="BW91" s="108">
        <v>0</v>
      </c>
      <c r="BX91" s="108">
        <v>0</v>
      </c>
      <c r="BY91" s="108">
        <v>0</v>
      </c>
      <c r="BZ91" s="108">
        <v>0</v>
      </c>
      <c r="CA91" s="108">
        <v>0</v>
      </c>
      <c r="CB91" s="108">
        <v>0</v>
      </c>
    </row>
    <row r="92" spans="3:80" x14ac:dyDescent="0.55000000000000004">
      <c r="C92" s="104" t="str">
        <f>$V$92</f>
        <v>-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  <c r="N92" s="54">
        <v>0</v>
      </c>
      <c r="O92" s="54">
        <v>0</v>
      </c>
      <c r="P92" s="54">
        <v>0</v>
      </c>
      <c r="Q92" s="54">
        <v>0</v>
      </c>
      <c r="R92" s="54">
        <v>0</v>
      </c>
      <c r="S92" s="54">
        <v>0</v>
      </c>
      <c r="U92" s="104">
        <v>40</v>
      </c>
      <c r="V92" s="106" t="s">
        <v>146</v>
      </c>
      <c r="W92" s="102">
        <v>0</v>
      </c>
      <c r="X92" s="102">
        <v>0</v>
      </c>
      <c r="Y92" s="102">
        <v>0</v>
      </c>
      <c r="Z92" s="102">
        <v>0</v>
      </c>
      <c r="AA92" s="102">
        <v>0</v>
      </c>
      <c r="AB92" s="102">
        <v>0</v>
      </c>
      <c r="AC92" s="102">
        <v>0</v>
      </c>
      <c r="AD92" s="102">
        <v>0</v>
      </c>
      <c r="AE92" s="102">
        <v>0</v>
      </c>
      <c r="AF92" s="102">
        <v>0</v>
      </c>
      <c r="AG92" s="102">
        <v>0</v>
      </c>
      <c r="AH92" s="102">
        <v>0</v>
      </c>
      <c r="AI92" s="102">
        <v>0</v>
      </c>
      <c r="AJ92" s="102">
        <v>0</v>
      </c>
      <c r="AK92" s="102">
        <v>0</v>
      </c>
      <c r="AL92" s="102">
        <v>0</v>
      </c>
      <c r="AM92" s="102">
        <v>0</v>
      </c>
      <c r="AN92" s="104">
        <f t="shared" si="1"/>
        <v>0</v>
      </c>
      <c r="AQ92" s="104" t="str">
        <f>$V$71</f>
        <v>Marina</v>
      </c>
      <c r="AR92" s="54">
        <v>0</v>
      </c>
      <c r="AS92" s="54">
        <v>0</v>
      </c>
      <c r="AT92" s="54">
        <v>0</v>
      </c>
      <c r="AU92" s="54">
        <v>0</v>
      </c>
      <c r="AV92" s="54">
        <v>0</v>
      </c>
      <c r="AW92" s="54">
        <v>0</v>
      </c>
      <c r="AX92" s="54">
        <v>0</v>
      </c>
      <c r="AY92" s="54">
        <v>0</v>
      </c>
      <c r="AZ92" s="54">
        <v>0</v>
      </c>
      <c r="BA92" s="54">
        <v>0</v>
      </c>
      <c r="BB92" s="54">
        <v>0</v>
      </c>
      <c r="BC92" s="54">
        <v>0</v>
      </c>
      <c r="BD92" s="54">
        <v>0</v>
      </c>
      <c r="BE92" s="54">
        <v>0</v>
      </c>
      <c r="BF92" s="54">
        <v>0</v>
      </c>
      <c r="BG92" s="54">
        <v>0</v>
      </c>
      <c r="BH92" s="54">
        <v>0</v>
      </c>
      <c r="BK92" s="104" t="str">
        <f>$V$68</f>
        <v>Beatriz</v>
      </c>
      <c r="BL92" s="108">
        <v>0</v>
      </c>
      <c r="BM92" s="108">
        <v>0</v>
      </c>
      <c r="BN92" s="108">
        <v>0</v>
      </c>
      <c r="BO92" s="108">
        <v>0</v>
      </c>
      <c r="BP92" s="108">
        <v>0</v>
      </c>
      <c r="BQ92" s="108">
        <v>0</v>
      </c>
      <c r="BR92" s="108">
        <v>0</v>
      </c>
      <c r="BS92" s="108">
        <v>0</v>
      </c>
      <c r="BT92" s="108">
        <v>0</v>
      </c>
      <c r="BU92" s="108">
        <v>0</v>
      </c>
      <c r="BV92" s="108">
        <v>0</v>
      </c>
      <c r="BW92" s="108">
        <v>0</v>
      </c>
      <c r="BX92" s="108">
        <v>0</v>
      </c>
      <c r="BY92" s="108">
        <v>0</v>
      </c>
      <c r="BZ92" s="108">
        <v>0</v>
      </c>
      <c r="CA92" s="108">
        <v>0</v>
      </c>
      <c r="CB92" s="108">
        <v>0</v>
      </c>
    </row>
    <row r="93" spans="3:80" x14ac:dyDescent="0.55000000000000004">
      <c r="V93" s="104" t="s">
        <v>147</v>
      </c>
      <c r="W93" s="104">
        <f>SUM(W53:W92)</f>
        <v>7</v>
      </c>
      <c r="X93" s="104">
        <f t="shared" ref="X93:AM93" si="2">SUM(X53:X92)</f>
        <v>7</v>
      </c>
      <c r="Y93" s="104">
        <f t="shared" si="2"/>
        <v>7</v>
      </c>
      <c r="Z93" s="104">
        <f t="shared" si="2"/>
        <v>7</v>
      </c>
      <c r="AA93" s="104">
        <f t="shared" si="2"/>
        <v>7</v>
      </c>
      <c r="AB93" s="104">
        <f t="shared" si="2"/>
        <v>7</v>
      </c>
      <c r="AC93" s="104">
        <f t="shared" si="2"/>
        <v>7</v>
      </c>
      <c r="AD93" s="104">
        <f t="shared" si="2"/>
        <v>7</v>
      </c>
      <c r="AE93" s="104">
        <f t="shared" si="2"/>
        <v>7</v>
      </c>
      <c r="AF93" s="104">
        <f t="shared" si="2"/>
        <v>7</v>
      </c>
      <c r="AG93" s="104">
        <f t="shared" si="2"/>
        <v>7</v>
      </c>
      <c r="AH93" s="104">
        <f t="shared" si="2"/>
        <v>7</v>
      </c>
      <c r="AI93" s="104">
        <f t="shared" si="2"/>
        <v>0</v>
      </c>
      <c r="AJ93" s="104">
        <f t="shared" si="2"/>
        <v>0</v>
      </c>
      <c r="AK93" s="104">
        <f t="shared" si="2"/>
        <v>0</v>
      </c>
      <c r="AL93" s="104">
        <f t="shared" si="2"/>
        <v>0</v>
      </c>
      <c r="AM93" s="104">
        <f t="shared" si="2"/>
        <v>0</v>
      </c>
      <c r="AQ93" s="104" t="str">
        <f>$V$72</f>
        <v>Michel</v>
      </c>
      <c r="AR93" s="54">
        <v>0</v>
      </c>
      <c r="AS93" s="54">
        <v>0</v>
      </c>
      <c r="AT93" s="54">
        <v>0</v>
      </c>
      <c r="AU93" s="54">
        <v>0</v>
      </c>
      <c r="AV93" s="54">
        <v>0</v>
      </c>
      <c r="AW93" s="54">
        <v>0</v>
      </c>
      <c r="AX93" s="54">
        <v>0</v>
      </c>
      <c r="AY93" s="54">
        <v>0</v>
      </c>
      <c r="AZ93" s="54">
        <v>0</v>
      </c>
      <c r="BA93" s="54">
        <v>0</v>
      </c>
      <c r="BB93" s="54">
        <v>0</v>
      </c>
      <c r="BC93" s="54">
        <v>0</v>
      </c>
      <c r="BD93" s="54">
        <v>0</v>
      </c>
      <c r="BE93" s="54">
        <v>0</v>
      </c>
      <c r="BF93" s="54">
        <v>0</v>
      </c>
      <c r="BG93" s="54">
        <v>0</v>
      </c>
      <c r="BH93" s="54">
        <v>0</v>
      </c>
      <c r="BK93" s="104" t="str">
        <f>$V$69</f>
        <v>Charelle</v>
      </c>
      <c r="BL93" s="108">
        <v>0</v>
      </c>
      <c r="BM93" s="108">
        <v>0</v>
      </c>
      <c r="BN93" s="108">
        <v>0</v>
      </c>
      <c r="BO93" s="108">
        <v>0</v>
      </c>
      <c r="BP93" s="108">
        <v>0</v>
      </c>
      <c r="BQ93" s="108">
        <v>0</v>
      </c>
      <c r="BR93" s="108">
        <v>0</v>
      </c>
      <c r="BS93" s="108">
        <v>0</v>
      </c>
      <c r="BT93" s="108">
        <v>0</v>
      </c>
      <c r="BU93" s="108">
        <v>0</v>
      </c>
      <c r="BV93" s="108">
        <v>0</v>
      </c>
      <c r="BW93" s="108">
        <v>0</v>
      </c>
      <c r="BX93" s="108">
        <v>0</v>
      </c>
      <c r="BY93" s="108">
        <v>0</v>
      </c>
      <c r="BZ93" s="108">
        <v>0</v>
      </c>
      <c r="CA93" s="108">
        <v>0</v>
      </c>
      <c r="CB93" s="108">
        <v>0</v>
      </c>
    </row>
    <row r="94" spans="3:80" x14ac:dyDescent="0.55000000000000004">
      <c r="AQ94" s="104" t="str">
        <f>$V$73</f>
        <v>Nour</v>
      </c>
      <c r="AR94" s="54">
        <v>0</v>
      </c>
      <c r="AS94" s="54">
        <v>0</v>
      </c>
      <c r="AT94" s="54">
        <v>0</v>
      </c>
      <c r="AU94" s="54">
        <v>0</v>
      </c>
      <c r="AV94" s="54">
        <v>0</v>
      </c>
      <c r="AW94" s="54">
        <v>0</v>
      </c>
      <c r="AX94" s="54">
        <v>0</v>
      </c>
      <c r="AY94" s="54">
        <v>0</v>
      </c>
      <c r="AZ94" s="54">
        <v>0</v>
      </c>
      <c r="BA94" s="54">
        <v>0</v>
      </c>
      <c r="BB94" s="54">
        <v>0</v>
      </c>
      <c r="BC94" s="54">
        <v>0</v>
      </c>
      <c r="BD94" s="54">
        <v>0</v>
      </c>
      <c r="BE94" s="54">
        <v>0</v>
      </c>
      <c r="BF94" s="54">
        <v>0</v>
      </c>
      <c r="BG94" s="54">
        <v>0</v>
      </c>
      <c r="BH94" s="54">
        <v>0</v>
      </c>
      <c r="BK94" s="104" t="str">
        <f>$V$70</f>
        <v>Dimitri</v>
      </c>
      <c r="BL94" s="108">
        <v>0</v>
      </c>
      <c r="BM94" s="108">
        <v>0</v>
      </c>
      <c r="BN94" s="108">
        <v>0</v>
      </c>
      <c r="BO94" s="108">
        <v>0</v>
      </c>
      <c r="BP94" s="108">
        <v>0</v>
      </c>
      <c r="BQ94" s="108">
        <v>0</v>
      </c>
      <c r="BR94" s="108">
        <v>0</v>
      </c>
      <c r="BS94" s="108">
        <v>0</v>
      </c>
      <c r="BT94" s="108">
        <v>0</v>
      </c>
      <c r="BU94" s="108">
        <v>0</v>
      </c>
      <c r="BV94" s="108">
        <v>0</v>
      </c>
      <c r="BW94" s="108">
        <v>0</v>
      </c>
      <c r="BX94" s="108">
        <v>0</v>
      </c>
      <c r="BY94" s="108">
        <v>0</v>
      </c>
      <c r="BZ94" s="108">
        <v>0</v>
      </c>
      <c r="CA94" s="108">
        <v>0</v>
      </c>
      <c r="CB94" s="108">
        <v>0</v>
      </c>
    </row>
    <row r="95" spans="3:80" x14ac:dyDescent="0.55000000000000004">
      <c r="AQ95" s="104" t="str">
        <f>$V$74</f>
        <v>Samuel</v>
      </c>
      <c r="AR95" s="54">
        <v>0</v>
      </c>
      <c r="AS95" s="54">
        <v>0</v>
      </c>
      <c r="AT95" s="54">
        <v>0</v>
      </c>
      <c r="AU95" s="54">
        <v>0</v>
      </c>
      <c r="AV95" s="54">
        <v>0</v>
      </c>
      <c r="AW95" s="54">
        <v>0</v>
      </c>
      <c r="AX95" s="54">
        <v>0</v>
      </c>
      <c r="AY95" s="54">
        <v>0</v>
      </c>
      <c r="AZ95" s="54">
        <v>0</v>
      </c>
      <c r="BA95" s="54">
        <v>0</v>
      </c>
      <c r="BB95" s="54">
        <v>0</v>
      </c>
      <c r="BC95" s="54">
        <v>0</v>
      </c>
      <c r="BD95" s="54">
        <v>0</v>
      </c>
      <c r="BE95" s="54">
        <v>0</v>
      </c>
      <c r="BF95" s="54">
        <v>0</v>
      </c>
      <c r="BG95" s="54">
        <v>0</v>
      </c>
      <c r="BH95" s="54">
        <v>0</v>
      </c>
      <c r="BK95" s="104" t="str">
        <f>$V$71</f>
        <v>Marina</v>
      </c>
      <c r="BL95" s="108">
        <v>0</v>
      </c>
      <c r="BM95" s="108">
        <v>0</v>
      </c>
      <c r="BN95" s="108">
        <v>0</v>
      </c>
      <c r="BO95" s="108">
        <v>0</v>
      </c>
      <c r="BP95" s="108">
        <v>0</v>
      </c>
      <c r="BQ95" s="108">
        <v>0</v>
      </c>
      <c r="BR95" s="108">
        <v>0</v>
      </c>
      <c r="BS95" s="108">
        <v>0</v>
      </c>
      <c r="BT95" s="108">
        <v>0</v>
      </c>
      <c r="BU95" s="108">
        <v>0</v>
      </c>
      <c r="BV95" s="108">
        <v>0</v>
      </c>
      <c r="BW95" s="108">
        <v>0</v>
      </c>
      <c r="BX95" s="108">
        <v>0</v>
      </c>
      <c r="BY95" s="108">
        <v>0</v>
      </c>
      <c r="BZ95" s="108">
        <v>0</v>
      </c>
      <c r="CA95" s="108">
        <v>0</v>
      </c>
      <c r="CB95" s="108">
        <v>0</v>
      </c>
    </row>
    <row r="96" spans="3:80" x14ac:dyDescent="0.55000000000000004">
      <c r="AQ96" s="104" t="str">
        <f>$V$75</f>
        <v>Yassin</v>
      </c>
      <c r="AR96" s="54">
        <v>0</v>
      </c>
      <c r="AS96" s="54">
        <v>0</v>
      </c>
      <c r="AT96" s="54">
        <v>0</v>
      </c>
      <c r="AU96" s="54">
        <v>0</v>
      </c>
      <c r="AV96" s="54">
        <v>0</v>
      </c>
      <c r="AW96" s="54">
        <v>0</v>
      </c>
      <c r="AX96" s="54">
        <v>0</v>
      </c>
      <c r="AY96" s="54">
        <v>0</v>
      </c>
      <c r="AZ96" s="54">
        <v>0</v>
      </c>
      <c r="BA96" s="54">
        <v>0</v>
      </c>
      <c r="BB96" s="54">
        <v>0</v>
      </c>
      <c r="BC96" s="54">
        <v>0</v>
      </c>
      <c r="BD96" s="54">
        <v>0</v>
      </c>
      <c r="BE96" s="54">
        <v>0</v>
      </c>
      <c r="BF96" s="54">
        <v>0</v>
      </c>
      <c r="BG96" s="54">
        <v>0</v>
      </c>
      <c r="BH96" s="54">
        <v>0</v>
      </c>
      <c r="BK96" s="104" t="str">
        <f>$V$72</f>
        <v>Michel</v>
      </c>
      <c r="BL96" s="108">
        <v>0</v>
      </c>
      <c r="BM96" s="108">
        <v>0</v>
      </c>
      <c r="BN96" s="108">
        <v>0</v>
      </c>
      <c r="BO96" s="108">
        <v>0</v>
      </c>
      <c r="BP96" s="108">
        <v>0</v>
      </c>
      <c r="BQ96" s="108">
        <v>0</v>
      </c>
      <c r="BR96" s="108">
        <v>0</v>
      </c>
      <c r="BS96" s="108">
        <v>0</v>
      </c>
      <c r="BT96" s="108">
        <v>0</v>
      </c>
      <c r="BU96" s="108">
        <v>0</v>
      </c>
      <c r="BV96" s="108">
        <v>0</v>
      </c>
      <c r="BW96" s="108">
        <v>0</v>
      </c>
      <c r="BX96" s="108">
        <v>0</v>
      </c>
      <c r="BY96" s="108">
        <v>0</v>
      </c>
      <c r="BZ96" s="108">
        <v>0</v>
      </c>
      <c r="CA96" s="108">
        <v>0</v>
      </c>
      <c r="CB96" s="108">
        <v>0</v>
      </c>
    </row>
    <row r="97" spans="2:80" x14ac:dyDescent="0.55000000000000004">
      <c r="B97" s="104" t="s">
        <v>158</v>
      </c>
      <c r="V97" s="104" t="s">
        <v>153</v>
      </c>
      <c r="W97" s="104" t="str" cm="1">
        <f t="array" ref="W97:AK97">TRANSPOSE(V34:V48)</f>
        <v>Set up</v>
      </c>
      <c r="X97" s="104" t="str">
        <v>Entry</v>
      </c>
      <c r="Y97" s="104" t="str">
        <v>Bar</v>
      </c>
      <c r="Z97" s="104" t="str">
        <v>C-mix</v>
      </c>
      <c r="AA97" s="104" t="str">
        <v>Rez</v>
      </c>
      <c r="AB97" s="104" t="str">
        <v>Homing</v>
      </c>
      <c r="AC97" s="104" t="str">
        <v>Toilets</v>
      </c>
      <c r="AD97" s="104" t="str">
        <v>Level</v>
      </c>
      <c r="AE97" s="104" t="str">
        <v>Çapèse</v>
      </c>
      <c r="AF97" s="104" t="str">
        <v>Tidying</v>
      </c>
      <c r="AG97" s="104" t="str">
        <v>Volante</v>
      </c>
      <c r="AH97" s="104" t="str">
        <v>Dummy 1</v>
      </c>
      <c r="AI97" s="104" t="str">
        <v>Dummy 2</v>
      </c>
      <c r="AJ97" s="104" t="str">
        <v>Dummy 3</v>
      </c>
      <c r="AK97" s="104" t="str">
        <v>Dummy 4</v>
      </c>
      <c r="AQ97" s="104" t="str">
        <f>$V$76</f>
        <v>Kamar</v>
      </c>
      <c r="AR97" s="54">
        <v>0</v>
      </c>
      <c r="AS97" s="54">
        <v>0</v>
      </c>
      <c r="AT97" s="54">
        <v>0</v>
      </c>
      <c r="AU97" s="54">
        <v>0</v>
      </c>
      <c r="AV97" s="54">
        <v>0</v>
      </c>
      <c r="AW97" s="54">
        <v>0</v>
      </c>
      <c r="AX97" s="54">
        <v>0</v>
      </c>
      <c r="AY97" s="54">
        <v>0</v>
      </c>
      <c r="AZ97" s="54">
        <v>0</v>
      </c>
      <c r="BA97" s="54">
        <v>0</v>
      </c>
      <c r="BB97" s="54">
        <v>0</v>
      </c>
      <c r="BC97" s="54">
        <v>0</v>
      </c>
      <c r="BD97" s="54">
        <v>0</v>
      </c>
      <c r="BE97" s="54">
        <v>0</v>
      </c>
      <c r="BF97" s="54">
        <v>0</v>
      </c>
      <c r="BG97" s="54">
        <v>0</v>
      </c>
      <c r="BH97" s="54">
        <v>0</v>
      </c>
      <c r="BK97" s="104" t="str">
        <f>$V$73</f>
        <v>Nour</v>
      </c>
      <c r="BL97" s="108">
        <v>0</v>
      </c>
      <c r="BM97" s="108">
        <v>0</v>
      </c>
      <c r="BN97" s="108">
        <v>0</v>
      </c>
      <c r="BO97" s="108">
        <v>0</v>
      </c>
      <c r="BP97" s="108">
        <v>0</v>
      </c>
      <c r="BQ97" s="108">
        <v>0</v>
      </c>
      <c r="BR97" s="108">
        <v>0</v>
      </c>
      <c r="BS97" s="108">
        <v>0</v>
      </c>
      <c r="BT97" s="108">
        <v>0</v>
      </c>
      <c r="BU97" s="108">
        <v>0</v>
      </c>
      <c r="BV97" s="108">
        <v>0</v>
      </c>
      <c r="BW97" s="108">
        <v>0</v>
      </c>
      <c r="BX97" s="108">
        <v>0</v>
      </c>
      <c r="BY97" s="108">
        <v>0</v>
      </c>
      <c r="BZ97" s="108">
        <v>0</v>
      </c>
      <c r="CA97" s="108">
        <v>0</v>
      </c>
      <c r="CB97" s="108">
        <v>0</v>
      </c>
    </row>
    <row r="98" spans="2:80" x14ac:dyDescent="0.55000000000000004">
      <c r="B98" s="104" t="s">
        <v>139</v>
      </c>
      <c r="C98" s="104" t="str">
        <f>$W$33</f>
        <v>16h</v>
      </c>
      <c r="D98" s="104" t="str">
        <f>$X$33</f>
        <v>17h</v>
      </c>
      <c r="E98" s="104" t="str">
        <f>$Y$33</f>
        <v>18h</v>
      </c>
      <c r="F98" s="104" t="str">
        <f>$Z$33</f>
        <v>19h</v>
      </c>
      <c r="G98" s="104" t="str">
        <f>$AA$33</f>
        <v>20h</v>
      </c>
      <c r="H98" s="104" t="str">
        <f>$AB$33</f>
        <v>21h</v>
      </c>
      <c r="I98" s="104" t="str">
        <f>$AC$33</f>
        <v>22h</v>
      </c>
      <c r="J98" s="104" t="str">
        <f>$AD$33</f>
        <v>23h</v>
      </c>
      <c r="K98" s="104" t="str">
        <f>$AE$33</f>
        <v>00h</v>
      </c>
      <c r="L98" s="104" t="str">
        <f>$AF$33</f>
        <v>01h</v>
      </c>
      <c r="M98" s="104" t="str">
        <f>$AG$33</f>
        <v>02h</v>
      </c>
      <c r="N98" s="104" t="str">
        <f>$AH$33</f>
        <v>03h</v>
      </c>
      <c r="O98" s="104" t="str">
        <f>$AI$33</f>
        <v>04h</v>
      </c>
      <c r="P98" s="104" t="str">
        <f>$AJ$33</f>
        <v>05h</v>
      </c>
      <c r="Q98" s="104" t="str">
        <f>$AK$33</f>
        <v>06h</v>
      </c>
      <c r="R98" s="104" t="str">
        <f>$AL$33</f>
        <v>07h</v>
      </c>
      <c r="S98" s="104" t="str">
        <f>$AM$33</f>
        <v>08h</v>
      </c>
      <c r="V98" s="104" t="str">
        <f>$V$53</f>
        <v>Jennifer</v>
      </c>
      <c r="W98" s="102">
        <v>1</v>
      </c>
      <c r="X98" s="102">
        <v>1</v>
      </c>
      <c r="Y98" s="102">
        <v>1</v>
      </c>
      <c r="Z98" s="102">
        <v>1</v>
      </c>
      <c r="AA98" s="102">
        <v>1</v>
      </c>
      <c r="AB98" s="102">
        <v>1</v>
      </c>
      <c r="AC98" s="102">
        <v>1</v>
      </c>
      <c r="AD98" s="102">
        <v>1</v>
      </c>
      <c r="AE98" s="102">
        <v>1</v>
      </c>
      <c r="AF98" s="102">
        <v>1</v>
      </c>
      <c r="AG98" s="102">
        <v>1</v>
      </c>
      <c r="AH98" s="102">
        <v>1</v>
      </c>
      <c r="AI98" s="102">
        <v>1</v>
      </c>
      <c r="AJ98" s="102">
        <v>1</v>
      </c>
      <c r="AK98" s="102">
        <v>1</v>
      </c>
      <c r="AQ98" s="104" t="str">
        <f>$V$77</f>
        <v>-</v>
      </c>
      <c r="AR98" s="54">
        <v>0</v>
      </c>
      <c r="AS98" s="54">
        <v>0</v>
      </c>
      <c r="AT98" s="54">
        <v>0</v>
      </c>
      <c r="AU98" s="54">
        <v>0</v>
      </c>
      <c r="AV98" s="54">
        <v>0</v>
      </c>
      <c r="AW98" s="54">
        <v>0</v>
      </c>
      <c r="AX98" s="54">
        <v>0</v>
      </c>
      <c r="AY98" s="54">
        <v>0</v>
      </c>
      <c r="AZ98" s="54">
        <v>0</v>
      </c>
      <c r="BA98" s="54">
        <v>0</v>
      </c>
      <c r="BB98" s="54">
        <v>0</v>
      </c>
      <c r="BC98" s="54">
        <v>0</v>
      </c>
      <c r="BD98" s="54">
        <v>0</v>
      </c>
      <c r="BE98" s="54">
        <v>0</v>
      </c>
      <c r="BF98" s="54">
        <v>0</v>
      </c>
      <c r="BG98" s="54">
        <v>0</v>
      </c>
      <c r="BH98" s="54">
        <v>0</v>
      </c>
      <c r="BK98" s="104" t="str">
        <f>$V$74</f>
        <v>Samuel</v>
      </c>
      <c r="BL98" s="108">
        <v>0</v>
      </c>
      <c r="BM98" s="108">
        <v>0</v>
      </c>
      <c r="BN98" s="108">
        <v>0</v>
      </c>
      <c r="BO98" s="108">
        <v>0</v>
      </c>
      <c r="BP98" s="108">
        <v>0</v>
      </c>
      <c r="BQ98" s="108">
        <v>0</v>
      </c>
      <c r="BR98" s="108">
        <v>0</v>
      </c>
      <c r="BS98" s="108">
        <v>0</v>
      </c>
      <c r="BT98" s="108">
        <v>0</v>
      </c>
      <c r="BU98" s="108">
        <v>0</v>
      </c>
      <c r="BV98" s="108">
        <v>0</v>
      </c>
      <c r="BW98" s="108">
        <v>0</v>
      </c>
      <c r="BX98" s="108">
        <v>0</v>
      </c>
      <c r="BY98" s="108">
        <v>0</v>
      </c>
      <c r="BZ98" s="108">
        <v>0</v>
      </c>
      <c r="CA98" s="108">
        <v>0</v>
      </c>
      <c r="CB98" s="108">
        <v>0</v>
      </c>
    </row>
    <row r="99" spans="2:80" x14ac:dyDescent="0.55000000000000004">
      <c r="B99" s="104" t="str">
        <f>$V$53</f>
        <v>Jennifer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V99" s="104" t="str">
        <f>$V$54</f>
        <v>Galileo</v>
      </c>
      <c r="W99" s="102">
        <v>1</v>
      </c>
      <c r="X99" s="102">
        <v>1</v>
      </c>
      <c r="Y99" s="102">
        <v>1</v>
      </c>
      <c r="Z99" s="102">
        <v>1</v>
      </c>
      <c r="AA99" s="102">
        <v>1</v>
      </c>
      <c r="AB99" s="102">
        <v>1</v>
      </c>
      <c r="AC99" s="102">
        <v>1</v>
      </c>
      <c r="AD99" s="102">
        <v>1</v>
      </c>
      <c r="AE99" s="102">
        <v>1</v>
      </c>
      <c r="AF99" s="102">
        <v>1</v>
      </c>
      <c r="AG99" s="102">
        <v>1</v>
      </c>
      <c r="AH99" s="102">
        <v>1</v>
      </c>
      <c r="AI99" s="102">
        <v>1</v>
      </c>
      <c r="AJ99" s="102">
        <v>1</v>
      </c>
      <c r="AK99" s="102">
        <v>1</v>
      </c>
      <c r="AQ99" s="104" t="str">
        <f>$V$78</f>
        <v>-</v>
      </c>
      <c r="AR99" s="54">
        <v>0</v>
      </c>
      <c r="AS99" s="54">
        <v>0</v>
      </c>
      <c r="AT99" s="54">
        <v>0</v>
      </c>
      <c r="AU99" s="54">
        <v>0</v>
      </c>
      <c r="AV99" s="54">
        <v>0</v>
      </c>
      <c r="AW99" s="54">
        <v>0</v>
      </c>
      <c r="AX99" s="54">
        <v>0</v>
      </c>
      <c r="AY99" s="54">
        <v>0</v>
      </c>
      <c r="AZ99" s="54">
        <v>0</v>
      </c>
      <c r="BA99" s="54">
        <v>0</v>
      </c>
      <c r="BB99" s="54">
        <v>0</v>
      </c>
      <c r="BC99" s="54">
        <v>0</v>
      </c>
      <c r="BD99" s="54">
        <v>0</v>
      </c>
      <c r="BE99" s="54">
        <v>0</v>
      </c>
      <c r="BF99" s="54">
        <v>0</v>
      </c>
      <c r="BG99" s="54">
        <v>0</v>
      </c>
      <c r="BH99" s="54">
        <v>0</v>
      </c>
      <c r="BK99" s="104" t="str">
        <f>$V$75</f>
        <v>Yassin</v>
      </c>
      <c r="BL99" s="108">
        <v>0</v>
      </c>
      <c r="BM99" s="108">
        <v>0</v>
      </c>
      <c r="BN99" s="108">
        <v>0</v>
      </c>
      <c r="BO99" s="108">
        <v>0</v>
      </c>
      <c r="BP99" s="108">
        <v>0</v>
      </c>
      <c r="BQ99" s="108">
        <v>0</v>
      </c>
      <c r="BR99" s="108">
        <v>0</v>
      </c>
      <c r="BS99" s="108">
        <v>0</v>
      </c>
      <c r="BT99" s="108">
        <v>0</v>
      </c>
      <c r="BU99" s="108">
        <v>0</v>
      </c>
      <c r="BV99" s="108">
        <v>0</v>
      </c>
      <c r="BW99" s="108">
        <v>0</v>
      </c>
      <c r="BX99" s="108">
        <v>0</v>
      </c>
      <c r="BY99" s="108">
        <v>0</v>
      </c>
      <c r="BZ99" s="108">
        <v>0</v>
      </c>
      <c r="CA99" s="108">
        <v>0</v>
      </c>
      <c r="CB99" s="108">
        <v>0</v>
      </c>
    </row>
    <row r="100" spans="2:80" x14ac:dyDescent="0.55000000000000004">
      <c r="B100" s="104" t="str">
        <f>$V$54</f>
        <v>Galileo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V100" s="104" t="str">
        <f>$V$55</f>
        <v>Óscar</v>
      </c>
      <c r="W100" s="102">
        <v>1</v>
      </c>
      <c r="X100" s="102">
        <v>1</v>
      </c>
      <c r="Y100" s="102">
        <v>1</v>
      </c>
      <c r="Z100" s="102">
        <v>1</v>
      </c>
      <c r="AA100" s="102">
        <v>1</v>
      </c>
      <c r="AB100" s="102">
        <v>1</v>
      </c>
      <c r="AC100" s="102">
        <v>1</v>
      </c>
      <c r="AD100" s="102">
        <v>1</v>
      </c>
      <c r="AE100" s="102">
        <v>1</v>
      </c>
      <c r="AF100" s="102">
        <v>1</v>
      </c>
      <c r="AG100" s="102">
        <v>1</v>
      </c>
      <c r="AH100" s="102">
        <v>1</v>
      </c>
      <c r="AI100" s="102">
        <v>1</v>
      </c>
      <c r="AJ100" s="102">
        <v>1</v>
      </c>
      <c r="AK100" s="102">
        <v>1</v>
      </c>
      <c r="AQ100" s="104" t="str">
        <f>$V$79</f>
        <v>-</v>
      </c>
      <c r="AR100" s="54">
        <v>0</v>
      </c>
      <c r="AS100" s="54">
        <v>0</v>
      </c>
      <c r="AT100" s="54">
        <v>0</v>
      </c>
      <c r="AU100" s="54">
        <v>0</v>
      </c>
      <c r="AV100" s="54">
        <v>0</v>
      </c>
      <c r="AW100" s="54">
        <v>0</v>
      </c>
      <c r="AX100" s="54">
        <v>0</v>
      </c>
      <c r="AY100" s="54">
        <v>0</v>
      </c>
      <c r="AZ100" s="54">
        <v>0</v>
      </c>
      <c r="BA100" s="54">
        <v>0</v>
      </c>
      <c r="BB100" s="54">
        <v>0</v>
      </c>
      <c r="BC100" s="54">
        <v>0</v>
      </c>
      <c r="BD100" s="54">
        <v>0</v>
      </c>
      <c r="BE100" s="54">
        <v>0</v>
      </c>
      <c r="BF100" s="54">
        <v>0</v>
      </c>
      <c r="BG100" s="54">
        <v>0</v>
      </c>
      <c r="BH100" s="54">
        <v>0</v>
      </c>
      <c r="BK100" s="104" t="str">
        <f>$V$76</f>
        <v>Kamar</v>
      </c>
      <c r="BL100" s="108">
        <v>0</v>
      </c>
      <c r="BM100" s="108">
        <v>0</v>
      </c>
      <c r="BN100" s="108">
        <v>0</v>
      </c>
      <c r="BO100" s="108">
        <v>0</v>
      </c>
      <c r="BP100" s="108">
        <v>0</v>
      </c>
      <c r="BQ100" s="108">
        <v>0</v>
      </c>
      <c r="BR100" s="108">
        <v>0</v>
      </c>
      <c r="BS100" s="108">
        <v>0</v>
      </c>
      <c r="BT100" s="108">
        <v>0</v>
      </c>
      <c r="BU100" s="108">
        <v>0</v>
      </c>
      <c r="BV100" s="108">
        <v>0</v>
      </c>
      <c r="BW100" s="108">
        <v>0</v>
      </c>
      <c r="BX100" s="108">
        <v>0</v>
      </c>
      <c r="BY100" s="108">
        <v>0</v>
      </c>
      <c r="BZ100" s="108">
        <v>0</v>
      </c>
      <c r="CA100" s="108">
        <v>0</v>
      </c>
      <c r="CB100" s="108">
        <v>0</v>
      </c>
    </row>
    <row r="101" spans="2:80" x14ac:dyDescent="0.55000000000000004">
      <c r="B101" s="104" t="str">
        <f>$V$55</f>
        <v>Óscar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V101" s="104" t="str">
        <f>$V$56</f>
        <v>Sebastián</v>
      </c>
      <c r="W101" s="102">
        <v>1</v>
      </c>
      <c r="X101" s="102">
        <v>1</v>
      </c>
      <c r="Y101" s="102">
        <v>1</v>
      </c>
      <c r="Z101" s="102">
        <v>1</v>
      </c>
      <c r="AA101" s="102">
        <v>1</v>
      </c>
      <c r="AB101" s="102">
        <v>1</v>
      </c>
      <c r="AC101" s="102">
        <v>1</v>
      </c>
      <c r="AD101" s="102">
        <v>1</v>
      </c>
      <c r="AE101" s="102">
        <v>1</v>
      </c>
      <c r="AF101" s="102">
        <v>1</v>
      </c>
      <c r="AG101" s="102">
        <v>1</v>
      </c>
      <c r="AH101" s="102">
        <v>1</v>
      </c>
      <c r="AI101" s="102">
        <v>1</v>
      </c>
      <c r="AJ101" s="102">
        <v>1</v>
      </c>
      <c r="AK101" s="102">
        <v>1</v>
      </c>
      <c r="AQ101" s="104" t="str">
        <f>$V$80</f>
        <v>-</v>
      </c>
      <c r="AR101" s="54">
        <v>0</v>
      </c>
      <c r="AS101" s="54">
        <v>0</v>
      </c>
      <c r="AT101" s="54">
        <v>0</v>
      </c>
      <c r="AU101" s="54">
        <v>0</v>
      </c>
      <c r="AV101" s="54">
        <v>0</v>
      </c>
      <c r="AW101" s="54">
        <v>0</v>
      </c>
      <c r="AX101" s="54">
        <v>0</v>
      </c>
      <c r="AY101" s="54">
        <v>0</v>
      </c>
      <c r="AZ101" s="54">
        <v>0</v>
      </c>
      <c r="BA101" s="54">
        <v>0</v>
      </c>
      <c r="BB101" s="54">
        <v>0</v>
      </c>
      <c r="BC101" s="54">
        <v>0</v>
      </c>
      <c r="BD101" s="54">
        <v>0</v>
      </c>
      <c r="BE101" s="54">
        <v>0</v>
      </c>
      <c r="BF101" s="54">
        <v>0</v>
      </c>
      <c r="BG101" s="54">
        <v>0</v>
      </c>
      <c r="BH101" s="54">
        <v>0</v>
      </c>
      <c r="BK101" s="104" t="str">
        <f>$V$77</f>
        <v>-</v>
      </c>
      <c r="BL101" s="108">
        <v>0</v>
      </c>
      <c r="BM101" s="108">
        <v>0</v>
      </c>
      <c r="BN101" s="108">
        <v>0</v>
      </c>
      <c r="BO101" s="108">
        <v>0</v>
      </c>
      <c r="BP101" s="108">
        <v>0</v>
      </c>
      <c r="BQ101" s="108">
        <v>0</v>
      </c>
      <c r="BR101" s="108">
        <v>0</v>
      </c>
      <c r="BS101" s="108">
        <v>0</v>
      </c>
      <c r="BT101" s="108">
        <v>0</v>
      </c>
      <c r="BU101" s="108">
        <v>0</v>
      </c>
      <c r="BV101" s="108">
        <v>0</v>
      </c>
      <c r="BW101" s="108">
        <v>0</v>
      </c>
      <c r="BX101" s="108">
        <v>0</v>
      </c>
      <c r="BY101" s="108">
        <v>0</v>
      </c>
      <c r="BZ101" s="108">
        <v>0</v>
      </c>
      <c r="CA101" s="108">
        <v>0</v>
      </c>
      <c r="CB101" s="108">
        <v>0</v>
      </c>
    </row>
    <row r="102" spans="2:80" x14ac:dyDescent="0.55000000000000004">
      <c r="B102" s="104" t="str">
        <f>$V$56</f>
        <v>Sebastián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V102" s="104" t="str">
        <f>$V$57</f>
        <v>Marcos</v>
      </c>
      <c r="W102" s="102">
        <v>1</v>
      </c>
      <c r="X102" s="102">
        <v>1</v>
      </c>
      <c r="Y102" s="102">
        <v>1</v>
      </c>
      <c r="Z102" s="102">
        <v>1</v>
      </c>
      <c r="AA102" s="102">
        <v>1</v>
      </c>
      <c r="AB102" s="102">
        <v>1</v>
      </c>
      <c r="AC102" s="102">
        <v>1</v>
      </c>
      <c r="AD102" s="102">
        <v>1</v>
      </c>
      <c r="AE102" s="102">
        <v>1</v>
      </c>
      <c r="AF102" s="102">
        <v>1</v>
      </c>
      <c r="AG102" s="102">
        <v>1</v>
      </c>
      <c r="AH102" s="102">
        <v>1</v>
      </c>
      <c r="AI102" s="102">
        <v>1</v>
      </c>
      <c r="AJ102" s="102">
        <v>1</v>
      </c>
      <c r="AK102" s="102">
        <v>1</v>
      </c>
      <c r="AQ102" s="104" t="str">
        <f>$V$81</f>
        <v>-</v>
      </c>
      <c r="AR102" s="54">
        <v>0</v>
      </c>
      <c r="AS102" s="54">
        <v>0</v>
      </c>
      <c r="AT102" s="54">
        <v>0</v>
      </c>
      <c r="AU102" s="54">
        <v>0</v>
      </c>
      <c r="AV102" s="54">
        <v>0</v>
      </c>
      <c r="AW102" s="54">
        <v>0</v>
      </c>
      <c r="AX102" s="54">
        <v>0</v>
      </c>
      <c r="AY102" s="54">
        <v>0</v>
      </c>
      <c r="AZ102" s="54">
        <v>0</v>
      </c>
      <c r="BA102" s="54">
        <v>0</v>
      </c>
      <c r="BB102" s="54">
        <v>0</v>
      </c>
      <c r="BC102" s="54">
        <v>0</v>
      </c>
      <c r="BD102" s="54">
        <v>0</v>
      </c>
      <c r="BE102" s="54">
        <v>0</v>
      </c>
      <c r="BF102" s="54">
        <v>0</v>
      </c>
      <c r="BG102" s="54">
        <v>0</v>
      </c>
      <c r="BH102" s="54">
        <v>0</v>
      </c>
      <c r="BK102" s="104" t="str">
        <f>$V$78</f>
        <v>-</v>
      </c>
      <c r="BL102" s="108">
        <v>0</v>
      </c>
      <c r="BM102" s="108">
        <v>0</v>
      </c>
      <c r="BN102" s="108">
        <v>0</v>
      </c>
      <c r="BO102" s="108">
        <v>0</v>
      </c>
      <c r="BP102" s="108">
        <v>0</v>
      </c>
      <c r="BQ102" s="108">
        <v>0</v>
      </c>
      <c r="BR102" s="108">
        <v>0</v>
      </c>
      <c r="BS102" s="108">
        <v>0</v>
      </c>
      <c r="BT102" s="108">
        <v>0</v>
      </c>
      <c r="BU102" s="108">
        <v>0</v>
      </c>
      <c r="BV102" s="108">
        <v>0</v>
      </c>
      <c r="BW102" s="108">
        <v>0</v>
      </c>
      <c r="BX102" s="108">
        <v>0</v>
      </c>
      <c r="BY102" s="108">
        <v>0</v>
      </c>
      <c r="BZ102" s="108">
        <v>0</v>
      </c>
      <c r="CA102" s="108">
        <v>0</v>
      </c>
      <c r="CB102" s="108">
        <v>0</v>
      </c>
    </row>
    <row r="103" spans="2:80" x14ac:dyDescent="0.55000000000000004">
      <c r="B103" s="104" t="str">
        <f>$V$57</f>
        <v>Marcos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V103" s="104" t="str">
        <f>$V$58</f>
        <v>Weixin</v>
      </c>
      <c r="W103" s="102">
        <v>1</v>
      </c>
      <c r="X103" s="102">
        <v>1</v>
      </c>
      <c r="Y103" s="102">
        <v>1</v>
      </c>
      <c r="Z103" s="102">
        <v>1</v>
      </c>
      <c r="AA103" s="102">
        <v>1</v>
      </c>
      <c r="AB103" s="102">
        <v>1</v>
      </c>
      <c r="AC103" s="102">
        <v>1</v>
      </c>
      <c r="AD103" s="102">
        <v>1</v>
      </c>
      <c r="AE103" s="102">
        <v>1</v>
      </c>
      <c r="AF103" s="102">
        <v>1</v>
      </c>
      <c r="AG103" s="102">
        <v>1</v>
      </c>
      <c r="AH103" s="102">
        <v>1</v>
      </c>
      <c r="AI103" s="102">
        <v>1</v>
      </c>
      <c r="AJ103" s="102">
        <v>1</v>
      </c>
      <c r="AK103" s="102">
        <v>1</v>
      </c>
      <c r="AQ103" s="104" t="str">
        <f>$V$82</f>
        <v>-</v>
      </c>
      <c r="AR103" s="54">
        <v>0</v>
      </c>
      <c r="AS103" s="54">
        <v>0</v>
      </c>
      <c r="AT103" s="54">
        <v>0</v>
      </c>
      <c r="AU103" s="54">
        <v>0</v>
      </c>
      <c r="AV103" s="54">
        <v>0</v>
      </c>
      <c r="AW103" s="54">
        <v>0</v>
      </c>
      <c r="AX103" s="54">
        <v>0</v>
      </c>
      <c r="AY103" s="54">
        <v>0</v>
      </c>
      <c r="AZ103" s="54">
        <v>0</v>
      </c>
      <c r="BA103" s="54">
        <v>0</v>
      </c>
      <c r="BB103" s="54">
        <v>0</v>
      </c>
      <c r="BC103" s="54">
        <v>0</v>
      </c>
      <c r="BD103" s="54">
        <v>0</v>
      </c>
      <c r="BE103" s="54">
        <v>0</v>
      </c>
      <c r="BF103" s="54">
        <v>0</v>
      </c>
      <c r="BG103" s="54">
        <v>0</v>
      </c>
      <c r="BH103" s="54">
        <v>0</v>
      </c>
      <c r="BK103" s="104" t="str">
        <f>$V$79</f>
        <v>-</v>
      </c>
      <c r="BL103" s="108">
        <v>0</v>
      </c>
      <c r="BM103" s="108">
        <v>0</v>
      </c>
      <c r="BN103" s="108">
        <v>0</v>
      </c>
      <c r="BO103" s="108">
        <v>0</v>
      </c>
      <c r="BP103" s="108">
        <v>0</v>
      </c>
      <c r="BQ103" s="108">
        <v>0</v>
      </c>
      <c r="BR103" s="108">
        <v>0</v>
      </c>
      <c r="BS103" s="108">
        <v>0</v>
      </c>
      <c r="BT103" s="108">
        <v>0</v>
      </c>
      <c r="BU103" s="108">
        <v>0</v>
      </c>
      <c r="BV103" s="108">
        <v>0</v>
      </c>
      <c r="BW103" s="108">
        <v>0</v>
      </c>
      <c r="BX103" s="108">
        <v>0</v>
      </c>
      <c r="BY103" s="108">
        <v>0</v>
      </c>
      <c r="BZ103" s="108">
        <v>0</v>
      </c>
      <c r="CA103" s="108">
        <v>0</v>
      </c>
      <c r="CB103" s="108">
        <v>0</v>
      </c>
    </row>
    <row r="104" spans="2:80" x14ac:dyDescent="0.55000000000000004">
      <c r="B104" s="104" t="str">
        <f>$V$58</f>
        <v>Weixin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V104" s="104" t="str">
        <f>$V$59</f>
        <v>Benjamin</v>
      </c>
      <c r="W104" s="102">
        <v>1</v>
      </c>
      <c r="X104" s="102">
        <v>1</v>
      </c>
      <c r="Y104" s="102">
        <v>1</v>
      </c>
      <c r="Z104" s="102">
        <v>1</v>
      </c>
      <c r="AA104" s="102">
        <v>1</v>
      </c>
      <c r="AB104" s="102">
        <v>1</v>
      </c>
      <c r="AC104" s="102">
        <v>1</v>
      </c>
      <c r="AD104" s="102">
        <v>1</v>
      </c>
      <c r="AE104" s="102">
        <v>1</v>
      </c>
      <c r="AF104" s="102">
        <v>1</v>
      </c>
      <c r="AG104" s="102">
        <v>1</v>
      </c>
      <c r="AH104" s="102">
        <v>1</v>
      </c>
      <c r="AI104" s="102">
        <v>1</v>
      </c>
      <c r="AJ104" s="102">
        <v>1</v>
      </c>
      <c r="AK104" s="102">
        <v>1</v>
      </c>
      <c r="AQ104" s="104" t="str">
        <f>$V$83</f>
        <v>-</v>
      </c>
      <c r="AR104" s="54">
        <v>0</v>
      </c>
      <c r="AS104" s="54">
        <v>0</v>
      </c>
      <c r="AT104" s="54">
        <v>0</v>
      </c>
      <c r="AU104" s="54">
        <v>0</v>
      </c>
      <c r="AV104" s="54">
        <v>0</v>
      </c>
      <c r="AW104" s="54">
        <v>0</v>
      </c>
      <c r="AX104" s="54">
        <v>0</v>
      </c>
      <c r="AY104" s="54">
        <v>0</v>
      </c>
      <c r="AZ104" s="54">
        <v>0</v>
      </c>
      <c r="BA104" s="54">
        <v>0</v>
      </c>
      <c r="BB104" s="54">
        <v>0</v>
      </c>
      <c r="BC104" s="54">
        <v>0</v>
      </c>
      <c r="BD104" s="54">
        <v>0</v>
      </c>
      <c r="BE104" s="54">
        <v>0</v>
      </c>
      <c r="BF104" s="54">
        <v>0</v>
      </c>
      <c r="BG104" s="54">
        <v>0</v>
      </c>
      <c r="BH104" s="54">
        <v>0</v>
      </c>
      <c r="BK104" s="104" t="str">
        <f>$V$80</f>
        <v>-</v>
      </c>
      <c r="BL104" s="108">
        <v>0</v>
      </c>
      <c r="BM104" s="108">
        <v>0</v>
      </c>
      <c r="BN104" s="108">
        <v>0</v>
      </c>
      <c r="BO104" s="108">
        <v>0</v>
      </c>
      <c r="BP104" s="108">
        <v>0</v>
      </c>
      <c r="BQ104" s="108">
        <v>0</v>
      </c>
      <c r="BR104" s="108">
        <v>0</v>
      </c>
      <c r="BS104" s="108">
        <v>0</v>
      </c>
      <c r="BT104" s="108">
        <v>0</v>
      </c>
      <c r="BU104" s="108">
        <v>0</v>
      </c>
      <c r="BV104" s="108">
        <v>0</v>
      </c>
      <c r="BW104" s="108">
        <v>0</v>
      </c>
      <c r="BX104" s="108">
        <v>0</v>
      </c>
      <c r="BY104" s="108">
        <v>0</v>
      </c>
      <c r="BZ104" s="108">
        <v>0</v>
      </c>
      <c r="CA104" s="108">
        <v>0</v>
      </c>
      <c r="CB104" s="108">
        <v>0</v>
      </c>
    </row>
    <row r="105" spans="2:80" x14ac:dyDescent="0.55000000000000004">
      <c r="B105" s="104" t="str">
        <f>$V$59</f>
        <v>Benjamin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V105" s="104" t="str">
        <f>$V$60</f>
        <v>Joelle</v>
      </c>
      <c r="W105" s="102">
        <v>1</v>
      </c>
      <c r="X105" s="102">
        <v>1</v>
      </c>
      <c r="Y105" s="102">
        <v>1</v>
      </c>
      <c r="Z105" s="102">
        <v>1</v>
      </c>
      <c r="AA105" s="102">
        <v>1</v>
      </c>
      <c r="AB105" s="102">
        <v>1</v>
      </c>
      <c r="AC105" s="102">
        <v>1</v>
      </c>
      <c r="AD105" s="102">
        <v>1</v>
      </c>
      <c r="AE105" s="102">
        <v>1</v>
      </c>
      <c r="AF105" s="102">
        <v>1</v>
      </c>
      <c r="AG105" s="102">
        <v>1</v>
      </c>
      <c r="AH105" s="102">
        <v>1</v>
      </c>
      <c r="AI105" s="102">
        <v>1</v>
      </c>
      <c r="AJ105" s="102">
        <v>1</v>
      </c>
      <c r="AK105" s="102">
        <v>1</v>
      </c>
      <c r="AQ105" s="104" t="str">
        <f>$V$84</f>
        <v>-</v>
      </c>
      <c r="AR105" s="54">
        <v>0</v>
      </c>
      <c r="AS105" s="54">
        <v>0</v>
      </c>
      <c r="AT105" s="54">
        <v>0</v>
      </c>
      <c r="AU105" s="54">
        <v>0</v>
      </c>
      <c r="AV105" s="54">
        <v>0</v>
      </c>
      <c r="AW105" s="54">
        <v>0</v>
      </c>
      <c r="AX105" s="54">
        <v>0</v>
      </c>
      <c r="AY105" s="54">
        <v>0</v>
      </c>
      <c r="AZ105" s="54">
        <v>0</v>
      </c>
      <c r="BA105" s="54">
        <v>0</v>
      </c>
      <c r="BB105" s="54">
        <v>0</v>
      </c>
      <c r="BC105" s="54">
        <v>0</v>
      </c>
      <c r="BD105" s="54">
        <v>0</v>
      </c>
      <c r="BE105" s="54">
        <v>0</v>
      </c>
      <c r="BF105" s="54">
        <v>0</v>
      </c>
      <c r="BG105" s="54">
        <v>0</v>
      </c>
      <c r="BH105" s="54">
        <v>0</v>
      </c>
      <c r="BK105" s="104" t="str">
        <f>$V$81</f>
        <v>-</v>
      </c>
      <c r="BL105" s="108">
        <v>0</v>
      </c>
      <c r="BM105" s="108">
        <v>0</v>
      </c>
      <c r="BN105" s="108">
        <v>0</v>
      </c>
      <c r="BO105" s="108">
        <v>0</v>
      </c>
      <c r="BP105" s="108">
        <v>0</v>
      </c>
      <c r="BQ105" s="108">
        <v>0</v>
      </c>
      <c r="BR105" s="108">
        <v>0</v>
      </c>
      <c r="BS105" s="108">
        <v>0</v>
      </c>
      <c r="BT105" s="108">
        <v>0</v>
      </c>
      <c r="BU105" s="108">
        <v>0</v>
      </c>
      <c r="BV105" s="108">
        <v>0</v>
      </c>
      <c r="BW105" s="108">
        <v>0</v>
      </c>
      <c r="BX105" s="108">
        <v>0</v>
      </c>
      <c r="BY105" s="108">
        <v>0</v>
      </c>
      <c r="BZ105" s="108">
        <v>0</v>
      </c>
      <c r="CA105" s="108">
        <v>0</v>
      </c>
      <c r="CB105" s="108">
        <v>0</v>
      </c>
    </row>
    <row r="106" spans="2:80" x14ac:dyDescent="0.55000000000000004">
      <c r="B106" s="104" t="str">
        <f>$V$60</f>
        <v>Joelle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V106" s="104" t="str">
        <f>$V$61</f>
        <v>Alexia</v>
      </c>
      <c r="W106" s="102">
        <v>1</v>
      </c>
      <c r="X106" s="102">
        <v>1</v>
      </c>
      <c r="Y106" s="102">
        <v>1</v>
      </c>
      <c r="Z106" s="102">
        <v>1</v>
      </c>
      <c r="AA106" s="102">
        <v>1</v>
      </c>
      <c r="AB106" s="102">
        <v>1</v>
      </c>
      <c r="AC106" s="102">
        <v>1</v>
      </c>
      <c r="AD106" s="102">
        <v>1</v>
      </c>
      <c r="AE106" s="102">
        <v>1</v>
      </c>
      <c r="AF106" s="102">
        <v>1</v>
      </c>
      <c r="AG106" s="102">
        <v>1</v>
      </c>
      <c r="AH106" s="102">
        <v>1</v>
      </c>
      <c r="AI106" s="102">
        <v>1</v>
      </c>
      <c r="AJ106" s="102">
        <v>1</v>
      </c>
      <c r="AK106" s="102">
        <v>1</v>
      </c>
      <c r="AQ106" s="104" t="str">
        <f>$V$85</f>
        <v>-</v>
      </c>
      <c r="AR106" s="54">
        <v>0</v>
      </c>
      <c r="AS106" s="54">
        <v>0</v>
      </c>
      <c r="AT106" s="54">
        <v>0</v>
      </c>
      <c r="AU106" s="54">
        <v>0</v>
      </c>
      <c r="AV106" s="54">
        <v>0</v>
      </c>
      <c r="AW106" s="54">
        <v>0</v>
      </c>
      <c r="AX106" s="54">
        <v>0</v>
      </c>
      <c r="AY106" s="54">
        <v>0</v>
      </c>
      <c r="AZ106" s="54">
        <v>0</v>
      </c>
      <c r="BA106" s="54">
        <v>0</v>
      </c>
      <c r="BB106" s="54">
        <v>0</v>
      </c>
      <c r="BC106" s="54">
        <v>0</v>
      </c>
      <c r="BD106" s="54">
        <v>0</v>
      </c>
      <c r="BE106" s="54">
        <v>0</v>
      </c>
      <c r="BF106" s="54">
        <v>0</v>
      </c>
      <c r="BG106" s="54">
        <v>0</v>
      </c>
      <c r="BH106" s="54">
        <v>0</v>
      </c>
      <c r="BK106" s="104" t="str">
        <f>$V$82</f>
        <v>-</v>
      </c>
      <c r="BL106" s="108">
        <v>0</v>
      </c>
      <c r="BM106" s="108">
        <v>0</v>
      </c>
      <c r="BN106" s="108">
        <v>0</v>
      </c>
      <c r="BO106" s="108">
        <v>0</v>
      </c>
      <c r="BP106" s="108">
        <v>0</v>
      </c>
      <c r="BQ106" s="108">
        <v>0</v>
      </c>
      <c r="BR106" s="108">
        <v>0</v>
      </c>
      <c r="BS106" s="108">
        <v>0</v>
      </c>
      <c r="BT106" s="108">
        <v>0</v>
      </c>
      <c r="BU106" s="108">
        <v>0</v>
      </c>
      <c r="BV106" s="108">
        <v>0</v>
      </c>
      <c r="BW106" s="108">
        <v>0</v>
      </c>
      <c r="BX106" s="108">
        <v>0</v>
      </c>
      <c r="BY106" s="108">
        <v>0</v>
      </c>
      <c r="BZ106" s="108">
        <v>0</v>
      </c>
      <c r="CA106" s="108">
        <v>0</v>
      </c>
      <c r="CB106" s="108">
        <v>0</v>
      </c>
    </row>
    <row r="107" spans="2:80" x14ac:dyDescent="0.55000000000000004">
      <c r="B107" s="104" t="str">
        <f>$V$61</f>
        <v>Alexia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V107" s="104" t="str">
        <f>$V$62</f>
        <v>Joao</v>
      </c>
      <c r="W107" s="102">
        <v>1</v>
      </c>
      <c r="X107" s="102">
        <v>1</v>
      </c>
      <c r="Y107" s="102">
        <v>1</v>
      </c>
      <c r="Z107" s="102">
        <v>1</v>
      </c>
      <c r="AA107" s="102">
        <v>1</v>
      </c>
      <c r="AB107" s="102">
        <v>1</v>
      </c>
      <c r="AC107" s="102">
        <v>1</v>
      </c>
      <c r="AD107" s="102">
        <v>1</v>
      </c>
      <c r="AE107" s="102">
        <v>1</v>
      </c>
      <c r="AF107" s="102">
        <v>1</v>
      </c>
      <c r="AG107" s="102">
        <v>1</v>
      </c>
      <c r="AH107" s="102">
        <v>1</v>
      </c>
      <c r="AI107" s="102">
        <v>1</v>
      </c>
      <c r="AJ107" s="102">
        <v>1</v>
      </c>
      <c r="AK107" s="102">
        <v>1</v>
      </c>
      <c r="AQ107" s="104" t="str">
        <f>$V$86</f>
        <v>-</v>
      </c>
      <c r="AR107" s="54">
        <v>0</v>
      </c>
      <c r="AS107" s="54">
        <v>0</v>
      </c>
      <c r="AT107" s="54">
        <v>0</v>
      </c>
      <c r="AU107" s="54">
        <v>0</v>
      </c>
      <c r="AV107" s="54">
        <v>0</v>
      </c>
      <c r="AW107" s="54">
        <v>0</v>
      </c>
      <c r="AX107" s="54">
        <v>0</v>
      </c>
      <c r="AY107" s="54">
        <v>0</v>
      </c>
      <c r="AZ107" s="54">
        <v>0</v>
      </c>
      <c r="BA107" s="54">
        <v>0</v>
      </c>
      <c r="BB107" s="54">
        <v>0</v>
      </c>
      <c r="BC107" s="54">
        <v>0</v>
      </c>
      <c r="BD107" s="54">
        <v>0</v>
      </c>
      <c r="BE107" s="54">
        <v>0</v>
      </c>
      <c r="BF107" s="54">
        <v>0</v>
      </c>
      <c r="BG107" s="54">
        <v>0</v>
      </c>
      <c r="BH107" s="54">
        <v>0</v>
      </c>
      <c r="BK107" s="104" t="str">
        <f>$V$83</f>
        <v>-</v>
      </c>
      <c r="BL107" s="108">
        <v>0</v>
      </c>
      <c r="BM107" s="108">
        <v>0</v>
      </c>
      <c r="BN107" s="108">
        <v>0</v>
      </c>
      <c r="BO107" s="108">
        <v>0</v>
      </c>
      <c r="BP107" s="108">
        <v>0</v>
      </c>
      <c r="BQ107" s="108">
        <v>0</v>
      </c>
      <c r="BR107" s="108">
        <v>0</v>
      </c>
      <c r="BS107" s="108">
        <v>0</v>
      </c>
      <c r="BT107" s="108">
        <v>0</v>
      </c>
      <c r="BU107" s="108">
        <v>0</v>
      </c>
      <c r="BV107" s="108">
        <v>0</v>
      </c>
      <c r="BW107" s="108">
        <v>0</v>
      </c>
      <c r="BX107" s="108">
        <v>0</v>
      </c>
      <c r="BY107" s="108">
        <v>0</v>
      </c>
      <c r="BZ107" s="108">
        <v>0</v>
      </c>
      <c r="CA107" s="108">
        <v>0</v>
      </c>
      <c r="CB107" s="108">
        <v>0</v>
      </c>
    </row>
    <row r="108" spans="2:80" x14ac:dyDescent="0.55000000000000004">
      <c r="B108" s="104" t="str">
        <f>$V$62</f>
        <v>Joao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V108" s="104" t="str">
        <f>$V$63</f>
        <v>Maxime</v>
      </c>
      <c r="W108" s="102">
        <v>1</v>
      </c>
      <c r="X108" s="102">
        <v>1</v>
      </c>
      <c r="Y108" s="102">
        <v>1</v>
      </c>
      <c r="Z108" s="102">
        <v>1</v>
      </c>
      <c r="AA108" s="102">
        <v>1</v>
      </c>
      <c r="AB108" s="102">
        <v>1</v>
      </c>
      <c r="AC108" s="102">
        <v>1</v>
      </c>
      <c r="AD108" s="102">
        <v>1</v>
      </c>
      <c r="AE108" s="102">
        <v>1</v>
      </c>
      <c r="AF108" s="102">
        <v>1</v>
      </c>
      <c r="AG108" s="102">
        <v>1</v>
      </c>
      <c r="AH108" s="102">
        <v>1</v>
      </c>
      <c r="AI108" s="102">
        <v>1</v>
      </c>
      <c r="AJ108" s="102">
        <v>1</v>
      </c>
      <c r="AK108" s="102">
        <v>1</v>
      </c>
      <c r="AQ108" s="104" t="str">
        <f>$V$87</f>
        <v>-</v>
      </c>
      <c r="AR108" s="54">
        <v>0</v>
      </c>
      <c r="AS108" s="54">
        <v>0</v>
      </c>
      <c r="AT108" s="54">
        <v>0</v>
      </c>
      <c r="AU108" s="54">
        <v>0</v>
      </c>
      <c r="AV108" s="54">
        <v>0</v>
      </c>
      <c r="AW108" s="54">
        <v>0</v>
      </c>
      <c r="AX108" s="54">
        <v>0</v>
      </c>
      <c r="AY108" s="54">
        <v>0</v>
      </c>
      <c r="AZ108" s="54">
        <v>0</v>
      </c>
      <c r="BA108" s="54">
        <v>0</v>
      </c>
      <c r="BB108" s="54">
        <v>0</v>
      </c>
      <c r="BC108" s="54">
        <v>0</v>
      </c>
      <c r="BD108" s="54">
        <v>0</v>
      </c>
      <c r="BE108" s="54">
        <v>0</v>
      </c>
      <c r="BF108" s="54">
        <v>0</v>
      </c>
      <c r="BG108" s="54">
        <v>0</v>
      </c>
      <c r="BH108" s="54">
        <v>0</v>
      </c>
      <c r="BK108" s="104" t="str">
        <f>$V$84</f>
        <v>-</v>
      </c>
      <c r="BL108" s="108">
        <v>0</v>
      </c>
      <c r="BM108" s="108">
        <v>0</v>
      </c>
      <c r="BN108" s="108">
        <v>0</v>
      </c>
      <c r="BO108" s="108">
        <v>0</v>
      </c>
      <c r="BP108" s="108">
        <v>0</v>
      </c>
      <c r="BQ108" s="108">
        <v>0</v>
      </c>
      <c r="BR108" s="108">
        <v>0</v>
      </c>
      <c r="BS108" s="108">
        <v>0</v>
      </c>
      <c r="BT108" s="108">
        <v>0</v>
      </c>
      <c r="BU108" s="108">
        <v>0</v>
      </c>
      <c r="BV108" s="108">
        <v>0</v>
      </c>
      <c r="BW108" s="108">
        <v>0</v>
      </c>
      <c r="BX108" s="108">
        <v>0</v>
      </c>
      <c r="BY108" s="108">
        <v>0</v>
      </c>
      <c r="BZ108" s="108">
        <v>0</v>
      </c>
      <c r="CA108" s="108">
        <v>0</v>
      </c>
      <c r="CB108" s="108">
        <v>0</v>
      </c>
    </row>
    <row r="109" spans="2:80" x14ac:dyDescent="0.55000000000000004">
      <c r="B109" s="104" t="str">
        <f>$V$63</f>
        <v>Maxime</v>
      </c>
      <c r="C109" s="54">
        <v>0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V109" s="104" t="str">
        <f>$V$64</f>
        <v>Alex</v>
      </c>
      <c r="W109" s="102">
        <v>1</v>
      </c>
      <c r="X109" s="102">
        <v>1</v>
      </c>
      <c r="Y109" s="102">
        <v>1</v>
      </c>
      <c r="Z109" s="102">
        <v>1</v>
      </c>
      <c r="AA109" s="102">
        <v>1</v>
      </c>
      <c r="AB109" s="102">
        <v>1</v>
      </c>
      <c r="AC109" s="102">
        <v>1</v>
      </c>
      <c r="AD109" s="102">
        <v>1</v>
      </c>
      <c r="AE109" s="102">
        <v>1</v>
      </c>
      <c r="AF109" s="102">
        <v>1</v>
      </c>
      <c r="AG109" s="102">
        <v>1</v>
      </c>
      <c r="AH109" s="102">
        <v>1</v>
      </c>
      <c r="AI109" s="102">
        <v>1</v>
      </c>
      <c r="AJ109" s="102">
        <v>1</v>
      </c>
      <c r="AK109" s="102">
        <v>1</v>
      </c>
      <c r="AQ109" s="104" t="str">
        <f>$V$88</f>
        <v>-</v>
      </c>
      <c r="AR109" s="54">
        <v>0</v>
      </c>
      <c r="AS109" s="54">
        <v>0</v>
      </c>
      <c r="AT109" s="54">
        <v>0</v>
      </c>
      <c r="AU109" s="54">
        <v>0</v>
      </c>
      <c r="AV109" s="54">
        <v>0</v>
      </c>
      <c r="AW109" s="54">
        <v>0</v>
      </c>
      <c r="AX109" s="54">
        <v>0</v>
      </c>
      <c r="AY109" s="54">
        <v>0</v>
      </c>
      <c r="AZ109" s="54">
        <v>0</v>
      </c>
      <c r="BA109" s="54">
        <v>0</v>
      </c>
      <c r="BB109" s="54">
        <v>0</v>
      </c>
      <c r="BC109" s="54">
        <v>0</v>
      </c>
      <c r="BD109" s="54">
        <v>0</v>
      </c>
      <c r="BE109" s="54">
        <v>0</v>
      </c>
      <c r="BF109" s="54">
        <v>0</v>
      </c>
      <c r="BG109" s="54">
        <v>0</v>
      </c>
      <c r="BH109" s="54">
        <v>0</v>
      </c>
      <c r="BK109" s="104" t="str">
        <f>$V$85</f>
        <v>-</v>
      </c>
      <c r="BL109" s="108">
        <v>0</v>
      </c>
      <c r="BM109" s="108">
        <v>0</v>
      </c>
      <c r="BN109" s="108">
        <v>0</v>
      </c>
      <c r="BO109" s="108">
        <v>0</v>
      </c>
      <c r="BP109" s="108">
        <v>0</v>
      </c>
      <c r="BQ109" s="108">
        <v>0</v>
      </c>
      <c r="BR109" s="108">
        <v>0</v>
      </c>
      <c r="BS109" s="108">
        <v>0</v>
      </c>
      <c r="BT109" s="108">
        <v>0</v>
      </c>
      <c r="BU109" s="108">
        <v>0</v>
      </c>
      <c r="BV109" s="108">
        <v>0</v>
      </c>
      <c r="BW109" s="108">
        <v>0</v>
      </c>
      <c r="BX109" s="108">
        <v>0</v>
      </c>
      <c r="BY109" s="108">
        <v>0</v>
      </c>
      <c r="BZ109" s="108">
        <v>0</v>
      </c>
      <c r="CA109" s="108">
        <v>0</v>
      </c>
      <c r="CB109" s="108">
        <v>0</v>
      </c>
    </row>
    <row r="110" spans="2:80" x14ac:dyDescent="0.55000000000000004">
      <c r="B110" s="104" t="str">
        <f>$V$64</f>
        <v>Alex</v>
      </c>
      <c r="C110" s="54">
        <v>0</v>
      </c>
      <c r="D110" s="54">
        <v>0</v>
      </c>
      <c r="E110" s="54">
        <v>0</v>
      </c>
      <c r="F110" s="54">
        <v>0</v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4">
        <v>0</v>
      </c>
      <c r="M110" s="54">
        <v>0</v>
      </c>
      <c r="N110" s="54">
        <v>0</v>
      </c>
      <c r="O110" s="54">
        <v>0</v>
      </c>
      <c r="P110" s="54">
        <v>0</v>
      </c>
      <c r="Q110" s="54">
        <v>0</v>
      </c>
      <c r="R110" s="54">
        <v>0</v>
      </c>
      <c r="S110" s="54">
        <v>0</v>
      </c>
      <c r="V110" s="104" t="str">
        <f>$V$65</f>
        <v>Alyssa</v>
      </c>
      <c r="W110" s="102">
        <v>1</v>
      </c>
      <c r="X110" s="102">
        <v>1</v>
      </c>
      <c r="Y110" s="102">
        <v>1</v>
      </c>
      <c r="Z110" s="102">
        <v>1</v>
      </c>
      <c r="AA110" s="102">
        <v>1</v>
      </c>
      <c r="AB110" s="102">
        <v>1</v>
      </c>
      <c r="AC110" s="102">
        <v>1</v>
      </c>
      <c r="AD110" s="102">
        <v>1</v>
      </c>
      <c r="AE110" s="102">
        <v>1</v>
      </c>
      <c r="AF110" s="102">
        <v>1</v>
      </c>
      <c r="AG110" s="102">
        <v>1</v>
      </c>
      <c r="AH110" s="102">
        <v>1</v>
      </c>
      <c r="AI110" s="102">
        <v>1</v>
      </c>
      <c r="AJ110" s="102">
        <v>1</v>
      </c>
      <c r="AK110" s="102">
        <v>1</v>
      </c>
      <c r="AQ110" s="104" t="str">
        <f>$V$89</f>
        <v>-</v>
      </c>
      <c r="AR110" s="54">
        <v>0</v>
      </c>
      <c r="AS110" s="54">
        <v>0</v>
      </c>
      <c r="AT110" s="54">
        <v>0</v>
      </c>
      <c r="AU110" s="54">
        <v>0</v>
      </c>
      <c r="AV110" s="54">
        <v>0</v>
      </c>
      <c r="AW110" s="54">
        <v>0</v>
      </c>
      <c r="AX110" s="54">
        <v>0</v>
      </c>
      <c r="AY110" s="54">
        <v>0</v>
      </c>
      <c r="AZ110" s="54">
        <v>0</v>
      </c>
      <c r="BA110" s="54">
        <v>0</v>
      </c>
      <c r="BB110" s="54">
        <v>0</v>
      </c>
      <c r="BC110" s="54">
        <v>0</v>
      </c>
      <c r="BD110" s="54">
        <v>0</v>
      </c>
      <c r="BE110" s="54">
        <v>0</v>
      </c>
      <c r="BF110" s="54">
        <v>0</v>
      </c>
      <c r="BG110" s="54">
        <v>0</v>
      </c>
      <c r="BH110" s="54">
        <v>0</v>
      </c>
      <c r="BK110" s="104" t="str">
        <f>$V$86</f>
        <v>-</v>
      </c>
      <c r="BL110" s="108">
        <v>0</v>
      </c>
      <c r="BM110" s="108">
        <v>0</v>
      </c>
      <c r="BN110" s="108">
        <v>0</v>
      </c>
      <c r="BO110" s="108">
        <v>0</v>
      </c>
      <c r="BP110" s="108">
        <v>0</v>
      </c>
      <c r="BQ110" s="108">
        <v>0</v>
      </c>
      <c r="BR110" s="108">
        <v>0</v>
      </c>
      <c r="BS110" s="108">
        <v>0</v>
      </c>
      <c r="BT110" s="108">
        <v>0</v>
      </c>
      <c r="BU110" s="108">
        <v>0</v>
      </c>
      <c r="BV110" s="108">
        <v>0</v>
      </c>
      <c r="BW110" s="108">
        <v>0</v>
      </c>
      <c r="BX110" s="108">
        <v>0</v>
      </c>
      <c r="BY110" s="108">
        <v>0</v>
      </c>
      <c r="BZ110" s="108">
        <v>0</v>
      </c>
      <c r="CA110" s="108">
        <v>0</v>
      </c>
      <c r="CB110" s="108">
        <v>0</v>
      </c>
    </row>
    <row r="111" spans="2:80" x14ac:dyDescent="0.55000000000000004">
      <c r="B111" s="104" t="str">
        <f>$V$65</f>
        <v>Alyssa</v>
      </c>
      <c r="C111" s="54">
        <v>0</v>
      </c>
      <c r="D111" s="54">
        <v>0</v>
      </c>
      <c r="E111" s="54">
        <v>0</v>
      </c>
      <c r="F111" s="54">
        <v>0</v>
      </c>
      <c r="G111" s="54">
        <v>0</v>
      </c>
      <c r="H111" s="54">
        <v>0</v>
      </c>
      <c r="I111" s="54">
        <v>0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0</v>
      </c>
      <c r="P111" s="54">
        <v>0</v>
      </c>
      <c r="Q111" s="54">
        <v>0</v>
      </c>
      <c r="R111" s="54">
        <v>0</v>
      </c>
      <c r="S111" s="54">
        <v>0</v>
      </c>
      <c r="V111" s="104" t="str">
        <f>$V$66</f>
        <v>Amanda</v>
      </c>
      <c r="W111" s="102">
        <v>1</v>
      </c>
      <c r="X111" s="102">
        <v>1</v>
      </c>
      <c r="Y111" s="102">
        <v>1</v>
      </c>
      <c r="Z111" s="102">
        <v>1</v>
      </c>
      <c r="AA111" s="102">
        <v>1</v>
      </c>
      <c r="AB111" s="102">
        <v>1</v>
      </c>
      <c r="AC111" s="102">
        <v>1</v>
      </c>
      <c r="AD111" s="102">
        <v>1</v>
      </c>
      <c r="AE111" s="102">
        <v>1</v>
      </c>
      <c r="AF111" s="102">
        <v>1</v>
      </c>
      <c r="AG111" s="102">
        <v>1</v>
      </c>
      <c r="AH111" s="102">
        <v>1</v>
      </c>
      <c r="AI111" s="102">
        <v>1</v>
      </c>
      <c r="AJ111" s="102">
        <v>1</v>
      </c>
      <c r="AK111" s="102">
        <v>1</v>
      </c>
      <c r="AQ111" s="104" t="str">
        <f>$V$90</f>
        <v>-</v>
      </c>
      <c r="AR111" s="54">
        <v>0</v>
      </c>
      <c r="AS111" s="54">
        <v>0</v>
      </c>
      <c r="AT111" s="54">
        <v>0</v>
      </c>
      <c r="AU111" s="54">
        <v>0</v>
      </c>
      <c r="AV111" s="54">
        <v>0</v>
      </c>
      <c r="AW111" s="54">
        <v>0</v>
      </c>
      <c r="AX111" s="54">
        <v>0</v>
      </c>
      <c r="AY111" s="54">
        <v>0</v>
      </c>
      <c r="AZ111" s="54">
        <v>0</v>
      </c>
      <c r="BA111" s="54">
        <v>0</v>
      </c>
      <c r="BB111" s="54">
        <v>0</v>
      </c>
      <c r="BC111" s="54">
        <v>0</v>
      </c>
      <c r="BD111" s="54">
        <v>0</v>
      </c>
      <c r="BE111" s="54">
        <v>0</v>
      </c>
      <c r="BF111" s="54">
        <v>0</v>
      </c>
      <c r="BG111" s="54">
        <v>0</v>
      </c>
      <c r="BH111" s="54">
        <v>0</v>
      </c>
      <c r="BK111" s="104" t="str">
        <f>$V$87</f>
        <v>-</v>
      </c>
      <c r="BL111" s="108">
        <v>0</v>
      </c>
      <c r="BM111" s="108">
        <v>0</v>
      </c>
      <c r="BN111" s="108">
        <v>0</v>
      </c>
      <c r="BO111" s="108">
        <v>0</v>
      </c>
      <c r="BP111" s="108">
        <v>0</v>
      </c>
      <c r="BQ111" s="108">
        <v>0</v>
      </c>
      <c r="BR111" s="108">
        <v>0</v>
      </c>
      <c r="BS111" s="108">
        <v>0</v>
      </c>
      <c r="BT111" s="108">
        <v>0</v>
      </c>
      <c r="BU111" s="108">
        <v>0</v>
      </c>
      <c r="BV111" s="108">
        <v>0</v>
      </c>
      <c r="BW111" s="108">
        <v>0</v>
      </c>
      <c r="BX111" s="108">
        <v>0</v>
      </c>
      <c r="BY111" s="108">
        <v>0</v>
      </c>
      <c r="BZ111" s="108">
        <v>0</v>
      </c>
      <c r="CA111" s="108">
        <v>0</v>
      </c>
      <c r="CB111" s="108">
        <v>0</v>
      </c>
    </row>
    <row r="112" spans="2:80" x14ac:dyDescent="0.55000000000000004">
      <c r="B112" s="104" t="str">
        <f>$V$66</f>
        <v>Amanda</v>
      </c>
      <c r="C112" s="54">
        <v>0</v>
      </c>
      <c r="D112" s="54">
        <v>0</v>
      </c>
      <c r="E112" s="54">
        <v>0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54">
        <v>0</v>
      </c>
      <c r="P112" s="54">
        <v>0</v>
      </c>
      <c r="Q112" s="54">
        <v>0</v>
      </c>
      <c r="R112" s="54">
        <v>0</v>
      </c>
      <c r="S112" s="54">
        <v>0</v>
      </c>
      <c r="V112" s="104" t="str">
        <f>$V$67</f>
        <v>Antoine</v>
      </c>
      <c r="W112" s="102">
        <v>1</v>
      </c>
      <c r="X112" s="102">
        <v>1</v>
      </c>
      <c r="Y112" s="102">
        <v>1</v>
      </c>
      <c r="Z112" s="102">
        <v>1</v>
      </c>
      <c r="AA112" s="102">
        <v>1</v>
      </c>
      <c r="AB112" s="102">
        <v>1</v>
      </c>
      <c r="AC112" s="102">
        <v>1</v>
      </c>
      <c r="AD112" s="102">
        <v>1</v>
      </c>
      <c r="AE112" s="102">
        <v>1</v>
      </c>
      <c r="AF112" s="102">
        <v>1</v>
      </c>
      <c r="AG112" s="102">
        <v>1</v>
      </c>
      <c r="AH112" s="102">
        <v>1</v>
      </c>
      <c r="AI112" s="102">
        <v>1</v>
      </c>
      <c r="AJ112" s="102">
        <v>1</v>
      </c>
      <c r="AK112" s="102">
        <v>1</v>
      </c>
      <c r="AQ112" s="104" t="str">
        <f>$V$91</f>
        <v>-</v>
      </c>
      <c r="AR112" s="54">
        <v>0</v>
      </c>
      <c r="AS112" s="54">
        <v>0</v>
      </c>
      <c r="AT112" s="54">
        <v>0</v>
      </c>
      <c r="AU112" s="54">
        <v>0</v>
      </c>
      <c r="AV112" s="54">
        <v>0</v>
      </c>
      <c r="AW112" s="54">
        <v>0</v>
      </c>
      <c r="AX112" s="54">
        <v>0</v>
      </c>
      <c r="AY112" s="54">
        <v>0</v>
      </c>
      <c r="AZ112" s="54">
        <v>0</v>
      </c>
      <c r="BA112" s="54">
        <v>0</v>
      </c>
      <c r="BB112" s="54">
        <v>0</v>
      </c>
      <c r="BC112" s="54">
        <v>0</v>
      </c>
      <c r="BD112" s="54">
        <v>0</v>
      </c>
      <c r="BE112" s="54">
        <v>0</v>
      </c>
      <c r="BF112" s="54">
        <v>0</v>
      </c>
      <c r="BG112" s="54">
        <v>0</v>
      </c>
      <c r="BH112" s="54">
        <v>0</v>
      </c>
      <c r="BK112" s="104" t="str">
        <f>$V$88</f>
        <v>-</v>
      </c>
      <c r="BL112" s="108">
        <v>0</v>
      </c>
      <c r="BM112" s="108">
        <v>0</v>
      </c>
      <c r="BN112" s="108">
        <v>0</v>
      </c>
      <c r="BO112" s="108">
        <v>0</v>
      </c>
      <c r="BP112" s="108">
        <v>0</v>
      </c>
      <c r="BQ112" s="108">
        <v>0</v>
      </c>
      <c r="BR112" s="108">
        <v>0</v>
      </c>
      <c r="BS112" s="108">
        <v>0</v>
      </c>
      <c r="BT112" s="108">
        <v>0</v>
      </c>
      <c r="BU112" s="108">
        <v>0</v>
      </c>
      <c r="BV112" s="108">
        <v>0</v>
      </c>
      <c r="BW112" s="108">
        <v>0</v>
      </c>
      <c r="BX112" s="108">
        <v>0</v>
      </c>
      <c r="BY112" s="108">
        <v>0</v>
      </c>
      <c r="BZ112" s="108">
        <v>0</v>
      </c>
      <c r="CA112" s="108">
        <v>0</v>
      </c>
      <c r="CB112" s="108">
        <v>0</v>
      </c>
    </row>
    <row r="113" spans="2:80" x14ac:dyDescent="0.55000000000000004">
      <c r="B113" s="104" t="str">
        <f>$V$67</f>
        <v>Antoine</v>
      </c>
      <c r="C113" s="54">
        <v>0</v>
      </c>
      <c r="D113" s="54">
        <v>0</v>
      </c>
      <c r="E113" s="54">
        <v>0</v>
      </c>
      <c r="F113" s="54">
        <v>0</v>
      </c>
      <c r="G113" s="54">
        <v>0</v>
      </c>
      <c r="H113" s="54">
        <v>0</v>
      </c>
      <c r="I113" s="54">
        <v>0</v>
      </c>
      <c r="J113" s="54">
        <v>0</v>
      </c>
      <c r="K113" s="54">
        <v>0</v>
      </c>
      <c r="L113" s="54">
        <v>0</v>
      </c>
      <c r="M113" s="54">
        <v>0</v>
      </c>
      <c r="N113" s="54">
        <v>0</v>
      </c>
      <c r="O113" s="54">
        <v>0</v>
      </c>
      <c r="P113" s="54">
        <v>0</v>
      </c>
      <c r="Q113" s="54">
        <v>0</v>
      </c>
      <c r="R113" s="54">
        <v>0</v>
      </c>
      <c r="S113" s="54">
        <v>0</v>
      </c>
      <c r="V113" s="104" t="str">
        <f>$V$68</f>
        <v>Beatriz</v>
      </c>
      <c r="W113" s="102">
        <v>1</v>
      </c>
      <c r="X113" s="102">
        <v>1</v>
      </c>
      <c r="Y113" s="102">
        <v>1</v>
      </c>
      <c r="Z113" s="102">
        <v>1</v>
      </c>
      <c r="AA113" s="102">
        <v>1</v>
      </c>
      <c r="AB113" s="102">
        <v>1</v>
      </c>
      <c r="AC113" s="102">
        <v>1</v>
      </c>
      <c r="AD113" s="102">
        <v>1</v>
      </c>
      <c r="AE113" s="102">
        <v>1</v>
      </c>
      <c r="AF113" s="102">
        <v>1</v>
      </c>
      <c r="AG113" s="102">
        <v>1</v>
      </c>
      <c r="AH113" s="102">
        <v>1</v>
      </c>
      <c r="AI113" s="102">
        <v>1</v>
      </c>
      <c r="AJ113" s="102">
        <v>1</v>
      </c>
      <c r="AK113" s="102">
        <v>1</v>
      </c>
      <c r="AQ113" s="104" t="str">
        <f>$V$92</f>
        <v>-</v>
      </c>
      <c r="AR113" s="54">
        <v>0</v>
      </c>
      <c r="AS113" s="54">
        <v>0</v>
      </c>
      <c r="AT113" s="54">
        <v>0</v>
      </c>
      <c r="AU113" s="54">
        <v>0</v>
      </c>
      <c r="AV113" s="54">
        <v>0</v>
      </c>
      <c r="AW113" s="54">
        <v>0</v>
      </c>
      <c r="AX113" s="54">
        <v>0</v>
      </c>
      <c r="AY113" s="54">
        <v>0</v>
      </c>
      <c r="AZ113" s="54">
        <v>0</v>
      </c>
      <c r="BA113" s="54">
        <v>0</v>
      </c>
      <c r="BB113" s="54">
        <v>0</v>
      </c>
      <c r="BC113" s="54">
        <v>0</v>
      </c>
      <c r="BD113" s="54">
        <v>0</v>
      </c>
      <c r="BE113" s="54">
        <v>0</v>
      </c>
      <c r="BF113" s="54">
        <v>0</v>
      </c>
      <c r="BG113" s="54">
        <v>0</v>
      </c>
      <c r="BH113" s="54">
        <v>0</v>
      </c>
      <c r="BK113" s="104" t="str">
        <f>$V$89</f>
        <v>-</v>
      </c>
      <c r="BL113" s="108">
        <v>0</v>
      </c>
      <c r="BM113" s="108">
        <v>0</v>
      </c>
      <c r="BN113" s="108">
        <v>0</v>
      </c>
      <c r="BO113" s="108">
        <v>0</v>
      </c>
      <c r="BP113" s="108">
        <v>0</v>
      </c>
      <c r="BQ113" s="108">
        <v>0</v>
      </c>
      <c r="BR113" s="108">
        <v>0</v>
      </c>
      <c r="BS113" s="108">
        <v>0</v>
      </c>
      <c r="BT113" s="108">
        <v>0</v>
      </c>
      <c r="BU113" s="108">
        <v>0</v>
      </c>
      <c r="BV113" s="108">
        <v>0</v>
      </c>
      <c r="BW113" s="108">
        <v>0</v>
      </c>
      <c r="BX113" s="108">
        <v>0</v>
      </c>
      <c r="BY113" s="108">
        <v>0</v>
      </c>
      <c r="BZ113" s="108">
        <v>0</v>
      </c>
      <c r="CA113" s="108">
        <v>0</v>
      </c>
      <c r="CB113" s="108">
        <v>0</v>
      </c>
    </row>
    <row r="114" spans="2:80" x14ac:dyDescent="0.55000000000000004">
      <c r="B114" s="104" t="str">
        <f>$V$68</f>
        <v>Beatriz</v>
      </c>
      <c r="C114" s="54">
        <v>0</v>
      </c>
      <c r="D114" s="54">
        <v>0</v>
      </c>
      <c r="E114" s="54">
        <v>0</v>
      </c>
      <c r="F114" s="54">
        <v>0</v>
      </c>
      <c r="G114" s="54">
        <v>0</v>
      </c>
      <c r="H114" s="54">
        <v>0</v>
      </c>
      <c r="I114" s="54">
        <v>0</v>
      </c>
      <c r="J114" s="54">
        <v>0</v>
      </c>
      <c r="K114" s="54">
        <v>0</v>
      </c>
      <c r="L114" s="54">
        <v>0</v>
      </c>
      <c r="M114" s="54">
        <v>0</v>
      </c>
      <c r="N114" s="54">
        <v>0</v>
      </c>
      <c r="O114" s="54">
        <v>0</v>
      </c>
      <c r="P114" s="54">
        <v>0</v>
      </c>
      <c r="Q114" s="54">
        <v>0</v>
      </c>
      <c r="R114" s="54">
        <v>0</v>
      </c>
      <c r="S114" s="54">
        <v>0</v>
      </c>
      <c r="V114" s="104" t="str">
        <f>$V$69</f>
        <v>Charelle</v>
      </c>
      <c r="W114" s="102">
        <v>1</v>
      </c>
      <c r="X114" s="102">
        <v>1</v>
      </c>
      <c r="Y114" s="102">
        <v>1</v>
      </c>
      <c r="Z114" s="102">
        <v>1</v>
      </c>
      <c r="AA114" s="102">
        <v>1</v>
      </c>
      <c r="AB114" s="102">
        <v>1</v>
      </c>
      <c r="AC114" s="102">
        <v>1</v>
      </c>
      <c r="AD114" s="102">
        <v>1</v>
      </c>
      <c r="AE114" s="102">
        <v>1</v>
      </c>
      <c r="AF114" s="102">
        <v>1</v>
      </c>
      <c r="AG114" s="102">
        <v>1</v>
      </c>
      <c r="AH114" s="102">
        <v>1</v>
      </c>
      <c r="AI114" s="102">
        <v>1</v>
      </c>
      <c r="AJ114" s="102">
        <v>1</v>
      </c>
      <c r="AK114" s="102">
        <v>1</v>
      </c>
      <c r="AP114" t="str">
        <f>$V$36</f>
        <v>Bar</v>
      </c>
      <c r="AQ114" s="104" t="str">
        <f>$V$53</f>
        <v>Jennifer</v>
      </c>
      <c r="AR114" s="54">
        <v>0</v>
      </c>
      <c r="AS114" s="54">
        <v>0</v>
      </c>
      <c r="AT114" s="54">
        <v>1</v>
      </c>
      <c r="AU114" s="54">
        <v>0</v>
      </c>
      <c r="AV114" s="54">
        <v>0</v>
      </c>
      <c r="AW114" s="54">
        <v>0</v>
      </c>
      <c r="AX114" s="54">
        <v>0</v>
      </c>
      <c r="AY114" s="54">
        <v>0</v>
      </c>
      <c r="AZ114" s="54">
        <v>0</v>
      </c>
      <c r="BA114" s="54">
        <v>0</v>
      </c>
      <c r="BB114" s="54">
        <v>0</v>
      </c>
      <c r="BC114" s="54">
        <v>1</v>
      </c>
      <c r="BD114" s="54">
        <v>0</v>
      </c>
      <c r="BE114" s="54">
        <v>0</v>
      </c>
      <c r="BF114" s="54">
        <v>0</v>
      </c>
      <c r="BG114" s="54">
        <v>0</v>
      </c>
      <c r="BH114" s="54">
        <v>0</v>
      </c>
      <c r="BK114" s="104" t="str">
        <f>$V$90</f>
        <v>-</v>
      </c>
      <c r="BL114" s="108">
        <v>0</v>
      </c>
      <c r="BM114" s="108">
        <v>0</v>
      </c>
      <c r="BN114" s="108">
        <v>0</v>
      </c>
      <c r="BO114" s="108">
        <v>0</v>
      </c>
      <c r="BP114" s="108">
        <v>0</v>
      </c>
      <c r="BQ114" s="108">
        <v>0</v>
      </c>
      <c r="BR114" s="108">
        <v>0</v>
      </c>
      <c r="BS114" s="108">
        <v>0</v>
      </c>
      <c r="BT114" s="108">
        <v>0</v>
      </c>
      <c r="BU114" s="108">
        <v>0</v>
      </c>
      <c r="BV114" s="108">
        <v>0</v>
      </c>
      <c r="BW114" s="108">
        <v>0</v>
      </c>
      <c r="BX114" s="108">
        <v>0</v>
      </c>
      <c r="BY114" s="108">
        <v>0</v>
      </c>
      <c r="BZ114" s="108">
        <v>0</v>
      </c>
      <c r="CA114" s="108">
        <v>0</v>
      </c>
      <c r="CB114" s="108">
        <v>0</v>
      </c>
    </row>
    <row r="115" spans="2:80" x14ac:dyDescent="0.55000000000000004">
      <c r="B115" s="104" t="str">
        <f>$V$69</f>
        <v>Charelle</v>
      </c>
      <c r="C115" s="54">
        <v>0</v>
      </c>
      <c r="D115" s="54">
        <v>0</v>
      </c>
      <c r="E115" s="54">
        <v>0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0</v>
      </c>
      <c r="N115" s="54">
        <v>0</v>
      </c>
      <c r="O115" s="54">
        <v>0</v>
      </c>
      <c r="P115" s="54">
        <v>0</v>
      </c>
      <c r="Q115" s="54">
        <v>0</v>
      </c>
      <c r="R115" s="54">
        <v>0</v>
      </c>
      <c r="S115" s="54">
        <v>0</v>
      </c>
      <c r="V115" s="104" t="str">
        <f>$V$70</f>
        <v>Dimitri</v>
      </c>
      <c r="W115" s="102">
        <v>1</v>
      </c>
      <c r="X115" s="102">
        <v>1</v>
      </c>
      <c r="Y115" s="102">
        <v>1</v>
      </c>
      <c r="Z115" s="102">
        <v>1</v>
      </c>
      <c r="AA115" s="102">
        <v>1</v>
      </c>
      <c r="AB115" s="102">
        <v>1</v>
      </c>
      <c r="AC115" s="102">
        <v>1</v>
      </c>
      <c r="AD115" s="102">
        <v>1</v>
      </c>
      <c r="AE115" s="102">
        <v>1</v>
      </c>
      <c r="AF115" s="102">
        <v>1</v>
      </c>
      <c r="AG115" s="102">
        <v>1</v>
      </c>
      <c r="AH115" s="102">
        <v>1</v>
      </c>
      <c r="AI115" s="102">
        <v>1</v>
      </c>
      <c r="AJ115" s="102">
        <v>1</v>
      </c>
      <c r="AK115" s="102">
        <v>1</v>
      </c>
      <c r="AQ115" s="104" t="str">
        <f>$V$54</f>
        <v>Galileo</v>
      </c>
      <c r="AR115" s="54">
        <v>0</v>
      </c>
      <c r="AS115" s="54">
        <v>0</v>
      </c>
      <c r="AT115" s="54">
        <v>0</v>
      </c>
      <c r="AU115" s="54">
        <v>1</v>
      </c>
      <c r="AV115" s="54">
        <v>0</v>
      </c>
      <c r="AW115" s="54">
        <v>1</v>
      </c>
      <c r="AX115" s="54">
        <v>0</v>
      </c>
      <c r="AY115" s="54">
        <v>0</v>
      </c>
      <c r="AZ115" s="54">
        <v>0</v>
      </c>
      <c r="BA115" s="54">
        <v>0</v>
      </c>
      <c r="BB115" s="54">
        <v>1</v>
      </c>
      <c r="BC115" s="54">
        <v>0</v>
      </c>
      <c r="BD115" s="54">
        <v>0</v>
      </c>
      <c r="BE115" s="54">
        <v>0</v>
      </c>
      <c r="BF115" s="54">
        <v>0</v>
      </c>
      <c r="BG115" s="54">
        <v>0</v>
      </c>
      <c r="BH115" s="54">
        <v>0</v>
      </c>
      <c r="BK115" s="104" t="str">
        <f>$V$91</f>
        <v>-</v>
      </c>
      <c r="BL115" s="108">
        <v>0</v>
      </c>
      <c r="BM115" s="108">
        <v>0</v>
      </c>
      <c r="BN115" s="108">
        <v>0</v>
      </c>
      <c r="BO115" s="108">
        <v>0</v>
      </c>
      <c r="BP115" s="108">
        <v>0</v>
      </c>
      <c r="BQ115" s="108">
        <v>0</v>
      </c>
      <c r="BR115" s="108">
        <v>0</v>
      </c>
      <c r="BS115" s="108">
        <v>0</v>
      </c>
      <c r="BT115" s="108">
        <v>0</v>
      </c>
      <c r="BU115" s="108">
        <v>0</v>
      </c>
      <c r="BV115" s="108">
        <v>0</v>
      </c>
      <c r="BW115" s="108">
        <v>0</v>
      </c>
      <c r="BX115" s="108">
        <v>0</v>
      </c>
      <c r="BY115" s="108">
        <v>0</v>
      </c>
      <c r="BZ115" s="108">
        <v>0</v>
      </c>
      <c r="CA115" s="108">
        <v>0</v>
      </c>
      <c r="CB115" s="108">
        <v>0</v>
      </c>
    </row>
    <row r="116" spans="2:80" x14ac:dyDescent="0.55000000000000004">
      <c r="B116" s="104" t="str">
        <f>$V$70</f>
        <v>Dimitri</v>
      </c>
      <c r="C116" s="54">
        <v>0</v>
      </c>
      <c r="D116" s="54">
        <v>0</v>
      </c>
      <c r="E116" s="54">
        <v>0</v>
      </c>
      <c r="F116" s="54">
        <v>0</v>
      </c>
      <c r="G116" s="54">
        <v>0</v>
      </c>
      <c r="H116" s="54">
        <v>0</v>
      </c>
      <c r="I116" s="54">
        <v>0</v>
      </c>
      <c r="J116" s="54">
        <v>0</v>
      </c>
      <c r="K116" s="54">
        <v>0</v>
      </c>
      <c r="L116" s="54">
        <v>0</v>
      </c>
      <c r="M116" s="54">
        <v>0</v>
      </c>
      <c r="N116" s="54">
        <v>0</v>
      </c>
      <c r="O116" s="54">
        <v>0</v>
      </c>
      <c r="P116" s="54">
        <v>0</v>
      </c>
      <c r="Q116" s="54">
        <v>0</v>
      </c>
      <c r="R116" s="54">
        <v>0</v>
      </c>
      <c r="S116" s="54">
        <v>0</v>
      </c>
      <c r="V116" s="104" t="str">
        <f>$V$71</f>
        <v>Marina</v>
      </c>
      <c r="W116" s="102">
        <v>1</v>
      </c>
      <c r="X116" s="102">
        <v>1</v>
      </c>
      <c r="Y116" s="102">
        <v>1</v>
      </c>
      <c r="Z116" s="102">
        <v>1</v>
      </c>
      <c r="AA116" s="102">
        <v>1</v>
      </c>
      <c r="AB116" s="102">
        <v>1</v>
      </c>
      <c r="AC116" s="102">
        <v>1</v>
      </c>
      <c r="AD116" s="102">
        <v>1</v>
      </c>
      <c r="AE116" s="102">
        <v>1</v>
      </c>
      <c r="AF116" s="102">
        <v>1</v>
      </c>
      <c r="AG116" s="102">
        <v>1</v>
      </c>
      <c r="AH116" s="102">
        <v>1</v>
      </c>
      <c r="AI116" s="102">
        <v>1</v>
      </c>
      <c r="AJ116" s="102">
        <v>1</v>
      </c>
      <c r="AK116" s="102">
        <v>1</v>
      </c>
      <c r="AQ116" s="104" t="str">
        <f>$V$55</f>
        <v>Óscar</v>
      </c>
      <c r="AR116" s="54">
        <v>0</v>
      </c>
      <c r="AS116" s="54">
        <v>0</v>
      </c>
      <c r="AT116" s="54">
        <v>0</v>
      </c>
      <c r="AU116" s="54">
        <v>0</v>
      </c>
      <c r="AV116" s="54">
        <v>0</v>
      </c>
      <c r="AW116" s="54">
        <v>0</v>
      </c>
      <c r="AX116" s="54">
        <v>0</v>
      </c>
      <c r="AY116" s="54">
        <v>1</v>
      </c>
      <c r="AZ116" s="54">
        <v>0</v>
      </c>
      <c r="BA116" s="54">
        <v>0</v>
      </c>
      <c r="BB116" s="54">
        <v>0</v>
      </c>
      <c r="BC116" s="54">
        <v>0</v>
      </c>
      <c r="BD116" s="54">
        <v>0</v>
      </c>
      <c r="BE116" s="54">
        <v>0</v>
      </c>
      <c r="BF116" s="54">
        <v>0</v>
      </c>
      <c r="BG116" s="54">
        <v>0</v>
      </c>
      <c r="BH116" s="54">
        <v>0</v>
      </c>
      <c r="BK116" s="104" t="str">
        <f>$V$92</f>
        <v>-</v>
      </c>
      <c r="BL116" s="108">
        <v>0</v>
      </c>
      <c r="BM116" s="108">
        <v>0</v>
      </c>
      <c r="BN116" s="108">
        <v>0</v>
      </c>
      <c r="BO116" s="108">
        <v>0</v>
      </c>
      <c r="BP116" s="108">
        <v>0</v>
      </c>
      <c r="BQ116" s="108">
        <v>0</v>
      </c>
      <c r="BR116" s="108">
        <v>0</v>
      </c>
      <c r="BS116" s="108">
        <v>0</v>
      </c>
      <c r="BT116" s="108">
        <v>0</v>
      </c>
      <c r="BU116" s="108">
        <v>0</v>
      </c>
      <c r="BV116" s="108">
        <v>0</v>
      </c>
      <c r="BW116" s="108">
        <v>0</v>
      </c>
      <c r="BX116" s="108">
        <v>0</v>
      </c>
      <c r="BY116" s="108">
        <v>0</v>
      </c>
      <c r="BZ116" s="108">
        <v>0</v>
      </c>
      <c r="CA116" s="108">
        <v>0</v>
      </c>
      <c r="CB116" s="108">
        <v>0</v>
      </c>
    </row>
    <row r="117" spans="2:80" x14ac:dyDescent="0.55000000000000004">
      <c r="B117" s="104" t="str">
        <f>$V$71</f>
        <v>Marina</v>
      </c>
      <c r="C117" s="54">
        <v>0</v>
      </c>
      <c r="D117" s="54">
        <v>0</v>
      </c>
      <c r="E117" s="54">
        <v>0</v>
      </c>
      <c r="F117" s="54">
        <v>0</v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4">
        <v>0</v>
      </c>
      <c r="P117" s="54">
        <v>0</v>
      </c>
      <c r="Q117" s="54">
        <v>0</v>
      </c>
      <c r="R117" s="54">
        <v>0</v>
      </c>
      <c r="S117" s="54">
        <v>0</v>
      </c>
      <c r="V117" s="104" t="str">
        <f>$V$72</f>
        <v>Michel</v>
      </c>
      <c r="W117" s="102">
        <v>1</v>
      </c>
      <c r="X117" s="102">
        <v>1</v>
      </c>
      <c r="Y117" s="102">
        <v>1</v>
      </c>
      <c r="Z117" s="102">
        <v>1</v>
      </c>
      <c r="AA117" s="102">
        <v>1</v>
      </c>
      <c r="AB117" s="102">
        <v>1</v>
      </c>
      <c r="AC117" s="102">
        <v>1</v>
      </c>
      <c r="AD117" s="102">
        <v>1</v>
      </c>
      <c r="AE117" s="102">
        <v>1</v>
      </c>
      <c r="AF117" s="102">
        <v>1</v>
      </c>
      <c r="AG117" s="102">
        <v>1</v>
      </c>
      <c r="AH117" s="102">
        <v>1</v>
      </c>
      <c r="AI117" s="102">
        <v>1</v>
      </c>
      <c r="AJ117" s="102">
        <v>1</v>
      </c>
      <c r="AK117" s="102">
        <v>1</v>
      </c>
      <c r="AQ117" s="104" t="str">
        <f>$V$56</f>
        <v>Sebastián</v>
      </c>
      <c r="AR117" s="54">
        <v>0</v>
      </c>
      <c r="AS117" s="54">
        <v>1</v>
      </c>
      <c r="AT117" s="54">
        <v>0</v>
      </c>
      <c r="AU117" s="54">
        <v>0</v>
      </c>
      <c r="AV117" s="54">
        <v>0</v>
      </c>
      <c r="AW117" s="54">
        <v>0</v>
      </c>
      <c r="AX117" s="54">
        <v>0</v>
      </c>
      <c r="AY117" s="54">
        <v>0</v>
      </c>
      <c r="AZ117" s="54">
        <v>0</v>
      </c>
      <c r="BA117" s="54">
        <v>1</v>
      </c>
      <c r="BB117" s="54">
        <v>0</v>
      </c>
      <c r="BC117" s="54">
        <v>0</v>
      </c>
      <c r="BD117" s="54">
        <v>0</v>
      </c>
      <c r="BE117" s="54">
        <v>0</v>
      </c>
      <c r="BF117" s="54">
        <v>0</v>
      </c>
      <c r="BG117" s="54">
        <v>0</v>
      </c>
      <c r="BH117" s="54">
        <v>0</v>
      </c>
    </row>
    <row r="118" spans="2:80" x14ac:dyDescent="0.55000000000000004">
      <c r="B118" s="104" t="str">
        <f>$V$72</f>
        <v>Michel</v>
      </c>
      <c r="C118" s="54">
        <v>0</v>
      </c>
      <c r="D118" s="54">
        <v>0</v>
      </c>
      <c r="E118" s="54">
        <v>0</v>
      </c>
      <c r="F118" s="54">
        <v>0</v>
      </c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4">
        <v>0</v>
      </c>
      <c r="M118" s="54">
        <v>0</v>
      </c>
      <c r="N118" s="54">
        <v>0</v>
      </c>
      <c r="O118" s="54">
        <v>0</v>
      </c>
      <c r="P118" s="54">
        <v>0</v>
      </c>
      <c r="Q118" s="54">
        <v>0</v>
      </c>
      <c r="R118" s="54">
        <v>0</v>
      </c>
      <c r="S118" s="54">
        <v>0</v>
      </c>
      <c r="V118" s="104" t="str">
        <f>$V$73</f>
        <v>Nour</v>
      </c>
      <c r="W118" s="102">
        <v>1</v>
      </c>
      <c r="X118" s="102">
        <v>1</v>
      </c>
      <c r="Y118" s="102">
        <v>1</v>
      </c>
      <c r="Z118" s="102">
        <v>1</v>
      </c>
      <c r="AA118" s="102">
        <v>1</v>
      </c>
      <c r="AB118" s="102">
        <v>1</v>
      </c>
      <c r="AC118" s="102">
        <v>1</v>
      </c>
      <c r="AD118" s="102">
        <v>1</v>
      </c>
      <c r="AE118" s="102">
        <v>1</v>
      </c>
      <c r="AF118" s="102">
        <v>1</v>
      </c>
      <c r="AG118" s="102">
        <v>1</v>
      </c>
      <c r="AH118" s="102">
        <v>1</v>
      </c>
      <c r="AI118" s="102">
        <v>1</v>
      </c>
      <c r="AJ118" s="102">
        <v>1</v>
      </c>
      <c r="AK118" s="102">
        <v>1</v>
      </c>
      <c r="AQ118" s="104" t="str">
        <f>$V$57</f>
        <v>Marcos</v>
      </c>
      <c r="AR118" s="54">
        <v>1</v>
      </c>
      <c r="AS118" s="54">
        <v>0</v>
      </c>
      <c r="AT118" s="54">
        <v>0</v>
      </c>
      <c r="AU118" s="54">
        <v>0</v>
      </c>
      <c r="AV118" s="54">
        <v>0</v>
      </c>
      <c r="AW118" s="54">
        <v>0</v>
      </c>
      <c r="AX118" s="54">
        <v>0</v>
      </c>
      <c r="AY118" s="54">
        <v>0</v>
      </c>
      <c r="AZ118" s="54">
        <v>1</v>
      </c>
      <c r="BA118" s="54">
        <v>0</v>
      </c>
      <c r="BB118" s="54">
        <v>0</v>
      </c>
      <c r="BC118" s="54">
        <v>0</v>
      </c>
      <c r="BD118" s="54">
        <v>0</v>
      </c>
      <c r="BE118" s="54">
        <v>0</v>
      </c>
      <c r="BF118" s="54">
        <v>0</v>
      </c>
      <c r="BG118" s="54">
        <v>0</v>
      </c>
      <c r="BH118" s="54">
        <v>0</v>
      </c>
    </row>
    <row r="119" spans="2:80" x14ac:dyDescent="0.55000000000000004">
      <c r="B119" s="104" t="str">
        <f>$V$73</f>
        <v>Nour</v>
      </c>
      <c r="C119" s="54">
        <v>0</v>
      </c>
      <c r="D119" s="54">
        <v>0</v>
      </c>
      <c r="E119" s="54">
        <v>0</v>
      </c>
      <c r="F119" s="54">
        <v>0</v>
      </c>
      <c r="G119" s="54">
        <v>0</v>
      </c>
      <c r="H119" s="54">
        <v>0</v>
      </c>
      <c r="I119" s="54">
        <v>0</v>
      </c>
      <c r="J119" s="54">
        <v>0</v>
      </c>
      <c r="K119" s="54">
        <v>0</v>
      </c>
      <c r="L119" s="54">
        <v>0</v>
      </c>
      <c r="M119" s="54">
        <v>0</v>
      </c>
      <c r="N119" s="54">
        <v>0</v>
      </c>
      <c r="O119" s="54">
        <v>0</v>
      </c>
      <c r="P119" s="54">
        <v>0</v>
      </c>
      <c r="Q119" s="54">
        <v>0</v>
      </c>
      <c r="R119" s="54">
        <v>0</v>
      </c>
      <c r="S119" s="54">
        <v>0</v>
      </c>
      <c r="V119" s="104" t="str">
        <f>$V$74</f>
        <v>Samuel</v>
      </c>
      <c r="W119" s="102">
        <v>1</v>
      </c>
      <c r="X119" s="102">
        <v>1</v>
      </c>
      <c r="Y119" s="102">
        <v>1</v>
      </c>
      <c r="Z119" s="102">
        <v>1</v>
      </c>
      <c r="AA119" s="102">
        <v>1</v>
      </c>
      <c r="AB119" s="102">
        <v>1</v>
      </c>
      <c r="AC119" s="102">
        <v>1</v>
      </c>
      <c r="AD119" s="102">
        <v>1</v>
      </c>
      <c r="AE119" s="102">
        <v>1</v>
      </c>
      <c r="AF119" s="102">
        <v>1</v>
      </c>
      <c r="AG119" s="102">
        <v>1</v>
      </c>
      <c r="AH119" s="102">
        <v>1</v>
      </c>
      <c r="AI119" s="102">
        <v>1</v>
      </c>
      <c r="AJ119" s="102">
        <v>1</v>
      </c>
      <c r="AK119" s="102">
        <v>1</v>
      </c>
      <c r="AQ119" s="104" t="str">
        <f>$V$58</f>
        <v>Weixin</v>
      </c>
      <c r="AR119" s="54">
        <v>0</v>
      </c>
      <c r="AS119" s="54">
        <v>0</v>
      </c>
      <c r="AT119" s="54">
        <v>0</v>
      </c>
      <c r="AU119" s="54">
        <v>0</v>
      </c>
      <c r="AV119" s="54">
        <v>0</v>
      </c>
      <c r="AW119" s="54">
        <v>0</v>
      </c>
      <c r="AX119" s="54">
        <v>0</v>
      </c>
      <c r="AY119" s="54">
        <v>0</v>
      </c>
      <c r="AZ119" s="54">
        <v>0</v>
      </c>
      <c r="BA119" s="54">
        <v>0</v>
      </c>
      <c r="BB119" s="54">
        <v>0</v>
      </c>
      <c r="BC119" s="54">
        <v>0</v>
      </c>
      <c r="BD119" s="54">
        <v>0</v>
      </c>
      <c r="BE119" s="54">
        <v>0</v>
      </c>
      <c r="BF119" s="54">
        <v>0</v>
      </c>
      <c r="BG119" s="54">
        <v>0</v>
      </c>
      <c r="BH119" s="54">
        <v>0</v>
      </c>
      <c r="BK119" s="104" t="str">
        <f>CONCATENATE("OBLIGATORIEDAD DE (",BK120,")")</f>
        <v>OBLIGATORIEDAD DE (Bar)</v>
      </c>
    </row>
    <row r="120" spans="2:80" x14ac:dyDescent="0.55000000000000004">
      <c r="B120" s="104" t="str">
        <f>$V$74</f>
        <v>Samuel</v>
      </c>
      <c r="C120" s="54">
        <v>0</v>
      </c>
      <c r="D120" s="54">
        <v>0</v>
      </c>
      <c r="E120" s="54">
        <v>0</v>
      </c>
      <c r="F120" s="54">
        <v>0</v>
      </c>
      <c r="G120" s="54">
        <v>0</v>
      </c>
      <c r="H120" s="54">
        <v>0</v>
      </c>
      <c r="I120" s="54">
        <v>0</v>
      </c>
      <c r="J120" s="54">
        <v>0</v>
      </c>
      <c r="K120" s="54">
        <v>0</v>
      </c>
      <c r="L120" s="54">
        <v>0</v>
      </c>
      <c r="M120" s="54">
        <v>0</v>
      </c>
      <c r="N120" s="54">
        <v>0</v>
      </c>
      <c r="O120" s="54">
        <v>0</v>
      </c>
      <c r="P120" s="54">
        <v>0</v>
      </c>
      <c r="Q120" s="54">
        <v>0</v>
      </c>
      <c r="R120" s="54">
        <v>0</v>
      </c>
      <c r="S120" s="54">
        <v>0</v>
      </c>
      <c r="V120" s="104" t="str">
        <f>$V$75</f>
        <v>Yassin</v>
      </c>
      <c r="W120" s="102">
        <v>1</v>
      </c>
      <c r="X120" s="102">
        <v>1</v>
      </c>
      <c r="Y120" s="102">
        <v>1</v>
      </c>
      <c r="Z120" s="102">
        <v>1</v>
      </c>
      <c r="AA120" s="102">
        <v>1</v>
      </c>
      <c r="AB120" s="102">
        <v>1</v>
      </c>
      <c r="AC120" s="102">
        <v>1</v>
      </c>
      <c r="AD120" s="102">
        <v>1</v>
      </c>
      <c r="AE120" s="102">
        <v>1</v>
      </c>
      <c r="AF120" s="102">
        <v>1</v>
      </c>
      <c r="AG120" s="102">
        <v>1</v>
      </c>
      <c r="AH120" s="102">
        <v>1</v>
      </c>
      <c r="AI120" s="102">
        <v>1</v>
      </c>
      <c r="AJ120" s="102">
        <v>1</v>
      </c>
      <c r="AK120" s="102">
        <v>1</v>
      </c>
      <c r="AQ120" s="104" t="str">
        <f>$V$59</f>
        <v>Benjamin</v>
      </c>
      <c r="AR120" s="54">
        <v>0</v>
      </c>
      <c r="AS120" s="54">
        <v>0</v>
      </c>
      <c r="AT120" s="54">
        <v>0</v>
      </c>
      <c r="AU120" s="54">
        <v>0</v>
      </c>
      <c r="AV120" s="54">
        <v>1</v>
      </c>
      <c r="AW120" s="54">
        <v>0</v>
      </c>
      <c r="AX120" s="54">
        <v>1</v>
      </c>
      <c r="AY120" s="54">
        <v>0</v>
      </c>
      <c r="AZ120" s="54">
        <v>0</v>
      </c>
      <c r="BA120" s="54">
        <v>0</v>
      </c>
      <c r="BB120" s="54">
        <v>0</v>
      </c>
      <c r="BC120" s="54">
        <v>0</v>
      </c>
      <c r="BD120" s="54">
        <v>0</v>
      </c>
      <c r="BE120" s="54">
        <v>0</v>
      </c>
      <c r="BF120" s="54">
        <v>0</v>
      </c>
      <c r="BG120" s="54">
        <v>0</v>
      </c>
      <c r="BH120" s="54">
        <v>0</v>
      </c>
      <c r="BK120" s="104" t="str">
        <f>V36</f>
        <v>Bar</v>
      </c>
      <c r="BL120" s="104" t="str">
        <f>$W$33</f>
        <v>16h</v>
      </c>
      <c r="BM120" s="104" t="str">
        <f>$X$33</f>
        <v>17h</v>
      </c>
      <c r="BN120" s="104" t="str">
        <f>$Y$33</f>
        <v>18h</v>
      </c>
      <c r="BO120" s="104" t="str">
        <f>$Z$33</f>
        <v>19h</v>
      </c>
      <c r="BP120" s="104" t="str">
        <f>$AA$33</f>
        <v>20h</v>
      </c>
      <c r="BQ120" s="104" t="str">
        <f>$AB$33</f>
        <v>21h</v>
      </c>
      <c r="BR120" s="104" t="str">
        <f>$AC$33</f>
        <v>22h</v>
      </c>
      <c r="BS120" s="104" t="str">
        <f>$AD$33</f>
        <v>23h</v>
      </c>
      <c r="BT120" s="104" t="str">
        <f>$AE$33</f>
        <v>00h</v>
      </c>
      <c r="BU120" s="104" t="str">
        <f>$AF$33</f>
        <v>01h</v>
      </c>
      <c r="BV120" s="104" t="str">
        <f>$AG$33</f>
        <v>02h</v>
      </c>
      <c r="BW120" s="104" t="str">
        <f>$AH$33</f>
        <v>03h</v>
      </c>
      <c r="BX120" s="104" t="str">
        <f>$AI$33</f>
        <v>04h</v>
      </c>
      <c r="BY120" s="104" t="str">
        <f>$AJ$33</f>
        <v>05h</v>
      </c>
      <c r="BZ120" s="104" t="str">
        <f>$AK$33</f>
        <v>06h</v>
      </c>
      <c r="CA120" s="104" t="str">
        <f>$AL$33</f>
        <v>07h</v>
      </c>
      <c r="CB120" s="104" t="str">
        <f>$AM$33</f>
        <v>08h</v>
      </c>
    </row>
    <row r="121" spans="2:80" x14ac:dyDescent="0.55000000000000004">
      <c r="B121" s="104" t="str">
        <f>$V$75</f>
        <v>Yassin</v>
      </c>
      <c r="C121" s="54">
        <v>0</v>
      </c>
      <c r="D121" s="54">
        <v>0</v>
      </c>
      <c r="E121" s="54">
        <v>0</v>
      </c>
      <c r="F121" s="54">
        <v>0</v>
      </c>
      <c r="G121" s="54">
        <v>0</v>
      </c>
      <c r="H121" s="54">
        <v>0</v>
      </c>
      <c r="I121" s="54">
        <v>0</v>
      </c>
      <c r="J121" s="54">
        <v>0</v>
      </c>
      <c r="K121" s="54">
        <v>0</v>
      </c>
      <c r="L121" s="54">
        <v>0</v>
      </c>
      <c r="M121" s="54">
        <v>0</v>
      </c>
      <c r="N121" s="54">
        <v>0</v>
      </c>
      <c r="O121" s="54">
        <v>0</v>
      </c>
      <c r="P121" s="54">
        <v>0</v>
      </c>
      <c r="Q121" s="54">
        <v>0</v>
      </c>
      <c r="R121" s="54">
        <v>0</v>
      </c>
      <c r="S121" s="54">
        <v>0</v>
      </c>
      <c r="V121" s="104" t="str">
        <f>$V$76</f>
        <v>Kamar</v>
      </c>
      <c r="W121" s="102">
        <v>1</v>
      </c>
      <c r="X121" s="102">
        <v>1</v>
      </c>
      <c r="Y121" s="102">
        <v>1</v>
      </c>
      <c r="Z121" s="102">
        <v>1</v>
      </c>
      <c r="AA121" s="102">
        <v>1</v>
      </c>
      <c r="AB121" s="102">
        <v>1</v>
      </c>
      <c r="AC121" s="102">
        <v>1</v>
      </c>
      <c r="AD121" s="102">
        <v>1</v>
      </c>
      <c r="AE121" s="102">
        <v>1</v>
      </c>
      <c r="AF121" s="102">
        <v>1</v>
      </c>
      <c r="AG121" s="102">
        <v>1</v>
      </c>
      <c r="AH121" s="102">
        <v>1</v>
      </c>
      <c r="AI121" s="102">
        <v>1</v>
      </c>
      <c r="AJ121" s="102">
        <v>1</v>
      </c>
      <c r="AK121" s="102">
        <v>1</v>
      </c>
      <c r="AQ121" s="104" t="str">
        <f>$V$60</f>
        <v>Joelle</v>
      </c>
      <c r="AR121" s="54">
        <v>0</v>
      </c>
      <c r="AS121" s="54">
        <v>0</v>
      </c>
      <c r="AT121" s="54">
        <v>0</v>
      </c>
      <c r="AU121" s="54">
        <v>0</v>
      </c>
      <c r="AV121" s="54">
        <v>0</v>
      </c>
      <c r="AW121" s="54">
        <v>0</v>
      </c>
      <c r="AX121" s="54">
        <v>0</v>
      </c>
      <c r="AY121" s="54">
        <v>0</v>
      </c>
      <c r="AZ121" s="54">
        <v>0</v>
      </c>
      <c r="BA121" s="54">
        <v>0</v>
      </c>
      <c r="BB121" s="54">
        <v>0</v>
      </c>
      <c r="BC121" s="54">
        <v>0</v>
      </c>
      <c r="BD121" s="54">
        <v>0</v>
      </c>
      <c r="BE121" s="54">
        <v>0</v>
      </c>
      <c r="BF121" s="54">
        <v>0</v>
      </c>
      <c r="BG121" s="54">
        <v>0</v>
      </c>
      <c r="BH121" s="54">
        <v>0</v>
      </c>
      <c r="BK121" s="104" t="str">
        <f>$V$53</f>
        <v>Jennifer</v>
      </c>
      <c r="BL121" s="108">
        <v>0</v>
      </c>
      <c r="BM121" s="108">
        <v>0</v>
      </c>
      <c r="BN121" s="108">
        <v>0</v>
      </c>
      <c r="BO121" s="108">
        <v>0</v>
      </c>
      <c r="BP121" s="108">
        <v>0</v>
      </c>
      <c r="BQ121" s="108">
        <v>0</v>
      </c>
      <c r="BR121" s="108">
        <v>0</v>
      </c>
      <c r="BS121" s="108">
        <v>0</v>
      </c>
      <c r="BT121" s="108">
        <v>0</v>
      </c>
      <c r="BU121" s="108">
        <v>0</v>
      </c>
      <c r="BV121" s="108">
        <v>0</v>
      </c>
      <c r="BW121" s="108">
        <v>0</v>
      </c>
      <c r="BX121" s="108">
        <v>0</v>
      </c>
      <c r="BY121" s="108">
        <v>0</v>
      </c>
      <c r="BZ121" s="108">
        <v>0</v>
      </c>
      <c r="CA121" s="108">
        <v>0</v>
      </c>
      <c r="CB121" s="108">
        <v>0</v>
      </c>
    </row>
    <row r="122" spans="2:80" x14ac:dyDescent="0.55000000000000004">
      <c r="B122" s="104" t="str">
        <f>$V$76</f>
        <v>Kamar</v>
      </c>
      <c r="C122" s="54">
        <v>0</v>
      </c>
      <c r="D122" s="54">
        <v>0</v>
      </c>
      <c r="E122" s="54">
        <v>0</v>
      </c>
      <c r="F122" s="54">
        <v>0</v>
      </c>
      <c r="G122" s="54">
        <v>0</v>
      </c>
      <c r="H122" s="54">
        <v>0</v>
      </c>
      <c r="I122" s="54">
        <v>0</v>
      </c>
      <c r="J122" s="54">
        <v>0</v>
      </c>
      <c r="K122" s="54">
        <v>0</v>
      </c>
      <c r="L122" s="54">
        <v>0</v>
      </c>
      <c r="M122" s="54">
        <v>0</v>
      </c>
      <c r="N122" s="54">
        <v>0</v>
      </c>
      <c r="O122" s="54">
        <v>0</v>
      </c>
      <c r="P122" s="54">
        <v>0</v>
      </c>
      <c r="Q122" s="54">
        <v>0</v>
      </c>
      <c r="R122" s="54">
        <v>0</v>
      </c>
      <c r="S122" s="54">
        <v>0</v>
      </c>
      <c r="V122" s="104" t="str">
        <f>$V$77</f>
        <v>-</v>
      </c>
      <c r="W122" s="102">
        <v>1</v>
      </c>
      <c r="X122" s="102">
        <v>1</v>
      </c>
      <c r="Y122" s="102">
        <v>1</v>
      </c>
      <c r="Z122" s="102">
        <v>1</v>
      </c>
      <c r="AA122" s="102">
        <v>1</v>
      </c>
      <c r="AB122" s="102">
        <v>1</v>
      </c>
      <c r="AC122" s="102">
        <v>1</v>
      </c>
      <c r="AD122" s="102">
        <v>1</v>
      </c>
      <c r="AE122" s="102">
        <v>1</v>
      </c>
      <c r="AF122" s="102">
        <v>1</v>
      </c>
      <c r="AG122" s="102">
        <v>1</v>
      </c>
      <c r="AH122" s="102">
        <v>1</v>
      </c>
      <c r="AI122" s="102">
        <v>1</v>
      </c>
      <c r="AJ122" s="102">
        <v>1</v>
      </c>
      <c r="AK122" s="102">
        <v>1</v>
      </c>
      <c r="AQ122" s="104" t="str">
        <f>$V$61</f>
        <v>Alexia</v>
      </c>
      <c r="AR122" s="54">
        <v>0</v>
      </c>
      <c r="AS122" s="54">
        <v>0</v>
      </c>
      <c r="AT122" s="54">
        <v>0</v>
      </c>
      <c r="AU122" s="54">
        <v>0</v>
      </c>
      <c r="AV122" s="54">
        <v>0</v>
      </c>
      <c r="AW122" s="54">
        <v>0</v>
      </c>
      <c r="AX122" s="54">
        <v>0</v>
      </c>
      <c r="AY122" s="54">
        <v>0</v>
      </c>
      <c r="AZ122" s="54">
        <v>0</v>
      </c>
      <c r="BA122" s="54">
        <v>0</v>
      </c>
      <c r="BB122" s="54">
        <v>0</v>
      </c>
      <c r="BC122" s="54">
        <v>0</v>
      </c>
      <c r="BD122" s="54">
        <v>0</v>
      </c>
      <c r="BE122" s="54">
        <v>0</v>
      </c>
      <c r="BF122" s="54">
        <v>0</v>
      </c>
      <c r="BG122" s="54">
        <v>0</v>
      </c>
      <c r="BH122" s="54">
        <v>0</v>
      </c>
      <c r="BK122" s="104" t="str">
        <f>$V$54</f>
        <v>Galileo</v>
      </c>
      <c r="BL122" s="108">
        <v>0</v>
      </c>
      <c r="BM122" s="108">
        <v>0</v>
      </c>
      <c r="BN122" s="108">
        <v>0</v>
      </c>
      <c r="BO122" s="108">
        <v>0</v>
      </c>
      <c r="BP122" s="108">
        <v>0</v>
      </c>
      <c r="BQ122" s="108">
        <v>0</v>
      </c>
      <c r="BR122" s="108">
        <v>0</v>
      </c>
      <c r="BS122" s="108">
        <v>0</v>
      </c>
      <c r="BT122" s="108">
        <v>0</v>
      </c>
      <c r="BU122" s="108">
        <v>0</v>
      </c>
      <c r="BV122" s="108">
        <v>0</v>
      </c>
      <c r="BW122" s="108">
        <v>0</v>
      </c>
      <c r="BX122" s="108">
        <v>0</v>
      </c>
      <c r="BY122" s="108">
        <v>0</v>
      </c>
      <c r="BZ122" s="108">
        <v>0</v>
      </c>
      <c r="CA122" s="108">
        <v>0</v>
      </c>
      <c r="CB122" s="108">
        <v>0</v>
      </c>
    </row>
    <row r="123" spans="2:80" x14ac:dyDescent="0.55000000000000004">
      <c r="B123" s="104" t="str">
        <f>$V$77</f>
        <v>-</v>
      </c>
      <c r="C123" s="54">
        <v>0</v>
      </c>
      <c r="D123" s="54">
        <v>0</v>
      </c>
      <c r="E123" s="54">
        <v>0</v>
      </c>
      <c r="F123" s="54">
        <v>0</v>
      </c>
      <c r="G123" s="54">
        <v>0</v>
      </c>
      <c r="H123" s="54">
        <v>0</v>
      </c>
      <c r="I123" s="54">
        <v>0</v>
      </c>
      <c r="J123" s="54">
        <v>0</v>
      </c>
      <c r="K123" s="54">
        <v>0</v>
      </c>
      <c r="L123" s="54">
        <v>0</v>
      </c>
      <c r="M123" s="54">
        <v>0</v>
      </c>
      <c r="N123" s="54">
        <v>0</v>
      </c>
      <c r="O123" s="54">
        <v>0</v>
      </c>
      <c r="P123" s="54">
        <v>0</v>
      </c>
      <c r="Q123" s="54">
        <v>0</v>
      </c>
      <c r="R123" s="54">
        <v>0</v>
      </c>
      <c r="S123" s="54">
        <v>0</v>
      </c>
      <c r="V123" s="104" t="str">
        <f>$V$78</f>
        <v>-</v>
      </c>
      <c r="W123" s="102">
        <v>1</v>
      </c>
      <c r="X123" s="102">
        <v>1</v>
      </c>
      <c r="Y123" s="102">
        <v>1</v>
      </c>
      <c r="Z123" s="102">
        <v>1</v>
      </c>
      <c r="AA123" s="102">
        <v>1</v>
      </c>
      <c r="AB123" s="102">
        <v>1</v>
      </c>
      <c r="AC123" s="102">
        <v>1</v>
      </c>
      <c r="AD123" s="102">
        <v>1</v>
      </c>
      <c r="AE123" s="102">
        <v>1</v>
      </c>
      <c r="AF123" s="102">
        <v>1</v>
      </c>
      <c r="AG123" s="102">
        <v>1</v>
      </c>
      <c r="AH123" s="102">
        <v>1</v>
      </c>
      <c r="AI123" s="102">
        <v>1</v>
      </c>
      <c r="AJ123" s="102">
        <v>1</v>
      </c>
      <c r="AK123" s="102">
        <v>1</v>
      </c>
      <c r="AQ123" s="104" t="str">
        <f>$V$62</f>
        <v>Joao</v>
      </c>
      <c r="AR123" s="54">
        <v>0</v>
      </c>
      <c r="AS123" s="54">
        <v>0</v>
      </c>
      <c r="AT123" s="54">
        <v>0</v>
      </c>
      <c r="AU123" s="54">
        <v>0</v>
      </c>
      <c r="AV123" s="54">
        <v>0</v>
      </c>
      <c r="AW123" s="54">
        <v>0</v>
      </c>
      <c r="AX123" s="54">
        <v>0</v>
      </c>
      <c r="AY123" s="54">
        <v>0</v>
      </c>
      <c r="AZ123" s="54">
        <v>0</v>
      </c>
      <c r="BA123" s="54">
        <v>0</v>
      </c>
      <c r="BB123" s="54">
        <v>0</v>
      </c>
      <c r="BC123" s="54">
        <v>0</v>
      </c>
      <c r="BD123" s="54">
        <v>0</v>
      </c>
      <c r="BE123" s="54">
        <v>0</v>
      </c>
      <c r="BF123" s="54">
        <v>0</v>
      </c>
      <c r="BG123" s="54">
        <v>0</v>
      </c>
      <c r="BH123" s="54">
        <v>0</v>
      </c>
      <c r="BK123" s="104" t="str">
        <f>$V$55</f>
        <v>Óscar</v>
      </c>
      <c r="BL123" s="108">
        <v>0</v>
      </c>
      <c r="BM123" s="108">
        <v>0</v>
      </c>
      <c r="BN123" s="108">
        <v>0</v>
      </c>
      <c r="BO123" s="108">
        <v>0</v>
      </c>
      <c r="BP123" s="108">
        <v>0</v>
      </c>
      <c r="BQ123" s="108">
        <v>0</v>
      </c>
      <c r="BR123" s="108">
        <v>0</v>
      </c>
      <c r="BS123" s="108">
        <v>0</v>
      </c>
      <c r="BT123" s="108">
        <v>0</v>
      </c>
      <c r="BU123" s="108">
        <v>0</v>
      </c>
      <c r="BV123" s="108">
        <v>0</v>
      </c>
      <c r="BW123" s="108">
        <v>0</v>
      </c>
      <c r="BX123" s="108">
        <v>0</v>
      </c>
      <c r="BY123" s="108">
        <v>0</v>
      </c>
      <c r="BZ123" s="108">
        <v>0</v>
      </c>
      <c r="CA123" s="108">
        <v>0</v>
      </c>
      <c r="CB123" s="108">
        <v>0</v>
      </c>
    </row>
    <row r="124" spans="2:80" x14ac:dyDescent="0.55000000000000004">
      <c r="B124" s="104" t="str">
        <f>$V$78</f>
        <v>-</v>
      </c>
      <c r="C124" s="54">
        <v>0</v>
      </c>
      <c r="D124" s="54">
        <v>0</v>
      </c>
      <c r="E124" s="54">
        <v>0</v>
      </c>
      <c r="F124" s="54">
        <v>0</v>
      </c>
      <c r="G124" s="54">
        <v>0</v>
      </c>
      <c r="H124" s="54">
        <v>0</v>
      </c>
      <c r="I124" s="54">
        <v>0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0</v>
      </c>
      <c r="P124" s="54">
        <v>0</v>
      </c>
      <c r="Q124" s="54">
        <v>0</v>
      </c>
      <c r="R124" s="54">
        <v>0</v>
      </c>
      <c r="S124" s="54">
        <v>0</v>
      </c>
      <c r="V124" s="104" t="str">
        <f>$V$79</f>
        <v>-</v>
      </c>
      <c r="W124" s="102">
        <v>1</v>
      </c>
      <c r="X124" s="102">
        <v>1</v>
      </c>
      <c r="Y124" s="102">
        <v>1</v>
      </c>
      <c r="Z124" s="102">
        <v>1</v>
      </c>
      <c r="AA124" s="102">
        <v>1</v>
      </c>
      <c r="AB124" s="102">
        <v>1</v>
      </c>
      <c r="AC124" s="102">
        <v>1</v>
      </c>
      <c r="AD124" s="102">
        <v>1</v>
      </c>
      <c r="AE124" s="102">
        <v>1</v>
      </c>
      <c r="AF124" s="102">
        <v>1</v>
      </c>
      <c r="AG124" s="102">
        <v>1</v>
      </c>
      <c r="AH124" s="102">
        <v>1</v>
      </c>
      <c r="AI124" s="102">
        <v>1</v>
      </c>
      <c r="AJ124" s="102">
        <v>1</v>
      </c>
      <c r="AK124" s="102">
        <v>1</v>
      </c>
      <c r="AQ124" s="104" t="str">
        <f>$V$63</f>
        <v>Maxime</v>
      </c>
      <c r="AR124" s="54">
        <v>0</v>
      </c>
      <c r="AS124" s="54">
        <v>0</v>
      </c>
      <c r="AT124" s="54">
        <v>0</v>
      </c>
      <c r="AU124" s="54">
        <v>0</v>
      </c>
      <c r="AV124" s="54">
        <v>0</v>
      </c>
      <c r="AW124" s="54">
        <v>0</v>
      </c>
      <c r="AX124" s="54">
        <v>0</v>
      </c>
      <c r="AY124" s="54">
        <v>0</v>
      </c>
      <c r="AZ124" s="54">
        <v>0</v>
      </c>
      <c r="BA124" s="54">
        <v>0</v>
      </c>
      <c r="BB124" s="54">
        <v>0</v>
      </c>
      <c r="BC124" s="54">
        <v>0</v>
      </c>
      <c r="BD124" s="54">
        <v>0</v>
      </c>
      <c r="BE124" s="54">
        <v>0</v>
      </c>
      <c r="BF124" s="54">
        <v>0</v>
      </c>
      <c r="BG124" s="54">
        <v>0</v>
      </c>
      <c r="BH124" s="54">
        <v>0</v>
      </c>
      <c r="BK124" s="104" t="str">
        <f>$V$56</f>
        <v>Sebastián</v>
      </c>
      <c r="BL124" s="108">
        <v>0</v>
      </c>
      <c r="BM124" s="108">
        <v>0</v>
      </c>
      <c r="BN124" s="108">
        <v>0</v>
      </c>
      <c r="BO124" s="108">
        <v>0</v>
      </c>
      <c r="BP124" s="108">
        <v>0</v>
      </c>
      <c r="BQ124" s="108">
        <v>0</v>
      </c>
      <c r="BR124" s="108">
        <v>0</v>
      </c>
      <c r="BS124" s="108">
        <v>0</v>
      </c>
      <c r="BT124" s="108">
        <v>0</v>
      </c>
      <c r="BU124" s="108">
        <v>0</v>
      </c>
      <c r="BV124" s="108">
        <v>0</v>
      </c>
      <c r="BW124" s="108">
        <v>0</v>
      </c>
      <c r="BX124" s="108">
        <v>0</v>
      </c>
      <c r="BY124" s="108">
        <v>0</v>
      </c>
      <c r="BZ124" s="108">
        <v>0</v>
      </c>
      <c r="CA124" s="108">
        <v>0</v>
      </c>
      <c r="CB124" s="108">
        <v>0</v>
      </c>
    </row>
    <row r="125" spans="2:80" x14ac:dyDescent="0.55000000000000004">
      <c r="B125" s="104" t="str">
        <f>$V$79</f>
        <v>-</v>
      </c>
      <c r="C125" s="54">
        <v>0</v>
      </c>
      <c r="D125" s="54">
        <v>0</v>
      </c>
      <c r="E125" s="54">
        <v>0</v>
      </c>
      <c r="F125" s="54">
        <v>0</v>
      </c>
      <c r="G125" s="54">
        <v>0</v>
      </c>
      <c r="H125" s="54">
        <v>0</v>
      </c>
      <c r="I125" s="54">
        <v>0</v>
      </c>
      <c r="J125" s="54">
        <v>0</v>
      </c>
      <c r="K125" s="54">
        <v>0</v>
      </c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Q125" s="54">
        <v>0</v>
      </c>
      <c r="R125" s="54">
        <v>0</v>
      </c>
      <c r="S125" s="54">
        <v>0</v>
      </c>
      <c r="V125" s="104" t="str">
        <f>$V$80</f>
        <v>-</v>
      </c>
      <c r="W125" s="102">
        <v>1</v>
      </c>
      <c r="X125" s="102">
        <v>1</v>
      </c>
      <c r="Y125" s="102">
        <v>1</v>
      </c>
      <c r="Z125" s="102">
        <v>1</v>
      </c>
      <c r="AA125" s="102">
        <v>1</v>
      </c>
      <c r="AB125" s="102">
        <v>1</v>
      </c>
      <c r="AC125" s="102">
        <v>1</v>
      </c>
      <c r="AD125" s="102">
        <v>1</v>
      </c>
      <c r="AE125" s="102">
        <v>1</v>
      </c>
      <c r="AF125" s="102">
        <v>1</v>
      </c>
      <c r="AG125" s="102">
        <v>1</v>
      </c>
      <c r="AH125" s="102">
        <v>1</v>
      </c>
      <c r="AI125" s="102">
        <v>1</v>
      </c>
      <c r="AJ125" s="102">
        <v>1</v>
      </c>
      <c r="AK125" s="102">
        <v>1</v>
      </c>
      <c r="AQ125" s="104" t="str">
        <f>$V$64</f>
        <v>Alex</v>
      </c>
      <c r="AR125" s="54">
        <v>0</v>
      </c>
      <c r="AS125" s="54">
        <v>0</v>
      </c>
      <c r="AT125" s="54">
        <v>0</v>
      </c>
      <c r="AU125" s="54">
        <v>0</v>
      </c>
      <c r="AV125" s="54">
        <v>0</v>
      </c>
      <c r="AW125" s="54">
        <v>0</v>
      </c>
      <c r="AX125" s="54">
        <v>0</v>
      </c>
      <c r="AY125" s="54">
        <v>0</v>
      </c>
      <c r="AZ125" s="54">
        <v>0</v>
      </c>
      <c r="BA125" s="54">
        <v>0</v>
      </c>
      <c r="BB125" s="54">
        <v>0</v>
      </c>
      <c r="BC125" s="54">
        <v>0</v>
      </c>
      <c r="BD125" s="54">
        <v>0</v>
      </c>
      <c r="BE125" s="54">
        <v>0</v>
      </c>
      <c r="BF125" s="54">
        <v>0</v>
      </c>
      <c r="BG125" s="54">
        <v>0</v>
      </c>
      <c r="BH125" s="54">
        <v>0</v>
      </c>
      <c r="BK125" s="104" t="str">
        <f>$V$57</f>
        <v>Marcos</v>
      </c>
      <c r="BL125" s="108">
        <v>0</v>
      </c>
      <c r="BM125" s="108">
        <v>0</v>
      </c>
      <c r="BN125" s="108">
        <v>0</v>
      </c>
      <c r="BO125" s="108">
        <v>0</v>
      </c>
      <c r="BP125" s="108">
        <v>0</v>
      </c>
      <c r="BQ125" s="108">
        <v>0</v>
      </c>
      <c r="BR125" s="108">
        <v>0</v>
      </c>
      <c r="BS125" s="108">
        <v>0</v>
      </c>
      <c r="BT125" s="108">
        <v>0</v>
      </c>
      <c r="BU125" s="108">
        <v>0</v>
      </c>
      <c r="BV125" s="108">
        <v>0</v>
      </c>
      <c r="BW125" s="108">
        <v>0</v>
      </c>
      <c r="BX125" s="108">
        <v>0</v>
      </c>
      <c r="BY125" s="108">
        <v>0</v>
      </c>
      <c r="BZ125" s="108">
        <v>0</v>
      </c>
      <c r="CA125" s="108">
        <v>0</v>
      </c>
      <c r="CB125" s="108">
        <v>0</v>
      </c>
    </row>
    <row r="126" spans="2:80" x14ac:dyDescent="0.55000000000000004">
      <c r="B126" s="104" t="str">
        <f>$V$80</f>
        <v>-</v>
      </c>
      <c r="C126" s="54">
        <v>0</v>
      </c>
      <c r="D126" s="54">
        <v>0</v>
      </c>
      <c r="E126" s="54">
        <v>0</v>
      </c>
      <c r="F126" s="54">
        <v>0</v>
      </c>
      <c r="G126" s="54">
        <v>0</v>
      </c>
      <c r="H126" s="54">
        <v>0</v>
      </c>
      <c r="I126" s="54">
        <v>0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4">
        <v>0</v>
      </c>
      <c r="P126" s="54">
        <v>0</v>
      </c>
      <c r="Q126" s="54">
        <v>0</v>
      </c>
      <c r="R126" s="54">
        <v>0</v>
      </c>
      <c r="S126" s="54">
        <v>0</v>
      </c>
      <c r="V126" s="104" t="str">
        <f>$V$81</f>
        <v>-</v>
      </c>
      <c r="W126" s="102">
        <v>1</v>
      </c>
      <c r="X126" s="102">
        <v>1</v>
      </c>
      <c r="Y126" s="102">
        <v>1</v>
      </c>
      <c r="Z126" s="102">
        <v>1</v>
      </c>
      <c r="AA126" s="102">
        <v>1</v>
      </c>
      <c r="AB126" s="102">
        <v>1</v>
      </c>
      <c r="AC126" s="102">
        <v>1</v>
      </c>
      <c r="AD126" s="102">
        <v>1</v>
      </c>
      <c r="AE126" s="102">
        <v>1</v>
      </c>
      <c r="AF126" s="102">
        <v>1</v>
      </c>
      <c r="AG126" s="102">
        <v>1</v>
      </c>
      <c r="AH126" s="102">
        <v>1</v>
      </c>
      <c r="AI126" s="102">
        <v>1</v>
      </c>
      <c r="AJ126" s="102">
        <v>1</v>
      </c>
      <c r="AK126" s="102">
        <v>1</v>
      </c>
      <c r="AQ126" s="104" t="str">
        <f>$V$65</f>
        <v>Alyssa</v>
      </c>
      <c r="AR126" s="54">
        <v>0</v>
      </c>
      <c r="AS126" s="54">
        <v>0</v>
      </c>
      <c r="AT126" s="54">
        <v>0</v>
      </c>
      <c r="AU126" s="54">
        <v>0</v>
      </c>
      <c r="AV126" s="54">
        <v>0</v>
      </c>
      <c r="AW126" s="54">
        <v>0</v>
      </c>
      <c r="AX126" s="54">
        <v>0</v>
      </c>
      <c r="AY126" s="54">
        <v>0</v>
      </c>
      <c r="AZ126" s="54">
        <v>0</v>
      </c>
      <c r="BA126" s="54">
        <v>0</v>
      </c>
      <c r="BB126" s="54">
        <v>0</v>
      </c>
      <c r="BC126" s="54">
        <v>0</v>
      </c>
      <c r="BD126" s="54">
        <v>0</v>
      </c>
      <c r="BE126" s="54">
        <v>0</v>
      </c>
      <c r="BF126" s="54">
        <v>0</v>
      </c>
      <c r="BG126" s="54">
        <v>0</v>
      </c>
      <c r="BH126" s="54">
        <v>0</v>
      </c>
      <c r="BK126" s="104" t="str">
        <f>$V$58</f>
        <v>Weixin</v>
      </c>
      <c r="BL126" s="108">
        <v>0</v>
      </c>
      <c r="BM126" s="108">
        <v>0</v>
      </c>
      <c r="BN126" s="108">
        <v>0</v>
      </c>
      <c r="BO126" s="108">
        <v>0</v>
      </c>
      <c r="BP126" s="108">
        <v>0</v>
      </c>
      <c r="BQ126" s="108">
        <v>0</v>
      </c>
      <c r="BR126" s="108">
        <v>0</v>
      </c>
      <c r="BS126" s="108">
        <v>0</v>
      </c>
      <c r="BT126" s="108">
        <v>0</v>
      </c>
      <c r="BU126" s="108">
        <v>0</v>
      </c>
      <c r="BV126" s="108">
        <v>0</v>
      </c>
      <c r="BW126" s="108">
        <v>0</v>
      </c>
      <c r="BX126" s="108">
        <v>0</v>
      </c>
      <c r="BY126" s="108">
        <v>0</v>
      </c>
      <c r="BZ126" s="108">
        <v>0</v>
      </c>
      <c r="CA126" s="108">
        <v>0</v>
      </c>
      <c r="CB126" s="108">
        <v>0</v>
      </c>
    </row>
    <row r="127" spans="2:80" x14ac:dyDescent="0.55000000000000004">
      <c r="B127" s="104" t="str">
        <f>$V$81</f>
        <v>-</v>
      </c>
      <c r="C127" s="54">
        <v>0</v>
      </c>
      <c r="D127" s="54">
        <v>0</v>
      </c>
      <c r="E127" s="54">
        <v>0</v>
      </c>
      <c r="F127" s="54">
        <v>0</v>
      </c>
      <c r="G127" s="54">
        <v>0</v>
      </c>
      <c r="H127" s="54">
        <v>0</v>
      </c>
      <c r="I127" s="54">
        <v>0</v>
      </c>
      <c r="J127" s="54">
        <v>0</v>
      </c>
      <c r="K127" s="54">
        <v>0</v>
      </c>
      <c r="L127" s="54">
        <v>0</v>
      </c>
      <c r="M127" s="54">
        <v>0</v>
      </c>
      <c r="N127" s="54">
        <v>0</v>
      </c>
      <c r="O127" s="54">
        <v>0</v>
      </c>
      <c r="P127" s="54">
        <v>0</v>
      </c>
      <c r="Q127" s="54">
        <v>0</v>
      </c>
      <c r="R127" s="54">
        <v>0</v>
      </c>
      <c r="S127" s="54">
        <v>0</v>
      </c>
      <c r="V127" s="104" t="str">
        <f>$V$82</f>
        <v>-</v>
      </c>
      <c r="W127" s="102">
        <v>1</v>
      </c>
      <c r="X127" s="102">
        <v>1</v>
      </c>
      <c r="Y127" s="102">
        <v>1</v>
      </c>
      <c r="Z127" s="102">
        <v>1</v>
      </c>
      <c r="AA127" s="102">
        <v>1</v>
      </c>
      <c r="AB127" s="102">
        <v>1</v>
      </c>
      <c r="AC127" s="102">
        <v>1</v>
      </c>
      <c r="AD127" s="102">
        <v>1</v>
      </c>
      <c r="AE127" s="102">
        <v>1</v>
      </c>
      <c r="AF127" s="102">
        <v>1</v>
      </c>
      <c r="AG127" s="102">
        <v>1</v>
      </c>
      <c r="AH127" s="102">
        <v>1</v>
      </c>
      <c r="AI127" s="102">
        <v>1</v>
      </c>
      <c r="AJ127" s="102">
        <v>1</v>
      </c>
      <c r="AK127" s="102">
        <v>1</v>
      </c>
      <c r="AQ127" s="104" t="str">
        <f>$V$66</f>
        <v>Amanda</v>
      </c>
      <c r="AR127" s="54">
        <v>0</v>
      </c>
      <c r="AS127" s="54">
        <v>0</v>
      </c>
      <c r="AT127" s="54">
        <v>0</v>
      </c>
      <c r="AU127" s="54">
        <v>0</v>
      </c>
      <c r="AV127" s="54">
        <v>0</v>
      </c>
      <c r="AW127" s="54">
        <v>0</v>
      </c>
      <c r="AX127" s="54">
        <v>0</v>
      </c>
      <c r="AY127" s="54">
        <v>0</v>
      </c>
      <c r="AZ127" s="54">
        <v>0</v>
      </c>
      <c r="BA127" s="54">
        <v>0</v>
      </c>
      <c r="BB127" s="54">
        <v>0</v>
      </c>
      <c r="BC127" s="54">
        <v>0</v>
      </c>
      <c r="BD127" s="54">
        <v>0</v>
      </c>
      <c r="BE127" s="54">
        <v>0</v>
      </c>
      <c r="BF127" s="54">
        <v>0</v>
      </c>
      <c r="BG127" s="54">
        <v>0</v>
      </c>
      <c r="BH127" s="54">
        <v>0</v>
      </c>
      <c r="BK127" s="104" t="str">
        <f>$V$59</f>
        <v>Benjamin</v>
      </c>
      <c r="BL127" s="108">
        <v>0</v>
      </c>
      <c r="BM127" s="108">
        <v>0</v>
      </c>
      <c r="BN127" s="108">
        <v>0</v>
      </c>
      <c r="BO127" s="108">
        <v>0</v>
      </c>
      <c r="BP127" s="108">
        <v>0</v>
      </c>
      <c r="BQ127" s="108">
        <v>0</v>
      </c>
      <c r="BR127" s="108">
        <v>0</v>
      </c>
      <c r="BS127" s="108">
        <v>0</v>
      </c>
      <c r="BT127" s="108">
        <v>0</v>
      </c>
      <c r="BU127" s="108">
        <v>0</v>
      </c>
      <c r="BV127" s="108">
        <v>0</v>
      </c>
      <c r="BW127" s="108">
        <v>0</v>
      </c>
      <c r="BX127" s="108">
        <v>0</v>
      </c>
      <c r="BY127" s="108">
        <v>0</v>
      </c>
      <c r="BZ127" s="108">
        <v>0</v>
      </c>
      <c r="CA127" s="108">
        <v>0</v>
      </c>
      <c r="CB127" s="108">
        <v>0</v>
      </c>
    </row>
    <row r="128" spans="2:80" x14ac:dyDescent="0.55000000000000004">
      <c r="B128" s="104" t="str">
        <f>$V$82</f>
        <v>-</v>
      </c>
      <c r="C128" s="54">
        <v>0</v>
      </c>
      <c r="D128" s="54">
        <v>0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  <c r="J128" s="54">
        <v>0</v>
      </c>
      <c r="K128" s="54">
        <v>0</v>
      </c>
      <c r="L128" s="54">
        <v>0</v>
      </c>
      <c r="M128" s="54">
        <v>0</v>
      </c>
      <c r="N128" s="54">
        <v>0</v>
      </c>
      <c r="O128" s="54">
        <v>0</v>
      </c>
      <c r="P128" s="54">
        <v>0</v>
      </c>
      <c r="Q128" s="54">
        <v>0</v>
      </c>
      <c r="R128" s="54">
        <v>0</v>
      </c>
      <c r="S128" s="54">
        <v>0</v>
      </c>
      <c r="V128" s="104" t="str">
        <f>$V$83</f>
        <v>-</v>
      </c>
      <c r="W128" s="102">
        <v>1</v>
      </c>
      <c r="X128" s="102">
        <v>1</v>
      </c>
      <c r="Y128" s="102">
        <v>1</v>
      </c>
      <c r="Z128" s="102">
        <v>1</v>
      </c>
      <c r="AA128" s="102">
        <v>1</v>
      </c>
      <c r="AB128" s="102">
        <v>1</v>
      </c>
      <c r="AC128" s="102">
        <v>1</v>
      </c>
      <c r="AD128" s="102">
        <v>1</v>
      </c>
      <c r="AE128" s="102">
        <v>1</v>
      </c>
      <c r="AF128" s="102">
        <v>1</v>
      </c>
      <c r="AG128" s="102">
        <v>1</v>
      </c>
      <c r="AH128" s="102">
        <v>1</v>
      </c>
      <c r="AI128" s="102">
        <v>1</v>
      </c>
      <c r="AJ128" s="102">
        <v>1</v>
      </c>
      <c r="AK128" s="102">
        <v>1</v>
      </c>
      <c r="AQ128" s="104" t="str">
        <f>$V$67</f>
        <v>Antoine</v>
      </c>
      <c r="AR128" s="54">
        <v>0</v>
      </c>
      <c r="AS128" s="54">
        <v>0</v>
      </c>
      <c r="AT128" s="54">
        <v>0</v>
      </c>
      <c r="AU128" s="54">
        <v>0</v>
      </c>
      <c r="AV128" s="54">
        <v>0</v>
      </c>
      <c r="AW128" s="54">
        <v>0</v>
      </c>
      <c r="AX128" s="54">
        <v>0</v>
      </c>
      <c r="AY128" s="54">
        <v>0</v>
      </c>
      <c r="AZ128" s="54">
        <v>0</v>
      </c>
      <c r="BA128" s="54">
        <v>0</v>
      </c>
      <c r="BB128" s="54">
        <v>0</v>
      </c>
      <c r="BC128" s="54">
        <v>0</v>
      </c>
      <c r="BD128" s="54">
        <v>0</v>
      </c>
      <c r="BE128" s="54">
        <v>0</v>
      </c>
      <c r="BF128" s="54">
        <v>0</v>
      </c>
      <c r="BG128" s="54">
        <v>0</v>
      </c>
      <c r="BH128" s="54">
        <v>0</v>
      </c>
      <c r="BK128" s="104" t="str">
        <f>$V$60</f>
        <v>Joelle</v>
      </c>
      <c r="BL128" s="108">
        <v>0</v>
      </c>
      <c r="BM128" s="108">
        <v>0</v>
      </c>
      <c r="BN128" s="108">
        <v>0</v>
      </c>
      <c r="BO128" s="108">
        <v>0</v>
      </c>
      <c r="BP128" s="108">
        <v>0</v>
      </c>
      <c r="BQ128" s="108">
        <v>0</v>
      </c>
      <c r="BR128" s="108">
        <v>0</v>
      </c>
      <c r="BS128" s="108">
        <v>0</v>
      </c>
      <c r="BT128" s="108">
        <v>0</v>
      </c>
      <c r="BU128" s="108">
        <v>0</v>
      </c>
      <c r="BV128" s="108">
        <v>0</v>
      </c>
      <c r="BW128" s="108">
        <v>0</v>
      </c>
      <c r="BX128" s="108">
        <v>0</v>
      </c>
      <c r="BY128" s="108">
        <v>0</v>
      </c>
      <c r="BZ128" s="108">
        <v>0</v>
      </c>
      <c r="CA128" s="108">
        <v>0</v>
      </c>
      <c r="CB128" s="108">
        <v>0</v>
      </c>
    </row>
    <row r="129" spans="2:80" x14ac:dyDescent="0.55000000000000004">
      <c r="B129" s="104" t="str">
        <f>$V$83</f>
        <v>-</v>
      </c>
      <c r="C129" s="54">
        <v>0</v>
      </c>
      <c r="D129" s="54">
        <v>0</v>
      </c>
      <c r="E129" s="54">
        <v>0</v>
      </c>
      <c r="F129" s="54">
        <v>0</v>
      </c>
      <c r="G129" s="54">
        <v>0</v>
      </c>
      <c r="H129" s="54">
        <v>0</v>
      </c>
      <c r="I129" s="54">
        <v>0</v>
      </c>
      <c r="J129" s="54">
        <v>0</v>
      </c>
      <c r="K129" s="54">
        <v>0</v>
      </c>
      <c r="L129" s="54">
        <v>0</v>
      </c>
      <c r="M129" s="54">
        <v>0</v>
      </c>
      <c r="N129" s="54">
        <v>0</v>
      </c>
      <c r="O129" s="54">
        <v>0</v>
      </c>
      <c r="P129" s="54">
        <v>0</v>
      </c>
      <c r="Q129" s="54">
        <v>0</v>
      </c>
      <c r="R129" s="54">
        <v>0</v>
      </c>
      <c r="S129" s="54">
        <v>0</v>
      </c>
      <c r="V129" s="104" t="str">
        <f>$V$84</f>
        <v>-</v>
      </c>
      <c r="W129" s="102">
        <v>1</v>
      </c>
      <c r="X129" s="102">
        <v>1</v>
      </c>
      <c r="Y129" s="102">
        <v>1</v>
      </c>
      <c r="Z129" s="102">
        <v>1</v>
      </c>
      <c r="AA129" s="102">
        <v>1</v>
      </c>
      <c r="AB129" s="102">
        <v>1</v>
      </c>
      <c r="AC129" s="102">
        <v>1</v>
      </c>
      <c r="AD129" s="102">
        <v>1</v>
      </c>
      <c r="AE129" s="102">
        <v>1</v>
      </c>
      <c r="AF129" s="102">
        <v>1</v>
      </c>
      <c r="AG129" s="102">
        <v>1</v>
      </c>
      <c r="AH129" s="102">
        <v>1</v>
      </c>
      <c r="AI129" s="102">
        <v>1</v>
      </c>
      <c r="AJ129" s="102">
        <v>1</v>
      </c>
      <c r="AK129" s="102">
        <v>1</v>
      </c>
      <c r="AQ129" s="104" t="str">
        <f>$V$68</f>
        <v>Beatriz</v>
      </c>
      <c r="AR129" s="54">
        <v>0</v>
      </c>
      <c r="AS129" s="54">
        <v>0</v>
      </c>
      <c r="AT129" s="54">
        <v>0</v>
      </c>
      <c r="AU129" s="54">
        <v>0</v>
      </c>
      <c r="AV129" s="54">
        <v>0</v>
      </c>
      <c r="AW129" s="54">
        <v>0</v>
      </c>
      <c r="AX129" s="54">
        <v>0</v>
      </c>
      <c r="AY129" s="54">
        <v>0</v>
      </c>
      <c r="AZ129" s="54">
        <v>0</v>
      </c>
      <c r="BA129" s="54">
        <v>0</v>
      </c>
      <c r="BB129" s="54">
        <v>0</v>
      </c>
      <c r="BC129" s="54">
        <v>0</v>
      </c>
      <c r="BD129" s="54">
        <v>0</v>
      </c>
      <c r="BE129" s="54">
        <v>0</v>
      </c>
      <c r="BF129" s="54">
        <v>0</v>
      </c>
      <c r="BG129" s="54">
        <v>0</v>
      </c>
      <c r="BH129" s="54">
        <v>0</v>
      </c>
      <c r="BK129" s="104" t="str">
        <f>$V$61</f>
        <v>Alexia</v>
      </c>
      <c r="BL129" s="108">
        <v>0</v>
      </c>
      <c r="BM129" s="108">
        <v>0</v>
      </c>
      <c r="BN129" s="108">
        <v>0</v>
      </c>
      <c r="BO129" s="108">
        <v>0</v>
      </c>
      <c r="BP129" s="108">
        <v>0</v>
      </c>
      <c r="BQ129" s="108">
        <v>0</v>
      </c>
      <c r="BR129" s="108">
        <v>0</v>
      </c>
      <c r="BS129" s="108">
        <v>0</v>
      </c>
      <c r="BT129" s="108">
        <v>0</v>
      </c>
      <c r="BU129" s="108">
        <v>0</v>
      </c>
      <c r="BV129" s="108">
        <v>0</v>
      </c>
      <c r="BW129" s="108">
        <v>0</v>
      </c>
      <c r="BX129" s="108">
        <v>0</v>
      </c>
      <c r="BY129" s="108">
        <v>0</v>
      </c>
      <c r="BZ129" s="108">
        <v>0</v>
      </c>
      <c r="CA129" s="108">
        <v>0</v>
      </c>
      <c r="CB129" s="108">
        <v>0</v>
      </c>
    </row>
    <row r="130" spans="2:80" x14ac:dyDescent="0.55000000000000004">
      <c r="B130" s="104" t="str">
        <f>$V$84</f>
        <v>-</v>
      </c>
      <c r="C130" s="54">
        <v>0</v>
      </c>
      <c r="D130" s="54">
        <v>0</v>
      </c>
      <c r="E130" s="54">
        <v>0</v>
      </c>
      <c r="F130" s="54">
        <v>0</v>
      </c>
      <c r="G130" s="54">
        <v>0</v>
      </c>
      <c r="H130" s="54">
        <v>0</v>
      </c>
      <c r="I130" s="54">
        <v>0</v>
      </c>
      <c r="J130" s="54">
        <v>0</v>
      </c>
      <c r="K130" s="54">
        <v>0</v>
      </c>
      <c r="L130" s="54">
        <v>0</v>
      </c>
      <c r="M130" s="54">
        <v>0</v>
      </c>
      <c r="N130" s="54">
        <v>0</v>
      </c>
      <c r="O130" s="54">
        <v>0</v>
      </c>
      <c r="P130" s="54">
        <v>0</v>
      </c>
      <c r="Q130" s="54">
        <v>0</v>
      </c>
      <c r="R130" s="54">
        <v>0</v>
      </c>
      <c r="S130" s="54">
        <v>0</v>
      </c>
      <c r="V130" s="104" t="str">
        <f>$V$85</f>
        <v>-</v>
      </c>
      <c r="W130" s="102">
        <v>1</v>
      </c>
      <c r="X130" s="102">
        <v>1</v>
      </c>
      <c r="Y130" s="102">
        <v>1</v>
      </c>
      <c r="Z130" s="102">
        <v>1</v>
      </c>
      <c r="AA130" s="102">
        <v>1</v>
      </c>
      <c r="AB130" s="102">
        <v>1</v>
      </c>
      <c r="AC130" s="102">
        <v>1</v>
      </c>
      <c r="AD130" s="102">
        <v>1</v>
      </c>
      <c r="AE130" s="102">
        <v>1</v>
      </c>
      <c r="AF130" s="102">
        <v>1</v>
      </c>
      <c r="AG130" s="102">
        <v>1</v>
      </c>
      <c r="AH130" s="102">
        <v>1</v>
      </c>
      <c r="AI130" s="102">
        <v>1</v>
      </c>
      <c r="AJ130" s="102">
        <v>1</v>
      </c>
      <c r="AK130" s="102">
        <v>1</v>
      </c>
      <c r="AQ130" s="104" t="str">
        <f>$V$69</f>
        <v>Charelle</v>
      </c>
      <c r="AR130" s="54">
        <v>0</v>
      </c>
      <c r="AS130" s="54">
        <v>0</v>
      </c>
      <c r="AT130" s="54">
        <v>0</v>
      </c>
      <c r="AU130" s="54">
        <v>0</v>
      </c>
      <c r="AV130" s="54">
        <v>0</v>
      </c>
      <c r="AW130" s="54">
        <v>0</v>
      </c>
      <c r="AX130" s="54">
        <v>0</v>
      </c>
      <c r="AY130" s="54">
        <v>0</v>
      </c>
      <c r="AZ130" s="54">
        <v>0</v>
      </c>
      <c r="BA130" s="54">
        <v>0</v>
      </c>
      <c r="BB130" s="54">
        <v>0</v>
      </c>
      <c r="BC130" s="54">
        <v>0</v>
      </c>
      <c r="BD130" s="54">
        <v>0</v>
      </c>
      <c r="BE130" s="54">
        <v>0</v>
      </c>
      <c r="BF130" s="54">
        <v>0</v>
      </c>
      <c r="BG130" s="54">
        <v>0</v>
      </c>
      <c r="BH130" s="54">
        <v>0</v>
      </c>
      <c r="BK130" s="104" t="str">
        <f>$V$62</f>
        <v>Joao</v>
      </c>
      <c r="BL130" s="108">
        <v>0</v>
      </c>
      <c r="BM130" s="108">
        <v>0</v>
      </c>
      <c r="BN130" s="108">
        <v>0</v>
      </c>
      <c r="BO130" s="108">
        <v>0</v>
      </c>
      <c r="BP130" s="108">
        <v>0</v>
      </c>
      <c r="BQ130" s="108">
        <v>0</v>
      </c>
      <c r="BR130" s="108">
        <v>0</v>
      </c>
      <c r="BS130" s="108">
        <v>0</v>
      </c>
      <c r="BT130" s="108">
        <v>0</v>
      </c>
      <c r="BU130" s="108">
        <v>0</v>
      </c>
      <c r="BV130" s="108">
        <v>0</v>
      </c>
      <c r="BW130" s="108">
        <v>0</v>
      </c>
      <c r="BX130" s="108">
        <v>0</v>
      </c>
      <c r="BY130" s="108">
        <v>0</v>
      </c>
      <c r="BZ130" s="108">
        <v>0</v>
      </c>
      <c r="CA130" s="108">
        <v>0</v>
      </c>
      <c r="CB130" s="108">
        <v>0</v>
      </c>
    </row>
    <row r="131" spans="2:80" x14ac:dyDescent="0.55000000000000004">
      <c r="B131" s="104" t="str">
        <f>$V$85</f>
        <v>-</v>
      </c>
      <c r="C131" s="54">
        <v>0</v>
      </c>
      <c r="D131" s="54">
        <v>0</v>
      </c>
      <c r="E131" s="54">
        <v>0</v>
      </c>
      <c r="F131" s="54">
        <v>0</v>
      </c>
      <c r="G131" s="54">
        <v>0</v>
      </c>
      <c r="H131" s="54">
        <v>0</v>
      </c>
      <c r="I131" s="54">
        <v>0</v>
      </c>
      <c r="J131" s="54">
        <v>0</v>
      </c>
      <c r="K131" s="54">
        <v>0</v>
      </c>
      <c r="L131" s="54">
        <v>0</v>
      </c>
      <c r="M131" s="54">
        <v>0</v>
      </c>
      <c r="N131" s="54">
        <v>0</v>
      </c>
      <c r="O131" s="54">
        <v>0</v>
      </c>
      <c r="P131" s="54">
        <v>0</v>
      </c>
      <c r="Q131" s="54">
        <v>0</v>
      </c>
      <c r="R131" s="54">
        <v>0</v>
      </c>
      <c r="S131" s="54">
        <v>0</v>
      </c>
      <c r="V131" s="104" t="str">
        <f>$V$86</f>
        <v>-</v>
      </c>
      <c r="W131" s="102">
        <v>1</v>
      </c>
      <c r="X131" s="102">
        <v>1</v>
      </c>
      <c r="Y131" s="102">
        <v>1</v>
      </c>
      <c r="Z131" s="102">
        <v>1</v>
      </c>
      <c r="AA131" s="102">
        <v>1</v>
      </c>
      <c r="AB131" s="102">
        <v>1</v>
      </c>
      <c r="AC131" s="102">
        <v>1</v>
      </c>
      <c r="AD131" s="102">
        <v>1</v>
      </c>
      <c r="AE131" s="102">
        <v>1</v>
      </c>
      <c r="AF131" s="102">
        <v>1</v>
      </c>
      <c r="AG131" s="102">
        <v>1</v>
      </c>
      <c r="AH131" s="102">
        <v>1</v>
      </c>
      <c r="AI131" s="102">
        <v>1</v>
      </c>
      <c r="AJ131" s="102">
        <v>1</v>
      </c>
      <c r="AK131" s="102">
        <v>1</v>
      </c>
      <c r="AQ131" s="104" t="str">
        <f>$V$70</f>
        <v>Dimitri</v>
      </c>
      <c r="AR131" s="54">
        <v>0</v>
      </c>
      <c r="AS131" s="54">
        <v>0</v>
      </c>
      <c r="AT131" s="54">
        <v>0</v>
      </c>
      <c r="AU131" s="54">
        <v>0</v>
      </c>
      <c r="AV131" s="54">
        <v>0</v>
      </c>
      <c r="AW131" s="54">
        <v>0</v>
      </c>
      <c r="AX131" s="54">
        <v>0</v>
      </c>
      <c r="AY131" s="54">
        <v>0</v>
      </c>
      <c r="AZ131" s="54">
        <v>0</v>
      </c>
      <c r="BA131" s="54">
        <v>0</v>
      </c>
      <c r="BB131" s="54">
        <v>0</v>
      </c>
      <c r="BC131" s="54">
        <v>0</v>
      </c>
      <c r="BD131" s="54">
        <v>0</v>
      </c>
      <c r="BE131" s="54">
        <v>0</v>
      </c>
      <c r="BF131" s="54">
        <v>0</v>
      </c>
      <c r="BG131" s="54">
        <v>0</v>
      </c>
      <c r="BH131" s="54">
        <v>0</v>
      </c>
      <c r="BK131" s="104" t="str">
        <f>$V$63</f>
        <v>Maxime</v>
      </c>
      <c r="BL131" s="108">
        <v>0</v>
      </c>
      <c r="BM131" s="108">
        <v>0</v>
      </c>
      <c r="BN131" s="108">
        <v>0</v>
      </c>
      <c r="BO131" s="108">
        <v>0</v>
      </c>
      <c r="BP131" s="108">
        <v>0</v>
      </c>
      <c r="BQ131" s="108">
        <v>0</v>
      </c>
      <c r="BR131" s="108">
        <v>0</v>
      </c>
      <c r="BS131" s="108">
        <v>0</v>
      </c>
      <c r="BT131" s="108">
        <v>0</v>
      </c>
      <c r="BU131" s="108">
        <v>0</v>
      </c>
      <c r="BV131" s="108">
        <v>0</v>
      </c>
      <c r="BW131" s="108">
        <v>0</v>
      </c>
      <c r="BX131" s="108">
        <v>0</v>
      </c>
      <c r="BY131" s="108">
        <v>0</v>
      </c>
      <c r="BZ131" s="108">
        <v>0</v>
      </c>
      <c r="CA131" s="108">
        <v>0</v>
      </c>
      <c r="CB131" s="108">
        <v>0</v>
      </c>
    </row>
    <row r="132" spans="2:80" x14ac:dyDescent="0.55000000000000004">
      <c r="B132" s="104" t="str">
        <f>$V$86</f>
        <v>-</v>
      </c>
      <c r="C132" s="54">
        <v>0</v>
      </c>
      <c r="D132" s="54">
        <v>0</v>
      </c>
      <c r="E132" s="54">
        <v>0</v>
      </c>
      <c r="F132" s="54">
        <v>0</v>
      </c>
      <c r="G132" s="54">
        <v>0</v>
      </c>
      <c r="H132" s="54">
        <v>0</v>
      </c>
      <c r="I132" s="54">
        <v>0</v>
      </c>
      <c r="J132" s="54">
        <v>0</v>
      </c>
      <c r="K132" s="54">
        <v>0</v>
      </c>
      <c r="L132" s="54">
        <v>0</v>
      </c>
      <c r="M132" s="54">
        <v>0</v>
      </c>
      <c r="N132" s="54">
        <v>0</v>
      </c>
      <c r="O132" s="54">
        <v>0</v>
      </c>
      <c r="P132" s="54">
        <v>0</v>
      </c>
      <c r="Q132" s="54">
        <v>0</v>
      </c>
      <c r="R132" s="54">
        <v>0</v>
      </c>
      <c r="S132" s="54">
        <v>0</v>
      </c>
      <c r="V132" s="104" t="str">
        <f>$V$87</f>
        <v>-</v>
      </c>
      <c r="W132" s="102">
        <v>1</v>
      </c>
      <c r="X132" s="102">
        <v>1</v>
      </c>
      <c r="Y132" s="102">
        <v>1</v>
      </c>
      <c r="Z132" s="102">
        <v>1</v>
      </c>
      <c r="AA132" s="102">
        <v>1</v>
      </c>
      <c r="AB132" s="102">
        <v>1</v>
      </c>
      <c r="AC132" s="102">
        <v>1</v>
      </c>
      <c r="AD132" s="102">
        <v>1</v>
      </c>
      <c r="AE132" s="102">
        <v>1</v>
      </c>
      <c r="AF132" s="102">
        <v>1</v>
      </c>
      <c r="AG132" s="102">
        <v>1</v>
      </c>
      <c r="AH132" s="102">
        <v>1</v>
      </c>
      <c r="AI132" s="102">
        <v>1</v>
      </c>
      <c r="AJ132" s="102">
        <v>1</v>
      </c>
      <c r="AK132" s="102">
        <v>1</v>
      </c>
      <c r="AQ132" s="104" t="str">
        <f>$V$71</f>
        <v>Marina</v>
      </c>
      <c r="AR132" s="54">
        <v>0</v>
      </c>
      <c r="AS132" s="54">
        <v>0</v>
      </c>
      <c r="AT132" s="54">
        <v>0</v>
      </c>
      <c r="AU132" s="54">
        <v>0</v>
      </c>
      <c r="AV132" s="54">
        <v>0</v>
      </c>
      <c r="AW132" s="54">
        <v>0</v>
      </c>
      <c r="AX132" s="54">
        <v>0</v>
      </c>
      <c r="AY132" s="54">
        <v>0</v>
      </c>
      <c r="AZ132" s="54">
        <v>0</v>
      </c>
      <c r="BA132" s="54">
        <v>0</v>
      </c>
      <c r="BB132" s="54">
        <v>0</v>
      </c>
      <c r="BC132" s="54">
        <v>0</v>
      </c>
      <c r="BD132" s="54">
        <v>0</v>
      </c>
      <c r="BE132" s="54">
        <v>0</v>
      </c>
      <c r="BF132" s="54">
        <v>0</v>
      </c>
      <c r="BG132" s="54">
        <v>0</v>
      </c>
      <c r="BH132" s="54">
        <v>0</v>
      </c>
      <c r="BK132" s="104" t="str">
        <f>$V$64</f>
        <v>Alex</v>
      </c>
      <c r="BL132" s="108">
        <v>0</v>
      </c>
      <c r="BM132" s="108">
        <v>0</v>
      </c>
      <c r="BN132" s="108">
        <v>0</v>
      </c>
      <c r="BO132" s="108">
        <v>0</v>
      </c>
      <c r="BP132" s="108">
        <v>0</v>
      </c>
      <c r="BQ132" s="108">
        <v>0</v>
      </c>
      <c r="BR132" s="108">
        <v>0</v>
      </c>
      <c r="BS132" s="108">
        <v>0</v>
      </c>
      <c r="BT132" s="108">
        <v>0</v>
      </c>
      <c r="BU132" s="108">
        <v>0</v>
      </c>
      <c r="BV132" s="108">
        <v>0</v>
      </c>
      <c r="BW132" s="108">
        <v>0</v>
      </c>
      <c r="BX132" s="108">
        <v>0</v>
      </c>
      <c r="BY132" s="108">
        <v>0</v>
      </c>
      <c r="BZ132" s="108">
        <v>0</v>
      </c>
      <c r="CA132" s="108">
        <v>0</v>
      </c>
      <c r="CB132" s="108">
        <v>0</v>
      </c>
    </row>
    <row r="133" spans="2:80" x14ac:dyDescent="0.55000000000000004">
      <c r="B133" s="104" t="str">
        <f>$V$87</f>
        <v>-</v>
      </c>
      <c r="C133" s="54">
        <v>0</v>
      </c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  <c r="L133" s="54">
        <v>0</v>
      </c>
      <c r="M133" s="54">
        <v>0</v>
      </c>
      <c r="N133" s="54">
        <v>0</v>
      </c>
      <c r="O133" s="54">
        <v>0</v>
      </c>
      <c r="P133" s="54">
        <v>0</v>
      </c>
      <c r="Q133" s="54">
        <v>0</v>
      </c>
      <c r="R133" s="54">
        <v>0</v>
      </c>
      <c r="S133" s="54">
        <v>0</v>
      </c>
      <c r="V133" s="104" t="str">
        <f>$V$88</f>
        <v>-</v>
      </c>
      <c r="W133" s="102">
        <v>1</v>
      </c>
      <c r="X133" s="102">
        <v>1</v>
      </c>
      <c r="Y133" s="102">
        <v>1</v>
      </c>
      <c r="Z133" s="102">
        <v>1</v>
      </c>
      <c r="AA133" s="102">
        <v>1</v>
      </c>
      <c r="AB133" s="102">
        <v>1</v>
      </c>
      <c r="AC133" s="102">
        <v>1</v>
      </c>
      <c r="AD133" s="102">
        <v>1</v>
      </c>
      <c r="AE133" s="102">
        <v>1</v>
      </c>
      <c r="AF133" s="102">
        <v>1</v>
      </c>
      <c r="AG133" s="102">
        <v>1</v>
      </c>
      <c r="AH133" s="102">
        <v>1</v>
      </c>
      <c r="AI133" s="102">
        <v>1</v>
      </c>
      <c r="AJ133" s="102">
        <v>1</v>
      </c>
      <c r="AK133" s="102">
        <v>1</v>
      </c>
      <c r="AQ133" s="104" t="str">
        <f>$V$72</f>
        <v>Michel</v>
      </c>
      <c r="AR133" s="54">
        <v>0</v>
      </c>
      <c r="AS133" s="54">
        <v>0</v>
      </c>
      <c r="AT133" s="54">
        <v>0</v>
      </c>
      <c r="AU133" s="54">
        <v>0</v>
      </c>
      <c r="AV133" s="54">
        <v>0</v>
      </c>
      <c r="AW133" s="54">
        <v>0</v>
      </c>
      <c r="AX133" s="54">
        <v>0</v>
      </c>
      <c r="AY133" s="54">
        <v>0</v>
      </c>
      <c r="AZ133" s="54">
        <v>0</v>
      </c>
      <c r="BA133" s="54">
        <v>0</v>
      </c>
      <c r="BB133" s="54">
        <v>0</v>
      </c>
      <c r="BC133" s="54">
        <v>0</v>
      </c>
      <c r="BD133" s="54">
        <v>0</v>
      </c>
      <c r="BE133" s="54">
        <v>0</v>
      </c>
      <c r="BF133" s="54">
        <v>0</v>
      </c>
      <c r="BG133" s="54">
        <v>0</v>
      </c>
      <c r="BH133" s="54">
        <v>0</v>
      </c>
      <c r="BK133" s="104" t="str">
        <f>$V$65</f>
        <v>Alyssa</v>
      </c>
      <c r="BL133" s="108">
        <v>0</v>
      </c>
      <c r="BM133" s="108">
        <v>0</v>
      </c>
      <c r="BN133" s="108">
        <v>0</v>
      </c>
      <c r="BO133" s="108">
        <v>0</v>
      </c>
      <c r="BP133" s="108">
        <v>0</v>
      </c>
      <c r="BQ133" s="108">
        <v>0</v>
      </c>
      <c r="BR133" s="108">
        <v>0</v>
      </c>
      <c r="BS133" s="108">
        <v>0</v>
      </c>
      <c r="BT133" s="108">
        <v>0</v>
      </c>
      <c r="BU133" s="108">
        <v>0</v>
      </c>
      <c r="BV133" s="108">
        <v>0</v>
      </c>
      <c r="BW133" s="108">
        <v>0</v>
      </c>
      <c r="BX133" s="108">
        <v>0</v>
      </c>
      <c r="BY133" s="108">
        <v>0</v>
      </c>
      <c r="BZ133" s="108">
        <v>0</v>
      </c>
      <c r="CA133" s="108">
        <v>0</v>
      </c>
      <c r="CB133" s="108">
        <v>0</v>
      </c>
    </row>
    <row r="134" spans="2:80" x14ac:dyDescent="0.55000000000000004">
      <c r="B134" s="104" t="str">
        <f>$V$88</f>
        <v>-</v>
      </c>
      <c r="C134" s="54">
        <v>0</v>
      </c>
      <c r="D134" s="54">
        <v>0</v>
      </c>
      <c r="E134" s="54">
        <v>0</v>
      </c>
      <c r="F134" s="54">
        <v>0</v>
      </c>
      <c r="G134" s="54">
        <v>0</v>
      </c>
      <c r="H134" s="54">
        <v>0</v>
      </c>
      <c r="I134" s="54">
        <v>0</v>
      </c>
      <c r="J134" s="54">
        <v>0</v>
      </c>
      <c r="K134" s="54">
        <v>0</v>
      </c>
      <c r="L134" s="54">
        <v>0</v>
      </c>
      <c r="M134" s="54">
        <v>0</v>
      </c>
      <c r="N134" s="54">
        <v>0</v>
      </c>
      <c r="O134" s="54">
        <v>0</v>
      </c>
      <c r="P134" s="54">
        <v>0</v>
      </c>
      <c r="Q134" s="54">
        <v>0</v>
      </c>
      <c r="R134" s="54">
        <v>0</v>
      </c>
      <c r="S134" s="54">
        <v>0</v>
      </c>
      <c r="V134" s="104" t="str">
        <f>$V$89</f>
        <v>-</v>
      </c>
      <c r="W134" s="102">
        <v>1</v>
      </c>
      <c r="X134" s="102">
        <v>1</v>
      </c>
      <c r="Y134" s="102">
        <v>1</v>
      </c>
      <c r="Z134" s="102">
        <v>1</v>
      </c>
      <c r="AA134" s="102">
        <v>1</v>
      </c>
      <c r="AB134" s="102">
        <v>1</v>
      </c>
      <c r="AC134" s="102">
        <v>1</v>
      </c>
      <c r="AD134" s="102">
        <v>1</v>
      </c>
      <c r="AE134" s="102">
        <v>1</v>
      </c>
      <c r="AF134" s="102">
        <v>1</v>
      </c>
      <c r="AG134" s="102">
        <v>1</v>
      </c>
      <c r="AH134" s="102">
        <v>1</v>
      </c>
      <c r="AI134" s="102">
        <v>1</v>
      </c>
      <c r="AJ134" s="102">
        <v>1</v>
      </c>
      <c r="AK134" s="102">
        <v>1</v>
      </c>
      <c r="AQ134" s="104" t="str">
        <f>$V$73</f>
        <v>Nour</v>
      </c>
      <c r="AR134" s="54">
        <v>0</v>
      </c>
      <c r="AS134" s="54">
        <v>0</v>
      </c>
      <c r="AT134" s="54">
        <v>0</v>
      </c>
      <c r="AU134" s="54">
        <v>0</v>
      </c>
      <c r="AV134" s="54">
        <v>0</v>
      </c>
      <c r="AW134" s="54">
        <v>0</v>
      </c>
      <c r="AX134" s="54">
        <v>0</v>
      </c>
      <c r="AY134" s="54">
        <v>0</v>
      </c>
      <c r="AZ134" s="54">
        <v>0</v>
      </c>
      <c r="BA134" s="54">
        <v>0</v>
      </c>
      <c r="BB134" s="54">
        <v>0</v>
      </c>
      <c r="BC134" s="54">
        <v>0</v>
      </c>
      <c r="BD134" s="54">
        <v>0</v>
      </c>
      <c r="BE134" s="54">
        <v>0</v>
      </c>
      <c r="BF134" s="54">
        <v>0</v>
      </c>
      <c r="BG134" s="54">
        <v>0</v>
      </c>
      <c r="BH134" s="54">
        <v>0</v>
      </c>
      <c r="BK134" s="104" t="str">
        <f>$V$66</f>
        <v>Amanda</v>
      </c>
      <c r="BL134" s="108">
        <v>0</v>
      </c>
      <c r="BM134" s="108">
        <v>0</v>
      </c>
      <c r="BN134" s="108">
        <v>0</v>
      </c>
      <c r="BO134" s="108">
        <v>0</v>
      </c>
      <c r="BP134" s="108">
        <v>0</v>
      </c>
      <c r="BQ134" s="108">
        <v>0</v>
      </c>
      <c r="BR134" s="108">
        <v>0</v>
      </c>
      <c r="BS134" s="108">
        <v>0</v>
      </c>
      <c r="BT134" s="108">
        <v>0</v>
      </c>
      <c r="BU134" s="108">
        <v>0</v>
      </c>
      <c r="BV134" s="108">
        <v>0</v>
      </c>
      <c r="BW134" s="108">
        <v>0</v>
      </c>
      <c r="BX134" s="108">
        <v>0</v>
      </c>
      <c r="BY134" s="108">
        <v>0</v>
      </c>
      <c r="BZ134" s="108">
        <v>0</v>
      </c>
      <c r="CA134" s="108">
        <v>0</v>
      </c>
      <c r="CB134" s="108">
        <v>0</v>
      </c>
    </row>
    <row r="135" spans="2:80" x14ac:dyDescent="0.55000000000000004">
      <c r="B135" s="104" t="str">
        <f>$V$89</f>
        <v>-</v>
      </c>
      <c r="C135" s="54">
        <v>0</v>
      </c>
      <c r="D135" s="54">
        <v>0</v>
      </c>
      <c r="E135" s="54">
        <v>0</v>
      </c>
      <c r="F135" s="54">
        <v>0</v>
      </c>
      <c r="G135" s="54">
        <v>0</v>
      </c>
      <c r="H135" s="54">
        <v>0</v>
      </c>
      <c r="I135" s="54">
        <v>0</v>
      </c>
      <c r="J135" s="54">
        <v>0</v>
      </c>
      <c r="K135" s="54">
        <v>0</v>
      </c>
      <c r="L135" s="54">
        <v>0</v>
      </c>
      <c r="M135" s="54">
        <v>0</v>
      </c>
      <c r="N135" s="54">
        <v>0</v>
      </c>
      <c r="O135" s="54">
        <v>0</v>
      </c>
      <c r="P135" s="54">
        <v>0</v>
      </c>
      <c r="Q135" s="54">
        <v>0</v>
      </c>
      <c r="R135" s="54">
        <v>0</v>
      </c>
      <c r="S135" s="54">
        <v>0</v>
      </c>
      <c r="V135" s="104" t="str">
        <f>$V$90</f>
        <v>-</v>
      </c>
      <c r="W135" s="102">
        <v>1</v>
      </c>
      <c r="X135" s="102">
        <v>1</v>
      </c>
      <c r="Y135" s="102">
        <v>1</v>
      </c>
      <c r="Z135" s="102">
        <v>1</v>
      </c>
      <c r="AA135" s="102">
        <v>1</v>
      </c>
      <c r="AB135" s="102">
        <v>1</v>
      </c>
      <c r="AC135" s="102">
        <v>1</v>
      </c>
      <c r="AD135" s="102">
        <v>1</v>
      </c>
      <c r="AE135" s="102">
        <v>1</v>
      </c>
      <c r="AF135" s="102">
        <v>1</v>
      </c>
      <c r="AG135" s="102">
        <v>1</v>
      </c>
      <c r="AH135" s="102">
        <v>1</v>
      </c>
      <c r="AI135" s="102">
        <v>1</v>
      </c>
      <c r="AJ135" s="102">
        <v>1</v>
      </c>
      <c r="AK135" s="102">
        <v>1</v>
      </c>
      <c r="AQ135" s="104" t="str">
        <f>$V$74</f>
        <v>Samuel</v>
      </c>
      <c r="AR135" s="54">
        <v>0</v>
      </c>
      <c r="AS135" s="54">
        <v>0</v>
      </c>
      <c r="AT135" s="54">
        <v>0</v>
      </c>
      <c r="AU135" s="54">
        <v>0</v>
      </c>
      <c r="AV135" s="54">
        <v>0</v>
      </c>
      <c r="AW135" s="54">
        <v>0</v>
      </c>
      <c r="AX135" s="54">
        <v>0</v>
      </c>
      <c r="AY135" s="54">
        <v>0</v>
      </c>
      <c r="AZ135" s="54">
        <v>0</v>
      </c>
      <c r="BA135" s="54">
        <v>0</v>
      </c>
      <c r="BB135" s="54">
        <v>0</v>
      </c>
      <c r="BC135" s="54">
        <v>0</v>
      </c>
      <c r="BD135" s="54">
        <v>0</v>
      </c>
      <c r="BE135" s="54">
        <v>0</v>
      </c>
      <c r="BF135" s="54">
        <v>0</v>
      </c>
      <c r="BG135" s="54">
        <v>0</v>
      </c>
      <c r="BH135" s="54">
        <v>0</v>
      </c>
      <c r="BK135" s="104" t="str">
        <f>$V$67</f>
        <v>Antoine</v>
      </c>
      <c r="BL135" s="108">
        <v>0</v>
      </c>
      <c r="BM135" s="108">
        <v>0</v>
      </c>
      <c r="BN135" s="108">
        <v>0</v>
      </c>
      <c r="BO135" s="108">
        <v>0</v>
      </c>
      <c r="BP135" s="108">
        <v>0</v>
      </c>
      <c r="BQ135" s="108">
        <v>0</v>
      </c>
      <c r="BR135" s="108">
        <v>0</v>
      </c>
      <c r="BS135" s="108">
        <v>0</v>
      </c>
      <c r="BT135" s="108">
        <v>0</v>
      </c>
      <c r="BU135" s="108">
        <v>0</v>
      </c>
      <c r="BV135" s="108">
        <v>0</v>
      </c>
      <c r="BW135" s="108">
        <v>0</v>
      </c>
      <c r="BX135" s="108">
        <v>0</v>
      </c>
      <c r="BY135" s="108">
        <v>0</v>
      </c>
      <c r="BZ135" s="108">
        <v>0</v>
      </c>
      <c r="CA135" s="108">
        <v>0</v>
      </c>
      <c r="CB135" s="108">
        <v>0</v>
      </c>
    </row>
    <row r="136" spans="2:80" x14ac:dyDescent="0.55000000000000004">
      <c r="B136" s="104" t="str">
        <f>$V$90</f>
        <v>-</v>
      </c>
      <c r="C136" s="54">
        <v>0</v>
      </c>
      <c r="D136" s="54">
        <v>0</v>
      </c>
      <c r="E136" s="54">
        <v>0</v>
      </c>
      <c r="F136" s="54">
        <v>0</v>
      </c>
      <c r="G136" s="54">
        <v>0</v>
      </c>
      <c r="H136" s="54">
        <v>0</v>
      </c>
      <c r="I136" s="54">
        <v>0</v>
      </c>
      <c r="J136" s="54">
        <v>0</v>
      </c>
      <c r="K136" s="54">
        <v>0</v>
      </c>
      <c r="L136" s="54">
        <v>0</v>
      </c>
      <c r="M136" s="54">
        <v>0</v>
      </c>
      <c r="N136" s="54">
        <v>0</v>
      </c>
      <c r="O136" s="54">
        <v>0</v>
      </c>
      <c r="P136" s="54">
        <v>0</v>
      </c>
      <c r="Q136" s="54">
        <v>0</v>
      </c>
      <c r="R136" s="54">
        <v>0</v>
      </c>
      <c r="S136" s="54">
        <v>0</v>
      </c>
      <c r="V136" s="104" t="str">
        <f>$V$91</f>
        <v>-</v>
      </c>
      <c r="W136" s="102">
        <v>1</v>
      </c>
      <c r="X136" s="102">
        <v>1</v>
      </c>
      <c r="Y136" s="102">
        <v>1</v>
      </c>
      <c r="Z136" s="102">
        <v>1</v>
      </c>
      <c r="AA136" s="102">
        <v>1</v>
      </c>
      <c r="AB136" s="102">
        <v>1</v>
      </c>
      <c r="AC136" s="102">
        <v>1</v>
      </c>
      <c r="AD136" s="102">
        <v>1</v>
      </c>
      <c r="AE136" s="102">
        <v>1</v>
      </c>
      <c r="AF136" s="102">
        <v>1</v>
      </c>
      <c r="AG136" s="102">
        <v>1</v>
      </c>
      <c r="AH136" s="102">
        <v>1</v>
      </c>
      <c r="AI136" s="102">
        <v>1</v>
      </c>
      <c r="AJ136" s="102">
        <v>1</v>
      </c>
      <c r="AK136" s="102">
        <v>1</v>
      </c>
      <c r="AQ136" s="104" t="str">
        <f>$V$75</f>
        <v>Yassin</v>
      </c>
      <c r="AR136" s="54">
        <v>0</v>
      </c>
      <c r="AS136" s="54">
        <v>0</v>
      </c>
      <c r="AT136" s="54">
        <v>0</v>
      </c>
      <c r="AU136" s="54">
        <v>0</v>
      </c>
      <c r="AV136" s="54">
        <v>0</v>
      </c>
      <c r="AW136" s="54">
        <v>0</v>
      </c>
      <c r="AX136" s="54">
        <v>0</v>
      </c>
      <c r="AY136" s="54">
        <v>0</v>
      </c>
      <c r="AZ136" s="54">
        <v>0</v>
      </c>
      <c r="BA136" s="54">
        <v>0</v>
      </c>
      <c r="BB136" s="54">
        <v>0</v>
      </c>
      <c r="BC136" s="54">
        <v>0</v>
      </c>
      <c r="BD136" s="54">
        <v>0</v>
      </c>
      <c r="BE136" s="54">
        <v>0</v>
      </c>
      <c r="BF136" s="54">
        <v>0</v>
      </c>
      <c r="BG136" s="54">
        <v>0</v>
      </c>
      <c r="BH136" s="54">
        <v>0</v>
      </c>
      <c r="BK136" s="104" t="str">
        <f>$V$68</f>
        <v>Beatriz</v>
      </c>
      <c r="BL136" s="108">
        <v>0</v>
      </c>
      <c r="BM136" s="108">
        <v>0</v>
      </c>
      <c r="BN136" s="108">
        <v>0</v>
      </c>
      <c r="BO136" s="108">
        <v>0</v>
      </c>
      <c r="BP136" s="108">
        <v>0</v>
      </c>
      <c r="BQ136" s="108">
        <v>0</v>
      </c>
      <c r="BR136" s="108">
        <v>0</v>
      </c>
      <c r="BS136" s="108">
        <v>0</v>
      </c>
      <c r="BT136" s="108">
        <v>0</v>
      </c>
      <c r="BU136" s="108">
        <v>0</v>
      </c>
      <c r="BV136" s="108">
        <v>0</v>
      </c>
      <c r="BW136" s="108">
        <v>0</v>
      </c>
      <c r="BX136" s="108">
        <v>0</v>
      </c>
      <c r="BY136" s="108">
        <v>0</v>
      </c>
      <c r="BZ136" s="108">
        <v>0</v>
      </c>
      <c r="CA136" s="108">
        <v>0</v>
      </c>
      <c r="CB136" s="108">
        <v>0</v>
      </c>
    </row>
    <row r="137" spans="2:80" x14ac:dyDescent="0.55000000000000004">
      <c r="B137" s="104" t="str">
        <f>$V$91</f>
        <v>-</v>
      </c>
      <c r="C137" s="54">
        <v>0</v>
      </c>
      <c r="D137" s="54">
        <v>0</v>
      </c>
      <c r="E137" s="54">
        <v>0</v>
      </c>
      <c r="F137" s="54">
        <v>0</v>
      </c>
      <c r="G137" s="54">
        <v>0</v>
      </c>
      <c r="H137" s="54">
        <v>0</v>
      </c>
      <c r="I137" s="54">
        <v>0</v>
      </c>
      <c r="J137" s="54">
        <v>0</v>
      </c>
      <c r="K137" s="54">
        <v>0</v>
      </c>
      <c r="L137" s="54">
        <v>0</v>
      </c>
      <c r="M137" s="54">
        <v>0</v>
      </c>
      <c r="N137" s="54">
        <v>0</v>
      </c>
      <c r="O137" s="54">
        <v>0</v>
      </c>
      <c r="P137" s="54">
        <v>0</v>
      </c>
      <c r="Q137" s="54">
        <v>0</v>
      </c>
      <c r="R137" s="54">
        <v>0</v>
      </c>
      <c r="S137" s="54">
        <v>0</v>
      </c>
      <c r="V137" s="104" t="str">
        <f>$V$92</f>
        <v>-</v>
      </c>
      <c r="W137" s="102">
        <v>1</v>
      </c>
      <c r="X137" s="102">
        <v>1</v>
      </c>
      <c r="Y137" s="102">
        <v>1</v>
      </c>
      <c r="Z137" s="102">
        <v>1</v>
      </c>
      <c r="AA137" s="102">
        <v>1</v>
      </c>
      <c r="AB137" s="102">
        <v>1</v>
      </c>
      <c r="AC137" s="102">
        <v>1</v>
      </c>
      <c r="AD137" s="102">
        <v>1</v>
      </c>
      <c r="AE137" s="102">
        <v>1</v>
      </c>
      <c r="AF137" s="102">
        <v>1</v>
      </c>
      <c r="AG137" s="102">
        <v>1</v>
      </c>
      <c r="AH137" s="102">
        <v>1</v>
      </c>
      <c r="AI137" s="102">
        <v>1</v>
      </c>
      <c r="AJ137" s="102">
        <v>1</v>
      </c>
      <c r="AK137" s="102">
        <v>1</v>
      </c>
      <c r="AQ137" s="104" t="str">
        <f>$V$76</f>
        <v>Kamar</v>
      </c>
      <c r="AR137" s="54">
        <v>0</v>
      </c>
      <c r="AS137" s="54">
        <v>0</v>
      </c>
      <c r="AT137" s="54">
        <v>0</v>
      </c>
      <c r="AU137" s="54">
        <v>0</v>
      </c>
      <c r="AV137" s="54">
        <v>0</v>
      </c>
      <c r="AW137" s="54">
        <v>0</v>
      </c>
      <c r="AX137" s="54">
        <v>0</v>
      </c>
      <c r="AY137" s="54">
        <v>0</v>
      </c>
      <c r="AZ137" s="54">
        <v>0</v>
      </c>
      <c r="BA137" s="54">
        <v>0</v>
      </c>
      <c r="BB137" s="54">
        <v>0</v>
      </c>
      <c r="BC137" s="54">
        <v>0</v>
      </c>
      <c r="BD137" s="54">
        <v>0</v>
      </c>
      <c r="BE137" s="54">
        <v>0</v>
      </c>
      <c r="BF137" s="54">
        <v>0</v>
      </c>
      <c r="BG137" s="54">
        <v>0</v>
      </c>
      <c r="BH137" s="54">
        <v>0</v>
      </c>
      <c r="BK137" s="104" t="str">
        <f>$V$69</f>
        <v>Charelle</v>
      </c>
      <c r="BL137" s="108">
        <v>0</v>
      </c>
      <c r="BM137" s="108">
        <v>0</v>
      </c>
      <c r="BN137" s="108">
        <v>0</v>
      </c>
      <c r="BO137" s="108">
        <v>0</v>
      </c>
      <c r="BP137" s="108">
        <v>0</v>
      </c>
      <c r="BQ137" s="108">
        <v>0</v>
      </c>
      <c r="BR137" s="108">
        <v>0</v>
      </c>
      <c r="BS137" s="108">
        <v>0</v>
      </c>
      <c r="BT137" s="108">
        <v>0</v>
      </c>
      <c r="BU137" s="108">
        <v>0</v>
      </c>
      <c r="BV137" s="108">
        <v>0</v>
      </c>
      <c r="BW137" s="108">
        <v>0</v>
      </c>
      <c r="BX137" s="108">
        <v>0</v>
      </c>
      <c r="BY137" s="108">
        <v>0</v>
      </c>
      <c r="BZ137" s="108">
        <v>0</v>
      </c>
      <c r="CA137" s="108">
        <v>0</v>
      </c>
      <c r="CB137" s="108">
        <v>0</v>
      </c>
    </row>
    <row r="138" spans="2:80" x14ac:dyDescent="0.55000000000000004">
      <c r="B138" s="104" t="str">
        <f>$V$92</f>
        <v>-</v>
      </c>
      <c r="C138" s="54">
        <v>0</v>
      </c>
      <c r="D138" s="54">
        <v>0</v>
      </c>
      <c r="E138" s="54">
        <v>0</v>
      </c>
      <c r="F138" s="54">
        <v>0</v>
      </c>
      <c r="G138" s="54">
        <v>0</v>
      </c>
      <c r="H138" s="54">
        <v>0</v>
      </c>
      <c r="I138" s="54">
        <v>0</v>
      </c>
      <c r="J138" s="54">
        <v>0</v>
      </c>
      <c r="K138" s="54">
        <v>0</v>
      </c>
      <c r="L138" s="54">
        <v>0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0</v>
      </c>
      <c r="AQ138" s="104" t="str">
        <f>$V$77</f>
        <v>-</v>
      </c>
      <c r="AR138" s="54">
        <v>0</v>
      </c>
      <c r="AS138" s="54">
        <v>0</v>
      </c>
      <c r="AT138" s="54">
        <v>0</v>
      </c>
      <c r="AU138" s="54">
        <v>0</v>
      </c>
      <c r="AV138" s="54">
        <v>0</v>
      </c>
      <c r="AW138" s="54">
        <v>0</v>
      </c>
      <c r="AX138" s="54">
        <v>0</v>
      </c>
      <c r="AY138" s="54">
        <v>0</v>
      </c>
      <c r="AZ138" s="54">
        <v>0</v>
      </c>
      <c r="BA138" s="54">
        <v>0</v>
      </c>
      <c r="BB138" s="54">
        <v>0</v>
      </c>
      <c r="BC138" s="54">
        <v>0</v>
      </c>
      <c r="BD138" s="54">
        <v>0</v>
      </c>
      <c r="BE138" s="54">
        <v>0</v>
      </c>
      <c r="BF138" s="54">
        <v>0</v>
      </c>
      <c r="BG138" s="54">
        <v>0</v>
      </c>
      <c r="BH138" s="54">
        <v>0</v>
      </c>
      <c r="BK138" s="104" t="str">
        <f>$V$70</f>
        <v>Dimitri</v>
      </c>
      <c r="BL138" s="108">
        <v>0</v>
      </c>
      <c r="BM138" s="108">
        <v>0</v>
      </c>
      <c r="BN138" s="108">
        <v>0</v>
      </c>
      <c r="BO138" s="108">
        <v>0</v>
      </c>
      <c r="BP138" s="108">
        <v>0</v>
      </c>
      <c r="BQ138" s="108">
        <v>0</v>
      </c>
      <c r="BR138" s="108">
        <v>0</v>
      </c>
      <c r="BS138" s="108">
        <v>0</v>
      </c>
      <c r="BT138" s="108">
        <v>0</v>
      </c>
      <c r="BU138" s="108">
        <v>0</v>
      </c>
      <c r="BV138" s="108">
        <v>0</v>
      </c>
      <c r="BW138" s="108">
        <v>0</v>
      </c>
      <c r="BX138" s="108">
        <v>0</v>
      </c>
      <c r="BY138" s="108">
        <v>0</v>
      </c>
      <c r="BZ138" s="108">
        <v>0</v>
      </c>
      <c r="CA138" s="108">
        <v>0</v>
      </c>
      <c r="CB138" s="108">
        <v>0</v>
      </c>
    </row>
    <row r="139" spans="2:80" x14ac:dyDescent="0.55000000000000004">
      <c r="AQ139" s="104" t="str">
        <f>$V$78</f>
        <v>-</v>
      </c>
      <c r="AR139" s="54">
        <v>0</v>
      </c>
      <c r="AS139" s="54">
        <v>0</v>
      </c>
      <c r="AT139" s="54">
        <v>0</v>
      </c>
      <c r="AU139" s="54">
        <v>0</v>
      </c>
      <c r="AV139" s="54">
        <v>0</v>
      </c>
      <c r="AW139" s="54">
        <v>0</v>
      </c>
      <c r="AX139" s="54">
        <v>0</v>
      </c>
      <c r="AY139" s="54">
        <v>0</v>
      </c>
      <c r="AZ139" s="54">
        <v>0</v>
      </c>
      <c r="BA139" s="54">
        <v>0</v>
      </c>
      <c r="BB139" s="54">
        <v>0</v>
      </c>
      <c r="BC139" s="54">
        <v>0</v>
      </c>
      <c r="BD139" s="54">
        <v>0</v>
      </c>
      <c r="BE139" s="54">
        <v>0</v>
      </c>
      <c r="BF139" s="54">
        <v>0</v>
      </c>
      <c r="BG139" s="54">
        <v>0</v>
      </c>
      <c r="BH139" s="54">
        <v>0</v>
      </c>
      <c r="BK139" s="104" t="str">
        <f>$V$71</f>
        <v>Marina</v>
      </c>
      <c r="BL139" s="108">
        <v>0</v>
      </c>
      <c r="BM139" s="108">
        <v>0</v>
      </c>
      <c r="BN139" s="108">
        <v>0</v>
      </c>
      <c r="BO139" s="108">
        <v>0</v>
      </c>
      <c r="BP139" s="108">
        <v>0</v>
      </c>
      <c r="BQ139" s="108">
        <v>0</v>
      </c>
      <c r="BR139" s="108">
        <v>0</v>
      </c>
      <c r="BS139" s="108">
        <v>0</v>
      </c>
      <c r="BT139" s="108">
        <v>0</v>
      </c>
      <c r="BU139" s="108">
        <v>0</v>
      </c>
      <c r="BV139" s="108">
        <v>0</v>
      </c>
      <c r="BW139" s="108">
        <v>0</v>
      </c>
      <c r="BX139" s="108">
        <v>0</v>
      </c>
      <c r="BY139" s="108">
        <v>0</v>
      </c>
      <c r="BZ139" s="108">
        <v>0</v>
      </c>
      <c r="CA139" s="108">
        <v>0</v>
      </c>
      <c r="CB139" s="108">
        <v>0</v>
      </c>
    </row>
    <row r="140" spans="2:80" x14ac:dyDescent="0.55000000000000004">
      <c r="AQ140" s="104" t="str">
        <f>$V$79</f>
        <v>-</v>
      </c>
      <c r="AR140" s="54">
        <v>0</v>
      </c>
      <c r="AS140" s="54">
        <v>0</v>
      </c>
      <c r="AT140" s="54">
        <v>0</v>
      </c>
      <c r="AU140" s="54">
        <v>0</v>
      </c>
      <c r="AV140" s="54">
        <v>0</v>
      </c>
      <c r="AW140" s="54">
        <v>0</v>
      </c>
      <c r="AX140" s="54">
        <v>0</v>
      </c>
      <c r="AY140" s="54">
        <v>0</v>
      </c>
      <c r="AZ140" s="54">
        <v>0</v>
      </c>
      <c r="BA140" s="54">
        <v>0</v>
      </c>
      <c r="BB140" s="54">
        <v>0</v>
      </c>
      <c r="BC140" s="54">
        <v>0</v>
      </c>
      <c r="BD140" s="54">
        <v>0</v>
      </c>
      <c r="BE140" s="54">
        <v>0</v>
      </c>
      <c r="BF140" s="54">
        <v>0</v>
      </c>
      <c r="BG140" s="54">
        <v>0</v>
      </c>
      <c r="BH140" s="54">
        <v>0</v>
      </c>
      <c r="BK140" s="104" t="str">
        <f>$V$72</f>
        <v>Michel</v>
      </c>
      <c r="BL140" s="108">
        <v>0</v>
      </c>
      <c r="BM140" s="108">
        <v>0</v>
      </c>
      <c r="BN140" s="108">
        <v>0</v>
      </c>
      <c r="BO140" s="108">
        <v>0</v>
      </c>
      <c r="BP140" s="108">
        <v>0</v>
      </c>
      <c r="BQ140" s="108">
        <v>0</v>
      </c>
      <c r="BR140" s="108">
        <v>0</v>
      </c>
      <c r="BS140" s="108">
        <v>0</v>
      </c>
      <c r="BT140" s="108">
        <v>0</v>
      </c>
      <c r="BU140" s="108">
        <v>0</v>
      </c>
      <c r="BV140" s="108">
        <v>0</v>
      </c>
      <c r="BW140" s="108">
        <v>0</v>
      </c>
      <c r="BX140" s="108">
        <v>0</v>
      </c>
      <c r="BY140" s="108">
        <v>0</v>
      </c>
      <c r="BZ140" s="108">
        <v>0</v>
      </c>
      <c r="CA140" s="108">
        <v>0</v>
      </c>
      <c r="CB140" s="108">
        <v>0</v>
      </c>
    </row>
    <row r="141" spans="2:80" x14ac:dyDescent="0.55000000000000004">
      <c r="AQ141" s="104" t="str">
        <f>$V$80</f>
        <v>-</v>
      </c>
      <c r="AR141" s="54">
        <v>0</v>
      </c>
      <c r="AS141" s="54">
        <v>0</v>
      </c>
      <c r="AT141" s="54">
        <v>0</v>
      </c>
      <c r="AU141" s="54">
        <v>0</v>
      </c>
      <c r="AV141" s="54">
        <v>0</v>
      </c>
      <c r="AW141" s="54">
        <v>0</v>
      </c>
      <c r="AX141" s="54">
        <v>0</v>
      </c>
      <c r="AY141" s="54">
        <v>0</v>
      </c>
      <c r="AZ141" s="54">
        <v>0</v>
      </c>
      <c r="BA141" s="54">
        <v>0</v>
      </c>
      <c r="BB141" s="54">
        <v>0</v>
      </c>
      <c r="BC141" s="54">
        <v>0</v>
      </c>
      <c r="BD141" s="54">
        <v>0</v>
      </c>
      <c r="BE141" s="54">
        <v>0</v>
      </c>
      <c r="BF141" s="54">
        <v>0</v>
      </c>
      <c r="BG141" s="54">
        <v>0</v>
      </c>
      <c r="BH141" s="54">
        <v>0</v>
      </c>
      <c r="BK141" s="104" t="str">
        <f>$V$73</f>
        <v>Nour</v>
      </c>
      <c r="BL141" s="108">
        <v>0</v>
      </c>
      <c r="BM141" s="108">
        <v>0</v>
      </c>
      <c r="BN141" s="108">
        <v>0</v>
      </c>
      <c r="BO141" s="108">
        <v>0</v>
      </c>
      <c r="BP141" s="108">
        <v>0</v>
      </c>
      <c r="BQ141" s="108">
        <v>0</v>
      </c>
      <c r="BR141" s="108">
        <v>0</v>
      </c>
      <c r="BS141" s="108">
        <v>0</v>
      </c>
      <c r="BT141" s="108">
        <v>0</v>
      </c>
      <c r="BU141" s="108">
        <v>0</v>
      </c>
      <c r="BV141" s="108">
        <v>0</v>
      </c>
      <c r="BW141" s="108">
        <v>0</v>
      </c>
      <c r="BX141" s="108">
        <v>0</v>
      </c>
      <c r="BY141" s="108">
        <v>0</v>
      </c>
      <c r="BZ141" s="108">
        <v>0</v>
      </c>
      <c r="CA141" s="108">
        <v>0</v>
      </c>
      <c r="CB141" s="108">
        <v>0</v>
      </c>
    </row>
    <row r="142" spans="2:80" x14ac:dyDescent="0.55000000000000004">
      <c r="AQ142" s="104" t="str">
        <f>$V$81</f>
        <v>-</v>
      </c>
      <c r="AR142" s="54">
        <v>0</v>
      </c>
      <c r="AS142" s="54">
        <v>0</v>
      </c>
      <c r="AT142" s="54">
        <v>0</v>
      </c>
      <c r="AU142" s="54">
        <v>0</v>
      </c>
      <c r="AV142" s="54">
        <v>0</v>
      </c>
      <c r="AW142" s="54">
        <v>0</v>
      </c>
      <c r="AX142" s="54">
        <v>0</v>
      </c>
      <c r="AY142" s="54">
        <v>0</v>
      </c>
      <c r="AZ142" s="54">
        <v>0</v>
      </c>
      <c r="BA142" s="54">
        <v>0</v>
      </c>
      <c r="BB142" s="54">
        <v>0</v>
      </c>
      <c r="BC142" s="54">
        <v>0</v>
      </c>
      <c r="BD142" s="54">
        <v>0</v>
      </c>
      <c r="BE142" s="54">
        <v>0</v>
      </c>
      <c r="BF142" s="54">
        <v>0</v>
      </c>
      <c r="BG142" s="54">
        <v>0</v>
      </c>
      <c r="BH142" s="54">
        <v>0</v>
      </c>
      <c r="BK142" s="104" t="str">
        <f>$V$74</f>
        <v>Samuel</v>
      </c>
      <c r="BL142" s="108">
        <v>0</v>
      </c>
      <c r="BM142" s="108">
        <v>0</v>
      </c>
      <c r="BN142" s="108">
        <v>0</v>
      </c>
      <c r="BO142" s="108">
        <v>0</v>
      </c>
      <c r="BP142" s="108">
        <v>0</v>
      </c>
      <c r="BQ142" s="108">
        <v>0</v>
      </c>
      <c r="BR142" s="108">
        <v>0</v>
      </c>
      <c r="BS142" s="108">
        <v>0</v>
      </c>
      <c r="BT142" s="108">
        <v>0</v>
      </c>
      <c r="BU142" s="108">
        <v>0</v>
      </c>
      <c r="BV142" s="108">
        <v>0</v>
      </c>
      <c r="BW142" s="108">
        <v>0</v>
      </c>
      <c r="BX142" s="108">
        <v>0</v>
      </c>
      <c r="BY142" s="108">
        <v>0</v>
      </c>
      <c r="BZ142" s="108">
        <v>0</v>
      </c>
      <c r="CA142" s="108">
        <v>0</v>
      </c>
      <c r="CB142" s="108">
        <v>0</v>
      </c>
    </row>
    <row r="143" spans="2:80" x14ac:dyDescent="0.55000000000000004">
      <c r="AQ143" s="104" t="str">
        <f>$V$82</f>
        <v>-</v>
      </c>
      <c r="AR143" s="54">
        <v>0</v>
      </c>
      <c r="AS143" s="54">
        <v>0</v>
      </c>
      <c r="AT143" s="54">
        <v>0</v>
      </c>
      <c r="AU143" s="54">
        <v>0</v>
      </c>
      <c r="AV143" s="54">
        <v>0</v>
      </c>
      <c r="AW143" s="54">
        <v>0</v>
      </c>
      <c r="AX143" s="54">
        <v>0</v>
      </c>
      <c r="AY143" s="54">
        <v>0</v>
      </c>
      <c r="AZ143" s="54">
        <v>0</v>
      </c>
      <c r="BA143" s="54">
        <v>0</v>
      </c>
      <c r="BB143" s="54">
        <v>0</v>
      </c>
      <c r="BC143" s="54">
        <v>0</v>
      </c>
      <c r="BD143" s="54">
        <v>0</v>
      </c>
      <c r="BE143" s="54">
        <v>0</v>
      </c>
      <c r="BF143" s="54">
        <v>0</v>
      </c>
      <c r="BG143" s="54">
        <v>0</v>
      </c>
      <c r="BH143" s="54">
        <v>0</v>
      </c>
      <c r="BK143" s="104" t="str">
        <f>$V$75</f>
        <v>Yassin</v>
      </c>
      <c r="BL143" s="108">
        <v>0</v>
      </c>
      <c r="BM143" s="108">
        <v>0</v>
      </c>
      <c r="BN143" s="108">
        <v>0</v>
      </c>
      <c r="BO143" s="108">
        <v>0</v>
      </c>
      <c r="BP143" s="108">
        <v>0</v>
      </c>
      <c r="BQ143" s="108">
        <v>0</v>
      </c>
      <c r="BR143" s="108">
        <v>0</v>
      </c>
      <c r="BS143" s="108">
        <v>0</v>
      </c>
      <c r="BT143" s="108">
        <v>0</v>
      </c>
      <c r="BU143" s="108">
        <v>0</v>
      </c>
      <c r="BV143" s="108">
        <v>0</v>
      </c>
      <c r="BW143" s="108">
        <v>0</v>
      </c>
      <c r="BX143" s="108">
        <v>0</v>
      </c>
      <c r="BY143" s="108">
        <v>0</v>
      </c>
      <c r="BZ143" s="108">
        <v>0</v>
      </c>
      <c r="CA143" s="108">
        <v>0</v>
      </c>
      <c r="CB143" s="108">
        <v>0</v>
      </c>
    </row>
    <row r="144" spans="2:80" x14ac:dyDescent="0.55000000000000004">
      <c r="AQ144" s="104" t="str">
        <f>$V$83</f>
        <v>-</v>
      </c>
      <c r="AR144" s="54">
        <v>0</v>
      </c>
      <c r="AS144" s="54">
        <v>0</v>
      </c>
      <c r="AT144" s="54">
        <v>0</v>
      </c>
      <c r="AU144" s="54">
        <v>0</v>
      </c>
      <c r="AV144" s="54">
        <v>0</v>
      </c>
      <c r="AW144" s="54">
        <v>0</v>
      </c>
      <c r="AX144" s="54">
        <v>0</v>
      </c>
      <c r="AY144" s="54">
        <v>0</v>
      </c>
      <c r="AZ144" s="54">
        <v>0</v>
      </c>
      <c r="BA144" s="54">
        <v>0</v>
      </c>
      <c r="BB144" s="54">
        <v>0</v>
      </c>
      <c r="BC144" s="54">
        <v>0</v>
      </c>
      <c r="BD144" s="54">
        <v>0</v>
      </c>
      <c r="BE144" s="54">
        <v>0</v>
      </c>
      <c r="BF144" s="54">
        <v>0</v>
      </c>
      <c r="BG144" s="54">
        <v>0</v>
      </c>
      <c r="BH144" s="54">
        <v>0</v>
      </c>
      <c r="BK144" s="104" t="str">
        <f>$V$76</f>
        <v>Kamar</v>
      </c>
      <c r="BL144" s="108">
        <v>0</v>
      </c>
      <c r="BM144" s="108">
        <v>0</v>
      </c>
      <c r="BN144" s="108">
        <v>0</v>
      </c>
      <c r="BO144" s="108">
        <v>0</v>
      </c>
      <c r="BP144" s="108">
        <v>0</v>
      </c>
      <c r="BQ144" s="108">
        <v>0</v>
      </c>
      <c r="BR144" s="108">
        <v>0</v>
      </c>
      <c r="BS144" s="108">
        <v>0</v>
      </c>
      <c r="BT144" s="108">
        <v>0</v>
      </c>
      <c r="BU144" s="108">
        <v>0</v>
      </c>
      <c r="BV144" s="108">
        <v>0</v>
      </c>
      <c r="BW144" s="108">
        <v>0</v>
      </c>
      <c r="BX144" s="108">
        <v>0</v>
      </c>
      <c r="BY144" s="108">
        <v>0</v>
      </c>
      <c r="BZ144" s="108">
        <v>0</v>
      </c>
      <c r="CA144" s="108">
        <v>0</v>
      </c>
      <c r="CB144" s="108">
        <v>0</v>
      </c>
    </row>
    <row r="145" spans="2:80" x14ac:dyDescent="0.55000000000000004">
      <c r="AQ145" s="104" t="str">
        <f>$V$84</f>
        <v>-</v>
      </c>
      <c r="AR145" s="54">
        <v>0</v>
      </c>
      <c r="AS145" s="54">
        <v>0</v>
      </c>
      <c r="AT145" s="54">
        <v>0</v>
      </c>
      <c r="AU145" s="54">
        <v>0</v>
      </c>
      <c r="AV145" s="54">
        <v>0</v>
      </c>
      <c r="AW145" s="54">
        <v>0</v>
      </c>
      <c r="AX145" s="54">
        <v>0</v>
      </c>
      <c r="AY145" s="54">
        <v>0</v>
      </c>
      <c r="AZ145" s="54">
        <v>0</v>
      </c>
      <c r="BA145" s="54">
        <v>0</v>
      </c>
      <c r="BB145" s="54">
        <v>0</v>
      </c>
      <c r="BC145" s="54">
        <v>0</v>
      </c>
      <c r="BD145" s="54">
        <v>0</v>
      </c>
      <c r="BE145" s="54">
        <v>0</v>
      </c>
      <c r="BF145" s="54">
        <v>0</v>
      </c>
      <c r="BG145" s="54">
        <v>0</v>
      </c>
      <c r="BH145" s="54">
        <v>0</v>
      </c>
      <c r="BK145" s="104" t="str">
        <f>$V$77</f>
        <v>-</v>
      </c>
      <c r="BL145" s="108">
        <v>0</v>
      </c>
      <c r="BM145" s="108">
        <v>0</v>
      </c>
      <c r="BN145" s="108">
        <v>0</v>
      </c>
      <c r="BO145" s="108">
        <v>0</v>
      </c>
      <c r="BP145" s="108">
        <v>0</v>
      </c>
      <c r="BQ145" s="108">
        <v>0</v>
      </c>
      <c r="BR145" s="108">
        <v>0</v>
      </c>
      <c r="BS145" s="108">
        <v>0</v>
      </c>
      <c r="BT145" s="108">
        <v>0</v>
      </c>
      <c r="BU145" s="108">
        <v>0</v>
      </c>
      <c r="BV145" s="108">
        <v>0</v>
      </c>
      <c r="BW145" s="108">
        <v>0</v>
      </c>
      <c r="BX145" s="108">
        <v>0</v>
      </c>
      <c r="BY145" s="108">
        <v>0</v>
      </c>
      <c r="BZ145" s="108">
        <v>0</v>
      </c>
      <c r="CA145" s="108">
        <v>0</v>
      </c>
      <c r="CB145" s="108">
        <v>0</v>
      </c>
    </row>
    <row r="146" spans="2:80" x14ac:dyDescent="0.55000000000000004">
      <c r="AQ146" s="104" t="str">
        <f>$V$85</f>
        <v>-</v>
      </c>
      <c r="AR146" s="54">
        <v>0</v>
      </c>
      <c r="AS146" s="54">
        <v>0</v>
      </c>
      <c r="AT146" s="54">
        <v>0</v>
      </c>
      <c r="AU146" s="54">
        <v>0</v>
      </c>
      <c r="AV146" s="54">
        <v>0</v>
      </c>
      <c r="AW146" s="54">
        <v>0</v>
      </c>
      <c r="AX146" s="54">
        <v>0</v>
      </c>
      <c r="AY146" s="54">
        <v>0</v>
      </c>
      <c r="AZ146" s="54">
        <v>0</v>
      </c>
      <c r="BA146" s="54">
        <v>0</v>
      </c>
      <c r="BB146" s="54">
        <v>0</v>
      </c>
      <c r="BC146" s="54">
        <v>0</v>
      </c>
      <c r="BD146" s="54">
        <v>0</v>
      </c>
      <c r="BE146" s="54">
        <v>0</v>
      </c>
      <c r="BF146" s="54">
        <v>0</v>
      </c>
      <c r="BG146" s="54">
        <v>0</v>
      </c>
      <c r="BH146" s="54">
        <v>0</v>
      </c>
      <c r="BK146" s="104" t="str">
        <f>$V$78</f>
        <v>-</v>
      </c>
      <c r="BL146" s="108">
        <v>0</v>
      </c>
      <c r="BM146" s="108">
        <v>0</v>
      </c>
      <c r="BN146" s="108">
        <v>0</v>
      </c>
      <c r="BO146" s="108">
        <v>0</v>
      </c>
      <c r="BP146" s="108">
        <v>0</v>
      </c>
      <c r="BQ146" s="108">
        <v>0</v>
      </c>
      <c r="BR146" s="108">
        <v>0</v>
      </c>
      <c r="BS146" s="108">
        <v>0</v>
      </c>
      <c r="BT146" s="108">
        <v>0</v>
      </c>
      <c r="BU146" s="108">
        <v>0</v>
      </c>
      <c r="BV146" s="108">
        <v>0</v>
      </c>
      <c r="BW146" s="108">
        <v>0</v>
      </c>
      <c r="BX146" s="108">
        <v>0</v>
      </c>
      <c r="BY146" s="108">
        <v>0</v>
      </c>
      <c r="BZ146" s="108">
        <v>0</v>
      </c>
      <c r="CA146" s="108">
        <v>0</v>
      </c>
      <c r="CB146" s="108">
        <v>0</v>
      </c>
    </row>
    <row r="147" spans="2:80" x14ac:dyDescent="0.55000000000000004">
      <c r="AQ147" s="104" t="str">
        <f>$V$86</f>
        <v>-</v>
      </c>
      <c r="AR147" s="54">
        <v>0</v>
      </c>
      <c r="AS147" s="54">
        <v>0</v>
      </c>
      <c r="AT147" s="54">
        <v>0</v>
      </c>
      <c r="AU147" s="54">
        <v>0</v>
      </c>
      <c r="AV147" s="54">
        <v>0</v>
      </c>
      <c r="AW147" s="54">
        <v>0</v>
      </c>
      <c r="AX147" s="54">
        <v>0</v>
      </c>
      <c r="AY147" s="54">
        <v>0</v>
      </c>
      <c r="AZ147" s="54">
        <v>0</v>
      </c>
      <c r="BA147" s="54">
        <v>0</v>
      </c>
      <c r="BB147" s="54">
        <v>0</v>
      </c>
      <c r="BC147" s="54">
        <v>0</v>
      </c>
      <c r="BD147" s="54">
        <v>0</v>
      </c>
      <c r="BE147" s="54">
        <v>0</v>
      </c>
      <c r="BF147" s="54">
        <v>0</v>
      </c>
      <c r="BG147" s="54">
        <v>0</v>
      </c>
      <c r="BH147" s="54">
        <v>0</v>
      </c>
      <c r="BK147" s="104" t="str">
        <f>$V$79</f>
        <v>-</v>
      </c>
      <c r="BL147" s="108">
        <v>0</v>
      </c>
      <c r="BM147" s="108">
        <v>0</v>
      </c>
      <c r="BN147" s="108">
        <v>0</v>
      </c>
      <c r="BO147" s="108">
        <v>0</v>
      </c>
      <c r="BP147" s="108">
        <v>0</v>
      </c>
      <c r="BQ147" s="108">
        <v>0</v>
      </c>
      <c r="BR147" s="108">
        <v>0</v>
      </c>
      <c r="BS147" s="108">
        <v>0</v>
      </c>
      <c r="BT147" s="108">
        <v>0</v>
      </c>
      <c r="BU147" s="108">
        <v>0</v>
      </c>
      <c r="BV147" s="108">
        <v>0</v>
      </c>
      <c r="BW147" s="108">
        <v>0</v>
      </c>
      <c r="BX147" s="108">
        <v>0</v>
      </c>
      <c r="BY147" s="108">
        <v>0</v>
      </c>
      <c r="BZ147" s="108">
        <v>0</v>
      </c>
      <c r="CA147" s="108">
        <v>0</v>
      </c>
      <c r="CB147" s="108">
        <v>0</v>
      </c>
    </row>
    <row r="148" spans="2:80" x14ac:dyDescent="0.55000000000000004">
      <c r="AQ148" s="104" t="str">
        <f>$V$87</f>
        <v>-</v>
      </c>
      <c r="AR148" s="54">
        <v>0</v>
      </c>
      <c r="AS148" s="54">
        <v>0</v>
      </c>
      <c r="AT148" s="54">
        <v>0</v>
      </c>
      <c r="AU148" s="54">
        <v>0</v>
      </c>
      <c r="AV148" s="54">
        <v>0</v>
      </c>
      <c r="AW148" s="54">
        <v>0</v>
      </c>
      <c r="AX148" s="54">
        <v>0</v>
      </c>
      <c r="AY148" s="54">
        <v>0</v>
      </c>
      <c r="AZ148" s="54">
        <v>0</v>
      </c>
      <c r="BA148" s="54">
        <v>0</v>
      </c>
      <c r="BB148" s="54">
        <v>0</v>
      </c>
      <c r="BC148" s="54">
        <v>0</v>
      </c>
      <c r="BD148" s="54">
        <v>0</v>
      </c>
      <c r="BE148" s="54">
        <v>0</v>
      </c>
      <c r="BF148" s="54">
        <v>0</v>
      </c>
      <c r="BG148" s="54">
        <v>0</v>
      </c>
      <c r="BH148" s="54">
        <v>0</v>
      </c>
      <c r="BK148" s="104" t="str">
        <f>$V$80</f>
        <v>-</v>
      </c>
      <c r="BL148" s="108">
        <v>0</v>
      </c>
      <c r="BM148" s="108">
        <v>0</v>
      </c>
      <c r="BN148" s="108">
        <v>0</v>
      </c>
      <c r="BO148" s="108">
        <v>0</v>
      </c>
      <c r="BP148" s="108">
        <v>0</v>
      </c>
      <c r="BQ148" s="108">
        <v>0</v>
      </c>
      <c r="BR148" s="108">
        <v>0</v>
      </c>
      <c r="BS148" s="108">
        <v>0</v>
      </c>
      <c r="BT148" s="108">
        <v>0</v>
      </c>
      <c r="BU148" s="108">
        <v>0</v>
      </c>
      <c r="BV148" s="108">
        <v>0</v>
      </c>
      <c r="BW148" s="108">
        <v>0</v>
      </c>
      <c r="BX148" s="108">
        <v>0</v>
      </c>
      <c r="BY148" s="108">
        <v>0</v>
      </c>
      <c r="BZ148" s="108">
        <v>0</v>
      </c>
      <c r="CA148" s="108">
        <v>0</v>
      </c>
      <c r="CB148" s="108">
        <v>0</v>
      </c>
    </row>
    <row r="149" spans="2:80" x14ac:dyDescent="0.55000000000000004">
      <c r="AQ149" s="104" t="str">
        <f>$V$88</f>
        <v>-</v>
      </c>
      <c r="AR149" s="54">
        <v>0</v>
      </c>
      <c r="AS149" s="54">
        <v>0</v>
      </c>
      <c r="AT149" s="54">
        <v>0</v>
      </c>
      <c r="AU149" s="54">
        <v>0</v>
      </c>
      <c r="AV149" s="54">
        <v>0</v>
      </c>
      <c r="AW149" s="54">
        <v>0</v>
      </c>
      <c r="AX149" s="54">
        <v>0</v>
      </c>
      <c r="AY149" s="54">
        <v>0</v>
      </c>
      <c r="AZ149" s="54">
        <v>0</v>
      </c>
      <c r="BA149" s="54">
        <v>0</v>
      </c>
      <c r="BB149" s="54">
        <v>0</v>
      </c>
      <c r="BC149" s="54">
        <v>0</v>
      </c>
      <c r="BD149" s="54">
        <v>0</v>
      </c>
      <c r="BE149" s="54">
        <v>0</v>
      </c>
      <c r="BF149" s="54">
        <v>0</v>
      </c>
      <c r="BG149" s="54">
        <v>0</v>
      </c>
      <c r="BH149" s="54">
        <v>0</v>
      </c>
      <c r="BK149" s="104" t="str">
        <f>$V$81</f>
        <v>-</v>
      </c>
      <c r="BL149" s="108">
        <v>0</v>
      </c>
      <c r="BM149" s="108">
        <v>0</v>
      </c>
      <c r="BN149" s="108">
        <v>0</v>
      </c>
      <c r="BO149" s="108">
        <v>0</v>
      </c>
      <c r="BP149" s="108">
        <v>0</v>
      </c>
      <c r="BQ149" s="108">
        <v>0</v>
      </c>
      <c r="BR149" s="108">
        <v>0</v>
      </c>
      <c r="BS149" s="108">
        <v>0</v>
      </c>
      <c r="BT149" s="108">
        <v>0</v>
      </c>
      <c r="BU149" s="108">
        <v>0</v>
      </c>
      <c r="BV149" s="108">
        <v>0</v>
      </c>
      <c r="BW149" s="108">
        <v>0</v>
      </c>
      <c r="BX149" s="108">
        <v>0</v>
      </c>
      <c r="BY149" s="108">
        <v>0</v>
      </c>
      <c r="BZ149" s="108">
        <v>0</v>
      </c>
      <c r="CA149" s="108">
        <v>0</v>
      </c>
      <c r="CB149" s="108">
        <v>0</v>
      </c>
    </row>
    <row r="150" spans="2:80" x14ac:dyDescent="0.55000000000000004">
      <c r="AQ150" s="104" t="str">
        <f>$V$89</f>
        <v>-</v>
      </c>
      <c r="AR150" s="54">
        <v>0</v>
      </c>
      <c r="AS150" s="54">
        <v>0</v>
      </c>
      <c r="AT150" s="54">
        <v>0</v>
      </c>
      <c r="AU150" s="54">
        <v>0</v>
      </c>
      <c r="AV150" s="54">
        <v>0</v>
      </c>
      <c r="AW150" s="54">
        <v>0</v>
      </c>
      <c r="AX150" s="54">
        <v>0</v>
      </c>
      <c r="AY150" s="54">
        <v>0</v>
      </c>
      <c r="AZ150" s="54">
        <v>0</v>
      </c>
      <c r="BA150" s="54">
        <v>0</v>
      </c>
      <c r="BB150" s="54">
        <v>0</v>
      </c>
      <c r="BC150" s="54">
        <v>0</v>
      </c>
      <c r="BD150" s="54">
        <v>0</v>
      </c>
      <c r="BE150" s="54">
        <v>0</v>
      </c>
      <c r="BF150" s="54">
        <v>0</v>
      </c>
      <c r="BG150" s="54">
        <v>0</v>
      </c>
      <c r="BH150" s="54">
        <v>0</v>
      </c>
      <c r="BK150" s="104" t="str">
        <f>$V$82</f>
        <v>-</v>
      </c>
      <c r="BL150" s="108">
        <v>0</v>
      </c>
      <c r="BM150" s="108">
        <v>0</v>
      </c>
      <c r="BN150" s="108">
        <v>0</v>
      </c>
      <c r="BO150" s="108">
        <v>0</v>
      </c>
      <c r="BP150" s="108">
        <v>0</v>
      </c>
      <c r="BQ150" s="108">
        <v>0</v>
      </c>
      <c r="BR150" s="108">
        <v>0</v>
      </c>
      <c r="BS150" s="108">
        <v>0</v>
      </c>
      <c r="BT150" s="108">
        <v>0</v>
      </c>
      <c r="BU150" s="108">
        <v>0</v>
      </c>
      <c r="BV150" s="108">
        <v>0</v>
      </c>
      <c r="BW150" s="108">
        <v>0</v>
      </c>
      <c r="BX150" s="108">
        <v>0</v>
      </c>
      <c r="BY150" s="108">
        <v>0</v>
      </c>
      <c r="BZ150" s="108">
        <v>0</v>
      </c>
      <c r="CA150" s="108">
        <v>0</v>
      </c>
      <c r="CB150" s="108">
        <v>0</v>
      </c>
    </row>
    <row r="151" spans="2:80" x14ac:dyDescent="0.55000000000000004">
      <c r="AQ151" s="104" t="str">
        <f>$V$90</f>
        <v>-</v>
      </c>
      <c r="AR151" s="54">
        <v>0</v>
      </c>
      <c r="AS151" s="54">
        <v>0</v>
      </c>
      <c r="AT151" s="54">
        <v>0</v>
      </c>
      <c r="AU151" s="54">
        <v>0</v>
      </c>
      <c r="AV151" s="54">
        <v>0</v>
      </c>
      <c r="AW151" s="54">
        <v>0</v>
      </c>
      <c r="AX151" s="54">
        <v>0</v>
      </c>
      <c r="AY151" s="54">
        <v>0</v>
      </c>
      <c r="AZ151" s="54">
        <v>0</v>
      </c>
      <c r="BA151" s="54">
        <v>0</v>
      </c>
      <c r="BB151" s="54">
        <v>0</v>
      </c>
      <c r="BC151" s="54">
        <v>0</v>
      </c>
      <c r="BD151" s="54">
        <v>0</v>
      </c>
      <c r="BE151" s="54">
        <v>0</v>
      </c>
      <c r="BF151" s="54">
        <v>0</v>
      </c>
      <c r="BG151" s="54">
        <v>0</v>
      </c>
      <c r="BH151" s="54">
        <v>0</v>
      </c>
      <c r="BK151" s="104" t="str">
        <f>$V$83</f>
        <v>-</v>
      </c>
      <c r="BL151" s="108">
        <v>0</v>
      </c>
      <c r="BM151" s="108">
        <v>0</v>
      </c>
      <c r="BN151" s="108">
        <v>0</v>
      </c>
      <c r="BO151" s="108">
        <v>0</v>
      </c>
      <c r="BP151" s="108">
        <v>0</v>
      </c>
      <c r="BQ151" s="108">
        <v>0</v>
      </c>
      <c r="BR151" s="108">
        <v>0</v>
      </c>
      <c r="BS151" s="108">
        <v>0</v>
      </c>
      <c r="BT151" s="108">
        <v>0</v>
      </c>
      <c r="BU151" s="108">
        <v>0</v>
      </c>
      <c r="BV151" s="108">
        <v>0</v>
      </c>
      <c r="BW151" s="108">
        <v>0</v>
      </c>
      <c r="BX151" s="108">
        <v>0</v>
      </c>
      <c r="BY151" s="108">
        <v>0</v>
      </c>
      <c r="BZ151" s="108">
        <v>0</v>
      </c>
      <c r="CA151" s="108">
        <v>0</v>
      </c>
      <c r="CB151" s="108">
        <v>0</v>
      </c>
    </row>
    <row r="152" spans="2:80" x14ac:dyDescent="0.55000000000000004">
      <c r="AQ152" s="104" t="str">
        <f>$V$91</f>
        <v>-</v>
      </c>
      <c r="AR152" s="54">
        <v>0</v>
      </c>
      <c r="AS152" s="54">
        <v>0</v>
      </c>
      <c r="AT152" s="54">
        <v>0</v>
      </c>
      <c r="AU152" s="54">
        <v>0</v>
      </c>
      <c r="AV152" s="54">
        <v>0</v>
      </c>
      <c r="AW152" s="54">
        <v>0</v>
      </c>
      <c r="AX152" s="54">
        <v>0</v>
      </c>
      <c r="AY152" s="54">
        <v>0</v>
      </c>
      <c r="AZ152" s="54">
        <v>0</v>
      </c>
      <c r="BA152" s="54">
        <v>0</v>
      </c>
      <c r="BB152" s="54">
        <v>0</v>
      </c>
      <c r="BC152" s="54">
        <v>0</v>
      </c>
      <c r="BD152" s="54">
        <v>0</v>
      </c>
      <c r="BE152" s="54">
        <v>0</v>
      </c>
      <c r="BF152" s="54">
        <v>0</v>
      </c>
      <c r="BG152" s="54">
        <v>0</v>
      </c>
      <c r="BH152" s="54">
        <v>0</v>
      </c>
      <c r="BK152" s="104" t="str">
        <f>$V$84</f>
        <v>-</v>
      </c>
      <c r="BL152" s="108">
        <v>0</v>
      </c>
      <c r="BM152" s="108">
        <v>0</v>
      </c>
      <c r="BN152" s="108">
        <v>0</v>
      </c>
      <c r="BO152" s="108">
        <v>0</v>
      </c>
      <c r="BP152" s="108">
        <v>0</v>
      </c>
      <c r="BQ152" s="108">
        <v>0</v>
      </c>
      <c r="BR152" s="108">
        <v>0</v>
      </c>
      <c r="BS152" s="108">
        <v>0</v>
      </c>
      <c r="BT152" s="108">
        <v>0</v>
      </c>
      <c r="BU152" s="108">
        <v>0</v>
      </c>
      <c r="BV152" s="108">
        <v>0</v>
      </c>
      <c r="BW152" s="108">
        <v>0</v>
      </c>
      <c r="BX152" s="108">
        <v>0</v>
      </c>
      <c r="BY152" s="108">
        <v>0</v>
      </c>
      <c r="BZ152" s="108">
        <v>0</v>
      </c>
      <c r="CA152" s="108">
        <v>0</v>
      </c>
      <c r="CB152" s="108">
        <v>0</v>
      </c>
    </row>
    <row r="153" spans="2:80" x14ac:dyDescent="0.55000000000000004">
      <c r="AQ153" s="104" t="str">
        <f>$V$92</f>
        <v>-</v>
      </c>
      <c r="AR153" s="54">
        <v>0</v>
      </c>
      <c r="AS153" s="54">
        <v>0</v>
      </c>
      <c r="AT153" s="54">
        <v>0</v>
      </c>
      <c r="AU153" s="54">
        <v>0</v>
      </c>
      <c r="AV153" s="54">
        <v>0</v>
      </c>
      <c r="AW153" s="54">
        <v>0</v>
      </c>
      <c r="AX153" s="54">
        <v>0</v>
      </c>
      <c r="AY153" s="54">
        <v>0</v>
      </c>
      <c r="AZ153" s="54">
        <v>0</v>
      </c>
      <c r="BA153" s="54">
        <v>0</v>
      </c>
      <c r="BB153" s="54">
        <v>0</v>
      </c>
      <c r="BC153" s="54">
        <v>0</v>
      </c>
      <c r="BD153" s="54">
        <v>0</v>
      </c>
      <c r="BE153" s="54">
        <v>0</v>
      </c>
      <c r="BF153" s="54">
        <v>0</v>
      </c>
      <c r="BG153" s="54">
        <v>0</v>
      </c>
      <c r="BH153" s="54">
        <v>0</v>
      </c>
      <c r="BK153" s="104" t="str">
        <f>$V$85</f>
        <v>-</v>
      </c>
      <c r="BL153" s="108">
        <v>0</v>
      </c>
      <c r="BM153" s="108">
        <v>0</v>
      </c>
      <c r="BN153" s="108">
        <v>0</v>
      </c>
      <c r="BO153" s="108">
        <v>0</v>
      </c>
      <c r="BP153" s="108">
        <v>0</v>
      </c>
      <c r="BQ153" s="108">
        <v>0</v>
      </c>
      <c r="BR153" s="108">
        <v>0</v>
      </c>
      <c r="BS153" s="108">
        <v>0</v>
      </c>
      <c r="BT153" s="108">
        <v>0</v>
      </c>
      <c r="BU153" s="108">
        <v>0</v>
      </c>
      <c r="BV153" s="108">
        <v>0</v>
      </c>
      <c r="BW153" s="108">
        <v>0</v>
      </c>
      <c r="BX153" s="108">
        <v>0</v>
      </c>
      <c r="BY153" s="108">
        <v>0</v>
      </c>
      <c r="BZ153" s="108">
        <v>0</v>
      </c>
      <c r="CA153" s="108">
        <v>0</v>
      </c>
      <c r="CB153" s="108">
        <v>0</v>
      </c>
    </row>
    <row r="154" spans="2:80" x14ac:dyDescent="0.55000000000000004">
      <c r="AP154" t="str">
        <f>$V$37</f>
        <v>C-mix</v>
      </c>
      <c r="AQ154" s="104" t="str">
        <f>$V$53</f>
        <v>Jennifer</v>
      </c>
      <c r="AR154" s="54">
        <v>0</v>
      </c>
      <c r="AS154" s="54">
        <v>0</v>
      </c>
      <c r="AT154" s="54">
        <v>0</v>
      </c>
      <c r="AU154" s="54">
        <v>0</v>
      </c>
      <c r="AV154" s="54">
        <v>0</v>
      </c>
      <c r="AW154" s="54">
        <v>0</v>
      </c>
      <c r="AX154" s="54">
        <v>0</v>
      </c>
      <c r="AY154" s="54">
        <v>0</v>
      </c>
      <c r="AZ154" s="54">
        <v>0</v>
      </c>
      <c r="BA154" s="54">
        <v>0</v>
      </c>
      <c r="BB154" s="54">
        <v>0</v>
      </c>
      <c r="BC154" s="54">
        <v>0</v>
      </c>
      <c r="BD154" s="54">
        <v>0</v>
      </c>
      <c r="BE154" s="54">
        <v>0</v>
      </c>
      <c r="BF154" s="54">
        <v>0</v>
      </c>
      <c r="BG154" s="54">
        <v>0</v>
      </c>
      <c r="BH154" s="54">
        <v>0</v>
      </c>
      <c r="BK154" s="104" t="str">
        <f>$V$86</f>
        <v>-</v>
      </c>
      <c r="BL154" s="108">
        <v>0</v>
      </c>
      <c r="BM154" s="108">
        <v>0</v>
      </c>
      <c r="BN154" s="108">
        <v>0</v>
      </c>
      <c r="BO154" s="108">
        <v>0</v>
      </c>
      <c r="BP154" s="108">
        <v>0</v>
      </c>
      <c r="BQ154" s="108">
        <v>0</v>
      </c>
      <c r="BR154" s="108">
        <v>0</v>
      </c>
      <c r="BS154" s="108">
        <v>0</v>
      </c>
      <c r="BT154" s="108">
        <v>0</v>
      </c>
      <c r="BU154" s="108">
        <v>0</v>
      </c>
      <c r="BV154" s="108">
        <v>0</v>
      </c>
      <c r="BW154" s="108">
        <v>0</v>
      </c>
      <c r="BX154" s="108">
        <v>0</v>
      </c>
      <c r="BY154" s="108">
        <v>0</v>
      </c>
      <c r="BZ154" s="108">
        <v>0</v>
      </c>
      <c r="CA154" s="108">
        <v>0</v>
      </c>
      <c r="CB154" s="108">
        <v>0</v>
      </c>
    </row>
    <row r="155" spans="2:80" x14ac:dyDescent="0.55000000000000004">
      <c r="AQ155" s="104" t="str">
        <f>$V$54</f>
        <v>Galileo</v>
      </c>
      <c r="AR155" s="54">
        <v>1</v>
      </c>
      <c r="AS155" s="54">
        <v>0</v>
      </c>
      <c r="AT155" s="54">
        <v>1</v>
      </c>
      <c r="AU155" s="54">
        <v>0</v>
      </c>
      <c r="AV155" s="54">
        <v>0</v>
      </c>
      <c r="AW155" s="54">
        <v>0</v>
      </c>
      <c r="AX155" s="54">
        <v>0</v>
      </c>
      <c r="AY155" s="54">
        <v>1</v>
      </c>
      <c r="AZ155" s="54">
        <v>0</v>
      </c>
      <c r="BA155" s="54">
        <v>0</v>
      </c>
      <c r="BB155" s="54">
        <v>0</v>
      </c>
      <c r="BC155" s="54">
        <v>1</v>
      </c>
      <c r="BD155" s="54">
        <v>0</v>
      </c>
      <c r="BE155" s="54">
        <v>0</v>
      </c>
      <c r="BF155" s="54">
        <v>0</v>
      </c>
      <c r="BG155" s="54">
        <v>0</v>
      </c>
      <c r="BH155" s="54">
        <v>0</v>
      </c>
      <c r="BK155" s="104" t="str">
        <f>$V$87</f>
        <v>-</v>
      </c>
      <c r="BL155" s="108">
        <v>0</v>
      </c>
      <c r="BM155" s="108">
        <v>0</v>
      </c>
      <c r="BN155" s="108">
        <v>0</v>
      </c>
      <c r="BO155" s="108">
        <v>0</v>
      </c>
      <c r="BP155" s="108">
        <v>0</v>
      </c>
      <c r="BQ155" s="108">
        <v>0</v>
      </c>
      <c r="BR155" s="108">
        <v>0</v>
      </c>
      <c r="BS155" s="108">
        <v>0</v>
      </c>
      <c r="BT155" s="108">
        <v>0</v>
      </c>
      <c r="BU155" s="108">
        <v>0</v>
      </c>
      <c r="BV155" s="108">
        <v>0</v>
      </c>
      <c r="BW155" s="108">
        <v>0</v>
      </c>
      <c r="BX155" s="108">
        <v>0</v>
      </c>
      <c r="BY155" s="108">
        <v>0</v>
      </c>
      <c r="BZ155" s="108">
        <v>0</v>
      </c>
      <c r="CA155" s="108">
        <v>0</v>
      </c>
      <c r="CB155" s="108">
        <v>0</v>
      </c>
    </row>
    <row r="156" spans="2:80" x14ac:dyDescent="0.55000000000000004">
      <c r="AQ156" s="104" t="str">
        <f>$V$55</f>
        <v>Óscar</v>
      </c>
      <c r="AR156" s="54">
        <v>0</v>
      </c>
      <c r="AS156" s="54">
        <v>0</v>
      </c>
      <c r="AT156" s="54">
        <v>0</v>
      </c>
      <c r="AU156" s="54">
        <v>0</v>
      </c>
      <c r="AV156" s="54">
        <v>1</v>
      </c>
      <c r="AW156" s="54">
        <v>0</v>
      </c>
      <c r="AX156" s="54">
        <v>1</v>
      </c>
      <c r="AY156" s="54">
        <v>0</v>
      </c>
      <c r="AZ156" s="54">
        <v>0</v>
      </c>
      <c r="BA156" s="54">
        <v>1</v>
      </c>
      <c r="BB156" s="54">
        <v>0</v>
      </c>
      <c r="BC156" s="54">
        <v>0</v>
      </c>
      <c r="BD156" s="54">
        <v>0</v>
      </c>
      <c r="BE156" s="54">
        <v>0</v>
      </c>
      <c r="BF156" s="54">
        <v>0</v>
      </c>
      <c r="BG156" s="54">
        <v>0</v>
      </c>
      <c r="BH156" s="54">
        <v>0</v>
      </c>
      <c r="BK156" s="104" t="str">
        <f>$V$88</f>
        <v>-</v>
      </c>
      <c r="BL156" s="108">
        <v>0</v>
      </c>
      <c r="BM156" s="108">
        <v>0</v>
      </c>
      <c r="BN156" s="108">
        <v>0</v>
      </c>
      <c r="BO156" s="108">
        <v>0</v>
      </c>
      <c r="BP156" s="108">
        <v>0</v>
      </c>
      <c r="BQ156" s="108">
        <v>0</v>
      </c>
      <c r="BR156" s="108">
        <v>0</v>
      </c>
      <c r="BS156" s="108">
        <v>0</v>
      </c>
      <c r="BT156" s="108">
        <v>0</v>
      </c>
      <c r="BU156" s="108">
        <v>0</v>
      </c>
      <c r="BV156" s="108">
        <v>0</v>
      </c>
      <c r="BW156" s="108">
        <v>0</v>
      </c>
      <c r="BX156" s="108">
        <v>0</v>
      </c>
      <c r="BY156" s="108">
        <v>0</v>
      </c>
      <c r="BZ156" s="108">
        <v>0</v>
      </c>
      <c r="CA156" s="108">
        <v>0</v>
      </c>
      <c r="CB156" s="108">
        <v>0</v>
      </c>
    </row>
    <row r="157" spans="2:80" x14ac:dyDescent="0.55000000000000004">
      <c r="AQ157" s="104" t="str">
        <f>$V$56</f>
        <v>Sebastián</v>
      </c>
      <c r="AR157" s="54">
        <v>0</v>
      </c>
      <c r="AS157" s="54">
        <v>0</v>
      </c>
      <c r="AT157" s="54">
        <v>0</v>
      </c>
      <c r="AU157" s="54">
        <v>0</v>
      </c>
      <c r="AV157" s="54">
        <v>0</v>
      </c>
      <c r="AW157" s="54">
        <v>0</v>
      </c>
      <c r="AX157" s="54">
        <v>0</v>
      </c>
      <c r="AY157" s="54">
        <v>0</v>
      </c>
      <c r="AZ157" s="54">
        <v>1</v>
      </c>
      <c r="BA157" s="54">
        <v>0</v>
      </c>
      <c r="BB157" s="54">
        <v>1</v>
      </c>
      <c r="BC157" s="54">
        <v>0</v>
      </c>
      <c r="BD157" s="54">
        <v>0</v>
      </c>
      <c r="BE157" s="54">
        <v>0</v>
      </c>
      <c r="BF157" s="54">
        <v>0</v>
      </c>
      <c r="BG157" s="54">
        <v>0</v>
      </c>
      <c r="BH157" s="54">
        <v>0</v>
      </c>
      <c r="BK157" s="104" t="str">
        <f>$V$89</f>
        <v>-</v>
      </c>
      <c r="BL157" s="108">
        <v>0</v>
      </c>
      <c r="BM157" s="108">
        <v>0</v>
      </c>
      <c r="BN157" s="108">
        <v>0</v>
      </c>
      <c r="BO157" s="108">
        <v>0</v>
      </c>
      <c r="BP157" s="108">
        <v>0</v>
      </c>
      <c r="BQ157" s="108">
        <v>0</v>
      </c>
      <c r="BR157" s="108">
        <v>0</v>
      </c>
      <c r="BS157" s="108">
        <v>0</v>
      </c>
      <c r="BT157" s="108">
        <v>0</v>
      </c>
      <c r="BU157" s="108">
        <v>0</v>
      </c>
      <c r="BV157" s="108">
        <v>0</v>
      </c>
      <c r="BW157" s="108">
        <v>0</v>
      </c>
      <c r="BX157" s="108">
        <v>0</v>
      </c>
      <c r="BY157" s="108">
        <v>0</v>
      </c>
      <c r="BZ157" s="108">
        <v>0</v>
      </c>
      <c r="CA157" s="108">
        <v>0</v>
      </c>
      <c r="CB157" s="108">
        <v>0</v>
      </c>
    </row>
    <row r="158" spans="2:80" x14ac:dyDescent="0.55000000000000004">
      <c r="AQ158" s="104" t="str">
        <f>$V$57</f>
        <v>Marcos</v>
      </c>
      <c r="AR158" s="54">
        <v>0</v>
      </c>
      <c r="AS158" s="54">
        <v>1</v>
      </c>
      <c r="AT158" s="54">
        <v>0</v>
      </c>
      <c r="AU158" s="54">
        <v>0</v>
      </c>
      <c r="AV158" s="54">
        <v>0</v>
      </c>
      <c r="AW158" s="54">
        <v>1</v>
      </c>
      <c r="AX158" s="54">
        <v>0</v>
      </c>
      <c r="AY158" s="54">
        <v>0</v>
      </c>
      <c r="AZ158" s="54">
        <v>0</v>
      </c>
      <c r="BA158" s="54">
        <v>0</v>
      </c>
      <c r="BB158" s="54">
        <v>0</v>
      </c>
      <c r="BC158" s="54">
        <v>0</v>
      </c>
      <c r="BD158" s="54">
        <v>0</v>
      </c>
      <c r="BE158" s="54">
        <v>0</v>
      </c>
      <c r="BF158" s="54">
        <v>0</v>
      </c>
      <c r="BG158" s="54">
        <v>0</v>
      </c>
      <c r="BH158" s="54">
        <v>0</v>
      </c>
      <c r="BK158" s="104" t="str">
        <f>$V$90</f>
        <v>-</v>
      </c>
      <c r="BL158" s="108">
        <v>0</v>
      </c>
      <c r="BM158" s="108">
        <v>0</v>
      </c>
      <c r="BN158" s="108">
        <v>0</v>
      </c>
      <c r="BO158" s="108">
        <v>0</v>
      </c>
      <c r="BP158" s="108">
        <v>0</v>
      </c>
      <c r="BQ158" s="108">
        <v>0</v>
      </c>
      <c r="BR158" s="108">
        <v>0</v>
      </c>
      <c r="BS158" s="108">
        <v>0</v>
      </c>
      <c r="BT158" s="108">
        <v>0</v>
      </c>
      <c r="BU158" s="108">
        <v>0</v>
      </c>
      <c r="BV158" s="108">
        <v>0</v>
      </c>
      <c r="BW158" s="108">
        <v>0</v>
      </c>
      <c r="BX158" s="108">
        <v>0</v>
      </c>
      <c r="BY158" s="108">
        <v>0</v>
      </c>
      <c r="BZ158" s="108">
        <v>0</v>
      </c>
      <c r="CA158" s="108">
        <v>0</v>
      </c>
      <c r="CB158" s="108">
        <v>0</v>
      </c>
    </row>
    <row r="159" spans="2:80" x14ac:dyDescent="0.55000000000000004">
      <c r="B159" s="16" t="s">
        <v>17</v>
      </c>
      <c r="AM159" s="108"/>
      <c r="AQ159" s="104" t="str">
        <f>$V$58</f>
        <v>Weixin</v>
      </c>
      <c r="AR159" s="54">
        <v>0</v>
      </c>
      <c r="AS159" s="54">
        <v>0</v>
      </c>
      <c r="AT159" s="54">
        <v>0</v>
      </c>
      <c r="AU159" s="54">
        <v>0</v>
      </c>
      <c r="AV159" s="54">
        <v>0</v>
      </c>
      <c r="AW159" s="54">
        <v>0</v>
      </c>
      <c r="AX159" s="54">
        <v>0</v>
      </c>
      <c r="AY159" s="54">
        <v>0</v>
      </c>
      <c r="AZ159" s="54">
        <v>0</v>
      </c>
      <c r="BA159" s="54">
        <v>0</v>
      </c>
      <c r="BB159" s="54">
        <v>1</v>
      </c>
      <c r="BC159" s="54">
        <v>0</v>
      </c>
      <c r="BD159" s="54">
        <v>0</v>
      </c>
      <c r="BE159" s="54">
        <v>0</v>
      </c>
      <c r="BF159" s="54">
        <v>0</v>
      </c>
      <c r="BG159" s="54">
        <v>0</v>
      </c>
      <c r="BH159" s="54">
        <v>0</v>
      </c>
      <c r="BK159" s="104" t="str">
        <f>$V$91</f>
        <v>-</v>
      </c>
      <c r="BL159" s="108">
        <v>0</v>
      </c>
      <c r="BM159" s="108">
        <v>0</v>
      </c>
      <c r="BN159" s="108">
        <v>0</v>
      </c>
      <c r="BO159" s="108">
        <v>0</v>
      </c>
      <c r="BP159" s="108">
        <v>0</v>
      </c>
      <c r="BQ159" s="108">
        <v>0</v>
      </c>
      <c r="BR159" s="108">
        <v>0</v>
      </c>
      <c r="BS159" s="108">
        <v>0</v>
      </c>
      <c r="BT159" s="108">
        <v>0</v>
      </c>
      <c r="BU159" s="108">
        <v>0</v>
      </c>
      <c r="BV159" s="108">
        <v>0</v>
      </c>
      <c r="BW159" s="108">
        <v>0</v>
      </c>
      <c r="BX159" s="108">
        <v>0</v>
      </c>
      <c r="BY159" s="108">
        <v>0</v>
      </c>
      <c r="BZ159" s="108">
        <v>0</v>
      </c>
      <c r="CA159" s="108">
        <v>0</v>
      </c>
      <c r="CB159" s="108">
        <v>0</v>
      </c>
    </row>
    <row r="160" spans="2:80" x14ac:dyDescent="0.55000000000000004">
      <c r="B160" s="104" t="str">
        <f>$BK$164</f>
        <v>C-mix</v>
      </c>
      <c r="C160" s="104" t="str">
        <f>$W$33</f>
        <v>16h</v>
      </c>
      <c r="D160" s="104" t="str">
        <f>$X$33</f>
        <v>17h</v>
      </c>
      <c r="E160" s="104" t="str">
        <f>$Y$33</f>
        <v>18h</v>
      </c>
      <c r="F160" s="104" t="str">
        <f>$Z$33</f>
        <v>19h</v>
      </c>
      <c r="G160" s="104" t="str">
        <f>$AA$33</f>
        <v>20h</v>
      </c>
      <c r="H160" s="104" t="str">
        <f>$AB$33</f>
        <v>21h</v>
      </c>
      <c r="I160" s="104" t="str">
        <f>$AC$33</f>
        <v>22h</v>
      </c>
      <c r="J160" s="104" t="str">
        <f>$AD$33</f>
        <v>23h</v>
      </c>
      <c r="K160" s="104" t="str">
        <f>$AE$33</f>
        <v>00h</v>
      </c>
      <c r="L160" s="104" t="str">
        <f>$AF$33</f>
        <v>01h</v>
      </c>
      <c r="M160" s="104" t="str">
        <f>$AG$33</f>
        <v>02h</v>
      </c>
      <c r="N160" s="104" t="str">
        <f>$AH$33</f>
        <v>03h</v>
      </c>
      <c r="O160" s="104" t="str">
        <f>$AI$33</f>
        <v>04h</v>
      </c>
      <c r="P160" s="104" t="str">
        <f>$AJ$33</f>
        <v>05h</v>
      </c>
      <c r="Q160" s="104" t="str">
        <f>$AK$33</f>
        <v>06h</v>
      </c>
      <c r="R160" s="104" t="str">
        <f>$AL$33</f>
        <v>07h</v>
      </c>
      <c r="S160" s="104" t="str">
        <f>$AM$33</f>
        <v>08h</v>
      </c>
      <c r="V160" s="104" t="str">
        <f>$BK$164</f>
        <v>C-mix</v>
      </c>
      <c r="W160" s="104" t="str">
        <f>$W$33</f>
        <v>16h</v>
      </c>
      <c r="X160" s="104" t="str">
        <f>$X$33</f>
        <v>17h</v>
      </c>
      <c r="Y160" s="104" t="str">
        <f>$Y$33</f>
        <v>18h</v>
      </c>
      <c r="Z160" s="104" t="str">
        <f>$Z$33</f>
        <v>19h</v>
      </c>
      <c r="AA160" s="104" t="str">
        <f>$AA$33</f>
        <v>20h</v>
      </c>
      <c r="AB160" s="104" t="str">
        <f>$AB$33</f>
        <v>21h</v>
      </c>
      <c r="AC160" s="104" t="str">
        <f>$AC$33</f>
        <v>22h</v>
      </c>
      <c r="AD160" s="104" t="str">
        <f>$AD$33</f>
        <v>23h</v>
      </c>
      <c r="AE160" s="104" t="str">
        <f>$AE$33</f>
        <v>00h</v>
      </c>
      <c r="AF160" s="104" t="str">
        <f>$AF$33</f>
        <v>01h</v>
      </c>
      <c r="AG160" s="104" t="str">
        <f>$AG$33</f>
        <v>02h</v>
      </c>
      <c r="AH160" s="104" t="str">
        <f>$AH$33</f>
        <v>03h</v>
      </c>
      <c r="AI160" s="104" t="str">
        <f>$AI$33</f>
        <v>04h</v>
      </c>
      <c r="AJ160" s="104" t="str">
        <f>$AJ$33</f>
        <v>05h</v>
      </c>
      <c r="AK160" s="104" t="str">
        <f>$AK$33</f>
        <v>06h</v>
      </c>
      <c r="AL160" s="104" t="str">
        <f>$AL$33</f>
        <v>07h</v>
      </c>
      <c r="AM160" s="104" t="str">
        <f>$AM$33</f>
        <v>08h</v>
      </c>
      <c r="AQ160" s="104" t="str">
        <f>$V$59</f>
        <v>Benjamin</v>
      </c>
      <c r="AR160" s="54">
        <v>0</v>
      </c>
      <c r="AS160" s="54">
        <v>0</v>
      </c>
      <c r="AT160" s="54">
        <v>0</v>
      </c>
      <c r="AU160" s="54">
        <v>1</v>
      </c>
      <c r="AV160" s="54">
        <v>0</v>
      </c>
      <c r="AW160" s="54">
        <v>0</v>
      </c>
      <c r="AX160" s="54">
        <v>0</v>
      </c>
      <c r="AY160" s="54">
        <v>0</v>
      </c>
      <c r="AZ160" s="54">
        <v>0</v>
      </c>
      <c r="BA160" s="54">
        <v>0</v>
      </c>
      <c r="BB160" s="54">
        <v>1</v>
      </c>
      <c r="BC160" s="54">
        <v>0</v>
      </c>
      <c r="BD160" s="54">
        <v>0</v>
      </c>
      <c r="BE160" s="54">
        <v>0</v>
      </c>
      <c r="BF160" s="54">
        <v>0</v>
      </c>
      <c r="BG160" s="54">
        <v>0</v>
      </c>
      <c r="BH160" s="54">
        <v>0</v>
      </c>
      <c r="BK160" s="104" t="str">
        <f>$V$92</f>
        <v>-</v>
      </c>
      <c r="BL160" s="108">
        <v>0</v>
      </c>
      <c r="BM160" s="108">
        <v>0</v>
      </c>
      <c r="BN160" s="108">
        <v>0</v>
      </c>
      <c r="BO160" s="108">
        <v>0</v>
      </c>
      <c r="BP160" s="108">
        <v>0</v>
      </c>
      <c r="BQ160" s="108">
        <v>0</v>
      </c>
      <c r="BR160" s="108">
        <v>0</v>
      </c>
      <c r="BS160" s="108">
        <v>0</v>
      </c>
      <c r="BT160" s="108">
        <v>0</v>
      </c>
      <c r="BU160" s="108">
        <v>0</v>
      </c>
      <c r="BV160" s="108">
        <v>0</v>
      </c>
      <c r="BW160" s="108">
        <v>0</v>
      </c>
      <c r="BX160" s="108">
        <v>0</v>
      </c>
      <c r="BY160" s="108">
        <v>0</v>
      </c>
      <c r="BZ160" s="108">
        <v>0</v>
      </c>
      <c r="CA160" s="108">
        <v>0</v>
      </c>
      <c r="CB160" s="108">
        <v>0</v>
      </c>
    </row>
    <row r="161" spans="2:80" x14ac:dyDescent="0.55000000000000004">
      <c r="B161" s="104" t="str">
        <f>$V$53</f>
        <v>Jennifer</v>
      </c>
      <c r="C161" s="108">
        <f t="shared" ref="C161:C200" si="3">AR34+AR74+AR114+AR154+AR194+AR234+AR274+AR314+AR354+AR394+AR434+AR474+AR514+AR554+AR594</f>
        <v>1</v>
      </c>
      <c r="D161" s="108">
        <f t="shared" ref="D161:D200" si="4">AS34+AS74+AS114+AS154+AS194+AS234+AS274+AS314+AS354+AS394+AS434+AS474+AS514+AS554+AS594</f>
        <v>1</v>
      </c>
      <c r="E161" s="108">
        <f t="shared" ref="E161:E200" si="5">AT34+AT74+AT114+AT154+AT194+AT234+AT274+AT314+AT354+AT394+AT434+AT474+AT514+AT554+AT594</f>
        <v>1</v>
      </c>
      <c r="F161" s="108">
        <f t="shared" ref="F161:F200" si="6">AU34+AU74+AU114+AU154+AU194+AU234+AU274+AU314+AU354+AU394+AU434+AU474+AU514+AU554+AU594</f>
        <v>1</v>
      </c>
      <c r="G161" s="108">
        <f t="shared" ref="G161:G200" si="7">AV34+AV74+AV114+AV154+AV194+AV234+AV274+AV314+AV354+AV394+AV434+AV474+AV514+AV554+AV594</f>
        <v>1</v>
      </c>
      <c r="H161" s="108">
        <f t="shared" ref="H161:H200" si="8">AW34+AW74+AW114+AW154+AW194+AW234+AW274+AW314+AW354+AW394+AW434+AW474+AW514+AW554+AW594</f>
        <v>1</v>
      </c>
      <c r="I161" s="108">
        <f t="shared" ref="I161:I200" si="9">AX34+AX74+AX114+AX154+AX194+AX234+AX274+AX314+AX354+AX394+AX434+AX474+AX514+AX554+AX594</f>
        <v>1</v>
      </c>
      <c r="J161" s="108">
        <f t="shared" ref="J161:J200" si="10">AY34+AY74+AY114+AY154+AY194+AY234+AY274+AY314+AY354+AY394+AY434+AY474+AY514+AY554+AY594</f>
        <v>1</v>
      </c>
      <c r="K161" s="108">
        <f t="shared" ref="K161:K200" si="11">AZ34+AZ74+AZ114+AZ154+AZ194+AZ234+AZ274+AZ314+AZ354+AZ394+AZ434+AZ474+AZ514+AZ554+AZ594</f>
        <v>1</v>
      </c>
      <c r="L161" s="108">
        <f t="shared" ref="L161:L200" si="12">BA34+BA74+BA114+BA154+BA194+BA234+BA274+BA314+BA354+BA394+BA434+BA474+BA514+BA554+BA594</f>
        <v>1</v>
      </c>
      <c r="M161" s="108">
        <f t="shared" ref="M161:M200" si="13">BB34+BB74+BB114+BB154+BB194+BB234+BB274+BB314+BB354+BB394+BB434+BB474+BB514+BB554+BB594</f>
        <v>1</v>
      </c>
      <c r="N161" s="108">
        <f t="shared" ref="N161:N200" si="14">BC34+BC74+BC114+BC154+BC194+BC234+BC274+BC314+BC354+BC394+BC434+BC474+BC514+BC554+BC594</f>
        <v>1</v>
      </c>
      <c r="O161" s="108">
        <f t="shared" ref="O161:O200" si="15">BD34+BD74+BD114+BD154+BD194+BD234+BD274+BD314+BD354+BD394+BD434+BD474+BD514+BD554+BD594</f>
        <v>0</v>
      </c>
      <c r="P161" s="108">
        <f t="shared" ref="P161:P200" si="16">BE34+BE74+BE114+BE154+BE194+BE234+BE274+BE314+BE354+BE394+BE434+BE474+BE514+BE554+BE594</f>
        <v>0</v>
      </c>
      <c r="Q161" s="108">
        <f t="shared" ref="Q161:Q200" si="17">BF34+BF74+BF114+BF154+BF194+BF234+BF274+BF314+BF354+BF394+BF434+BF474+BF514+BF554+BF594</f>
        <v>0</v>
      </c>
      <c r="R161" s="108">
        <f t="shared" ref="R161:R200" si="18">BG34+BG74+BG114+BG154+BG194+BG234+BG274+BG314+BG354+BG394+BG434+BG474+BG514+BG554+BG594</f>
        <v>0</v>
      </c>
      <c r="S161" s="108">
        <f t="shared" ref="S161:S200" si="19">BH34+BH74+BH114+BH154+BH194+BH234+BH274+BH314+BH354+BH394+BH434+BH474+BH514+BH554+BH594</f>
        <v>0</v>
      </c>
      <c r="T161" s="102" t="s">
        <v>20</v>
      </c>
      <c r="V161" s="104" t="str">
        <f>$V$53</f>
        <v>Jennifer</v>
      </c>
      <c r="W161" s="108">
        <f t="shared" ref="W161:AM161" si="20">W53</f>
        <v>1</v>
      </c>
      <c r="X161" s="108">
        <f t="shared" si="20"/>
        <v>1</v>
      </c>
      <c r="Y161" s="108">
        <f t="shared" si="20"/>
        <v>1</v>
      </c>
      <c r="Z161" s="108">
        <f t="shared" si="20"/>
        <v>1</v>
      </c>
      <c r="AA161" s="108">
        <f t="shared" si="20"/>
        <v>1</v>
      </c>
      <c r="AB161" s="108">
        <f t="shared" si="20"/>
        <v>1</v>
      </c>
      <c r="AC161" s="108">
        <f t="shared" si="20"/>
        <v>1</v>
      </c>
      <c r="AD161" s="108">
        <f t="shared" si="20"/>
        <v>1</v>
      </c>
      <c r="AE161" s="108">
        <f t="shared" si="20"/>
        <v>1</v>
      </c>
      <c r="AF161" s="108">
        <f t="shared" si="20"/>
        <v>1</v>
      </c>
      <c r="AG161" s="108">
        <f t="shared" si="20"/>
        <v>1</v>
      </c>
      <c r="AH161" s="108">
        <f t="shared" si="20"/>
        <v>1</v>
      </c>
      <c r="AI161" s="108">
        <f t="shared" si="20"/>
        <v>0</v>
      </c>
      <c r="AJ161" s="108">
        <f t="shared" si="20"/>
        <v>0</v>
      </c>
      <c r="AK161" s="108">
        <f t="shared" si="20"/>
        <v>0</v>
      </c>
      <c r="AL161" s="108">
        <f t="shared" si="20"/>
        <v>0</v>
      </c>
      <c r="AM161" s="108">
        <f t="shared" si="20"/>
        <v>0</v>
      </c>
      <c r="AQ161" s="104" t="str">
        <f>$V$60</f>
        <v>Joelle</v>
      </c>
      <c r="AR161" s="54">
        <v>0</v>
      </c>
      <c r="AS161" s="54">
        <v>0</v>
      </c>
      <c r="AT161" s="54">
        <v>0</v>
      </c>
      <c r="AU161" s="54">
        <v>0</v>
      </c>
      <c r="AV161" s="54">
        <v>0</v>
      </c>
      <c r="AW161" s="54">
        <v>0</v>
      </c>
      <c r="AX161" s="54">
        <v>0</v>
      </c>
      <c r="AY161" s="54">
        <v>0</v>
      </c>
      <c r="AZ161" s="54">
        <v>0</v>
      </c>
      <c r="BA161" s="54">
        <v>0</v>
      </c>
      <c r="BB161" s="54">
        <v>0</v>
      </c>
      <c r="BC161" s="54">
        <v>0</v>
      </c>
      <c r="BD161" s="54">
        <v>0</v>
      </c>
      <c r="BE161" s="54">
        <v>0</v>
      </c>
      <c r="BF161" s="54">
        <v>0</v>
      </c>
      <c r="BG161" s="54">
        <v>0</v>
      </c>
      <c r="BH161" s="54">
        <v>0</v>
      </c>
    </row>
    <row r="162" spans="2:80" x14ac:dyDescent="0.55000000000000004">
      <c r="B162" s="104" t="str">
        <f>$V$54</f>
        <v>Galileo</v>
      </c>
      <c r="C162" s="108">
        <f t="shared" si="3"/>
        <v>1</v>
      </c>
      <c r="D162" s="108">
        <f t="shared" si="4"/>
        <v>1</v>
      </c>
      <c r="E162" s="108">
        <f t="shared" si="5"/>
        <v>1</v>
      </c>
      <c r="F162" s="108">
        <f t="shared" si="6"/>
        <v>1</v>
      </c>
      <c r="G162" s="108">
        <f t="shared" si="7"/>
        <v>1</v>
      </c>
      <c r="H162" s="108">
        <f t="shared" si="8"/>
        <v>1</v>
      </c>
      <c r="I162" s="108">
        <f t="shared" si="9"/>
        <v>1</v>
      </c>
      <c r="J162" s="108">
        <f t="shared" si="10"/>
        <v>1</v>
      </c>
      <c r="K162" s="108">
        <f t="shared" si="11"/>
        <v>1</v>
      </c>
      <c r="L162" s="108">
        <f t="shared" si="12"/>
        <v>1</v>
      </c>
      <c r="M162" s="108">
        <f t="shared" si="13"/>
        <v>1</v>
      </c>
      <c r="N162" s="108">
        <f t="shared" si="14"/>
        <v>1</v>
      </c>
      <c r="O162" s="108">
        <f t="shared" si="15"/>
        <v>0</v>
      </c>
      <c r="P162" s="108">
        <f t="shared" si="16"/>
        <v>0</v>
      </c>
      <c r="Q162" s="108">
        <f t="shared" si="17"/>
        <v>0</v>
      </c>
      <c r="R162" s="108">
        <f t="shared" si="18"/>
        <v>0</v>
      </c>
      <c r="S162" s="108">
        <f t="shared" si="19"/>
        <v>0</v>
      </c>
      <c r="T162" s="102" t="s">
        <v>20</v>
      </c>
      <c r="V162" s="104" t="str">
        <f>$V$54</f>
        <v>Galileo</v>
      </c>
      <c r="W162" s="108">
        <f t="shared" ref="W162:AM162" si="21">W54</f>
        <v>1</v>
      </c>
      <c r="X162" s="108">
        <f t="shared" si="21"/>
        <v>1</v>
      </c>
      <c r="Y162" s="108">
        <f t="shared" si="21"/>
        <v>1</v>
      </c>
      <c r="Z162" s="108">
        <f t="shared" si="21"/>
        <v>1</v>
      </c>
      <c r="AA162" s="108">
        <f t="shared" si="21"/>
        <v>1</v>
      </c>
      <c r="AB162" s="108">
        <f t="shared" si="21"/>
        <v>1</v>
      </c>
      <c r="AC162" s="108">
        <f t="shared" si="21"/>
        <v>1</v>
      </c>
      <c r="AD162" s="108">
        <f t="shared" si="21"/>
        <v>1</v>
      </c>
      <c r="AE162" s="108">
        <f t="shared" si="21"/>
        <v>1</v>
      </c>
      <c r="AF162" s="108">
        <f t="shared" si="21"/>
        <v>1</v>
      </c>
      <c r="AG162" s="108">
        <f t="shared" si="21"/>
        <v>1</v>
      </c>
      <c r="AH162" s="108">
        <f t="shared" si="21"/>
        <v>1</v>
      </c>
      <c r="AI162" s="108">
        <f t="shared" si="21"/>
        <v>0</v>
      </c>
      <c r="AJ162" s="108">
        <f t="shared" si="21"/>
        <v>0</v>
      </c>
      <c r="AK162" s="108">
        <f t="shared" si="21"/>
        <v>0</v>
      </c>
      <c r="AL162" s="108">
        <f t="shared" si="21"/>
        <v>0</v>
      </c>
      <c r="AM162" s="108">
        <f t="shared" si="21"/>
        <v>0</v>
      </c>
      <c r="AQ162" s="104" t="str">
        <f>$V$61</f>
        <v>Alexia</v>
      </c>
      <c r="AR162" s="54">
        <v>0</v>
      </c>
      <c r="AS162" s="54">
        <v>0</v>
      </c>
      <c r="AT162" s="54">
        <v>0</v>
      </c>
      <c r="AU162" s="54">
        <v>0</v>
      </c>
      <c r="AV162" s="54">
        <v>0</v>
      </c>
      <c r="AW162" s="54">
        <v>0</v>
      </c>
      <c r="AX162" s="54">
        <v>0</v>
      </c>
      <c r="AY162" s="54">
        <v>0</v>
      </c>
      <c r="AZ162" s="54">
        <v>0</v>
      </c>
      <c r="BA162" s="54">
        <v>0</v>
      </c>
      <c r="BB162" s="54">
        <v>0</v>
      </c>
      <c r="BC162" s="54">
        <v>0</v>
      </c>
      <c r="BD162" s="54">
        <v>0</v>
      </c>
      <c r="BE162" s="54">
        <v>0</v>
      </c>
      <c r="BF162" s="54">
        <v>0</v>
      </c>
      <c r="BG162" s="54">
        <v>0</v>
      </c>
      <c r="BH162" s="54">
        <v>0</v>
      </c>
    </row>
    <row r="163" spans="2:80" x14ac:dyDescent="0.55000000000000004">
      <c r="B163" s="104" t="str">
        <f>$V$55</f>
        <v>Óscar</v>
      </c>
      <c r="C163" s="108">
        <f t="shared" si="3"/>
        <v>1</v>
      </c>
      <c r="D163" s="108">
        <f t="shared" si="4"/>
        <v>1</v>
      </c>
      <c r="E163" s="108">
        <f t="shared" si="5"/>
        <v>1</v>
      </c>
      <c r="F163" s="108">
        <f t="shared" si="6"/>
        <v>1</v>
      </c>
      <c r="G163" s="108">
        <f t="shared" si="7"/>
        <v>1</v>
      </c>
      <c r="H163" s="108">
        <f t="shared" si="8"/>
        <v>1</v>
      </c>
      <c r="I163" s="108">
        <f t="shared" si="9"/>
        <v>1</v>
      </c>
      <c r="J163" s="108">
        <f t="shared" si="10"/>
        <v>1</v>
      </c>
      <c r="K163" s="108">
        <f t="shared" si="11"/>
        <v>1</v>
      </c>
      <c r="L163" s="108">
        <f t="shared" si="12"/>
        <v>1</v>
      </c>
      <c r="M163" s="108">
        <f t="shared" si="13"/>
        <v>1</v>
      </c>
      <c r="N163" s="108">
        <f t="shared" si="14"/>
        <v>1</v>
      </c>
      <c r="O163" s="108">
        <f t="shared" si="15"/>
        <v>0</v>
      </c>
      <c r="P163" s="108">
        <f t="shared" si="16"/>
        <v>0</v>
      </c>
      <c r="Q163" s="108">
        <f t="shared" si="17"/>
        <v>0</v>
      </c>
      <c r="R163" s="108">
        <f t="shared" si="18"/>
        <v>0</v>
      </c>
      <c r="S163" s="108">
        <f t="shared" si="19"/>
        <v>0</v>
      </c>
      <c r="T163" s="102" t="s">
        <v>20</v>
      </c>
      <c r="V163" s="104" t="str">
        <f>$V$55</f>
        <v>Óscar</v>
      </c>
      <c r="W163" s="108">
        <f t="shared" ref="W163:AM163" si="22">W55</f>
        <v>1</v>
      </c>
      <c r="X163" s="108">
        <f t="shared" si="22"/>
        <v>1</v>
      </c>
      <c r="Y163" s="108">
        <f t="shared" si="22"/>
        <v>1</v>
      </c>
      <c r="Z163" s="108">
        <f t="shared" si="22"/>
        <v>1</v>
      </c>
      <c r="AA163" s="108">
        <f t="shared" si="22"/>
        <v>1</v>
      </c>
      <c r="AB163" s="108">
        <f t="shared" si="22"/>
        <v>1</v>
      </c>
      <c r="AC163" s="108">
        <f t="shared" si="22"/>
        <v>1</v>
      </c>
      <c r="AD163" s="108">
        <f t="shared" si="22"/>
        <v>1</v>
      </c>
      <c r="AE163" s="108">
        <f t="shared" si="22"/>
        <v>1</v>
      </c>
      <c r="AF163" s="108">
        <f t="shared" si="22"/>
        <v>1</v>
      </c>
      <c r="AG163" s="108">
        <f t="shared" si="22"/>
        <v>1</v>
      </c>
      <c r="AH163" s="108">
        <f t="shared" si="22"/>
        <v>1</v>
      </c>
      <c r="AI163" s="108">
        <f t="shared" si="22"/>
        <v>0</v>
      </c>
      <c r="AJ163" s="108">
        <f t="shared" si="22"/>
        <v>0</v>
      </c>
      <c r="AK163" s="108">
        <f t="shared" si="22"/>
        <v>0</v>
      </c>
      <c r="AL163" s="108">
        <f t="shared" si="22"/>
        <v>0</v>
      </c>
      <c r="AM163" s="108">
        <f t="shared" si="22"/>
        <v>0</v>
      </c>
      <c r="AQ163" s="104" t="str">
        <f>$V$62</f>
        <v>Joao</v>
      </c>
      <c r="AR163" s="54">
        <v>0</v>
      </c>
      <c r="AS163" s="54">
        <v>0</v>
      </c>
      <c r="AT163" s="54">
        <v>0</v>
      </c>
      <c r="AU163" s="54">
        <v>0</v>
      </c>
      <c r="AV163" s="54">
        <v>0</v>
      </c>
      <c r="AW163" s="54">
        <v>0</v>
      </c>
      <c r="AX163" s="54">
        <v>0</v>
      </c>
      <c r="AY163" s="54">
        <v>0</v>
      </c>
      <c r="AZ163" s="54">
        <v>0</v>
      </c>
      <c r="BA163" s="54">
        <v>0</v>
      </c>
      <c r="BB163" s="54">
        <v>0</v>
      </c>
      <c r="BC163" s="54">
        <v>0</v>
      </c>
      <c r="BD163" s="54">
        <v>0</v>
      </c>
      <c r="BE163" s="54">
        <v>0</v>
      </c>
      <c r="BF163" s="54">
        <v>0</v>
      </c>
      <c r="BG163" s="54">
        <v>0</v>
      </c>
      <c r="BH163" s="54">
        <v>0</v>
      </c>
      <c r="BK163" s="104" t="str">
        <f>CONCATENATE("OBLIGATORIEDAD DE (",BK164,")")</f>
        <v>OBLIGATORIEDAD DE (C-mix)</v>
      </c>
    </row>
    <row r="164" spans="2:80" x14ac:dyDescent="0.55000000000000004">
      <c r="B164" s="104" t="str">
        <f>$V$56</f>
        <v>Sebastián</v>
      </c>
      <c r="C164" s="108">
        <f t="shared" si="3"/>
        <v>1</v>
      </c>
      <c r="D164" s="108">
        <f t="shared" si="4"/>
        <v>1</v>
      </c>
      <c r="E164" s="108">
        <f t="shared" si="5"/>
        <v>1</v>
      </c>
      <c r="F164" s="108">
        <f t="shared" si="6"/>
        <v>1</v>
      </c>
      <c r="G164" s="108">
        <f t="shared" si="7"/>
        <v>1</v>
      </c>
      <c r="H164" s="108">
        <f t="shared" si="8"/>
        <v>1</v>
      </c>
      <c r="I164" s="108">
        <f t="shared" si="9"/>
        <v>1</v>
      </c>
      <c r="J164" s="108">
        <f t="shared" si="10"/>
        <v>1</v>
      </c>
      <c r="K164" s="108">
        <f t="shared" si="11"/>
        <v>1</v>
      </c>
      <c r="L164" s="108">
        <f t="shared" si="12"/>
        <v>1</v>
      </c>
      <c r="M164" s="108">
        <f t="shared" si="13"/>
        <v>1</v>
      </c>
      <c r="N164" s="108">
        <f t="shared" si="14"/>
        <v>1</v>
      </c>
      <c r="O164" s="108">
        <f t="shared" si="15"/>
        <v>0</v>
      </c>
      <c r="P164" s="108">
        <f t="shared" si="16"/>
        <v>0</v>
      </c>
      <c r="Q164" s="108">
        <f t="shared" si="17"/>
        <v>0</v>
      </c>
      <c r="R164" s="108">
        <f t="shared" si="18"/>
        <v>0</v>
      </c>
      <c r="S164" s="108">
        <f t="shared" si="19"/>
        <v>0</v>
      </c>
      <c r="T164" s="102" t="s">
        <v>20</v>
      </c>
      <c r="V164" s="104" t="str">
        <f>$V$56</f>
        <v>Sebastián</v>
      </c>
      <c r="W164" s="108">
        <f t="shared" ref="W164:AM164" si="23">W56</f>
        <v>1</v>
      </c>
      <c r="X164" s="108">
        <f t="shared" si="23"/>
        <v>1</v>
      </c>
      <c r="Y164" s="108">
        <f t="shared" si="23"/>
        <v>1</v>
      </c>
      <c r="Z164" s="108">
        <f t="shared" si="23"/>
        <v>1</v>
      </c>
      <c r="AA164" s="108">
        <f t="shared" si="23"/>
        <v>1</v>
      </c>
      <c r="AB164" s="108">
        <f t="shared" si="23"/>
        <v>1</v>
      </c>
      <c r="AC164" s="108">
        <f t="shared" si="23"/>
        <v>1</v>
      </c>
      <c r="AD164" s="108">
        <f t="shared" si="23"/>
        <v>1</v>
      </c>
      <c r="AE164" s="108">
        <f t="shared" si="23"/>
        <v>1</v>
      </c>
      <c r="AF164" s="108">
        <f t="shared" si="23"/>
        <v>1</v>
      </c>
      <c r="AG164" s="108">
        <f t="shared" si="23"/>
        <v>1</v>
      </c>
      <c r="AH164" s="108">
        <f t="shared" si="23"/>
        <v>1</v>
      </c>
      <c r="AI164" s="108">
        <f t="shared" si="23"/>
        <v>0</v>
      </c>
      <c r="AJ164" s="108">
        <f t="shared" si="23"/>
        <v>0</v>
      </c>
      <c r="AK164" s="108">
        <f t="shared" si="23"/>
        <v>0</v>
      </c>
      <c r="AL164" s="108">
        <f t="shared" si="23"/>
        <v>0</v>
      </c>
      <c r="AM164" s="108">
        <f t="shared" si="23"/>
        <v>0</v>
      </c>
      <c r="AQ164" s="104" t="str">
        <f>$V$63</f>
        <v>Maxime</v>
      </c>
      <c r="AR164" s="54">
        <v>0</v>
      </c>
      <c r="AS164" s="54">
        <v>0</v>
      </c>
      <c r="AT164" s="54">
        <v>0</v>
      </c>
      <c r="AU164" s="54">
        <v>0</v>
      </c>
      <c r="AV164" s="54">
        <v>0</v>
      </c>
      <c r="AW164" s="54">
        <v>0</v>
      </c>
      <c r="AX164" s="54">
        <v>0</v>
      </c>
      <c r="AY164" s="54">
        <v>0</v>
      </c>
      <c r="AZ164" s="54">
        <v>0</v>
      </c>
      <c r="BA164" s="54">
        <v>0</v>
      </c>
      <c r="BB164" s="54">
        <v>0</v>
      </c>
      <c r="BC164" s="54">
        <v>0</v>
      </c>
      <c r="BD164" s="54">
        <v>0</v>
      </c>
      <c r="BE164" s="54">
        <v>0</v>
      </c>
      <c r="BF164" s="54">
        <v>0</v>
      </c>
      <c r="BG164" s="54">
        <v>0</v>
      </c>
      <c r="BH164" s="54">
        <v>0</v>
      </c>
      <c r="BK164" s="104" t="str">
        <f>V37</f>
        <v>C-mix</v>
      </c>
      <c r="BL164" s="104" t="str">
        <f>$W$33</f>
        <v>16h</v>
      </c>
      <c r="BM164" s="104" t="str">
        <f>$X$33</f>
        <v>17h</v>
      </c>
      <c r="BN164" s="104" t="str">
        <f>$Y$33</f>
        <v>18h</v>
      </c>
      <c r="BO164" s="104" t="str">
        <f>$Z$33</f>
        <v>19h</v>
      </c>
      <c r="BP164" s="104" t="str">
        <f>$AA$33</f>
        <v>20h</v>
      </c>
      <c r="BQ164" s="104" t="str">
        <f>$AB$33</f>
        <v>21h</v>
      </c>
      <c r="BR164" s="104" t="str">
        <f>$AC$33</f>
        <v>22h</v>
      </c>
      <c r="BS164" s="104" t="str">
        <f>$AD$33</f>
        <v>23h</v>
      </c>
      <c r="BT164" s="104" t="str">
        <f>$AE$33</f>
        <v>00h</v>
      </c>
      <c r="BU164" s="104" t="str">
        <f>$AF$33</f>
        <v>01h</v>
      </c>
      <c r="BV164" s="104" t="str">
        <f>$AG$33</f>
        <v>02h</v>
      </c>
      <c r="BW164" s="104" t="str">
        <f>$AH$33</f>
        <v>03h</v>
      </c>
      <c r="BX164" s="104" t="str">
        <f>$AI$33</f>
        <v>04h</v>
      </c>
      <c r="BY164" s="104" t="str">
        <f>$AJ$33</f>
        <v>05h</v>
      </c>
      <c r="BZ164" s="104" t="str">
        <f>$AK$33</f>
        <v>06h</v>
      </c>
      <c r="CA164" s="104" t="str">
        <f>$AL$33</f>
        <v>07h</v>
      </c>
      <c r="CB164" s="104" t="str">
        <f>$AM$33</f>
        <v>08h</v>
      </c>
    </row>
    <row r="165" spans="2:80" x14ac:dyDescent="0.55000000000000004">
      <c r="B165" s="104" t="str">
        <f>$V$57</f>
        <v>Marcos</v>
      </c>
      <c r="C165" s="108">
        <f t="shared" si="3"/>
        <v>1</v>
      </c>
      <c r="D165" s="108">
        <f t="shared" si="4"/>
        <v>1</v>
      </c>
      <c r="E165" s="108">
        <f t="shared" si="5"/>
        <v>1</v>
      </c>
      <c r="F165" s="108">
        <f t="shared" si="6"/>
        <v>1</v>
      </c>
      <c r="G165" s="108">
        <f t="shared" si="7"/>
        <v>1</v>
      </c>
      <c r="H165" s="108">
        <f t="shared" si="8"/>
        <v>1</v>
      </c>
      <c r="I165" s="108">
        <f t="shared" si="9"/>
        <v>1</v>
      </c>
      <c r="J165" s="108">
        <f t="shared" si="10"/>
        <v>1</v>
      </c>
      <c r="K165" s="108">
        <f t="shared" si="11"/>
        <v>1</v>
      </c>
      <c r="L165" s="108">
        <f t="shared" si="12"/>
        <v>1</v>
      </c>
      <c r="M165" s="108">
        <f t="shared" si="13"/>
        <v>1</v>
      </c>
      <c r="N165" s="108">
        <f t="shared" si="14"/>
        <v>1</v>
      </c>
      <c r="O165" s="108">
        <f t="shared" si="15"/>
        <v>0</v>
      </c>
      <c r="P165" s="108">
        <f t="shared" si="16"/>
        <v>0</v>
      </c>
      <c r="Q165" s="108">
        <f t="shared" si="17"/>
        <v>0</v>
      </c>
      <c r="R165" s="108">
        <f t="shared" si="18"/>
        <v>0</v>
      </c>
      <c r="S165" s="108">
        <f t="shared" si="19"/>
        <v>0</v>
      </c>
      <c r="T165" s="102" t="s">
        <v>20</v>
      </c>
      <c r="V165" s="104" t="str">
        <f>$V$57</f>
        <v>Marcos</v>
      </c>
      <c r="W165" s="108">
        <f t="shared" ref="W165:AM165" si="24">W57</f>
        <v>1</v>
      </c>
      <c r="X165" s="108">
        <f t="shared" si="24"/>
        <v>1</v>
      </c>
      <c r="Y165" s="108">
        <f t="shared" si="24"/>
        <v>1</v>
      </c>
      <c r="Z165" s="108">
        <f t="shared" si="24"/>
        <v>1</v>
      </c>
      <c r="AA165" s="108">
        <f t="shared" si="24"/>
        <v>1</v>
      </c>
      <c r="AB165" s="108">
        <f t="shared" si="24"/>
        <v>1</v>
      </c>
      <c r="AC165" s="108">
        <f t="shared" si="24"/>
        <v>1</v>
      </c>
      <c r="AD165" s="108">
        <f t="shared" si="24"/>
        <v>1</v>
      </c>
      <c r="AE165" s="108">
        <f t="shared" si="24"/>
        <v>1</v>
      </c>
      <c r="AF165" s="108">
        <f t="shared" si="24"/>
        <v>1</v>
      </c>
      <c r="AG165" s="108">
        <f t="shared" si="24"/>
        <v>1</v>
      </c>
      <c r="AH165" s="108">
        <f t="shared" si="24"/>
        <v>1</v>
      </c>
      <c r="AI165" s="108">
        <f t="shared" si="24"/>
        <v>0</v>
      </c>
      <c r="AJ165" s="108">
        <f t="shared" si="24"/>
        <v>0</v>
      </c>
      <c r="AK165" s="108">
        <f t="shared" si="24"/>
        <v>0</v>
      </c>
      <c r="AL165" s="108">
        <f t="shared" si="24"/>
        <v>0</v>
      </c>
      <c r="AM165" s="108">
        <f t="shared" si="24"/>
        <v>0</v>
      </c>
      <c r="AQ165" s="104" t="str">
        <f>$V$64</f>
        <v>Alex</v>
      </c>
      <c r="AR165" s="54">
        <v>0</v>
      </c>
      <c r="AS165" s="54">
        <v>0</v>
      </c>
      <c r="AT165" s="54">
        <v>0</v>
      </c>
      <c r="AU165" s="54">
        <v>0</v>
      </c>
      <c r="AV165" s="54">
        <v>0</v>
      </c>
      <c r="AW165" s="54">
        <v>0</v>
      </c>
      <c r="AX165" s="54">
        <v>0</v>
      </c>
      <c r="AY165" s="54">
        <v>0</v>
      </c>
      <c r="AZ165" s="54">
        <v>0</v>
      </c>
      <c r="BA165" s="54">
        <v>0</v>
      </c>
      <c r="BB165" s="54">
        <v>-2</v>
      </c>
      <c r="BC165" s="54">
        <v>0</v>
      </c>
      <c r="BD165" s="54">
        <v>0</v>
      </c>
      <c r="BE165" s="54">
        <v>0</v>
      </c>
      <c r="BF165" s="54">
        <v>0</v>
      </c>
      <c r="BG165" s="54">
        <v>0</v>
      </c>
      <c r="BH165" s="54">
        <v>0</v>
      </c>
      <c r="BK165" s="104" t="str">
        <f>$V$53</f>
        <v>Jennifer</v>
      </c>
      <c r="BL165" s="108">
        <v>0</v>
      </c>
      <c r="BM165" s="108">
        <v>0</v>
      </c>
      <c r="BN165" s="108">
        <v>0</v>
      </c>
      <c r="BO165" s="108">
        <v>0</v>
      </c>
      <c r="BP165" s="108">
        <v>0</v>
      </c>
      <c r="BQ165" s="108">
        <v>0</v>
      </c>
      <c r="BR165" s="108">
        <v>0</v>
      </c>
      <c r="BS165" s="108">
        <v>0</v>
      </c>
      <c r="BT165" s="108">
        <v>0</v>
      </c>
      <c r="BU165" s="108">
        <v>0</v>
      </c>
      <c r="BV165" s="108">
        <v>0</v>
      </c>
      <c r="BW165" s="108">
        <v>0</v>
      </c>
      <c r="BX165" s="108">
        <v>0</v>
      </c>
      <c r="BY165" s="108">
        <v>0</v>
      </c>
      <c r="BZ165" s="108">
        <v>0</v>
      </c>
      <c r="CA165" s="108">
        <v>0</v>
      </c>
      <c r="CB165" s="108">
        <v>0</v>
      </c>
    </row>
    <row r="166" spans="2:80" x14ac:dyDescent="0.55000000000000004">
      <c r="B166" s="104" t="str">
        <f>$V$58</f>
        <v>Weixin</v>
      </c>
      <c r="C166" s="108">
        <f t="shared" si="3"/>
        <v>1</v>
      </c>
      <c r="D166" s="108">
        <f t="shared" si="4"/>
        <v>1</v>
      </c>
      <c r="E166" s="108">
        <f t="shared" si="5"/>
        <v>1</v>
      </c>
      <c r="F166" s="108">
        <f t="shared" si="6"/>
        <v>1</v>
      </c>
      <c r="G166" s="108">
        <f t="shared" si="7"/>
        <v>1</v>
      </c>
      <c r="H166" s="108">
        <f t="shared" si="8"/>
        <v>1</v>
      </c>
      <c r="I166" s="108">
        <f t="shared" si="9"/>
        <v>1</v>
      </c>
      <c r="J166" s="108">
        <f t="shared" si="10"/>
        <v>1</v>
      </c>
      <c r="K166" s="108">
        <f t="shared" si="11"/>
        <v>1</v>
      </c>
      <c r="L166" s="108">
        <f t="shared" si="12"/>
        <v>1</v>
      </c>
      <c r="M166" s="108">
        <f t="shared" si="13"/>
        <v>1</v>
      </c>
      <c r="N166" s="108">
        <f t="shared" si="14"/>
        <v>1</v>
      </c>
      <c r="O166" s="108">
        <f t="shared" si="15"/>
        <v>0</v>
      </c>
      <c r="P166" s="108">
        <f t="shared" si="16"/>
        <v>0</v>
      </c>
      <c r="Q166" s="108">
        <f t="shared" si="17"/>
        <v>0</v>
      </c>
      <c r="R166" s="108">
        <f t="shared" si="18"/>
        <v>0</v>
      </c>
      <c r="S166" s="108">
        <f t="shared" si="19"/>
        <v>0</v>
      </c>
      <c r="T166" s="102" t="s">
        <v>20</v>
      </c>
      <c r="V166" s="104" t="str">
        <f>$V$58</f>
        <v>Weixin</v>
      </c>
      <c r="W166" s="108">
        <f t="shared" ref="W166:AM166" si="25">W58</f>
        <v>1</v>
      </c>
      <c r="X166" s="108">
        <f t="shared" si="25"/>
        <v>1</v>
      </c>
      <c r="Y166" s="108">
        <f t="shared" si="25"/>
        <v>1</v>
      </c>
      <c r="Z166" s="108">
        <f t="shared" si="25"/>
        <v>1</v>
      </c>
      <c r="AA166" s="108">
        <f t="shared" si="25"/>
        <v>1</v>
      </c>
      <c r="AB166" s="108">
        <f t="shared" si="25"/>
        <v>1</v>
      </c>
      <c r="AC166" s="108">
        <f t="shared" si="25"/>
        <v>1</v>
      </c>
      <c r="AD166" s="108">
        <f t="shared" si="25"/>
        <v>1</v>
      </c>
      <c r="AE166" s="108">
        <f t="shared" si="25"/>
        <v>1</v>
      </c>
      <c r="AF166" s="108">
        <f t="shared" si="25"/>
        <v>1</v>
      </c>
      <c r="AG166" s="108">
        <f t="shared" si="25"/>
        <v>1</v>
      </c>
      <c r="AH166" s="108">
        <f t="shared" si="25"/>
        <v>1</v>
      </c>
      <c r="AI166" s="108">
        <f t="shared" si="25"/>
        <v>0</v>
      </c>
      <c r="AJ166" s="108">
        <f t="shared" si="25"/>
        <v>0</v>
      </c>
      <c r="AK166" s="108">
        <f t="shared" si="25"/>
        <v>0</v>
      </c>
      <c r="AL166" s="108">
        <f t="shared" si="25"/>
        <v>0</v>
      </c>
      <c r="AM166" s="108">
        <f t="shared" si="25"/>
        <v>0</v>
      </c>
      <c r="AQ166" s="104" t="str">
        <f>$V$65</f>
        <v>Alyssa</v>
      </c>
      <c r="AR166" s="54">
        <v>0</v>
      </c>
      <c r="AS166" s="54">
        <v>0</v>
      </c>
      <c r="AT166" s="54">
        <v>0</v>
      </c>
      <c r="AU166" s="54">
        <v>0</v>
      </c>
      <c r="AV166" s="54">
        <v>0</v>
      </c>
      <c r="AW166" s="54">
        <v>0</v>
      </c>
      <c r="AX166" s="54">
        <v>0</v>
      </c>
      <c r="AY166" s="54">
        <v>0</v>
      </c>
      <c r="AZ166" s="54">
        <v>0</v>
      </c>
      <c r="BA166" s="54">
        <v>0</v>
      </c>
      <c r="BB166" s="54">
        <v>0</v>
      </c>
      <c r="BC166" s="54">
        <v>0</v>
      </c>
      <c r="BD166" s="54">
        <v>0</v>
      </c>
      <c r="BE166" s="54">
        <v>0</v>
      </c>
      <c r="BF166" s="54">
        <v>0</v>
      </c>
      <c r="BG166" s="54">
        <v>0</v>
      </c>
      <c r="BH166" s="54">
        <v>0</v>
      </c>
      <c r="BK166" s="104" t="str">
        <f>$V$54</f>
        <v>Galileo</v>
      </c>
      <c r="BL166" s="108">
        <v>0</v>
      </c>
      <c r="BM166" s="108">
        <v>0</v>
      </c>
      <c r="BN166" s="108">
        <v>0</v>
      </c>
      <c r="BO166" s="108">
        <v>0</v>
      </c>
      <c r="BP166" s="108">
        <v>0</v>
      </c>
      <c r="BQ166" s="108">
        <v>0</v>
      </c>
      <c r="BR166" s="108">
        <v>0</v>
      </c>
      <c r="BS166" s="108">
        <v>0</v>
      </c>
      <c r="BT166" s="108">
        <v>0</v>
      </c>
      <c r="BU166" s="108">
        <v>0</v>
      </c>
      <c r="BV166" s="108">
        <v>0</v>
      </c>
      <c r="BW166" s="108">
        <v>0</v>
      </c>
      <c r="BX166" s="108">
        <v>0</v>
      </c>
      <c r="BY166" s="108">
        <v>0</v>
      </c>
      <c r="BZ166" s="108">
        <v>0</v>
      </c>
      <c r="CA166" s="108">
        <v>0</v>
      </c>
      <c r="CB166" s="108">
        <v>0</v>
      </c>
    </row>
    <row r="167" spans="2:80" x14ac:dyDescent="0.55000000000000004">
      <c r="B167" s="104" t="str">
        <f>$V$59</f>
        <v>Benjamin</v>
      </c>
      <c r="C167" s="108">
        <f t="shared" si="3"/>
        <v>1</v>
      </c>
      <c r="D167" s="108">
        <f t="shared" si="4"/>
        <v>1</v>
      </c>
      <c r="E167" s="108">
        <f t="shared" si="5"/>
        <v>1</v>
      </c>
      <c r="F167" s="108">
        <f t="shared" si="6"/>
        <v>1</v>
      </c>
      <c r="G167" s="108">
        <f t="shared" si="7"/>
        <v>1</v>
      </c>
      <c r="H167" s="108">
        <f t="shared" si="8"/>
        <v>1</v>
      </c>
      <c r="I167" s="108">
        <f t="shared" si="9"/>
        <v>1</v>
      </c>
      <c r="J167" s="108">
        <f t="shared" si="10"/>
        <v>1</v>
      </c>
      <c r="K167" s="108">
        <f t="shared" si="11"/>
        <v>1</v>
      </c>
      <c r="L167" s="108">
        <f t="shared" si="12"/>
        <v>1</v>
      </c>
      <c r="M167" s="108">
        <f t="shared" si="13"/>
        <v>1</v>
      </c>
      <c r="N167" s="108">
        <f t="shared" si="14"/>
        <v>1</v>
      </c>
      <c r="O167" s="108">
        <f t="shared" si="15"/>
        <v>0</v>
      </c>
      <c r="P167" s="108">
        <f t="shared" si="16"/>
        <v>0</v>
      </c>
      <c r="Q167" s="108">
        <f t="shared" si="17"/>
        <v>0</v>
      </c>
      <c r="R167" s="108">
        <f t="shared" si="18"/>
        <v>0</v>
      </c>
      <c r="S167" s="108">
        <f t="shared" si="19"/>
        <v>0</v>
      </c>
      <c r="T167" s="102" t="s">
        <v>20</v>
      </c>
      <c r="V167" s="104" t="str">
        <f>$V$59</f>
        <v>Benjamin</v>
      </c>
      <c r="W167" s="108">
        <f t="shared" ref="W167:AM167" si="26">W59</f>
        <v>1</v>
      </c>
      <c r="X167" s="108">
        <f t="shared" si="26"/>
        <v>1</v>
      </c>
      <c r="Y167" s="108">
        <f t="shared" si="26"/>
        <v>1</v>
      </c>
      <c r="Z167" s="108">
        <f t="shared" si="26"/>
        <v>1</v>
      </c>
      <c r="AA167" s="108">
        <f t="shared" si="26"/>
        <v>1</v>
      </c>
      <c r="AB167" s="108">
        <f t="shared" si="26"/>
        <v>1</v>
      </c>
      <c r="AC167" s="108">
        <f t="shared" si="26"/>
        <v>1</v>
      </c>
      <c r="AD167" s="108">
        <f t="shared" si="26"/>
        <v>1</v>
      </c>
      <c r="AE167" s="108">
        <f t="shared" si="26"/>
        <v>1</v>
      </c>
      <c r="AF167" s="108">
        <f t="shared" si="26"/>
        <v>1</v>
      </c>
      <c r="AG167" s="108">
        <f t="shared" si="26"/>
        <v>1</v>
      </c>
      <c r="AH167" s="108">
        <f t="shared" si="26"/>
        <v>1</v>
      </c>
      <c r="AI167" s="108">
        <f t="shared" si="26"/>
        <v>0</v>
      </c>
      <c r="AJ167" s="108">
        <f t="shared" si="26"/>
        <v>0</v>
      </c>
      <c r="AK167" s="108">
        <f t="shared" si="26"/>
        <v>0</v>
      </c>
      <c r="AL167" s="108">
        <f t="shared" si="26"/>
        <v>0</v>
      </c>
      <c r="AM167" s="108">
        <f t="shared" si="26"/>
        <v>0</v>
      </c>
      <c r="AQ167" s="104" t="str">
        <f>$V$66</f>
        <v>Amanda</v>
      </c>
      <c r="AR167" s="54">
        <v>0</v>
      </c>
      <c r="AS167" s="54">
        <v>0</v>
      </c>
      <c r="AT167" s="54">
        <v>0</v>
      </c>
      <c r="AU167" s="54">
        <v>0</v>
      </c>
      <c r="AV167" s="54">
        <v>0</v>
      </c>
      <c r="AW167" s="54">
        <v>0</v>
      </c>
      <c r="AX167" s="54">
        <v>0</v>
      </c>
      <c r="AY167" s="54">
        <v>0</v>
      </c>
      <c r="AZ167" s="54">
        <v>0</v>
      </c>
      <c r="BA167" s="54">
        <v>0</v>
      </c>
      <c r="BB167" s="54">
        <v>0</v>
      </c>
      <c r="BC167" s="54">
        <v>0</v>
      </c>
      <c r="BD167" s="54">
        <v>0</v>
      </c>
      <c r="BE167" s="54">
        <v>0</v>
      </c>
      <c r="BF167" s="54">
        <v>0</v>
      </c>
      <c r="BG167" s="54">
        <v>0</v>
      </c>
      <c r="BH167" s="54">
        <v>0</v>
      </c>
      <c r="BK167" s="104" t="str">
        <f>$V$55</f>
        <v>Óscar</v>
      </c>
      <c r="BL167" s="108">
        <v>0</v>
      </c>
      <c r="BM167" s="108">
        <v>0</v>
      </c>
      <c r="BN167" s="108">
        <v>0</v>
      </c>
      <c r="BO167" s="108">
        <v>0</v>
      </c>
      <c r="BP167" s="108">
        <v>0</v>
      </c>
      <c r="BQ167" s="108">
        <v>0</v>
      </c>
      <c r="BR167" s="108">
        <v>0</v>
      </c>
      <c r="BS167" s="108">
        <v>0</v>
      </c>
      <c r="BT167" s="108">
        <v>0</v>
      </c>
      <c r="BU167" s="108">
        <v>0</v>
      </c>
      <c r="BV167" s="108">
        <v>0</v>
      </c>
      <c r="BW167" s="108">
        <v>0</v>
      </c>
      <c r="BX167" s="108">
        <v>0</v>
      </c>
      <c r="BY167" s="108">
        <v>0</v>
      </c>
      <c r="BZ167" s="108">
        <v>0</v>
      </c>
      <c r="CA167" s="108">
        <v>0</v>
      </c>
      <c r="CB167" s="108">
        <v>0</v>
      </c>
    </row>
    <row r="168" spans="2:80" x14ac:dyDescent="0.55000000000000004">
      <c r="B168" s="104" t="str">
        <f>$V$60</f>
        <v>Joelle</v>
      </c>
      <c r="C168" s="108">
        <f t="shared" si="3"/>
        <v>0</v>
      </c>
      <c r="D168" s="108">
        <f t="shared" si="4"/>
        <v>0</v>
      </c>
      <c r="E168" s="108">
        <f t="shared" si="5"/>
        <v>0</v>
      </c>
      <c r="F168" s="108">
        <f t="shared" si="6"/>
        <v>0</v>
      </c>
      <c r="G168" s="108">
        <f t="shared" si="7"/>
        <v>0</v>
      </c>
      <c r="H168" s="108">
        <f t="shared" si="8"/>
        <v>0</v>
      </c>
      <c r="I168" s="108">
        <f t="shared" si="9"/>
        <v>0</v>
      </c>
      <c r="J168" s="108">
        <f t="shared" si="10"/>
        <v>0</v>
      </c>
      <c r="K168" s="108">
        <f t="shared" si="11"/>
        <v>0</v>
      </c>
      <c r="L168" s="108">
        <f t="shared" si="12"/>
        <v>0</v>
      </c>
      <c r="M168" s="108">
        <f t="shared" si="13"/>
        <v>0</v>
      </c>
      <c r="N168" s="108">
        <f t="shared" si="14"/>
        <v>0</v>
      </c>
      <c r="O168" s="108">
        <f t="shared" si="15"/>
        <v>0</v>
      </c>
      <c r="P168" s="108">
        <f t="shared" si="16"/>
        <v>0</v>
      </c>
      <c r="Q168" s="108">
        <f t="shared" si="17"/>
        <v>0</v>
      </c>
      <c r="R168" s="108">
        <f t="shared" si="18"/>
        <v>0</v>
      </c>
      <c r="S168" s="108">
        <f t="shared" si="19"/>
        <v>0</v>
      </c>
      <c r="T168" s="102" t="s">
        <v>20</v>
      </c>
      <c r="V168" s="104" t="str">
        <f>$V$60</f>
        <v>Joelle</v>
      </c>
      <c r="W168" s="108">
        <f t="shared" ref="W168:AM168" si="27">W60</f>
        <v>0</v>
      </c>
      <c r="X168" s="108">
        <f t="shared" si="27"/>
        <v>0</v>
      </c>
      <c r="Y168" s="108">
        <f t="shared" si="27"/>
        <v>0</v>
      </c>
      <c r="Z168" s="108">
        <f t="shared" si="27"/>
        <v>0</v>
      </c>
      <c r="AA168" s="108">
        <f t="shared" si="27"/>
        <v>0</v>
      </c>
      <c r="AB168" s="108">
        <f t="shared" si="27"/>
        <v>0</v>
      </c>
      <c r="AC168" s="108">
        <f t="shared" si="27"/>
        <v>0</v>
      </c>
      <c r="AD168" s="108">
        <f t="shared" si="27"/>
        <v>0</v>
      </c>
      <c r="AE168" s="108">
        <f t="shared" si="27"/>
        <v>0</v>
      </c>
      <c r="AF168" s="108">
        <f t="shared" si="27"/>
        <v>0</v>
      </c>
      <c r="AG168" s="108">
        <f t="shared" si="27"/>
        <v>0</v>
      </c>
      <c r="AH168" s="108">
        <f t="shared" si="27"/>
        <v>0</v>
      </c>
      <c r="AI168" s="108">
        <f t="shared" si="27"/>
        <v>0</v>
      </c>
      <c r="AJ168" s="108">
        <f t="shared" si="27"/>
        <v>0</v>
      </c>
      <c r="AK168" s="108">
        <f t="shared" si="27"/>
        <v>0</v>
      </c>
      <c r="AL168" s="108">
        <f t="shared" si="27"/>
        <v>0</v>
      </c>
      <c r="AM168" s="108">
        <f t="shared" si="27"/>
        <v>0</v>
      </c>
      <c r="AQ168" s="104" t="str">
        <f>$V$67</f>
        <v>Antoine</v>
      </c>
      <c r="AR168" s="54">
        <v>0</v>
      </c>
      <c r="AS168" s="54">
        <v>0</v>
      </c>
      <c r="AT168" s="54">
        <v>0</v>
      </c>
      <c r="AU168" s="54">
        <v>0</v>
      </c>
      <c r="AV168" s="54">
        <v>0</v>
      </c>
      <c r="AW168" s="54">
        <v>0</v>
      </c>
      <c r="AX168" s="54">
        <v>0</v>
      </c>
      <c r="AY168" s="54">
        <v>0</v>
      </c>
      <c r="AZ168" s="54">
        <v>0</v>
      </c>
      <c r="BA168" s="54">
        <v>0</v>
      </c>
      <c r="BB168" s="54">
        <v>0</v>
      </c>
      <c r="BC168" s="54">
        <v>0</v>
      </c>
      <c r="BD168" s="54">
        <v>0</v>
      </c>
      <c r="BE168" s="54">
        <v>0</v>
      </c>
      <c r="BF168" s="54">
        <v>0</v>
      </c>
      <c r="BG168" s="54">
        <v>0</v>
      </c>
      <c r="BH168" s="54">
        <v>0</v>
      </c>
      <c r="BK168" s="104" t="str">
        <f>$V$56</f>
        <v>Sebastián</v>
      </c>
      <c r="BL168" s="108">
        <v>0</v>
      </c>
      <c r="BM168" s="108">
        <v>0</v>
      </c>
      <c r="BN168" s="108">
        <v>0</v>
      </c>
      <c r="BO168" s="108">
        <v>0</v>
      </c>
      <c r="BP168" s="108">
        <v>0</v>
      </c>
      <c r="BQ168" s="108">
        <v>0</v>
      </c>
      <c r="BR168" s="108">
        <v>0</v>
      </c>
      <c r="BS168" s="108">
        <v>0</v>
      </c>
      <c r="BT168" s="108">
        <v>0</v>
      </c>
      <c r="BU168" s="108">
        <v>0</v>
      </c>
      <c r="BV168" s="108">
        <v>0</v>
      </c>
      <c r="BW168" s="108">
        <v>0</v>
      </c>
      <c r="BX168" s="108">
        <v>0</v>
      </c>
      <c r="BY168" s="108">
        <v>0</v>
      </c>
      <c r="BZ168" s="108">
        <v>0</v>
      </c>
      <c r="CA168" s="108">
        <v>0</v>
      </c>
      <c r="CB168" s="108">
        <v>0</v>
      </c>
    </row>
    <row r="169" spans="2:80" x14ac:dyDescent="0.55000000000000004">
      <c r="B169" s="104" t="str">
        <f>$V$61</f>
        <v>Alexia</v>
      </c>
      <c r="C169" s="108">
        <f t="shared" si="3"/>
        <v>0</v>
      </c>
      <c r="D169" s="108">
        <f t="shared" si="4"/>
        <v>0</v>
      </c>
      <c r="E169" s="108">
        <f t="shared" si="5"/>
        <v>0</v>
      </c>
      <c r="F169" s="108">
        <f t="shared" si="6"/>
        <v>0</v>
      </c>
      <c r="G169" s="108">
        <f t="shared" si="7"/>
        <v>0</v>
      </c>
      <c r="H169" s="108">
        <f t="shared" si="8"/>
        <v>0</v>
      </c>
      <c r="I169" s="108">
        <f t="shared" si="9"/>
        <v>0</v>
      </c>
      <c r="J169" s="108">
        <f t="shared" si="10"/>
        <v>0</v>
      </c>
      <c r="K169" s="108">
        <f t="shared" si="11"/>
        <v>0</v>
      </c>
      <c r="L169" s="108">
        <f t="shared" si="12"/>
        <v>0</v>
      </c>
      <c r="M169" s="108">
        <f t="shared" si="13"/>
        <v>0</v>
      </c>
      <c r="N169" s="108">
        <f t="shared" si="14"/>
        <v>0</v>
      </c>
      <c r="O169" s="108">
        <f t="shared" si="15"/>
        <v>0</v>
      </c>
      <c r="P169" s="108">
        <f t="shared" si="16"/>
        <v>0</v>
      </c>
      <c r="Q169" s="108">
        <f t="shared" si="17"/>
        <v>0</v>
      </c>
      <c r="R169" s="108">
        <f t="shared" si="18"/>
        <v>0</v>
      </c>
      <c r="S169" s="108">
        <f t="shared" si="19"/>
        <v>0</v>
      </c>
      <c r="T169" s="102" t="s">
        <v>20</v>
      </c>
      <c r="V169" s="104" t="str">
        <f>$V$61</f>
        <v>Alexia</v>
      </c>
      <c r="W169" s="108">
        <f t="shared" ref="W169:AM169" si="28">W61</f>
        <v>0</v>
      </c>
      <c r="X169" s="108">
        <f t="shared" si="28"/>
        <v>0</v>
      </c>
      <c r="Y169" s="108">
        <f t="shared" si="28"/>
        <v>0</v>
      </c>
      <c r="Z169" s="108">
        <f t="shared" si="28"/>
        <v>0</v>
      </c>
      <c r="AA169" s="108">
        <f t="shared" si="28"/>
        <v>0</v>
      </c>
      <c r="AB169" s="108">
        <f t="shared" si="28"/>
        <v>0</v>
      </c>
      <c r="AC169" s="108">
        <f t="shared" si="28"/>
        <v>0</v>
      </c>
      <c r="AD169" s="108">
        <f t="shared" si="28"/>
        <v>0</v>
      </c>
      <c r="AE169" s="108">
        <f t="shared" si="28"/>
        <v>0</v>
      </c>
      <c r="AF169" s="108">
        <f t="shared" si="28"/>
        <v>0</v>
      </c>
      <c r="AG169" s="108">
        <f t="shared" si="28"/>
        <v>0</v>
      </c>
      <c r="AH169" s="108">
        <f t="shared" si="28"/>
        <v>0</v>
      </c>
      <c r="AI169" s="108">
        <f t="shared" si="28"/>
        <v>0</v>
      </c>
      <c r="AJ169" s="108">
        <f t="shared" si="28"/>
        <v>0</v>
      </c>
      <c r="AK169" s="108">
        <f t="shared" si="28"/>
        <v>0</v>
      </c>
      <c r="AL169" s="108">
        <f t="shared" si="28"/>
        <v>0</v>
      </c>
      <c r="AM169" s="108">
        <f t="shared" si="28"/>
        <v>0</v>
      </c>
      <c r="AQ169" s="104" t="str">
        <f>$V$68</f>
        <v>Beatriz</v>
      </c>
      <c r="AR169" s="54">
        <v>0</v>
      </c>
      <c r="AS169" s="54">
        <v>0</v>
      </c>
      <c r="AT169" s="54">
        <v>0</v>
      </c>
      <c r="AU169" s="54">
        <v>0</v>
      </c>
      <c r="AV169" s="54">
        <v>0</v>
      </c>
      <c r="AW169" s="54">
        <v>0</v>
      </c>
      <c r="AX169" s="54">
        <v>0</v>
      </c>
      <c r="AY169" s="54">
        <v>0</v>
      </c>
      <c r="AZ169" s="54">
        <v>0</v>
      </c>
      <c r="BA169" s="54">
        <v>0</v>
      </c>
      <c r="BB169" s="54">
        <v>0</v>
      </c>
      <c r="BC169" s="54">
        <v>0</v>
      </c>
      <c r="BD169" s="54">
        <v>0</v>
      </c>
      <c r="BE169" s="54">
        <v>0</v>
      </c>
      <c r="BF169" s="54">
        <v>0</v>
      </c>
      <c r="BG169" s="54">
        <v>0</v>
      </c>
      <c r="BH169" s="54">
        <v>0</v>
      </c>
      <c r="BK169" s="104" t="str">
        <f>$V$57</f>
        <v>Marcos</v>
      </c>
      <c r="BL169" s="108">
        <v>0</v>
      </c>
      <c r="BM169" s="108">
        <v>0</v>
      </c>
      <c r="BN169" s="108">
        <v>0</v>
      </c>
      <c r="BO169" s="108">
        <v>0</v>
      </c>
      <c r="BP169" s="108">
        <v>0</v>
      </c>
      <c r="BQ169" s="108">
        <v>0</v>
      </c>
      <c r="BR169" s="108">
        <v>0</v>
      </c>
      <c r="BS169" s="108">
        <v>0</v>
      </c>
      <c r="BT169" s="108">
        <v>0</v>
      </c>
      <c r="BU169" s="108">
        <v>0</v>
      </c>
      <c r="BV169" s="108">
        <v>0</v>
      </c>
      <c r="BW169" s="108">
        <v>0</v>
      </c>
      <c r="BX169" s="108">
        <v>0</v>
      </c>
      <c r="BY169" s="108">
        <v>0</v>
      </c>
      <c r="BZ169" s="108">
        <v>0</v>
      </c>
      <c r="CA169" s="108">
        <v>0</v>
      </c>
      <c r="CB169" s="108">
        <v>0</v>
      </c>
    </row>
    <row r="170" spans="2:80" x14ac:dyDescent="0.55000000000000004">
      <c r="B170" s="104" t="str">
        <f>$V$62</f>
        <v>Joao</v>
      </c>
      <c r="C170" s="108">
        <f t="shared" si="3"/>
        <v>0</v>
      </c>
      <c r="D170" s="108">
        <f t="shared" si="4"/>
        <v>0</v>
      </c>
      <c r="E170" s="108">
        <f t="shared" si="5"/>
        <v>0</v>
      </c>
      <c r="F170" s="108">
        <f t="shared" si="6"/>
        <v>0</v>
      </c>
      <c r="G170" s="108">
        <f t="shared" si="7"/>
        <v>0</v>
      </c>
      <c r="H170" s="108">
        <f t="shared" si="8"/>
        <v>0</v>
      </c>
      <c r="I170" s="108">
        <f t="shared" si="9"/>
        <v>0</v>
      </c>
      <c r="J170" s="108">
        <f t="shared" si="10"/>
        <v>0</v>
      </c>
      <c r="K170" s="108">
        <f t="shared" si="11"/>
        <v>0</v>
      </c>
      <c r="L170" s="108">
        <f t="shared" si="12"/>
        <v>0</v>
      </c>
      <c r="M170" s="108">
        <f t="shared" si="13"/>
        <v>0</v>
      </c>
      <c r="N170" s="108">
        <f t="shared" si="14"/>
        <v>0</v>
      </c>
      <c r="O170" s="108">
        <f t="shared" si="15"/>
        <v>0</v>
      </c>
      <c r="P170" s="108">
        <f t="shared" si="16"/>
        <v>0</v>
      </c>
      <c r="Q170" s="108">
        <f t="shared" si="17"/>
        <v>0</v>
      </c>
      <c r="R170" s="108">
        <f t="shared" si="18"/>
        <v>0</v>
      </c>
      <c r="S170" s="108">
        <f t="shared" si="19"/>
        <v>0</v>
      </c>
      <c r="T170" s="102" t="s">
        <v>20</v>
      </c>
      <c r="V170" s="104" t="str">
        <f>$V$62</f>
        <v>Joao</v>
      </c>
      <c r="W170" s="108">
        <f t="shared" ref="W170:AM170" si="29">W62</f>
        <v>0</v>
      </c>
      <c r="X170" s="108">
        <f t="shared" si="29"/>
        <v>0</v>
      </c>
      <c r="Y170" s="108">
        <f t="shared" si="29"/>
        <v>0</v>
      </c>
      <c r="Z170" s="108">
        <f t="shared" si="29"/>
        <v>0</v>
      </c>
      <c r="AA170" s="108">
        <f t="shared" si="29"/>
        <v>0</v>
      </c>
      <c r="AB170" s="108">
        <f t="shared" si="29"/>
        <v>0</v>
      </c>
      <c r="AC170" s="108">
        <f t="shared" si="29"/>
        <v>0</v>
      </c>
      <c r="AD170" s="108">
        <f t="shared" si="29"/>
        <v>0</v>
      </c>
      <c r="AE170" s="108">
        <f t="shared" si="29"/>
        <v>0</v>
      </c>
      <c r="AF170" s="108">
        <f t="shared" si="29"/>
        <v>0</v>
      </c>
      <c r="AG170" s="108">
        <f t="shared" si="29"/>
        <v>0</v>
      </c>
      <c r="AH170" s="108">
        <f t="shared" si="29"/>
        <v>0</v>
      </c>
      <c r="AI170" s="108">
        <f t="shared" si="29"/>
        <v>0</v>
      </c>
      <c r="AJ170" s="108">
        <f t="shared" si="29"/>
        <v>0</v>
      </c>
      <c r="AK170" s="108">
        <f t="shared" si="29"/>
        <v>0</v>
      </c>
      <c r="AL170" s="108">
        <f t="shared" si="29"/>
        <v>0</v>
      </c>
      <c r="AM170" s="108">
        <f t="shared" si="29"/>
        <v>0</v>
      </c>
      <c r="AQ170" s="104" t="str">
        <f>$V$69</f>
        <v>Charelle</v>
      </c>
      <c r="AR170" s="54">
        <v>0</v>
      </c>
      <c r="AS170" s="54">
        <v>0</v>
      </c>
      <c r="AT170" s="54">
        <v>0</v>
      </c>
      <c r="AU170" s="54">
        <v>0</v>
      </c>
      <c r="AV170" s="54">
        <v>0</v>
      </c>
      <c r="AW170" s="54">
        <v>0</v>
      </c>
      <c r="AX170" s="54">
        <v>0</v>
      </c>
      <c r="AY170" s="54">
        <v>0</v>
      </c>
      <c r="AZ170" s="54">
        <v>0</v>
      </c>
      <c r="BA170" s="54">
        <v>0</v>
      </c>
      <c r="BB170" s="54">
        <v>0</v>
      </c>
      <c r="BC170" s="54">
        <v>0</v>
      </c>
      <c r="BD170" s="54">
        <v>0</v>
      </c>
      <c r="BE170" s="54">
        <v>0</v>
      </c>
      <c r="BF170" s="54">
        <v>0</v>
      </c>
      <c r="BG170" s="54">
        <v>0</v>
      </c>
      <c r="BH170" s="54">
        <v>0</v>
      </c>
      <c r="BK170" s="104" t="str">
        <f>$V$58</f>
        <v>Weixin</v>
      </c>
      <c r="BL170" s="108">
        <v>0</v>
      </c>
      <c r="BM170" s="108">
        <v>0</v>
      </c>
      <c r="BN170" s="108">
        <v>0</v>
      </c>
      <c r="BO170" s="108">
        <v>0</v>
      </c>
      <c r="BP170" s="108">
        <v>0</v>
      </c>
      <c r="BQ170" s="108">
        <v>0</v>
      </c>
      <c r="BR170" s="108">
        <v>0</v>
      </c>
      <c r="BS170" s="108">
        <v>0</v>
      </c>
      <c r="BT170" s="108">
        <v>0</v>
      </c>
      <c r="BU170" s="108">
        <v>0</v>
      </c>
      <c r="BV170" s="108">
        <v>0</v>
      </c>
      <c r="BW170" s="108">
        <v>0</v>
      </c>
      <c r="BX170" s="108">
        <v>0</v>
      </c>
      <c r="BY170" s="108">
        <v>0</v>
      </c>
      <c r="BZ170" s="108">
        <v>0</v>
      </c>
      <c r="CA170" s="108">
        <v>0</v>
      </c>
      <c r="CB170" s="108">
        <v>0</v>
      </c>
    </row>
    <row r="171" spans="2:80" x14ac:dyDescent="0.55000000000000004">
      <c r="B171" s="104" t="str">
        <f>$V$63</f>
        <v>Maxime</v>
      </c>
      <c r="C171" s="108">
        <f t="shared" si="3"/>
        <v>0</v>
      </c>
      <c r="D171" s="108">
        <f t="shared" si="4"/>
        <v>0</v>
      </c>
      <c r="E171" s="108">
        <f t="shared" si="5"/>
        <v>0</v>
      </c>
      <c r="F171" s="108">
        <f t="shared" si="6"/>
        <v>0</v>
      </c>
      <c r="G171" s="108">
        <f t="shared" si="7"/>
        <v>0</v>
      </c>
      <c r="H171" s="108">
        <f t="shared" si="8"/>
        <v>0</v>
      </c>
      <c r="I171" s="108">
        <f t="shared" si="9"/>
        <v>0</v>
      </c>
      <c r="J171" s="108">
        <f t="shared" si="10"/>
        <v>0</v>
      </c>
      <c r="K171" s="108">
        <f t="shared" si="11"/>
        <v>0</v>
      </c>
      <c r="L171" s="108">
        <f t="shared" si="12"/>
        <v>0</v>
      </c>
      <c r="M171" s="108">
        <f t="shared" si="13"/>
        <v>0</v>
      </c>
      <c r="N171" s="108">
        <f t="shared" si="14"/>
        <v>0</v>
      </c>
      <c r="O171" s="108">
        <f t="shared" si="15"/>
        <v>0</v>
      </c>
      <c r="P171" s="108">
        <f t="shared" si="16"/>
        <v>0</v>
      </c>
      <c r="Q171" s="108">
        <f t="shared" si="17"/>
        <v>0</v>
      </c>
      <c r="R171" s="108">
        <f t="shared" si="18"/>
        <v>0</v>
      </c>
      <c r="S171" s="108">
        <f t="shared" si="19"/>
        <v>0</v>
      </c>
      <c r="T171" s="102" t="s">
        <v>20</v>
      </c>
      <c r="V171" s="104" t="str">
        <f>$V$63</f>
        <v>Maxime</v>
      </c>
      <c r="W171" s="108">
        <f t="shared" ref="W171:AM171" si="30">W63</f>
        <v>0</v>
      </c>
      <c r="X171" s="108">
        <f t="shared" si="30"/>
        <v>0</v>
      </c>
      <c r="Y171" s="108">
        <f t="shared" si="30"/>
        <v>0</v>
      </c>
      <c r="Z171" s="108">
        <f t="shared" si="30"/>
        <v>0</v>
      </c>
      <c r="AA171" s="108">
        <f t="shared" si="30"/>
        <v>0</v>
      </c>
      <c r="AB171" s="108">
        <f t="shared" si="30"/>
        <v>0</v>
      </c>
      <c r="AC171" s="108">
        <f t="shared" si="30"/>
        <v>0</v>
      </c>
      <c r="AD171" s="108">
        <f t="shared" si="30"/>
        <v>0</v>
      </c>
      <c r="AE171" s="108">
        <f t="shared" si="30"/>
        <v>0</v>
      </c>
      <c r="AF171" s="108">
        <f t="shared" si="30"/>
        <v>0</v>
      </c>
      <c r="AG171" s="108">
        <f t="shared" si="30"/>
        <v>0</v>
      </c>
      <c r="AH171" s="108">
        <f t="shared" si="30"/>
        <v>0</v>
      </c>
      <c r="AI171" s="108">
        <f t="shared" si="30"/>
        <v>0</v>
      </c>
      <c r="AJ171" s="108">
        <f t="shared" si="30"/>
        <v>0</v>
      </c>
      <c r="AK171" s="108">
        <f t="shared" si="30"/>
        <v>0</v>
      </c>
      <c r="AL171" s="108">
        <f t="shared" si="30"/>
        <v>0</v>
      </c>
      <c r="AM171" s="108">
        <f t="shared" si="30"/>
        <v>0</v>
      </c>
      <c r="AQ171" s="104" t="str">
        <f>$V$70</f>
        <v>Dimitri</v>
      </c>
      <c r="AR171" s="54">
        <v>0</v>
      </c>
      <c r="AS171" s="54">
        <v>0</v>
      </c>
      <c r="AT171" s="54">
        <v>0</v>
      </c>
      <c r="AU171" s="54">
        <v>0</v>
      </c>
      <c r="AV171" s="54">
        <v>0</v>
      </c>
      <c r="AW171" s="54">
        <v>0</v>
      </c>
      <c r="AX171" s="54">
        <v>0</v>
      </c>
      <c r="AY171" s="54">
        <v>0</v>
      </c>
      <c r="AZ171" s="54">
        <v>0</v>
      </c>
      <c r="BA171" s="54">
        <v>0</v>
      </c>
      <c r="BB171" s="54">
        <v>0</v>
      </c>
      <c r="BC171" s="54">
        <v>0</v>
      </c>
      <c r="BD171" s="54">
        <v>0</v>
      </c>
      <c r="BE171" s="54">
        <v>0</v>
      </c>
      <c r="BF171" s="54">
        <v>0</v>
      </c>
      <c r="BG171" s="54">
        <v>0</v>
      </c>
      <c r="BH171" s="54">
        <v>0</v>
      </c>
      <c r="BK171" s="104" t="str">
        <f>$V$59</f>
        <v>Benjamin</v>
      </c>
      <c r="BL171" s="108">
        <v>0</v>
      </c>
      <c r="BM171" s="108">
        <v>0</v>
      </c>
      <c r="BN171" s="108">
        <v>0</v>
      </c>
      <c r="BO171" s="108">
        <v>0</v>
      </c>
      <c r="BP171" s="108">
        <v>0</v>
      </c>
      <c r="BQ171" s="108">
        <v>0</v>
      </c>
      <c r="BR171" s="108">
        <v>0</v>
      </c>
      <c r="BS171" s="108">
        <v>0</v>
      </c>
      <c r="BT171" s="108">
        <v>0</v>
      </c>
      <c r="BU171" s="108">
        <v>0</v>
      </c>
      <c r="BV171" s="108">
        <v>0</v>
      </c>
      <c r="BW171" s="108">
        <v>0</v>
      </c>
      <c r="BX171" s="108">
        <v>0</v>
      </c>
      <c r="BY171" s="108">
        <v>0</v>
      </c>
      <c r="BZ171" s="108">
        <v>0</v>
      </c>
      <c r="CA171" s="108">
        <v>0</v>
      </c>
      <c r="CB171" s="108">
        <v>0</v>
      </c>
    </row>
    <row r="172" spans="2:80" x14ac:dyDescent="0.55000000000000004">
      <c r="B172" s="104" t="str">
        <f>$V$64</f>
        <v>Alex</v>
      </c>
      <c r="C172" s="108">
        <f t="shared" si="3"/>
        <v>0</v>
      </c>
      <c r="D172" s="108">
        <f t="shared" si="4"/>
        <v>0</v>
      </c>
      <c r="E172" s="108">
        <f t="shared" si="5"/>
        <v>0</v>
      </c>
      <c r="F172" s="108">
        <f t="shared" si="6"/>
        <v>0</v>
      </c>
      <c r="G172" s="108">
        <f t="shared" si="7"/>
        <v>0</v>
      </c>
      <c r="H172" s="108">
        <f t="shared" si="8"/>
        <v>0</v>
      </c>
      <c r="I172" s="108">
        <f t="shared" si="9"/>
        <v>0</v>
      </c>
      <c r="J172" s="108">
        <f t="shared" si="10"/>
        <v>0</v>
      </c>
      <c r="K172" s="108">
        <f t="shared" si="11"/>
        <v>0</v>
      </c>
      <c r="L172" s="108">
        <f t="shared" si="12"/>
        <v>0</v>
      </c>
      <c r="M172" s="108">
        <f t="shared" si="13"/>
        <v>-2</v>
      </c>
      <c r="N172" s="108">
        <f t="shared" si="14"/>
        <v>0</v>
      </c>
      <c r="O172" s="108">
        <f t="shared" si="15"/>
        <v>0</v>
      </c>
      <c r="P172" s="108">
        <f t="shared" si="16"/>
        <v>0</v>
      </c>
      <c r="Q172" s="108">
        <f t="shared" si="17"/>
        <v>0</v>
      </c>
      <c r="R172" s="108">
        <f t="shared" si="18"/>
        <v>0</v>
      </c>
      <c r="S172" s="108">
        <f t="shared" si="19"/>
        <v>0</v>
      </c>
      <c r="T172" s="102" t="s">
        <v>20</v>
      </c>
      <c r="V172" s="104" t="str">
        <f>$V$64</f>
        <v>Alex</v>
      </c>
      <c r="W172" s="108">
        <f t="shared" ref="W172:AM172" si="31">W64</f>
        <v>0</v>
      </c>
      <c r="X172" s="108">
        <f t="shared" si="31"/>
        <v>0</v>
      </c>
      <c r="Y172" s="108">
        <f t="shared" si="31"/>
        <v>0</v>
      </c>
      <c r="Z172" s="108">
        <f t="shared" si="31"/>
        <v>0</v>
      </c>
      <c r="AA172" s="108">
        <f t="shared" si="31"/>
        <v>0</v>
      </c>
      <c r="AB172" s="108">
        <f t="shared" si="31"/>
        <v>0</v>
      </c>
      <c r="AC172" s="108">
        <f t="shared" si="31"/>
        <v>0</v>
      </c>
      <c r="AD172" s="108">
        <f t="shared" si="31"/>
        <v>0</v>
      </c>
      <c r="AE172" s="108">
        <f t="shared" si="31"/>
        <v>0</v>
      </c>
      <c r="AF172" s="108">
        <f t="shared" si="31"/>
        <v>0</v>
      </c>
      <c r="AG172" s="108">
        <f t="shared" si="31"/>
        <v>0</v>
      </c>
      <c r="AH172" s="108">
        <f t="shared" si="31"/>
        <v>0</v>
      </c>
      <c r="AI172" s="108">
        <f t="shared" si="31"/>
        <v>0</v>
      </c>
      <c r="AJ172" s="108">
        <f t="shared" si="31"/>
        <v>0</v>
      </c>
      <c r="AK172" s="108">
        <f t="shared" si="31"/>
        <v>0</v>
      </c>
      <c r="AL172" s="108">
        <f t="shared" si="31"/>
        <v>0</v>
      </c>
      <c r="AM172" s="108">
        <f t="shared" si="31"/>
        <v>0</v>
      </c>
      <c r="AQ172" s="104" t="str">
        <f>$V$71</f>
        <v>Marina</v>
      </c>
      <c r="AR172" s="54">
        <v>0</v>
      </c>
      <c r="AS172" s="54">
        <v>0</v>
      </c>
      <c r="AT172" s="54">
        <v>0</v>
      </c>
      <c r="AU172" s="54">
        <v>0</v>
      </c>
      <c r="AV172" s="54">
        <v>0</v>
      </c>
      <c r="AW172" s="54">
        <v>0</v>
      </c>
      <c r="AX172" s="54">
        <v>0</v>
      </c>
      <c r="AY172" s="54">
        <v>0</v>
      </c>
      <c r="AZ172" s="54">
        <v>0</v>
      </c>
      <c r="BA172" s="54">
        <v>0</v>
      </c>
      <c r="BB172" s="54">
        <v>0</v>
      </c>
      <c r="BC172" s="54">
        <v>0</v>
      </c>
      <c r="BD172" s="54">
        <v>0</v>
      </c>
      <c r="BE172" s="54">
        <v>0</v>
      </c>
      <c r="BF172" s="54">
        <v>0</v>
      </c>
      <c r="BG172" s="54">
        <v>0</v>
      </c>
      <c r="BH172" s="54">
        <v>0</v>
      </c>
      <c r="BK172" s="104" t="str">
        <f>$V$60</f>
        <v>Joelle</v>
      </c>
      <c r="BL172" s="108">
        <v>0</v>
      </c>
      <c r="BM172" s="108">
        <v>0</v>
      </c>
      <c r="BN172" s="108">
        <v>0</v>
      </c>
      <c r="BO172" s="108">
        <v>0</v>
      </c>
      <c r="BP172" s="108">
        <v>0</v>
      </c>
      <c r="BQ172" s="108">
        <v>0</v>
      </c>
      <c r="BR172" s="108">
        <v>0</v>
      </c>
      <c r="BS172" s="108">
        <v>0</v>
      </c>
      <c r="BT172" s="108">
        <v>0</v>
      </c>
      <c r="BU172" s="108">
        <v>0</v>
      </c>
      <c r="BV172" s="108">
        <v>0</v>
      </c>
      <c r="BW172" s="108">
        <v>0</v>
      </c>
      <c r="BX172" s="108">
        <v>0</v>
      </c>
      <c r="BY172" s="108">
        <v>0</v>
      </c>
      <c r="BZ172" s="108">
        <v>0</v>
      </c>
      <c r="CA172" s="108">
        <v>0</v>
      </c>
      <c r="CB172" s="108">
        <v>0</v>
      </c>
    </row>
    <row r="173" spans="2:80" x14ac:dyDescent="0.55000000000000004">
      <c r="B173" s="104" t="str">
        <f>$V$65</f>
        <v>Alyssa</v>
      </c>
      <c r="C173" s="108">
        <f t="shared" si="3"/>
        <v>0</v>
      </c>
      <c r="D173" s="108">
        <f t="shared" si="4"/>
        <v>0</v>
      </c>
      <c r="E173" s="108">
        <f t="shared" si="5"/>
        <v>0</v>
      </c>
      <c r="F173" s="108">
        <f t="shared" si="6"/>
        <v>0</v>
      </c>
      <c r="G173" s="108">
        <f t="shared" si="7"/>
        <v>0</v>
      </c>
      <c r="H173" s="108">
        <f t="shared" si="8"/>
        <v>0</v>
      </c>
      <c r="I173" s="108">
        <f t="shared" si="9"/>
        <v>0</v>
      </c>
      <c r="J173" s="108">
        <f t="shared" si="10"/>
        <v>0</v>
      </c>
      <c r="K173" s="108">
        <f t="shared" si="11"/>
        <v>0</v>
      </c>
      <c r="L173" s="108">
        <f t="shared" si="12"/>
        <v>0</v>
      </c>
      <c r="M173" s="108">
        <f t="shared" si="13"/>
        <v>0</v>
      </c>
      <c r="N173" s="108">
        <f t="shared" si="14"/>
        <v>0</v>
      </c>
      <c r="O173" s="108">
        <f t="shared" si="15"/>
        <v>0</v>
      </c>
      <c r="P173" s="108">
        <f t="shared" si="16"/>
        <v>0</v>
      </c>
      <c r="Q173" s="108">
        <f t="shared" si="17"/>
        <v>0</v>
      </c>
      <c r="R173" s="108">
        <f t="shared" si="18"/>
        <v>0</v>
      </c>
      <c r="S173" s="108">
        <f t="shared" si="19"/>
        <v>0</v>
      </c>
      <c r="T173" s="102" t="s">
        <v>20</v>
      </c>
      <c r="V173" s="104" t="str">
        <f>$V$65</f>
        <v>Alyssa</v>
      </c>
      <c r="W173" s="108">
        <f t="shared" ref="W173:AM173" si="32">W65</f>
        <v>0</v>
      </c>
      <c r="X173" s="108">
        <f t="shared" si="32"/>
        <v>0</v>
      </c>
      <c r="Y173" s="108">
        <f t="shared" si="32"/>
        <v>0</v>
      </c>
      <c r="Z173" s="108">
        <f t="shared" si="32"/>
        <v>0</v>
      </c>
      <c r="AA173" s="108">
        <f t="shared" si="32"/>
        <v>0</v>
      </c>
      <c r="AB173" s="108">
        <f t="shared" si="32"/>
        <v>0</v>
      </c>
      <c r="AC173" s="108">
        <f t="shared" si="32"/>
        <v>0</v>
      </c>
      <c r="AD173" s="108">
        <f t="shared" si="32"/>
        <v>0</v>
      </c>
      <c r="AE173" s="108">
        <f t="shared" si="32"/>
        <v>0</v>
      </c>
      <c r="AF173" s="108">
        <f t="shared" si="32"/>
        <v>0</v>
      </c>
      <c r="AG173" s="108">
        <f t="shared" si="32"/>
        <v>0</v>
      </c>
      <c r="AH173" s="108">
        <f t="shared" si="32"/>
        <v>0</v>
      </c>
      <c r="AI173" s="108">
        <f t="shared" si="32"/>
        <v>0</v>
      </c>
      <c r="AJ173" s="108">
        <f t="shared" si="32"/>
        <v>0</v>
      </c>
      <c r="AK173" s="108">
        <f t="shared" si="32"/>
        <v>0</v>
      </c>
      <c r="AL173" s="108">
        <f t="shared" si="32"/>
        <v>0</v>
      </c>
      <c r="AM173" s="108">
        <f t="shared" si="32"/>
        <v>0</v>
      </c>
      <c r="AQ173" s="104" t="str">
        <f>$V$72</f>
        <v>Michel</v>
      </c>
      <c r="AR173" s="54">
        <v>0</v>
      </c>
      <c r="AS173" s="54">
        <v>0</v>
      </c>
      <c r="AT173" s="54">
        <v>0</v>
      </c>
      <c r="AU173" s="54">
        <v>0</v>
      </c>
      <c r="AV173" s="54">
        <v>0</v>
      </c>
      <c r="AW173" s="54">
        <v>0</v>
      </c>
      <c r="AX173" s="54">
        <v>0</v>
      </c>
      <c r="AY173" s="54">
        <v>0</v>
      </c>
      <c r="AZ173" s="54">
        <v>0</v>
      </c>
      <c r="BA173" s="54">
        <v>0</v>
      </c>
      <c r="BB173" s="54">
        <v>0</v>
      </c>
      <c r="BC173" s="54">
        <v>0</v>
      </c>
      <c r="BD173" s="54">
        <v>0</v>
      </c>
      <c r="BE173" s="54">
        <v>0</v>
      </c>
      <c r="BF173" s="54">
        <v>0</v>
      </c>
      <c r="BG173" s="54">
        <v>0</v>
      </c>
      <c r="BH173" s="54">
        <v>0</v>
      </c>
      <c r="BK173" s="104" t="str">
        <f>$V$61</f>
        <v>Alexia</v>
      </c>
      <c r="BL173" s="108">
        <v>0</v>
      </c>
      <c r="BM173" s="108">
        <v>0</v>
      </c>
      <c r="BN173" s="108">
        <v>0</v>
      </c>
      <c r="BO173" s="108">
        <v>0</v>
      </c>
      <c r="BP173" s="108">
        <v>0</v>
      </c>
      <c r="BQ173" s="108">
        <v>0</v>
      </c>
      <c r="BR173" s="108">
        <v>0</v>
      </c>
      <c r="BS173" s="108">
        <v>0</v>
      </c>
      <c r="BT173" s="108">
        <v>0</v>
      </c>
      <c r="BU173" s="108">
        <v>0</v>
      </c>
      <c r="BV173" s="108">
        <v>0</v>
      </c>
      <c r="BW173" s="108">
        <v>0</v>
      </c>
      <c r="BX173" s="108">
        <v>0</v>
      </c>
      <c r="BY173" s="108">
        <v>0</v>
      </c>
      <c r="BZ173" s="108">
        <v>0</v>
      </c>
      <c r="CA173" s="108">
        <v>0</v>
      </c>
      <c r="CB173" s="108">
        <v>0</v>
      </c>
    </row>
    <row r="174" spans="2:80" x14ac:dyDescent="0.55000000000000004">
      <c r="B174" s="104" t="str">
        <f>$V$66</f>
        <v>Amanda</v>
      </c>
      <c r="C174" s="108">
        <f t="shared" si="3"/>
        <v>0</v>
      </c>
      <c r="D174" s="108">
        <f t="shared" si="4"/>
        <v>0</v>
      </c>
      <c r="E174" s="108">
        <f t="shared" si="5"/>
        <v>0</v>
      </c>
      <c r="F174" s="108">
        <f t="shared" si="6"/>
        <v>0</v>
      </c>
      <c r="G174" s="108">
        <f t="shared" si="7"/>
        <v>0</v>
      </c>
      <c r="H174" s="108">
        <f t="shared" si="8"/>
        <v>0</v>
      </c>
      <c r="I174" s="108">
        <f t="shared" si="9"/>
        <v>0</v>
      </c>
      <c r="J174" s="108">
        <f t="shared" si="10"/>
        <v>0</v>
      </c>
      <c r="K174" s="108">
        <f t="shared" si="11"/>
        <v>0</v>
      </c>
      <c r="L174" s="108">
        <f t="shared" si="12"/>
        <v>0</v>
      </c>
      <c r="M174" s="108">
        <f t="shared" si="13"/>
        <v>0</v>
      </c>
      <c r="N174" s="108">
        <f t="shared" si="14"/>
        <v>0</v>
      </c>
      <c r="O174" s="108">
        <f t="shared" si="15"/>
        <v>0</v>
      </c>
      <c r="P174" s="108">
        <f t="shared" si="16"/>
        <v>0</v>
      </c>
      <c r="Q174" s="108">
        <f t="shared" si="17"/>
        <v>0</v>
      </c>
      <c r="R174" s="108">
        <f t="shared" si="18"/>
        <v>0</v>
      </c>
      <c r="S174" s="108">
        <f t="shared" si="19"/>
        <v>0</v>
      </c>
      <c r="T174" s="102" t="s">
        <v>20</v>
      </c>
      <c r="V174" s="104" t="str">
        <f>$V$66</f>
        <v>Amanda</v>
      </c>
      <c r="W174" s="108">
        <f t="shared" ref="W174:AM174" si="33">W66</f>
        <v>0</v>
      </c>
      <c r="X174" s="108">
        <f t="shared" si="33"/>
        <v>0</v>
      </c>
      <c r="Y174" s="108">
        <f t="shared" si="33"/>
        <v>0</v>
      </c>
      <c r="Z174" s="108">
        <f t="shared" si="33"/>
        <v>0</v>
      </c>
      <c r="AA174" s="108">
        <f t="shared" si="33"/>
        <v>0</v>
      </c>
      <c r="AB174" s="108">
        <f t="shared" si="33"/>
        <v>0</v>
      </c>
      <c r="AC174" s="108">
        <f t="shared" si="33"/>
        <v>0</v>
      </c>
      <c r="AD174" s="108">
        <f t="shared" si="33"/>
        <v>0</v>
      </c>
      <c r="AE174" s="108">
        <f t="shared" si="33"/>
        <v>0</v>
      </c>
      <c r="AF174" s="108">
        <f t="shared" si="33"/>
        <v>0</v>
      </c>
      <c r="AG174" s="108">
        <f t="shared" si="33"/>
        <v>0</v>
      </c>
      <c r="AH174" s="108">
        <f t="shared" si="33"/>
        <v>0</v>
      </c>
      <c r="AI174" s="108">
        <f t="shared" si="33"/>
        <v>0</v>
      </c>
      <c r="AJ174" s="108">
        <f t="shared" si="33"/>
        <v>0</v>
      </c>
      <c r="AK174" s="108">
        <f t="shared" si="33"/>
        <v>0</v>
      </c>
      <c r="AL174" s="108">
        <f t="shared" si="33"/>
        <v>0</v>
      </c>
      <c r="AM174" s="108">
        <f t="shared" si="33"/>
        <v>0</v>
      </c>
      <c r="AQ174" s="104" t="str">
        <f>$V$73</f>
        <v>Nour</v>
      </c>
      <c r="AR174" s="54">
        <v>0</v>
      </c>
      <c r="AS174" s="54">
        <v>0</v>
      </c>
      <c r="AT174" s="54">
        <v>0</v>
      </c>
      <c r="AU174" s="54">
        <v>0</v>
      </c>
      <c r="AV174" s="54">
        <v>0</v>
      </c>
      <c r="AW174" s="54">
        <v>0</v>
      </c>
      <c r="AX174" s="54">
        <v>0</v>
      </c>
      <c r="AY174" s="54">
        <v>0</v>
      </c>
      <c r="AZ174" s="54">
        <v>0</v>
      </c>
      <c r="BA174" s="54">
        <v>0</v>
      </c>
      <c r="BB174" s="54">
        <v>0</v>
      </c>
      <c r="BC174" s="54">
        <v>0</v>
      </c>
      <c r="BD174" s="54">
        <v>0</v>
      </c>
      <c r="BE174" s="54">
        <v>0</v>
      </c>
      <c r="BF174" s="54">
        <v>0</v>
      </c>
      <c r="BG174" s="54">
        <v>0</v>
      </c>
      <c r="BH174" s="54">
        <v>0</v>
      </c>
      <c r="BK174" s="104" t="str">
        <f>$V$62</f>
        <v>Joao</v>
      </c>
      <c r="BL174" s="108">
        <v>0</v>
      </c>
      <c r="BM174" s="108">
        <v>0</v>
      </c>
      <c r="BN174" s="108">
        <v>0</v>
      </c>
      <c r="BO174" s="108">
        <v>0</v>
      </c>
      <c r="BP174" s="108">
        <v>0</v>
      </c>
      <c r="BQ174" s="108">
        <v>0</v>
      </c>
      <c r="BR174" s="108">
        <v>0</v>
      </c>
      <c r="BS174" s="108">
        <v>0</v>
      </c>
      <c r="BT174" s="108">
        <v>0</v>
      </c>
      <c r="BU174" s="108">
        <v>0</v>
      </c>
      <c r="BV174" s="108">
        <v>0</v>
      </c>
      <c r="BW174" s="108">
        <v>0</v>
      </c>
      <c r="BX174" s="108">
        <v>0</v>
      </c>
      <c r="BY174" s="108">
        <v>0</v>
      </c>
      <c r="BZ174" s="108">
        <v>0</v>
      </c>
      <c r="CA174" s="108">
        <v>0</v>
      </c>
      <c r="CB174" s="108">
        <v>0</v>
      </c>
    </row>
    <row r="175" spans="2:80" x14ac:dyDescent="0.55000000000000004">
      <c r="B175" s="104" t="str">
        <f>$V$67</f>
        <v>Antoine</v>
      </c>
      <c r="C175" s="108">
        <f t="shared" si="3"/>
        <v>0</v>
      </c>
      <c r="D175" s="108">
        <f t="shared" si="4"/>
        <v>0</v>
      </c>
      <c r="E175" s="108">
        <f t="shared" si="5"/>
        <v>0</v>
      </c>
      <c r="F175" s="108">
        <f t="shared" si="6"/>
        <v>0</v>
      </c>
      <c r="G175" s="108">
        <f t="shared" si="7"/>
        <v>0</v>
      </c>
      <c r="H175" s="108">
        <f t="shared" si="8"/>
        <v>0</v>
      </c>
      <c r="I175" s="108">
        <f t="shared" si="9"/>
        <v>0</v>
      </c>
      <c r="J175" s="108">
        <f t="shared" si="10"/>
        <v>0</v>
      </c>
      <c r="K175" s="108">
        <f t="shared" si="11"/>
        <v>0</v>
      </c>
      <c r="L175" s="108">
        <f t="shared" si="12"/>
        <v>0</v>
      </c>
      <c r="M175" s="108">
        <f t="shared" si="13"/>
        <v>0</v>
      </c>
      <c r="N175" s="108">
        <f t="shared" si="14"/>
        <v>0</v>
      </c>
      <c r="O175" s="108">
        <f t="shared" si="15"/>
        <v>0</v>
      </c>
      <c r="P175" s="108">
        <f t="shared" si="16"/>
        <v>0</v>
      </c>
      <c r="Q175" s="108">
        <f t="shared" si="17"/>
        <v>0</v>
      </c>
      <c r="R175" s="108">
        <f t="shared" si="18"/>
        <v>0</v>
      </c>
      <c r="S175" s="108">
        <f t="shared" si="19"/>
        <v>0</v>
      </c>
      <c r="T175" s="102" t="s">
        <v>20</v>
      </c>
      <c r="V175" s="104" t="str">
        <f>$V$67</f>
        <v>Antoine</v>
      </c>
      <c r="W175" s="108">
        <f t="shared" ref="W175:AM175" si="34">W67</f>
        <v>0</v>
      </c>
      <c r="X175" s="108">
        <f t="shared" si="34"/>
        <v>0</v>
      </c>
      <c r="Y175" s="108">
        <f t="shared" si="34"/>
        <v>0</v>
      </c>
      <c r="Z175" s="108">
        <f t="shared" si="34"/>
        <v>0</v>
      </c>
      <c r="AA175" s="108">
        <f t="shared" si="34"/>
        <v>0</v>
      </c>
      <c r="AB175" s="108">
        <f t="shared" si="34"/>
        <v>0</v>
      </c>
      <c r="AC175" s="108">
        <f t="shared" si="34"/>
        <v>0</v>
      </c>
      <c r="AD175" s="108">
        <f t="shared" si="34"/>
        <v>0</v>
      </c>
      <c r="AE175" s="108">
        <f t="shared" si="34"/>
        <v>0</v>
      </c>
      <c r="AF175" s="108">
        <f t="shared" si="34"/>
        <v>0</v>
      </c>
      <c r="AG175" s="108">
        <f t="shared" si="34"/>
        <v>0</v>
      </c>
      <c r="AH175" s="108">
        <f t="shared" si="34"/>
        <v>0</v>
      </c>
      <c r="AI175" s="108">
        <f t="shared" si="34"/>
        <v>0</v>
      </c>
      <c r="AJ175" s="108">
        <f t="shared" si="34"/>
        <v>0</v>
      </c>
      <c r="AK175" s="108">
        <f t="shared" si="34"/>
        <v>0</v>
      </c>
      <c r="AL175" s="108">
        <f t="shared" si="34"/>
        <v>0</v>
      </c>
      <c r="AM175" s="108">
        <f t="shared" si="34"/>
        <v>0</v>
      </c>
      <c r="AQ175" s="104" t="str">
        <f>$V$74</f>
        <v>Samuel</v>
      </c>
      <c r="AR175" s="54">
        <v>0</v>
      </c>
      <c r="AS175" s="54">
        <v>0</v>
      </c>
      <c r="AT175" s="54">
        <v>0</v>
      </c>
      <c r="AU175" s="54">
        <v>0</v>
      </c>
      <c r="AV175" s="54">
        <v>0</v>
      </c>
      <c r="AW175" s="54">
        <v>0</v>
      </c>
      <c r="AX175" s="54">
        <v>0</v>
      </c>
      <c r="AY175" s="54">
        <v>0</v>
      </c>
      <c r="AZ175" s="54">
        <v>0</v>
      </c>
      <c r="BA175" s="54">
        <v>0</v>
      </c>
      <c r="BB175" s="54">
        <v>0</v>
      </c>
      <c r="BC175" s="54">
        <v>0</v>
      </c>
      <c r="BD175" s="54">
        <v>0</v>
      </c>
      <c r="BE175" s="54">
        <v>0</v>
      </c>
      <c r="BF175" s="54">
        <v>0</v>
      </c>
      <c r="BG175" s="54">
        <v>0</v>
      </c>
      <c r="BH175" s="54">
        <v>0</v>
      </c>
      <c r="BK175" s="104" t="str">
        <f>$V$63</f>
        <v>Maxime</v>
      </c>
      <c r="BL175" s="108">
        <v>0</v>
      </c>
      <c r="BM175" s="108">
        <v>0</v>
      </c>
      <c r="BN175" s="108">
        <v>0</v>
      </c>
      <c r="BO175" s="108">
        <v>0</v>
      </c>
      <c r="BP175" s="108">
        <v>0</v>
      </c>
      <c r="BQ175" s="108">
        <v>0</v>
      </c>
      <c r="BR175" s="108">
        <v>0</v>
      </c>
      <c r="BS175" s="108">
        <v>0</v>
      </c>
      <c r="BT175" s="108">
        <v>0</v>
      </c>
      <c r="BU175" s="108">
        <v>0</v>
      </c>
      <c r="BV175" s="108">
        <v>0</v>
      </c>
      <c r="BW175" s="108">
        <v>0</v>
      </c>
      <c r="BX175" s="108">
        <v>0</v>
      </c>
      <c r="BY175" s="108">
        <v>0</v>
      </c>
      <c r="BZ175" s="108">
        <v>0</v>
      </c>
      <c r="CA175" s="108">
        <v>0</v>
      </c>
      <c r="CB175" s="108">
        <v>0</v>
      </c>
    </row>
    <row r="176" spans="2:80" x14ac:dyDescent="0.55000000000000004">
      <c r="B176" s="104" t="str">
        <f>$V$68</f>
        <v>Beatriz</v>
      </c>
      <c r="C176" s="108">
        <f t="shared" si="3"/>
        <v>0</v>
      </c>
      <c r="D176" s="108">
        <f t="shared" si="4"/>
        <v>0</v>
      </c>
      <c r="E176" s="108">
        <f t="shared" si="5"/>
        <v>0</v>
      </c>
      <c r="F176" s="108">
        <f t="shared" si="6"/>
        <v>0</v>
      </c>
      <c r="G176" s="108">
        <f t="shared" si="7"/>
        <v>0</v>
      </c>
      <c r="H176" s="108">
        <f t="shared" si="8"/>
        <v>0</v>
      </c>
      <c r="I176" s="108">
        <f t="shared" si="9"/>
        <v>0</v>
      </c>
      <c r="J176" s="108">
        <f t="shared" si="10"/>
        <v>0</v>
      </c>
      <c r="K176" s="108">
        <f t="shared" si="11"/>
        <v>0</v>
      </c>
      <c r="L176" s="108">
        <f t="shared" si="12"/>
        <v>0</v>
      </c>
      <c r="M176" s="108">
        <f t="shared" si="13"/>
        <v>0</v>
      </c>
      <c r="N176" s="108">
        <f t="shared" si="14"/>
        <v>0</v>
      </c>
      <c r="O176" s="108">
        <f t="shared" si="15"/>
        <v>0</v>
      </c>
      <c r="P176" s="108">
        <f t="shared" si="16"/>
        <v>0</v>
      </c>
      <c r="Q176" s="108">
        <f t="shared" si="17"/>
        <v>0</v>
      </c>
      <c r="R176" s="108">
        <f t="shared" si="18"/>
        <v>0</v>
      </c>
      <c r="S176" s="108">
        <f t="shared" si="19"/>
        <v>0</v>
      </c>
      <c r="T176" s="102" t="s">
        <v>20</v>
      </c>
      <c r="V176" s="104" t="str">
        <f>$V$68</f>
        <v>Beatriz</v>
      </c>
      <c r="W176" s="108">
        <f t="shared" ref="W176:AM176" si="35">W68</f>
        <v>0</v>
      </c>
      <c r="X176" s="108">
        <f t="shared" si="35"/>
        <v>0</v>
      </c>
      <c r="Y176" s="108">
        <f t="shared" si="35"/>
        <v>0</v>
      </c>
      <c r="Z176" s="108">
        <f t="shared" si="35"/>
        <v>0</v>
      </c>
      <c r="AA176" s="108">
        <f t="shared" si="35"/>
        <v>0</v>
      </c>
      <c r="AB176" s="108">
        <f t="shared" si="35"/>
        <v>0</v>
      </c>
      <c r="AC176" s="108">
        <f t="shared" si="35"/>
        <v>0</v>
      </c>
      <c r="AD176" s="108">
        <f t="shared" si="35"/>
        <v>0</v>
      </c>
      <c r="AE176" s="108">
        <f t="shared" si="35"/>
        <v>0</v>
      </c>
      <c r="AF176" s="108">
        <f t="shared" si="35"/>
        <v>0</v>
      </c>
      <c r="AG176" s="108">
        <f t="shared" si="35"/>
        <v>0</v>
      </c>
      <c r="AH176" s="108">
        <f t="shared" si="35"/>
        <v>0</v>
      </c>
      <c r="AI176" s="108">
        <f t="shared" si="35"/>
        <v>0</v>
      </c>
      <c r="AJ176" s="108">
        <f t="shared" si="35"/>
        <v>0</v>
      </c>
      <c r="AK176" s="108">
        <f t="shared" si="35"/>
        <v>0</v>
      </c>
      <c r="AL176" s="108">
        <f t="shared" si="35"/>
        <v>0</v>
      </c>
      <c r="AM176" s="108">
        <f t="shared" si="35"/>
        <v>0</v>
      </c>
      <c r="AQ176" s="104" t="str">
        <f>$V$75</f>
        <v>Yassin</v>
      </c>
      <c r="AR176" s="54">
        <v>0</v>
      </c>
      <c r="AS176" s="54">
        <v>0</v>
      </c>
      <c r="AT176" s="54">
        <v>0</v>
      </c>
      <c r="AU176" s="54">
        <v>0</v>
      </c>
      <c r="AV176" s="54">
        <v>0</v>
      </c>
      <c r="AW176" s="54">
        <v>0</v>
      </c>
      <c r="AX176" s="54">
        <v>0</v>
      </c>
      <c r="AY176" s="54">
        <v>0</v>
      </c>
      <c r="AZ176" s="54">
        <v>0</v>
      </c>
      <c r="BA176" s="54">
        <v>0</v>
      </c>
      <c r="BB176" s="54">
        <v>0</v>
      </c>
      <c r="BC176" s="54">
        <v>0</v>
      </c>
      <c r="BD176" s="54">
        <v>0</v>
      </c>
      <c r="BE176" s="54">
        <v>0</v>
      </c>
      <c r="BF176" s="54">
        <v>0</v>
      </c>
      <c r="BG176" s="54">
        <v>0</v>
      </c>
      <c r="BH176" s="54">
        <v>0</v>
      </c>
      <c r="BK176" s="104" t="str">
        <f>$V$64</f>
        <v>Alex</v>
      </c>
      <c r="BL176" s="108">
        <v>0</v>
      </c>
      <c r="BM176" s="108">
        <v>0</v>
      </c>
      <c r="BN176" s="108">
        <v>0</v>
      </c>
      <c r="BO176" s="108">
        <v>0</v>
      </c>
      <c r="BP176" s="108">
        <v>0</v>
      </c>
      <c r="BQ176" s="108">
        <v>0</v>
      </c>
      <c r="BR176" s="108">
        <v>0</v>
      </c>
      <c r="BS176" s="108">
        <v>0</v>
      </c>
      <c r="BT176" s="108">
        <v>0</v>
      </c>
      <c r="BU176" s="108">
        <v>0</v>
      </c>
      <c r="BV176" s="108">
        <v>0</v>
      </c>
      <c r="BW176" s="108">
        <v>0</v>
      </c>
      <c r="BX176" s="108">
        <v>0</v>
      </c>
      <c r="BY176" s="108">
        <v>0</v>
      </c>
      <c r="BZ176" s="108">
        <v>0</v>
      </c>
      <c r="CA176" s="108">
        <v>0</v>
      </c>
      <c r="CB176" s="108">
        <v>0</v>
      </c>
    </row>
    <row r="177" spans="2:80" x14ac:dyDescent="0.55000000000000004">
      <c r="B177" s="104" t="str">
        <f>$V$69</f>
        <v>Charelle</v>
      </c>
      <c r="C177" s="108">
        <f t="shared" si="3"/>
        <v>0</v>
      </c>
      <c r="D177" s="108">
        <f t="shared" si="4"/>
        <v>0</v>
      </c>
      <c r="E177" s="108">
        <f t="shared" si="5"/>
        <v>0</v>
      </c>
      <c r="F177" s="108">
        <f t="shared" si="6"/>
        <v>0</v>
      </c>
      <c r="G177" s="108">
        <f t="shared" si="7"/>
        <v>-2</v>
      </c>
      <c r="H177" s="108">
        <f t="shared" si="8"/>
        <v>0</v>
      </c>
      <c r="I177" s="108">
        <f t="shared" si="9"/>
        <v>0</v>
      </c>
      <c r="J177" s="108">
        <f t="shared" si="10"/>
        <v>0</v>
      </c>
      <c r="K177" s="108">
        <f t="shared" si="11"/>
        <v>0</v>
      </c>
      <c r="L177" s="108">
        <f t="shared" si="12"/>
        <v>0</v>
      </c>
      <c r="M177" s="108">
        <f t="shared" si="13"/>
        <v>0</v>
      </c>
      <c r="N177" s="108">
        <f t="shared" si="14"/>
        <v>0</v>
      </c>
      <c r="O177" s="108">
        <f t="shared" si="15"/>
        <v>0</v>
      </c>
      <c r="P177" s="108">
        <f t="shared" si="16"/>
        <v>0</v>
      </c>
      <c r="Q177" s="108">
        <f t="shared" si="17"/>
        <v>0</v>
      </c>
      <c r="R177" s="108">
        <f t="shared" si="18"/>
        <v>0</v>
      </c>
      <c r="S177" s="108">
        <f t="shared" si="19"/>
        <v>0</v>
      </c>
      <c r="T177" s="102" t="s">
        <v>20</v>
      </c>
      <c r="V177" s="104" t="str">
        <f>$V$69</f>
        <v>Charelle</v>
      </c>
      <c r="W177" s="108">
        <f t="shared" ref="W177:AM177" si="36">W69</f>
        <v>0</v>
      </c>
      <c r="X177" s="108">
        <f t="shared" si="36"/>
        <v>0</v>
      </c>
      <c r="Y177" s="108">
        <f t="shared" si="36"/>
        <v>0</v>
      </c>
      <c r="Z177" s="108">
        <f t="shared" si="36"/>
        <v>0</v>
      </c>
      <c r="AA177" s="108">
        <f t="shared" si="36"/>
        <v>0</v>
      </c>
      <c r="AB177" s="108">
        <f t="shared" si="36"/>
        <v>0</v>
      </c>
      <c r="AC177" s="108">
        <f t="shared" si="36"/>
        <v>0</v>
      </c>
      <c r="AD177" s="108">
        <f t="shared" si="36"/>
        <v>0</v>
      </c>
      <c r="AE177" s="108">
        <f t="shared" si="36"/>
        <v>0</v>
      </c>
      <c r="AF177" s="108">
        <f t="shared" si="36"/>
        <v>0</v>
      </c>
      <c r="AG177" s="108">
        <f t="shared" si="36"/>
        <v>0</v>
      </c>
      <c r="AH177" s="108">
        <f t="shared" si="36"/>
        <v>0</v>
      </c>
      <c r="AI177" s="108">
        <f t="shared" si="36"/>
        <v>0</v>
      </c>
      <c r="AJ177" s="108">
        <f t="shared" si="36"/>
        <v>0</v>
      </c>
      <c r="AK177" s="108">
        <f t="shared" si="36"/>
        <v>0</v>
      </c>
      <c r="AL177" s="108">
        <f t="shared" si="36"/>
        <v>0</v>
      </c>
      <c r="AM177" s="108">
        <f t="shared" si="36"/>
        <v>0</v>
      </c>
      <c r="AQ177" s="104" t="str">
        <f>$V$76</f>
        <v>Kamar</v>
      </c>
      <c r="AR177" s="54">
        <v>0</v>
      </c>
      <c r="AS177" s="54">
        <v>0</v>
      </c>
      <c r="AT177" s="54">
        <v>0</v>
      </c>
      <c r="AU177" s="54">
        <v>0</v>
      </c>
      <c r="AV177" s="54">
        <v>0</v>
      </c>
      <c r="AW177" s="54">
        <v>0</v>
      </c>
      <c r="AX177" s="54">
        <v>0</v>
      </c>
      <c r="AY177" s="54">
        <v>0</v>
      </c>
      <c r="AZ177" s="54">
        <v>0</v>
      </c>
      <c r="BA177" s="54">
        <v>0</v>
      </c>
      <c r="BB177" s="54">
        <v>0</v>
      </c>
      <c r="BC177" s="54">
        <v>0</v>
      </c>
      <c r="BD177" s="54">
        <v>0</v>
      </c>
      <c r="BE177" s="54">
        <v>0</v>
      </c>
      <c r="BF177" s="54">
        <v>0</v>
      </c>
      <c r="BG177" s="54">
        <v>0</v>
      </c>
      <c r="BH177" s="54">
        <v>0</v>
      </c>
      <c r="BK177" s="104" t="str">
        <f>$V$65</f>
        <v>Alyssa</v>
      </c>
      <c r="BL177" s="108">
        <v>0</v>
      </c>
      <c r="BM177" s="108">
        <v>0</v>
      </c>
      <c r="BN177" s="108">
        <v>0</v>
      </c>
      <c r="BO177" s="108">
        <v>0</v>
      </c>
      <c r="BP177" s="108">
        <v>0</v>
      </c>
      <c r="BQ177" s="108">
        <v>0</v>
      </c>
      <c r="BR177" s="108">
        <v>0</v>
      </c>
      <c r="BS177" s="108">
        <v>0</v>
      </c>
      <c r="BT177" s="108">
        <v>0</v>
      </c>
      <c r="BU177" s="108">
        <v>0</v>
      </c>
      <c r="BV177" s="108">
        <v>0</v>
      </c>
      <c r="BW177" s="108">
        <v>0</v>
      </c>
      <c r="BX177" s="108">
        <v>0</v>
      </c>
      <c r="BY177" s="108">
        <v>0</v>
      </c>
      <c r="BZ177" s="108">
        <v>0</v>
      </c>
      <c r="CA177" s="108">
        <v>0</v>
      </c>
      <c r="CB177" s="108">
        <v>0</v>
      </c>
    </row>
    <row r="178" spans="2:80" x14ac:dyDescent="0.55000000000000004">
      <c r="B178" s="104" t="str">
        <f>$V$70</f>
        <v>Dimitri</v>
      </c>
      <c r="C178" s="108">
        <f t="shared" si="3"/>
        <v>0</v>
      </c>
      <c r="D178" s="108">
        <f t="shared" si="4"/>
        <v>0</v>
      </c>
      <c r="E178" s="108">
        <f t="shared" si="5"/>
        <v>0</v>
      </c>
      <c r="F178" s="108">
        <f t="shared" si="6"/>
        <v>0</v>
      </c>
      <c r="G178" s="108">
        <f t="shared" si="7"/>
        <v>0</v>
      </c>
      <c r="H178" s="108">
        <f t="shared" si="8"/>
        <v>0</v>
      </c>
      <c r="I178" s="108">
        <f t="shared" si="9"/>
        <v>-2</v>
      </c>
      <c r="J178" s="108">
        <f t="shared" si="10"/>
        <v>0</v>
      </c>
      <c r="K178" s="108">
        <f t="shared" si="11"/>
        <v>0</v>
      </c>
      <c r="L178" s="108">
        <f t="shared" si="12"/>
        <v>0</v>
      </c>
      <c r="M178" s="108">
        <f t="shared" si="13"/>
        <v>0</v>
      </c>
      <c r="N178" s="108">
        <f t="shared" si="14"/>
        <v>0</v>
      </c>
      <c r="O178" s="108">
        <f t="shared" si="15"/>
        <v>0</v>
      </c>
      <c r="P178" s="108">
        <f t="shared" si="16"/>
        <v>0</v>
      </c>
      <c r="Q178" s="108">
        <f t="shared" si="17"/>
        <v>0</v>
      </c>
      <c r="R178" s="108">
        <f t="shared" si="18"/>
        <v>0</v>
      </c>
      <c r="S178" s="108">
        <f t="shared" si="19"/>
        <v>0</v>
      </c>
      <c r="T178" s="102" t="s">
        <v>20</v>
      </c>
      <c r="V178" s="104" t="str">
        <f>$V$70</f>
        <v>Dimitri</v>
      </c>
      <c r="W178" s="108">
        <f t="shared" ref="W178:AM178" si="37">W70</f>
        <v>0</v>
      </c>
      <c r="X178" s="108">
        <f t="shared" si="37"/>
        <v>0</v>
      </c>
      <c r="Y178" s="108">
        <f t="shared" si="37"/>
        <v>0</v>
      </c>
      <c r="Z178" s="108">
        <f t="shared" si="37"/>
        <v>0</v>
      </c>
      <c r="AA178" s="108">
        <f t="shared" si="37"/>
        <v>0</v>
      </c>
      <c r="AB178" s="108">
        <f t="shared" si="37"/>
        <v>0</v>
      </c>
      <c r="AC178" s="108">
        <f t="shared" si="37"/>
        <v>0</v>
      </c>
      <c r="AD178" s="108">
        <f t="shared" si="37"/>
        <v>0</v>
      </c>
      <c r="AE178" s="108">
        <f t="shared" si="37"/>
        <v>0</v>
      </c>
      <c r="AF178" s="108">
        <f t="shared" si="37"/>
        <v>0</v>
      </c>
      <c r="AG178" s="108">
        <f t="shared" si="37"/>
        <v>0</v>
      </c>
      <c r="AH178" s="108">
        <f t="shared" si="37"/>
        <v>0</v>
      </c>
      <c r="AI178" s="108">
        <f t="shared" si="37"/>
        <v>0</v>
      </c>
      <c r="AJ178" s="108">
        <f t="shared" si="37"/>
        <v>0</v>
      </c>
      <c r="AK178" s="108">
        <f t="shared" si="37"/>
        <v>0</v>
      </c>
      <c r="AL178" s="108">
        <f t="shared" si="37"/>
        <v>0</v>
      </c>
      <c r="AM178" s="108">
        <f t="shared" si="37"/>
        <v>0</v>
      </c>
      <c r="AQ178" s="104" t="str">
        <f>$V$77</f>
        <v>-</v>
      </c>
      <c r="AR178" s="54">
        <v>0</v>
      </c>
      <c r="AS178" s="54">
        <v>0</v>
      </c>
      <c r="AT178" s="54">
        <v>0</v>
      </c>
      <c r="AU178" s="54">
        <v>0</v>
      </c>
      <c r="AV178" s="54">
        <v>0</v>
      </c>
      <c r="AW178" s="54">
        <v>0</v>
      </c>
      <c r="AX178" s="54">
        <v>0</v>
      </c>
      <c r="AY178" s="54">
        <v>0</v>
      </c>
      <c r="AZ178" s="54">
        <v>0</v>
      </c>
      <c r="BA178" s="54">
        <v>0</v>
      </c>
      <c r="BB178" s="54">
        <v>0</v>
      </c>
      <c r="BC178" s="54">
        <v>0</v>
      </c>
      <c r="BD178" s="54">
        <v>0</v>
      </c>
      <c r="BE178" s="54">
        <v>0</v>
      </c>
      <c r="BF178" s="54">
        <v>0</v>
      </c>
      <c r="BG178" s="54">
        <v>0</v>
      </c>
      <c r="BH178" s="54">
        <v>0</v>
      </c>
      <c r="BK178" s="104" t="str">
        <f>$V$66</f>
        <v>Amanda</v>
      </c>
      <c r="BL178" s="108">
        <v>0</v>
      </c>
      <c r="BM178" s="108">
        <v>0</v>
      </c>
      <c r="BN178" s="108">
        <v>0</v>
      </c>
      <c r="BO178" s="108">
        <v>0</v>
      </c>
      <c r="BP178" s="108">
        <v>0</v>
      </c>
      <c r="BQ178" s="108">
        <v>0</v>
      </c>
      <c r="BR178" s="108">
        <v>0</v>
      </c>
      <c r="BS178" s="108">
        <v>0</v>
      </c>
      <c r="BT178" s="108">
        <v>0</v>
      </c>
      <c r="BU178" s="108">
        <v>0</v>
      </c>
      <c r="BV178" s="108">
        <v>0</v>
      </c>
      <c r="BW178" s="108">
        <v>0</v>
      </c>
      <c r="BX178" s="108">
        <v>0</v>
      </c>
      <c r="BY178" s="108">
        <v>0</v>
      </c>
      <c r="BZ178" s="108">
        <v>0</v>
      </c>
      <c r="CA178" s="108">
        <v>0</v>
      </c>
      <c r="CB178" s="108">
        <v>0</v>
      </c>
    </row>
    <row r="179" spans="2:80" x14ac:dyDescent="0.55000000000000004">
      <c r="B179" s="104" t="str">
        <f>$V$71</f>
        <v>Marina</v>
      </c>
      <c r="C179" s="108">
        <f t="shared" si="3"/>
        <v>0</v>
      </c>
      <c r="D179" s="108">
        <f t="shared" si="4"/>
        <v>0</v>
      </c>
      <c r="E179" s="108">
        <f t="shared" si="5"/>
        <v>0</v>
      </c>
      <c r="F179" s="108">
        <f t="shared" si="6"/>
        <v>0</v>
      </c>
      <c r="G179" s="108">
        <f t="shared" si="7"/>
        <v>0</v>
      </c>
      <c r="H179" s="108">
        <f t="shared" si="8"/>
        <v>0</v>
      </c>
      <c r="I179" s="108">
        <f t="shared" si="9"/>
        <v>0</v>
      </c>
      <c r="J179" s="108">
        <f t="shared" si="10"/>
        <v>0</v>
      </c>
      <c r="K179" s="108">
        <f t="shared" si="11"/>
        <v>0</v>
      </c>
      <c r="L179" s="108">
        <f t="shared" si="12"/>
        <v>0</v>
      </c>
      <c r="M179" s="108">
        <f t="shared" si="13"/>
        <v>0</v>
      </c>
      <c r="N179" s="108">
        <f t="shared" si="14"/>
        <v>0</v>
      </c>
      <c r="O179" s="108">
        <f t="shared" si="15"/>
        <v>0</v>
      </c>
      <c r="P179" s="108">
        <f t="shared" si="16"/>
        <v>0</v>
      </c>
      <c r="Q179" s="108">
        <f t="shared" si="17"/>
        <v>0</v>
      </c>
      <c r="R179" s="108">
        <f t="shared" si="18"/>
        <v>0</v>
      </c>
      <c r="S179" s="108">
        <f t="shared" si="19"/>
        <v>0</v>
      </c>
      <c r="T179" s="102" t="s">
        <v>20</v>
      </c>
      <c r="V179" s="104" t="str">
        <f>$V$71</f>
        <v>Marina</v>
      </c>
      <c r="W179" s="108">
        <f t="shared" ref="W179:AM179" si="38">W71</f>
        <v>0</v>
      </c>
      <c r="X179" s="108">
        <f t="shared" si="38"/>
        <v>0</v>
      </c>
      <c r="Y179" s="108">
        <f t="shared" si="38"/>
        <v>0</v>
      </c>
      <c r="Z179" s="108">
        <f t="shared" si="38"/>
        <v>0</v>
      </c>
      <c r="AA179" s="108">
        <f t="shared" si="38"/>
        <v>0</v>
      </c>
      <c r="AB179" s="108">
        <f t="shared" si="38"/>
        <v>0</v>
      </c>
      <c r="AC179" s="108">
        <f t="shared" si="38"/>
        <v>0</v>
      </c>
      <c r="AD179" s="108">
        <f t="shared" si="38"/>
        <v>0</v>
      </c>
      <c r="AE179" s="108">
        <f t="shared" si="38"/>
        <v>0</v>
      </c>
      <c r="AF179" s="108">
        <f t="shared" si="38"/>
        <v>0</v>
      </c>
      <c r="AG179" s="108">
        <f t="shared" si="38"/>
        <v>0</v>
      </c>
      <c r="AH179" s="108">
        <f t="shared" si="38"/>
        <v>0</v>
      </c>
      <c r="AI179" s="108">
        <f t="shared" si="38"/>
        <v>0</v>
      </c>
      <c r="AJ179" s="108">
        <f t="shared" si="38"/>
        <v>0</v>
      </c>
      <c r="AK179" s="108">
        <f t="shared" si="38"/>
        <v>0</v>
      </c>
      <c r="AL179" s="108">
        <f t="shared" si="38"/>
        <v>0</v>
      </c>
      <c r="AM179" s="108">
        <f t="shared" si="38"/>
        <v>0</v>
      </c>
      <c r="AQ179" s="104" t="str">
        <f>$V$78</f>
        <v>-</v>
      </c>
      <c r="AR179" s="54">
        <v>0</v>
      </c>
      <c r="AS179" s="54">
        <v>0</v>
      </c>
      <c r="AT179" s="54">
        <v>0</v>
      </c>
      <c r="AU179" s="54">
        <v>0</v>
      </c>
      <c r="AV179" s="54">
        <v>0</v>
      </c>
      <c r="AW179" s="54">
        <v>0</v>
      </c>
      <c r="AX179" s="54">
        <v>0</v>
      </c>
      <c r="AY179" s="54">
        <v>0</v>
      </c>
      <c r="AZ179" s="54">
        <v>0</v>
      </c>
      <c r="BA179" s="54">
        <v>0</v>
      </c>
      <c r="BB179" s="54">
        <v>0</v>
      </c>
      <c r="BC179" s="54">
        <v>0</v>
      </c>
      <c r="BD179" s="54">
        <v>0</v>
      </c>
      <c r="BE179" s="54">
        <v>0</v>
      </c>
      <c r="BF179" s="54">
        <v>0</v>
      </c>
      <c r="BG179" s="54">
        <v>0</v>
      </c>
      <c r="BH179" s="54">
        <v>0</v>
      </c>
      <c r="BK179" s="104" t="str">
        <f>$V$67</f>
        <v>Antoine</v>
      </c>
      <c r="BL179" s="108">
        <v>0</v>
      </c>
      <c r="BM179" s="108">
        <v>0</v>
      </c>
      <c r="BN179" s="108">
        <v>0</v>
      </c>
      <c r="BO179" s="108">
        <v>0</v>
      </c>
      <c r="BP179" s="108">
        <v>0</v>
      </c>
      <c r="BQ179" s="108">
        <v>0</v>
      </c>
      <c r="BR179" s="108">
        <v>0</v>
      </c>
      <c r="BS179" s="108">
        <v>0</v>
      </c>
      <c r="BT179" s="108">
        <v>0</v>
      </c>
      <c r="BU179" s="108">
        <v>0</v>
      </c>
      <c r="BV179" s="108">
        <v>0</v>
      </c>
      <c r="BW179" s="108">
        <v>0</v>
      </c>
      <c r="BX179" s="108">
        <v>0</v>
      </c>
      <c r="BY179" s="108">
        <v>0</v>
      </c>
      <c r="BZ179" s="108">
        <v>0</v>
      </c>
      <c r="CA179" s="108">
        <v>0</v>
      </c>
      <c r="CB179" s="108">
        <v>0</v>
      </c>
    </row>
    <row r="180" spans="2:80" x14ac:dyDescent="0.55000000000000004">
      <c r="B180" s="104" t="str">
        <f>$V$72</f>
        <v>Michel</v>
      </c>
      <c r="C180" s="108">
        <f t="shared" si="3"/>
        <v>0</v>
      </c>
      <c r="D180" s="108">
        <f t="shared" si="4"/>
        <v>0</v>
      </c>
      <c r="E180" s="108">
        <f t="shared" si="5"/>
        <v>0</v>
      </c>
      <c r="F180" s="108">
        <f t="shared" si="6"/>
        <v>0</v>
      </c>
      <c r="G180" s="108">
        <f t="shared" si="7"/>
        <v>0</v>
      </c>
      <c r="H180" s="108">
        <f t="shared" si="8"/>
        <v>0</v>
      </c>
      <c r="I180" s="108">
        <f t="shared" si="9"/>
        <v>0</v>
      </c>
      <c r="J180" s="108">
        <f t="shared" si="10"/>
        <v>0</v>
      </c>
      <c r="K180" s="108">
        <f t="shared" si="11"/>
        <v>0</v>
      </c>
      <c r="L180" s="108">
        <f t="shared" si="12"/>
        <v>0</v>
      </c>
      <c r="M180" s="108">
        <f t="shared" si="13"/>
        <v>0</v>
      </c>
      <c r="N180" s="108">
        <f t="shared" si="14"/>
        <v>0</v>
      </c>
      <c r="O180" s="108">
        <f t="shared" si="15"/>
        <v>0</v>
      </c>
      <c r="P180" s="108">
        <f t="shared" si="16"/>
        <v>0</v>
      </c>
      <c r="Q180" s="108">
        <f t="shared" si="17"/>
        <v>0</v>
      </c>
      <c r="R180" s="108">
        <f t="shared" si="18"/>
        <v>0</v>
      </c>
      <c r="S180" s="108">
        <f t="shared" si="19"/>
        <v>0</v>
      </c>
      <c r="T180" s="102" t="s">
        <v>20</v>
      </c>
      <c r="V180" s="104" t="str">
        <f>$V$72</f>
        <v>Michel</v>
      </c>
      <c r="W180" s="108">
        <f t="shared" ref="W180:AM180" si="39">W72</f>
        <v>0</v>
      </c>
      <c r="X180" s="108">
        <f t="shared" si="39"/>
        <v>0</v>
      </c>
      <c r="Y180" s="108">
        <f t="shared" si="39"/>
        <v>0</v>
      </c>
      <c r="Z180" s="108">
        <f t="shared" si="39"/>
        <v>0</v>
      </c>
      <c r="AA180" s="108">
        <f t="shared" si="39"/>
        <v>0</v>
      </c>
      <c r="AB180" s="108">
        <f t="shared" si="39"/>
        <v>0</v>
      </c>
      <c r="AC180" s="108">
        <f t="shared" si="39"/>
        <v>0</v>
      </c>
      <c r="AD180" s="108">
        <f t="shared" si="39"/>
        <v>0</v>
      </c>
      <c r="AE180" s="108">
        <f t="shared" si="39"/>
        <v>0</v>
      </c>
      <c r="AF180" s="108">
        <f t="shared" si="39"/>
        <v>0</v>
      </c>
      <c r="AG180" s="108">
        <f t="shared" si="39"/>
        <v>0</v>
      </c>
      <c r="AH180" s="108">
        <f t="shared" si="39"/>
        <v>0</v>
      </c>
      <c r="AI180" s="108">
        <f t="shared" si="39"/>
        <v>0</v>
      </c>
      <c r="AJ180" s="108">
        <f t="shared" si="39"/>
        <v>0</v>
      </c>
      <c r="AK180" s="108">
        <f t="shared" si="39"/>
        <v>0</v>
      </c>
      <c r="AL180" s="108">
        <f t="shared" si="39"/>
        <v>0</v>
      </c>
      <c r="AM180" s="108">
        <f t="shared" si="39"/>
        <v>0</v>
      </c>
      <c r="AQ180" s="104" t="str">
        <f>$V$79</f>
        <v>-</v>
      </c>
      <c r="AR180" s="54">
        <v>0</v>
      </c>
      <c r="AS180" s="54">
        <v>0</v>
      </c>
      <c r="AT180" s="54">
        <v>0</v>
      </c>
      <c r="AU180" s="54">
        <v>0</v>
      </c>
      <c r="AV180" s="54">
        <v>0</v>
      </c>
      <c r="AW180" s="54">
        <v>0</v>
      </c>
      <c r="AX180" s="54">
        <v>0</v>
      </c>
      <c r="AY180" s="54">
        <v>0</v>
      </c>
      <c r="AZ180" s="54">
        <v>0</v>
      </c>
      <c r="BA180" s="54">
        <v>0</v>
      </c>
      <c r="BB180" s="54">
        <v>0</v>
      </c>
      <c r="BC180" s="54">
        <v>0</v>
      </c>
      <c r="BD180" s="54">
        <v>0</v>
      </c>
      <c r="BE180" s="54">
        <v>0</v>
      </c>
      <c r="BF180" s="54">
        <v>0</v>
      </c>
      <c r="BG180" s="54">
        <v>0</v>
      </c>
      <c r="BH180" s="54">
        <v>0</v>
      </c>
      <c r="BK180" s="104" t="str">
        <f>$V$68</f>
        <v>Beatriz</v>
      </c>
      <c r="BL180" s="108">
        <v>0</v>
      </c>
      <c r="BM180" s="108">
        <v>0</v>
      </c>
      <c r="BN180" s="108">
        <v>0</v>
      </c>
      <c r="BO180" s="108">
        <v>0</v>
      </c>
      <c r="BP180" s="108">
        <v>0</v>
      </c>
      <c r="BQ180" s="108">
        <v>0</v>
      </c>
      <c r="BR180" s="108">
        <v>0</v>
      </c>
      <c r="BS180" s="108">
        <v>0</v>
      </c>
      <c r="BT180" s="108">
        <v>0</v>
      </c>
      <c r="BU180" s="108">
        <v>0</v>
      </c>
      <c r="BV180" s="108">
        <v>0</v>
      </c>
      <c r="BW180" s="108">
        <v>0</v>
      </c>
      <c r="BX180" s="108">
        <v>0</v>
      </c>
      <c r="BY180" s="108">
        <v>0</v>
      </c>
      <c r="BZ180" s="108">
        <v>0</v>
      </c>
      <c r="CA180" s="108">
        <v>0</v>
      </c>
      <c r="CB180" s="108">
        <v>0</v>
      </c>
    </row>
    <row r="181" spans="2:80" x14ac:dyDescent="0.55000000000000004">
      <c r="B181" s="104" t="str">
        <f>$V$73</f>
        <v>Nour</v>
      </c>
      <c r="C181" s="108">
        <f t="shared" si="3"/>
        <v>-2</v>
      </c>
      <c r="D181" s="108">
        <f t="shared" si="4"/>
        <v>0</v>
      </c>
      <c r="E181" s="108">
        <f t="shared" si="5"/>
        <v>0</v>
      </c>
      <c r="F181" s="108">
        <f t="shared" si="6"/>
        <v>0</v>
      </c>
      <c r="G181" s="108">
        <f t="shared" si="7"/>
        <v>0</v>
      </c>
      <c r="H181" s="108">
        <f t="shared" si="8"/>
        <v>0</v>
      </c>
      <c r="I181" s="108">
        <f t="shared" si="9"/>
        <v>0</v>
      </c>
      <c r="J181" s="108">
        <f t="shared" si="10"/>
        <v>0</v>
      </c>
      <c r="K181" s="108">
        <f t="shared" si="11"/>
        <v>0</v>
      </c>
      <c r="L181" s="108">
        <f t="shared" si="12"/>
        <v>0</v>
      </c>
      <c r="M181" s="108">
        <f t="shared" si="13"/>
        <v>0</v>
      </c>
      <c r="N181" s="108">
        <f t="shared" si="14"/>
        <v>0</v>
      </c>
      <c r="O181" s="108">
        <f t="shared" si="15"/>
        <v>0</v>
      </c>
      <c r="P181" s="108">
        <f t="shared" si="16"/>
        <v>0</v>
      </c>
      <c r="Q181" s="108">
        <f t="shared" si="17"/>
        <v>0</v>
      </c>
      <c r="R181" s="108">
        <f t="shared" si="18"/>
        <v>0</v>
      </c>
      <c r="S181" s="108">
        <f t="shared" si="19"/>
        <v>0</v>
      </c>
      <c r="T181" s="102" t="s">
        <v>20</v>
      </c>
      <c r="V181" s="104" t="str">
        <f>$V$73</f>
        <v>Nour</v>
      </c>
      <c r="W181" s="108">
        <f t="shared" ref="W181:AM181" si="40">W73</f>
        <v>0</v>
      </c>
      <c r="X181" s="108">
        <f t="shared" si="40"/>
        <v>0</v>
      </c>
      <c r="Y181" s="108">
        <f t="shared" si="40"/>
        <v>0</v>
      </c>
      <c r="Z181" s="108">
        <f t="shared" si="40"/>
        <v>0</v>
      </c>
      <c r="AA181" s="108">
        <f t="shared" si="40"/>
        <v>0</v>
      </c>
      <c r="AB181" s="108">
        <f t="shared" si="40"/>
        <v>0</v>
      </c>
      <c r="AC181" s="108">
        <f t="shared" si="40"/>
        <v>0</v>
      </c>
      <c r="AD181" s="108">
        <f t="shared" si="40"/>
        <v>0</v>
      </c>
      <c r="AE181" s="108">
        <f t="shared" si="40"/>
        <v>0</v>
      </c>
      <c r="AF181" s="108">
        <f t="shared" si="40"/>
        <v>0</v>
      </c>
      <c r="AG181" s="108">
        <f t="shared" si="40"/>
        <v>0</v>
      </c>
      <c r="AH181" s="108">
        <f t="shared" si="40"/>
        <v>0</v>
      </c>
      <c r="AI181" s="108">
        <f t="shared" si="40"/>
        <v>0</v>
      </c>
      <c r="AJ181" s="108">
        <f t="shared" si="40"/>
        <v>0</v>
      </c>
      <c r="AK181" s="108">
        <f t="shared" si="40"/>
        <v>0</v>
      </c>
      <c r="AL181" s="108">
        <f t="shared" si="40"/>
        <v>0</v>
      </c>
      <c r="AM181" s="108">
        <f t="shared" si="40"/>
        <v>0</v>
      </c>
      <c r="AQ181" s="104" t="str">
        <f>$V$80</f>
        <v>-</v>
      </c>
      <c r="AR181" s="54">
        <v>0</v>
      </c>
      <c r="AS181" s="54">
        <v>0</v>
      </c>
      <c r="AT181" s="54">
        <v>0</v>
      </c>
      <c r="AU181" s="54">
        <v>0</v>
      </c>
      <c r="AV181" s="54">
        <v>0</v>
      </c>
      <c r="AW181" s="54">
        <v>0</v>
      </c>
      <c r="AX181" s="54">
        <v>0</v>
      </c>
      <c r="AY181" s="54">
        <v>0</v>
      </c>
      <c r="AZ181" s="54">
        <v>0</v>
      </c>
      <c r="BA181" s="54">
        <v>0</v>
      </c>
      <c r="BB181" s="54">
        <v>0</v>
      </c>
      <c r="BC181" s="54">
        <v>0</v>
      </c>
      <c r="BD181" s="54">
        <v>0</v>
      </c>
      <c r="BE181" s="54">
        <v>0</v>
      </c>
      <c r="BF181" s="54">
        <v>0</v>
      </c>
      <c r="BG181" s="54">
        <v>0</v>
      </c>
      <c r="BH181" s="54">
        <v>0</v>
      </c>
      <c r="BK181" s="104" t="str">
        <f>$V$69</f>
        <v>Charelle</v>
      </c>
      <c r="BL181" s="108">
        <v>0</v>
      </c>
      <c r="BM181" s="108">
        <v>0</v>
      </c>
      <c r="BN181" s="108">
        <v>0</v>
      </c>
      <c r="BO181" s="108">
        <v>0</v>
      </c>
      <c r="BP181" s="108">
        <v>0</v>
      </c>
      <c r="BQ181" s="108">
        <v>0</v>
      </c>
      <c r="BR181" s="108">
        <v>0</v>
      </c>
      <c r="BS181" s="108">
        <v>0</v>
      </c>
      <c r="BT181" s="108">
        <v>0</v>
      </c>
      <c r="BU181" s="108">
        <v>0</v>
      </c>
      <c r="BV181" s="108">
        <v>0</v>
      </c>
      <c r="BW181" s="108">
        <v>0</v>
      </c>
      <c r="BX181" s="108">
        <v>0</v>
      </c>
      <c r="BY181" s="108">
        <v>0</v>
      </c>
      <c r="BZ181" s="108">
        <v>0</v>
      </c>
      <c r="CA181" s="108">
        <v>0</v>
      </c>
      <c r="CB181" s="108">
        <v>0</v>
      </c>
    </row>
    <row r="182" spans="2:80" x14ac:dyDescent="0.55000000000000004">
      <c r="B182" s="104" t="str">
        <f>$V$74</f>
        <v>Samuel</v>
      </c>
      <c r="C182" s="108">
        <f t="shared" si="3"/>
        <v>0</v>
      </c>
      <c r="D182" s="108">
        <f t="shared" si="4"/>
        <v>0</v>
      </c>
      <c r="E182" s="108">
        <f t="shared" si="5"/>
        <v>0</v>
      </c>
      <c r="F182" s="108">
        <f t="shared" si="6"/>
        <v>0</v>
      </c>
      <c r="G182" s="108">
        <f t="shared" si="7"/>
        <v>0</v>
      </c>
      <c r="H182" s="108">
        <f t="shared" si="8"/>
        <v>0</v>
      </c>
      <c r="I182" s="108">
        <f t="shared" si="9"/>
        <v>0</v>
      </c>
      <c r="J182" s="108">
        <f t="shared" si="10"/>
        <v>0</v>
      </c>
      <c r="K182" s="108">
        <f t="shared" si="11"/>
        <v>0</v>
      </c>
      <c r="L182" s="108">
        <f t="shared" si="12"/>
        <v>0</v>
      </c>
      <c r="M182" s="108">
        <f t="shared" si="13"/>
        <v>0</v>
      </c>
      <c r="N182" s="108">
        <f t="shared" si="14"/>
        <v>0</v>
      </c>
      <c r="O182" s="108">
        <f t="shared" si="15"/>
        <v>0</v>
      </c>
      <c r="P182" s="108">
        <f t="shared" si="16"/>
        <v>0</v>
      </c>
      <c r="Q182" s="108">
        <f t="shared" si="17"/>
        <v>0</v>
      </c>
      <c r="R182" s="108">
        <f t="shared" si="18"/>
        <v>0</v>
      </c>
      <c r="S182" s="108">
        <f t="shared" si="19"/>
        <v>0</v>
      </c>
      <c r="T182" s="102" t="s">
        <v>20</v>
      </c>
      <c r="V182" s="104" t="str">
        <f>$V$74</f>
        <v>Samuel</v>
      </c>
      <c r="W182" s="108">
        <f t="shared" ref="W182:AM182" si="41">W74</f>
        <v>0</v>
      </c>
      <c r="X182" s="108">
        <f t="shared" si="41"/>
        <v>0</v>
      </c>
      <c r="Y182" s="108">
        <f t="shared" si="41"/>
        <v>0</v>
      </c>
      <c r="Z182" s="108">
        <f t="shared" si="41"/>
        <v>0</v>
      </c>
      <c r="AA182" s="108">
        <f t="shared" si="41"/>
        <v>0</v>
      </c>
      <c r="AB182" s="108">
        <f t="shared" si="41"/>
        <v>0</v>
      </c>
      <c r="AC182" s="108">
        <f t="shared" si="41"/>
        <v>0</v>
      </c>
      <c r="AD182" s="108">
        <f t="shared" si="41"/>
        <v>0</v>
      </c>
      <c r="AE182" s="108">
        <f t="shared" si="41"/>
        <v>0</v>
      </c>
      <c r="AF182" s="108">
        <f t="shared" si="41"/>
        <v>0</v>
      </c>
      <c r="AG182" s="108">
        <f t="shared" si="41"/>
        <v>0</v>
      </c>
      <c r="AH182" s="108">
        <f t="shared" si="41"/>
        <v>0</v>
      </c>
      <c r="AI182" s="108">
        <f t="shared" si="41"/>
        <v>0</v>
      </c>
      <c r="AJ182" s="108">
        <f t="shared" si="41"/>
        <v>0</v>
      </c>
      <c r="AK182" s="108">
        <f t="shared" si="41"/>
        <v>0</v>
      </c>
      <c r="AL182" s="108">
        <f t="shared" si="41"/>
        <v>0</v>
      </c>
      <c r="AM182" s="108">
        <f t="shared" si="41"/>
        <v>0</v>
      </c>
      <c r="AQ182" s="104" t="str">
        <f>$V$81</f>
        <v>-</v>
      </c>
      <c r="AR182" s="54">
        <v>0</v>
      </c>
      <c r="AS182" s="54">
        <v>0</v>
      </c>
      <c r="AT182" s="54">
        <v>0</v>
      </c>
      <c r="AU182" s="54">
        <v>0</v>
      </c>
      <c r="AV182" s="54">
        <v>0</v>
      </c>
      <c r="AW182" s="54">
        <v>0</v>
      </c>
      <c r="AX182" s="54">
        <v>0</v>
      </c>
      <c r="AY182" s="54">
        <v>0</v>
      </c>
      <c r="AZ182" s="54">
        <v>0</v>
      </c>
      <c r="BA182" s="54">
        <v>0</v>
      </c>
      <c r="BB182" s="54">
        <v>0</v>
      </c>
      <c r="BC182" s="54">
        <v>0</v>
      </c>
      <c r="BD182" s="54">
        <v>0</v>
      </c>
      <c r="BE182" s="54">
        <v>0</v>
      </c>
      <c r="BF182" s="54">
        <v>0</v>
      </c>
      <c r="BG182" s="54">
        <v>0</v>
      </c>
      <c r="BH182" s="54">
        <v>0</v>
      </c>
      <c r="BK182" s="104" t="str">
        <f>$V$70</f>
        <v>Dimitri</v>
      </c>
      <c r="BL182" s="108">
        <v>0</v>
      </c>
      <c r="BM182" s="108">
        <v>0</v>
      </c>
      <c r="BN182" s="108">
        <v>0</v>
      </c>
      <c r="BO182" s="108">
        <v>0</v>
      </c>
      <c r="BP182" s="108">
        <v>0</v>
      </c>
      <c r="BQ182" s="108">
        <v>0</v>
      </c>
      <c r="BR182" s="108">
        <v>0</v>
      </c>
      <c r="BS182" s="108">
        <v>0</v>
      </c>
      <c r="BT182" s="108">
        <v>0</v>
      </c>
      <c r="BU182" s="108">
        <v>0</v>
      </c>
      <c r="BV182" s="108">
        <v>0</v>
      </c>
      <c r="BW182" s="108">
        <v>0</v>
      </c>
      <c r="BX182" s="108">
        <v>0</v>
      </c>
      <c r="BY182" s="108">
        <v>0</v>
      </c>
      <c r="BZ182" s="108">
        <v>0</v>
      </c>
      <c r="CA182" s="108">
        <v>0</v>
      </c>
      <c r="CB182" s="108">
        <v>0</v>
      </c>
    </row>
    <row r="183" spans="2:80" x14ac:dyDescent="0.55000000000000004">
      <c r="B183" s="104" t="str">
        <f>$V$75</f>
        <v>Yassin</v>
      </c>
      <c r="C183" s="108">
        <f t="shared" si="3"/>
        <v>0</v>
      </c>
      <c r="D183" s="108">
        <f t="shared" si="4"/>
        <v>0</v>
      </c>
      <c r="E183" s="108">
        <f t="shared" si="5"/>
        <v>0</v>
      </c>
      <c r="F183" s="108">
        <f t="shared" si="6"/>
        <v>0</v>
      </c>
      <c r="G183" s="108">
        <f t="shared" si="7"/>
        <v>0</v>
      </c>
      <c r="H183" s="108">
        <f t="shared" si="8"/>
        <v>0</v>
      </c>
      <c r="I183" s="108">
        <f t="shared" si="9"/>
        <v>0</v>
      </c>
      <c r="J183" s="108">
        <f t="shared" si="10"/>
        <v>0</v>
      </c>
      <c r="K183" s="108">
        <f t="shared" si="11"/>
        <v>0</v>
      </c>
      <c r="L183" s="108">
        <f t="shared" si="12"/>
        <v>0</v>
      </c>
      <c r="M183" s="108">
        <f t="shared" si="13"/>
        <v>0</v>
      </c>
      <c r="N183" s="108">
        <f t="shared" si="14"/>
        <v>0</v>
      </c>
      <c r="O183" s="108">
        <f t="shared" si="15"/>
        <v>0</v>
      </c>
      <c r="P183" s="108">
        <f t="shared" si="16"/>
        <v>0</v>
      </c>
      <c r="Q183" s="108">
        <f t="shared" si="17"/>
        <v>0</v>
      </c>
      <c r="R183" s="108">
        <f t="shared" si="18"/>
        <v>0</v>
      </c>
      <c r="S183" s="108">
        <f t="shared" si="19"/>
        <v>0</v>
      </c>
      <c r="T183" s="102" t="s">
        <v>20</v>
      </c>
      <c r="V183" s="104" t="str">
        <f>$V$75</f>
        <v>Yassin</v>
      </c>
      <c r="W183" s="108">
        <f t="shared" ref="W183:AM183" si="42">W75</f>
        <v>0</v>
      </c>
      <c r="X183" s="108">
        <f t="shared" si="42"/>
        <v>0</v>
      </c>
      <c r="Y183" s="108">
        <f t="shared" si="42"/>
        <v>0</v>
      </c>
      <c r="Z183" s="108">
        <f t="shared" si="42"/>
        <v>0</v>
      </c>
      <c r="AA183" s="108">
        <f t="shared" si="42"/>
        <v>0</v>
      </c>
      <c r="AB183" s="108">
        <f t="shared" si="42"/>
        <v>0</v>
      </c>
      <c r="AC183" s="108">
        <f t="shared" si="42"/>
        <v>0</v>
      </c>
      <c r="AD183" s="108">
        <f t="shared" si="42"/>
        <v>0</v>
      </c>
      <c r="AE183" s="108">
        <f t="shared" si="42"/>
        <v>0</v>
      </c>
      <c r="AF183" s="108">
        <f t="shared" si="42"/>
        <v>0</v>
      </c>
      <c r="AG183" s="108">
        <f t="shared" si="42"/>
        <v>0</v>
      </c>
      <c r="AH183" s="108">
        <f t="shared" si="42"/>
        <v>0</v>
      </c>
      <c r="AI183" s="108">
        <f t="shared" si="42"/>
        <v>0</v>
      </c>
      <c r="AJ183" s="108">
        <f t="shared" si="42"/>
        <v>0</v>
      </c>
      <c r="AK183" s="108">
        <f t="shared" si="42"/>
        <v>0</v>
      </c>
      <c r="AL183" s="108">
        <f t="shared" si="42"/>
        <v>0</v>
      </c>
      <c r="AM183" s="108">
        <f t="shared" si="42"/>
        <v>0</v>
      </c>
      <c r="AQ183" s="104" t="str">
        <f>$V$82</f>
        <v>-</v>
      </c>
      <c r="AR183" s="54">
        <v>0</v>
      </c>
      <c r="AS183" s="54">
        <v>0</v>
      </c>
      <c r="AT183" s="54">
        <v>0</v>
      </c>
      <c r="AU183" s="54">
        <v>0</v>
      </c>
      <c r="AV183" s="54">
        <v>0</v>
      </c>
      <c r="AW183" s="54">
        <v>0</v>
      </c>
      <c r="AX183" s="54">
        <v>0</v>
      </c>
      <c r="AY183" s="54">
        <v>0</v>
      </c>
      <c r="AZ183" s="54">
        <v>0</v>
      </c>
      <c r="BA183" s="54">
        <v>0</v>
      </c>
      <c r="BB183" s="54">
        <v>0</v>
      </c>
      <c r="BC183" s="54">
        <v>0</v>
      </c>
      <c r="BD183" s="54">
        <v>0</v>
      </c>
      <c r="BE183" s="54">
        <v>0</v>
      </c>
      <c r="BF183" s="54">
        <v>0</v>
      </c>
      <c r="BG183" s="54">
        <v>0</v>
      </c>
      <c r="BH183" s="54">
        <v>0</v>
      </c>
      <c r="BK183" s="104" t="str">
        <f>$V$71</f>
        <v>Marina</v>
      </c>
      <c r="BL183" s="108">
        <v>0</v>
      </c>
      <c r="BM183" s="108">
        <v>0</v>
      </c>
      <c r="BN183" s="108">
        <v>0</v>
      </c>
      <c r="BO183" s="108">
        <v>0</v>
      </c>
      <c r="BP183" s="108">
        <v>0</v>
      </c>
      <c r="BQ183" s="108">
        <v>0</v>
      </c>
      <c r="BR183" s="108">
        <v>0</v>
      </c>
      <c r="BS183" s="108">
        <v>0</v>
      </c>
      <c r="BT183" s="108">
        <v>0</v>
      </c>
      <c r="BU183" s="108">
        <v>0</v>
      </c>
      <c r="BV183" s="108">
        <v>0</v>
      </c>
      <c r="BW183" s="108">
        <v>0</v>
      </c>
      <c r="BX183" s="108">
        <v>0</v>
      </c>
      <c r="BY183" s="108">
        <v>0</v>
      </c>
      <c r="BZ183" s="108">
        <v>0</v>
      </c>
      <c r="CA183" s="108">
        <v>0</v>
      </c>
      <c r="CB183" s="108">
        <v>0</v>
      </c>
    </row>
    <row r="184" spans="2:80" x14ac:dyDescent="0.55000000000000004">
      <c r="B184" s="104" t="str">
        <f>$V$76</f>
        <v>Kamar</v>
      </c>
      <c r="C184" s="108">
        <f t="shared" si="3"/>
        <v>0</v>
      </c>
      <c r="D184" s="108">
        <f t="shared" si="4"/>
        <v>0</v>
      </c>
      <c r="E184" s="108">
        <f t="shared" si="5"/>
        <v>0</v>
      </c>
      <c r="F184" s="108">
        <f t="shared" si="6"/>
        <v>0</v>
      </c>
      <c r="G184" s="108">
        <f t="shared" si="7"/>
        <v>0</v>
      </c>
      <c r="H184" s="108">
        <f t="shared" si="8"/>
        <v>0</v>
      </c>
      <c r="I184" s="108">
        <f t="shared" si="9"/>
        <v>0</v>
      </c>
      <c r="J184" s="108">
        <f t="shared" si="10"/>
        <v>0</v>
      </c>
      <c r="K184" s="108">
        <f t="shared" si="11"/>
        <v>0</v>
      </c>
      <c r="L184" s="108">
        <f t="shared" si="12"/>
        <v>0</v>
      </c>
      <c r="M184" s="108">
        <f t="shared" si="13"/>
        <v>0</v>
      </c>
      <c r="N184" s="108">
        <f t="shared" si="14"/>
        <v>0</v>
      </c>
      <c r="O184" s="108">
        <f t="shared" si="15"/>
        <v>0</v>
      </c>
      <c r="P184" s="108">
        <f t="shared" si="16"/>
        <v>0</v>
      </c>
      <c r="Q184" s="108">
        <f t="shared" si="17"/>
        <v>0</v>
      </c>
      <c r="R184" s="108">
        <f t="shared" si="18"/>
        <v>0</v>
      </c>
      <c r="S184" s="108">
        <f t="shared" si="19"/>
        <v>0</v>
      </c>
      <c r="T184" s="102" t="s">
        <v>20</v>
      </c>
      <c r="V184" s="104" t="str">
        <f>$V$76</f>
        <v>Kamar</v>
      </c>
      <c r="W184" s="108">
        <f t="shared" ref="W184:AM184" si="43">W76</f>
        <v>0</v>
      </c>
      <c r="X184" s="108">
        <f t="shared" si="43"/>
        <v>0</v>
      </c>
      <c r="Y184" s="108">
        <f t="shared" si="43"/>
        <v>0</v>
      </c>
      <c r="Z184" s="108">
        <f t="shared" si="43"/>
        <v>0</v>
      </c>
      <c r="AA184" s="108">
        <f t="shared" si="43"/>
        <v>0</v>
      </c>
      <c r="AB184" s="108">
        <f t="shared" si="43"/>
        <v>0</v>
      </c>
      <c r="AC184" s="108">
        <f t="shared" si="43"/>
        <v>0</v>
      </c>
      <c r="AD184" s="108">
        <f t="shared" si="43"/>
        <v>0</v>
      </c>
      <c r="AE184" s="108">
        <f t="shared" si="43"/>
        <v>0</v>
      </c>
      <c r="AF184" s="108">
        <f t="shared" si="43"/>
        <v>0</v>
      </c>
      <c r="AG184" s="108">
        <f t="shared" si="43"/>
        <v>0</v>
      </c>
      <c r="AH184" s="108">
        <f t="shared" si="43"/>
        <v>0</v>
      </c>
      <c r="AI184" s="108">
        <f t="shared" si="43"/>
        <v>0</v>
      </c>
      <c r="AJ184" s="108">
        <f t="shared" si="43"/>
        <v>0</v>
      </c>
      <c r="AK184" s="108">
        <f t="shared" si="43"/>
        <v>0</v>
      </c>
      <c r="AL184" s="108">
        <f t="shared" si="43"/>
        <v>0</v>
      </c>
      <c r="AM184" s="108">
        <f t="shared" si="43"/>
        <v>0</v>
      </c>
      <c r="AQ184" s="104" t="str">
        <f>$V$83</f>
        <v>-</v>
      </c>
      <c r="AR184" s="54">
        <v>0</v>
      </c>
      <c r="AS184" s="54">
        <v>0</v>
      </c>
      <c r="AT184" s="54">
        <v>0</v>
      </c>
      <c r="AU184" s="54">
        <v>0</v>
      </c>
      <c r="AV184" s="54">
        <v>0</v>
      </c>
      <c r="AW184" s="54">
        <v>0</v>
      </c>
      <c r="AX184" s="54">
        <v>0</v>
      </c>
      <c r="AY184" s="54">
        <v>0</v>
      </c>
      <c r="AZ184" s="54">
        <v>0</v>
      </c>
      <c r="BA184" s="54">
        <v>0</v>
      </c>
      <c r="BB184" s="54">
        <v>0</v>
      </c>
      <c r="BC184" s="54">
        <v>0</v>
      </c>
      <c r="BD184" s="54">
        <v>0</v>
      </c>
      <c r="BE184" s="54">
        <v>0</v>
      </c>
      <c r="BF184" s="54">
        <v>0</v>
      </c>
      <c r="BG184" s="54">
        <v>0</v>
      </c>
      <c r="BH184" s="54">
        <v>0</v>
      </c>
      <c r="BK184" s="104" t="str">
        <f>$V$72</f>
        <v>Michel</v>
      </c>
      <c r="BL184" s="108">
        <v>0</v>
      </c>
      <c r="BM184" s="108">
        <v>0</v>
      </c>
      <c r="BN184" s="108">
        <v>0</v>
      </c>
      <c r="BO184" s="108">
        <v>0</v>
      </c>
      <c r="BP184" s="108">
        <v>0</v>
      </c>
      <c r="BQ184" s="108">
        <v>0</v>
      </c>
      <c r="BR184" s="108">
        <v>0</v>
      </c>
      <c r="BS184" s="108">
        <v>0</v>
      </c>
      <c r="BT184" s="108">
        <v>0</v>
      </c>
      <c r="BU184" s="108">
        <v>0</v>
      </c>
      <c r="BV184" s="108">
        <v>0</v>
      </c>
      <c r="BW184" s="108">
        <v>0</v>
      </c>
      <c r="BX184" s="108">
        <v>0</v>
      </c>
      <c r="BY184" s="108">
        <v>0</v>
      </c>
      <c r="BZ184" s="108">
        <v>0</v>
      </c>
      <c r="CA184" s="108">
        <v>0</v>
      </c>
      <c r="CB184" s="108">
        <v>0</v>
      </c>
    </row>
    <row r="185" spans="2:80" x14ac:dyDescent="0.55000000000000004">
      <c r="B185" s="104" t="str">
        <f>$V$77</f>
        <v>-</v>
      </c>
      <c r="C185" s="108">
        <f t="shared" si="3"/>
        <v>0</v>
      </c>
      <c r="D185" s="108">
        <f t="shared" si="4"/>
        <v>0</v>
      </c>
      <c r="E185" s="108">
        <f t="shared" si="5"/>
        <v>0</v>
      </c>
      <c r="F185" s="108">
        <f t="shared" si="6"/>
        <v>0</v>
      </c>
      <c r="G185" s="108">
        <f t="shared" si="7"/>
        <v>0</v>
      </c>
      <c r="H185" s="108">
        <f t="shared" si="8"/>
        <v>0</v>
      </c>
      <c r="I185" s="108">
        <f t="shared" si="9"/>
        <v>0</v>
      </c>
      <c r="J185" s="108">
        <f t="shared" si="10"/>
        <v>0</v>
      </c>
      <c r="K185" s="108">
        <f t="shared" si="11"/>
        <v>0</v>
      </c>
      <c r="L185" s="108">
        <f t="shared" si="12"/>
        <v>0</v>
      </c>
      <c r="M185" s="108">
        <f t="shared" si="13"/>
        <v>0</v>
      </c>
      <c r="N185" s="108">
        <f t="shared" si="14"/>
        <v>0</v>
      </c>
      <c r="O185" s="108">
        <f t="shared" si="15"/>
        <v>0</v>
      </c>
      <c r="P185" s="108">
        <f t="shared" si="16"/>
        <v>0</v>
      </c>
      <c r="Q185" s="108">
        <f t="shared" si="17"/>
        <v>0</v>
      </c>
      <c r="R185" s="108">
        <f t="shared" si="18"/>
        <v>0</v>
      </c>
      <c r="S185" s="108">
        <f t="shared" si="19"/>
        <v>0</v>
      </c>
      <c r="T185" s="102" t="s">
        <v>20</v>
      </c>
      <c r="V185" s="104" t="str">
        <f>$V$77</f>
        <v>-</v>
      </c>
      <c r="W185" s="108">
        <f t="shared" ref="W185:AM185" si="44">W77</f>
        <v>0</v>
      </c>
      <c r="X185" s="108">
        <f t="shared" si="44"/>
        <v>0</v>
      </c>
      <c r="Y185" s="108">
        <f t="shared" si="44"/>
        <v>0</v>
      </c>
      <c r="Z185" s="108">
        <f t="shared" si="44"/>
        <v>0</v>
      </c>
      <c r="AA185" s="108">
        <f t="shared" si="44"/>
        <v>0</v>
      </c>
      <c r="AB185" s="108">
        <f t="shared" si="44"/>
        <v>0</v>
      </c>
      <c r="AC185" s="108">
        <f t="shared" si="44"/>
        <v>0</v>
      </c>
      <c r="AD185" s="108">
        <f t="shared" si="44"/>
        <v>0</v>
      </c>
      <c r="AE185" s="108">
        <f t="shared" si="44"/>
        <v>0</v>
      </c>
      <c r="AF185" s="108">
        <f t="shared" si="44"/>
        <v>0</v>
      </c>
      <c r="AG185" s="108">
        <f t="shared" si="44"/>
        <v>0</v>
      </c>
      <c r="AH185" s="108">
        <f t="shared" si="44"/>
        <v>0</v>
      </c>
      <c r="AI185" s="108">
        <f t="shared" si="44"/>
        <v>0</v>
      </c>
      <c r="AJ185" s="108">
        <f t="shared" si="44"/>
        <v>0</v>
      </c>
      <c r="AK185" s="108">
        <f t="shared" si="44"/>
        <v>0</v>
      </c>
      <c r="AL185" s="108">
        <f t="shared" si="44"/>
        <v>0</v>
      </c>
      <c r="AM185" s="108">
        <f t="shared" si="44"/>
        <v>0</v>
      </c>
      <c r="AQ185" s="104" t="str">
        <f>$V$84</f>
        <v>-</v>
      </c>
      <c r="AR185" s="54">
        <v>0</v>
      </c>
      <c r="AS185" s="54">
        <v>0</v>
      </c>
      <c r="AT185" s="54">
        <v>0</v>
      </c>
      <c r="AU185" s="54">
        <v>0</v>
      </c>
      <c r="AV185" s="54">
        <v>0</v>
      </c>
      <c r="AW185" s="54">
        <v>0</v>
      </c>
      <c r="AX185" s="54">
        <v>0</v>
      </c>
      <c r="AY185" s="54">
        <v>0</v>
      </c>
      <c r="AZ185" s="54">
        <v>0</v>
      </c>
      <c r="BA185" s="54">
        <v>0</v>
      </c>
      <c r="BB185" s="54">
        <v>0</v>
      </c>
      <c r="BC185" s="54">
        <v>0</v>
      </c>
      <c r="BD185" s="54">
        <v>0</v>
      </c>
      <c r="BE185" s="54">
        <v>0</v>
      </c>
      <c r="BF185" s="54">
        <v>0</v>
      </c>
      <c r="BG185" s="54">
        <v>0</v>
      </c>
      <c r="BH185" s="54">
        <v>0</v>
      </c>
      <c r="BK185" s="104" t="str">
        <f>$V$73</f>
        <v>Nour</v>
      </c>
      <c r="BL185" s="108">
        <v>0</v>
      </c>
      <c r="BM185" s="108">
        <v>0</v>
      </c>
      <c r="BN185" s="108">
        <v>0</v>
      </c>
      <c r="BO185" s="108">
        <v>0</v>
      </c>
      <c r="BP185" s="108">
        <v>0</v>
      </c>
      <c r="BQ185" s="108">
        <v>0</v>
      </c>
      <c r="BR185" s="108">
        <v>0</v>
      </c>
      <c r="BS185" s="108">
        <v>0</v>
      </c>
      <c r="BT185" s="108">
        <v>0</v>
      </c>
      <c r="BU185" s="108">
        <v>0</v>
      </c>
      <c r="BV185" s="108">
        <v>0</v>
      </c>
      <c r="BW185" s="108">
        <v>0</v>
      </c>
      <c r="BX185" s="108">
        <v>0</v>
      </c>
      <c r="BY185" s="108">
        <v>0</v>
      </c>
      <c r="BZ185" s="108">
        <v>0</v>
      </c>
      <c r="CA185" s="108">
        <v>0</v>
      </c>
      <c r="CB185" s="108">
        <v>0</v>
      </c>
    </row>
    <row r="186" spans="2:80" x14ac:dyDescent="0.55000000000000004">
      <c r="B186" s="104" t="str">
        <f>$V$78</f>
        <v>-</v>
      </c>
      <c r="C186" s="108">
        <f t="shared" si="3"/>
        <v>0</v>
      </c>
      <c r="D186" s="108">
        <f t="shared" si="4"/>
        <v>0</v>
      </c>
      <c r="E186" s="108">
        <f t="shared" si="5"/>
        <v>0</v>
      </c>
      <c r="F186" s="108">
        <f t="shared" si="6"/>
        <v>0</v>
      </c>
      <c r="G186" s="108">
        <f t="shared" si="7"/>
        <v>0</v>
      </c>
      <c r="H186" s="108">
        <f t="shared" si="8"/>
        <v>0</v>
      </c>
      <c r="I186" s="108">
        <f t="shared" si="9"/>
        <v>0</v>
      </c>
      <c r="J186" s="108">
        <f t="shared" si="10"/>
        <v>0</v>
      </c>
      <c r="K186" s="108">
        <f t="shared" si="11"/>
        <v>0</v>
      </c>
      <c r="L186" s="108">
        <f t="shared" si="12"/>
        <v>-2</v>
      </c>
      <c r="M186" s="108">
        <f t="shared" si="13"/>
        <v>0</v>
      </c>
      <c r="N186" s="108">
        <f t="shared" si="14"/>
        <v>0</v>
      </c>
      <c r="O186" s="108">
        <f t="shared" si="15"/>
        <v>0</v>
      </c>
      <c r="P186" s="108">
        <f t="shared" si="16"/>
        <v>0</v>
      </c>
      <c r="Q186" s="108">
        <f t="shared" si="17"/>
        <v>0</v>
      </c>
      <c r="R186" s="108">
        <f t="shared" si="18"/>
        <v>0</v>
      </c>
      <c r="S186" s="108">
        <f t="shared" si="19"/>
        <v>0</v>
      </c>
      <c r="T186" s="102" t="s">
        <v>20</v>
      </c>
      <c r="V186" s="104" t="str">
        <f>$V$78</f>
        <v>-</v>
      </c>
      <c r="W186" s="108">
        <f t="shared" ref="W186:AM186" si="45">W78</f>
        <v>0</v>
      </c>
      <c r="X186" s="108">
        <f t="shared" si="45"/>
        <v>0</v>
      </c>
      <c r="Y186" s="108">
        <f t="shared" si="45"/>
        <v>0</v>
      </c>
      <c r="Z186" s="108">
        <f t="shared" si="45"/>
        <v>0</v>
      </c>
      <c r="AA186" s="108">
        <f t="shared" si="45"/>
        <v>0</v>
      </c>
      <c r="AB186" s="108">
        <f t="shared" si="45"/>
        <v>0</v>
      </c>
      <c r="AC186" s="108">
        <f t="shared" si="45"/>
        <v>0</v>
      </c>
      <c r="AD186" s="108">
        <f t="shared" si="45"/>
        <v>0</v>
      </c>
      <c r="AE186" s="108">
        <f t="shared" si="45"/>
        <v>0</v>
      </c>
      <c r="AF186" s="108">
        <f t="shared" si="45"/>
        <v>0</v>
      </c>
      <c r="AG186" s="108">
        <f t="shared" si="45"/>
        <v>0</v>
      </c>
      <c r="AH186" s="108">
        <f t="shared" si="45"/>
        <v>0</v>
      </c>
      <c r="AI186" s="108">
        <f t="shared" si="45"/>
        <v>0</v>
      </c>
      <c r="AJ186" s="108">
        <f t="shared" si="45"/>
        <v>0</v>
      </c>
      <c r="AK186" s="108">
        <f t="shared" si="45"/>
        <v>0</v>
      </c>
      <c r="AL186" s="108">
        <f t="shared" si="45"/>
        <v>0</v>
      </c>
      <c r="AM186" s="108">
        <f t="shared" si="45"/>
        <v>0</v>
      </c>
      <c r="AQ186" s="104" t="str">
        <f>$V$85</f>
        <v>-</v>
      </c>
      <c r="AR186" s="54">
        <v>0</v>
      </c>
      <c r="AS186" s="54">
        <v>0</v>
      </c>
      <c r="AT186" s="54">
        <v>0</v>
      </c>
      <c r="AU186" s="54">
        <v>0</v>
      </c>
      <c r="AV186" s="54">
        <v>0</v>
      </c>
      <c r="AW186" s="54">
        <v>0</v>
      </c>
      <c r="AX186" s="54">
        <v>0</v>
      </c>
      <c r="AY186" s="54">
        <v>0</v>
      </c>
      <c r="AZ186" s="54">
        <v>0</v>
      </c>
      <c r="BA186" s="54">
        <v>0</v>
      </c>
      <c r="BB186" s="54">
        <v>0</v>
      </c>
      <c r="BC186" s="54">
        <v>0</v>
      </c>
      <c r="BD186" s="54">
        <v>0</v>
      </c>
      <c r="BE186" s="54">
        <v>0</v>
      </c>
      <c r="BF186" s="54">
        <v>0</v>
      </c>
      <c r="BG186" s="54">
        <v>0</v>
      </c>
      <c r="BH186" s="54">
        <v>0</v>
      </c>
      <c r="BK186" s="104" t="str">
        <f>$V$74</f>
        <v>Samuel</v>
      </c>
      <c r="BL186" s="108">
        <v>0</v>
      </c>
      <c r="BM186" s="108">
        <v>0</v>
      </c>
      <c r="BN186" s="108">
        <v>0</v>
      </c>
      <c r="BO186" s="108">
        <v>0</v>
      </c>
      <c r="BP186" s="108">
        <v>0</v>
      </c>
      <c r="BQ186" s="108">
        <v>0</v>
      </c>
      <c r="BR186" s="108">
        <v>0</v>
      </c>
      <c r="BS186" s="108">
        <v>0</v>
      </c>
      <c r="BT186" s="108">
        <v>0</v>
      </c>
      <c r="BU186" s="108">
        <v>0</v>
      </c>
      <c r="BV186" s="108">
        <v>0</v>
      </c>
      <c r="BW186" s="108">
        <v>0</v>
      </c>
      <c r="BX186" s="108">
        <v>0</v>
      </c>
      <c r="BY186" s="108">
        <v>0</v>
      </c>
      <c r="BZ186" s="108">
        <v>0</v>
      </c>
      <c r="CA186" s="108">
        <v>0</v>
      </c>
      <c r="CB186" s="108">
        <v>0</v>
      </c>
    </row>
    <row r="187" spans="2:80" x14ac:dyDescent="0.55000000000000004">
      <c r="B187" s="104" t="str">
        <f>$V$79</f>
        <v>-</v>
      </c>
      <c r="C187" s="108">
        <f t="shared" si="3"/>
        <v>0</v>
      </c>
      <c r="D187" s="108">
        <f t="shared" si="4"/>
        <v>-2</v>
      </c>
      <c r="E187" s="108">
        <f t="shared" si="5"/>
        <v>0</v>
      </c>
      <c r="F187" s="108">
        <f t="shared" si="6"/>
        <v>0</v>
      </c>
      <c r="G187" s="108">
        <f t="shared" si="7"/>
        <v>0</v>
      </c>
      <c r="H187" s="108">
        <f t="shared" si="8"/>
        <v>0</v>
      </c>
      <c r="I187" s="108">
        <f t="shared" si="9"/>
        <v>0</v>
      </c>
      <c r="J187" s="108">
        <f t="shared" si="10"/>
        <v>0</v>
      </c>
      <c r="K187" s="108">
        <f t="shared" si="11"/>
        <v>0</v>
      </c>
      <c r="L187" s="108">
        <f t="shared" si="12"/>
        <v>0</v>
      </c>
      <c r="M187" s="108">
        <f t="shared" si="13"/>
        <v>0</v>
      </c>
      <c r="N187" s="108">
        <f t="shared" si="14"/>
        <v>0</v>
      </c>
      <c r="O187" s="108">
        <f t="shared" si="15"/>
        <v>0</v>
      </c>
      <c r="P187" s="108">
        <f t="shared" si="16"/>
        <v>0</v>
      </c>
      <c r="Q187" s="108">
        <f t="shared" si="17"/>
        <v>0</v>
      </c>
      <c r="R187" s="108">
        <f t="shared" si="18"/>
        <v>0</v>
      </c>
      <c r="S187" s="108">
        <f t="shared" si="19"/>
        <v>0</v>
      </c>
      <c r="T187" s="102" t="s">
        <v>20</v>
      </c>
      <c r="V187" s="104" t="str">
        <f>$V$79</f>
        <v>-</v>
      </c>
      <c r="W187" s="108">
        <f t="shared" ref="W187:AM187" si="46">W79</f>
        <v>0</v>
      </c>
      <c r="X187" s="108">
        <f t="shared" si="46"/>
        <v>0</v>
      </c>
      <c r="Y187" s="108">
        <f t="shared" si="46"/>
        <v>0</v>
      </c>
      <c r="Z187" s="108">
        <f t="shared" si="46"/>
        <v>0</v>
      </c>
      <c r="AA187" s="108">
        <f t="shared" si="46"/>
        <v>0</v>
      </c>
      <c r="AB187" s="108">
        <f t="shared" si="46"/>
        <v>0</v>
      </c>
      <c r="AC187" s="108">
        <f t="shared" si="46"/>
        <v>0</v>
      </c>
      <c r="AD187" s="108">
        <f t="shared" si="46"/>
        <v>0</v>
      </c>
      <c r="AE187" s="108">
        <f t="shared" si="46"/>
        <v>0</v>
      </c>
      <c r="AF187" s="108">
        <f t="shared" si="46"/>
        <v>0</v>
      </c>
      <c r="AG187" s="108">
        <f t="shared" si="46"/>
        <v>0</v>
      </c>
      <c r="AH187" s="108">
        <f t="shared" si="46"/>
        <v>0</v>
      </c>
      <c r="AI187" s="108">
        <f t="shared" si="46"/>
        <v>0</v>
      </c>
      <c r="AJ187" s="108">
        <f t="shared" si="46"/>
        <v>0</v>
      </c>
      <c r="AK187" s="108">
        <f t="shared" si="46"/>
        <v>0</v>
      </c>
      <c r="AL187" s="108">
        <f t="shared" si="46"/>
        <v>0</v>
      </c>
      <c r="AM187" s="108">
        <f t="shared" si="46"/>
        <v>0</v>
      </c>
      <c r="AQ187" s="104" t="str">
        <f>$V$86</f>
        <v>-</v>
      </c>
      <c r="AR187" s="54">
        <v>0</v>
      </c>
      <c r="AS187" s="54">
        <v>0</v>
      </c>
      <c r="AT187" s="54">
        <v>0</v>
      </c>
      <c r="AU187" s="54">
        <v>0</v>
      </c>
      <c r="AV187" s="54">
        <v>0</v>
      </c>
      <c r="AW187" s="54">
        <v>0</v>
      </c>
      <c r="AX187" s="54">
        <v>0</v>
      </c>
      <c r="AY187" s="54">
        <v>0</v>
      </c>
      <c r="AZ187" s="54">
        <v>0</v>
      </c>
      <c r="BA187" s="54">
        <v>0</v>
      </c>
      <c r="BB187" s="54">
        <v>0</v>
      </c>
      <c r="BC187" s="54">
        <v>0</v>
      </c>
      <c r="BD187" s="54">
        <v>0</v>
      </c>
      <c r="BE187" s="54">
        <v>0</v>
      </c>
      <c r="BF187" s="54">
        <v>0</v>
      </c>
      <c r="BG187" s="54">
        <v>0</v>
      </c>
      <c r="BH187" s="54">
        <v>0</v>
      </c>
      <c r="BK187" s="104" t="str">
        <f>$V$75</f>
        <v>Yassin</v>
      </c>
      <c r="BL187" s="108">
        <v>0</v>
      </c>
      <c r="BM187" s="108">
        <v>0</v>
      </c>
      <c r="BN187" s="108">
        <v>0</v>
      </c>
      <c r="BO187" s="108">
        <v>0</v>
      </c>
      <c r="BP187" s="108">
        <v>0</v>
      </c>
      <c r="BQ187" s="108">
        <v>0</v>
      </c>
      <c r="BR187" s="108">
        <v>0</v>
      </c>
      <c r="BS187" s="108">
        <v>0</v>
      </c>
      <c r="BT187" s="108">
        <v>0</v>
      </c>
      <c r="BU187" s="108">
        <v>0</v>
      </c>
      <c r="BV187" s="108">
        <v>0</v>
      </c>
      <c r="BW187" s="108">
        <v>0</v>
      </c>
      <c r="BX187" s="108">
        <v>0</v>
      </c>
      <c r="BY187" s="108">
        <v>0</v>
      </c>
      <c r="BZ187" s="108">
        <v>0</v>
      </c>
      <c r="CA187" s="108">
        <v>0</v>
      </c>
      <c r="CB187" s="108">
        <v>0</v>
      </c>
    </row>
    <row r="188" spans="2:80" x14ac:dyDescent="0.55000000000000004">
      <c r="B188" s="104" t="str">
        <f>$V$80</f>
        <v>-</v>
      </c>
      <c r="C188" s="108">
        <f t="shared" si="3"/>
        <v>0</v>
      </c>
      <c r="D188" s="108">
        <f t="shared" si="4"/>
        <v>0</v>
      </c>
      <c r="E188" s="108">
        <f t="shared" si="5"/>
        <v>-2</v>
      </c>
      <c r="F188" s="108">
        <f t="shared" si="6"/>
        <v>0</v>
      </c>
      <c r="G188" s="108">
        <f t="shared" si="7"/>
        <v>0</v>
      </c>
      <c r="H188" s="108">
        <f t="shared" si="8"/>
        <v>-2</v>
      </c>
      <c r="I188" s="108">
        <f t="shared" si="9"/>
        <v>0</v>
      </c>
      <c r="J188" s="108">
        <f t="shared" si="10"/>
        <v>-2</v>
      </c>
      <c r="K188" s="108">
        <f t="shared" si="11"/>
        <v>-2</v>
      </c>
      <c r="L188" s="108">
        <f t="shared" si="12"/>
        <v>0</v>
      </c>
      <c r="M188" s="108">
        <f t="shared" si="13"/>
        <v>0</v>
      </c>
      <c r="N188" s="108">
        <f t="shared" si="14"/>
        <v>0</v>
      </c>
      <c r="O188" s="108">
        <f t="shared" si="15"/>
        <v>0</v>
      </c>
      <c r="P188" s="108">
        <f t="shared" si="16"/>
        <v>0</v>
      </c>
      <c r="Q188" s="108">
        <f t="shared" si="17"/>
        <v>0</v>
      </c>
      <c r="R188" s="108">
        <f t="shared" si="18"/>
        <v>0</v>
      </c>
      <c r="S188" s="108">
        <f t="shared" si="19"/>
        <v>0</v>
      </c>
      <c r="T188" s="102" t="s">
        <v>20</v>
      </c>
      <c r="V188" s="104" t="str">
        <f>$V$80</f>
        <v>-</v>
      </c>
      <c r="W188" s="108">
        <f t="shared" ref="W188:AM188" si="47">W80</f>
        <v>0</v>
      </c>
      <c r="X188" s="108">
        <f t="shared" si="47"/>
        <v>0</v>
      </c>
      <c r="Y188" s="108">
        <f t="shared" si="47"/>
        <v>0</v>
      </c>
      <c r="Z188" s="108">
        <f t="shared" si="47"/>
        <v>0</v>
      </c>
      <c r="AA188" s="108">
        <f t="shared" si="47"/>
        <v>0</v>
      </c>
      <c r="AB188" s="108">
        <f t="shared" si="47"/>
        <v>0</v>
      </c>
      <c r="AC188" s="108">
        <f t="shared" si="47"/>
        <v>0</v>
      </c>
      <c r="AD188" s="108">
        <f t="shared" si="47"/>
        <v>0</v>
      </c>
      <c r="AE188" s="108">
        <f t="shared" si="47"/>
        <v>0</v>
      </c>
      <c r="AF188" s="108">
        <f t="shared" si="47"/>
        <v>0</v>
      </c>
      <c r="AG188" s="108">
        <f t="shared" si="47"/>
        <v>0</v>
      </c>
      <c r="AH188" s="108">
        <f t="shared" si="47"/>
        <v>0</v>
      </c>
      <c r="AI188" s="108">
        <f t="shared" si="47"/>
        <v>0</v>
      </c>
      <c r="AJ188" s="108">
        <f t="shared" si="47"/>
        <v>0</v>
      </c>
      <c r="AK188" s="108">
        <f t="shared" si="47"/>
        <v>0</v>
      </c>
      <c r="AL188" s="108">
        <f t="shared" si="47"/>
        <v>0</v>
      </c>
      <c r="AM188" s="108">
        <f t="shared" si="47"/>
        <v>0</v>
      </c>
      <c r="AQ188" s="104" t="str">
        <f>$V$87</f>
        <v>-</v>
      </c>
      <c r="AR188" s="54">
        <v>0</v>
      </c>
      <c r="AS188" s="54">
        <v>0</v>
      </c>
      <c r="AT188" s="54">
        <v>0</v>
      </c>
      <c r="AU188" s="54">
        <v>0</v>
      </c>
      <c r="AV188" s="54">
        <v>0</v>
      </c>
      <c r="AW188" s="54">
        <v>0</v>
      </c>
      <c r="AX188" s="54">
        <v>0</v>
      </c>
      <c r="AY188" s="54">
        <v>0</v>
      </c>
      <c r="AZ188" s="54">
        <v>0</v>
      </c>
      <c r="BA188" s="54">
        <v>0</v>
      </c>
      <c r="BB188" s="54">
        <v>0</v>
      </c>
      <c r="BC188" s="54">
        <v>0</v>
      </c>
      <c r="BD188" s="54">
        <v>0</v>
      </c>
      <c r="BE188" s="54">
        <v>0</v>
      </c>
      <c r="BF188" s="54">
        <v>0</v>
      </c>
      <c r="BG188" s="54">
        <v>0</v>
      </c>
      <c r="BH188" s="54">
        <v>0</v>
      </c>
      <c r="BK188" s="104" t="str">
        <f>$V$76</f>
        <v>Kamar</v>
      </c>
      <c r="BL188" s="108">
        <v>0</v>
      </c>
      <c r="BM188" s="108">
        <v>0</v>
      </c>
      <c r="BN188" s="108">
        <v>0</v>
      </c>
      <c r="BO188" s="108">
        <v>0</v>
      </c>
      <c r="BP188" s="108">
        <v>0</v>
      </c>
      <c r="BQ188" s="108">
        <v>0</v>
      </c>
      <c r="BR188" s="108">
        <v>0</v>
      </c>
      <c r="BS188" s="108">
        <v>0</v>
      </c>
      <c r="BT188" s="108">
        <v>0</v>
      </c>
      <c r="BU188" s="108">
        <v>0</v>
      </c>
      <c r="BV188" s="108">
        <v>0</v>
      </c>
      <c r="BW188" s="108">
        <v>0</v>
      </c>
      <c r="BX188" s="108">
        <v>0</v>
      </c>
      <c r="BY188" s="108">
        <v>0</v>
      </c>
      <c r="BZ188" s="108">
        <v>0</v>
      </c>
      <c r="CA188" s="108">
        <v>0</v>
      </c>
      <c r="CB188" s="108">
        <v>0</v>
      </c>
    </row>
    <row r="189" spans="2:80" x14ac:dyDescent="0.55000000000000004">
      <c r="B189" s="104" t="str">
        <f>$V$81</f>
        <v>-</v>
      </c>
      <c r="C189" s="108">
        <f t="shared" si="3"/>
        <v>0</v>
      </c>
      <c r="D189" s="108">
        <f t="shared" si="4"/>
        <v>0</v>
      </c>
      <c r="E189" s="108">
        <f t="shared" si="5"/>
        <v>0</v>
      </c>
      <c r="F189" s="108">
        <f t="shared" si="6"/>
        <v>0</v>
      </c>
      <c r="G189" s="108">
        <f t="shared" si="7"/>
        <v>0</v>
      </c>
      <c r="H189" s="108">
        <f t="shared" si="8"/>
        <v>0</v>
      </c>
      <c r="I189" s="108">
        <f t="shared" si="9"/>
        <v>0</v>
      </c>
      <c r="J189" s="108">
        <f t="shared" si="10"/>
        <v>0</v>
      </c>
      <c r="K189" s="108">
        <f t="shared" si="11"/>
        <v>0</v>
      </c>
      <c r="L189" s="108">
        <f t="shared" si="12"/>
        <v>0</v>
      </c>
      <c r="M189" s="108">
        <f t="shared" si="13"/>
        <v>0</v>
      </c>
      <c r="N189" s="108">
        <f t="shared" si="14"/>
        <v>0</v>
      </c>
      <c r="O189" s="108">
        <f t="shared" si="15"/>
        <v>0</v>
      </c>
      <c r="P189" s="108">
        <f t="shared" si="16"/>
        <v>0</v>
      </c>
      <c r="Q189" s="108">
        <f t="shared" si="17"/>
        <v>0</v>
      </c>
      <c r="R189" s="108">
        <f t="shared" si="18"/>
        <v>0</v>
      </c>
      <c r="S189" s="108">
        <f t="shared" si="19"/>
        <v>0</v>
      </c>
      <c r="T189" s="102" t="s">
        <v>20</v>
      </c>
      <c r="V189" s="104" t="str">
        <f>$V$81</f>
        <v>-</v>
      </c>
      <c r="W189" s="108">
        <f t="shared" ref="W189:AM189" si="48">W81</f>
        <v>0</v>
      </c>
      <c r="X189" s="108">
        <f t="shared" si="48"/>
        <v>0</v>
      </c>
      <c r="Y189" s="108">
        <f t="shared" si="48"/>
        <v>0</v>
      </c>
      <c r="Z189" s="108">
        <f t="shared" si="48"/>
        <v>0</v>
      </c>
      <c r="AA189" s="108">
        <f t="shared" si="48"/>
        <v>0</v>
      </c>
      <c r="AB189" s="108">
        <f t="shared" si="48"/>
        <v>0</v>
      </c>
      <c r="AC189" s="108">
        <f t="shared" si="48"/>
        <v>0</v>
      </c>
      <c r="AD189" s="108">
        <f t="shared" si="48"/>
        <v>0</v>
      </c>
      <c r="AE189" s="108">
        <f t="shared" si="48"/>
        <v>0</v>
      </c>
      <c r="AF189" s="108">
        <f t="shared" si="48"/>
        <v>0</v>
      </c>
      <c r="AG189" s="108">
        <f t="shared" si="48"/>
        <v>0</v>
      </c>
      <c r="AH189" s="108">
        <f t="shared" si="48"/>
        <v>0</v>
      </c>
      <c r="AI189" s="108">
        <f t="shared" si="48"/>
        <v>0</v>
      </c>
      <c r="AJ189" s="108">
        <f t="shared" si="48"/>
        <v>0</v>
      </c>
      <c r="AK189" s="108">
        <f t="shared" si="48"/>
        <v>0</v>
      </c>
      <c r="AL189" s="108">
        <f t="shared" si="48"/>
        <v>0</v>
      </c>
      <c r="AM189" s="108">
        <f t="shared" si="48"/>
        <v>0</v>
      </c>
      <c r="AQ189" s="104" t="str">
        <f>$V$88</f>
        <v>-</v>
      </c>
      <c r="AR189" s="54">
        <v>0</v>
      </c>
      <c r="AS189" s="54">
        <v>0</v>
      </c>
      <c r="AT189" s="54">
        <v>0</v>
      </c>
      <c r="AU189" s="54">
        <v>0</v>
      </c>
      <c r="AV189" s="54">
        <v>0</v>
      </c>
      <c r="AW189" s="54">
        <v>0</v>
      </c>
      <c r="AX189" s="54">
        <v>0</v>
      </c>
      <c r="AY189" s="54">
        <v>0</v>
      </c>
      <c r="AZ189" s="54">
        <v>0</v>
      </c>
      <c r="BA189" s="54">
        <v>0</v>
      </c>
      <c r="BB189" s="54">
        <v>0</v>
      </c>
      <c r="BC189" s="54">
        <v>0</v>
      </c>
      <c r="BD189" s="54">
        <v>0</v>
      </c>
      <c r="BE189" s="54">
        <v>0</v>
      </c>
      <c r="BF189" s="54">
        <v>0</v>
      </c>
      <c r="BG189" s="54">
        <v>0</v>
      </c>
      <c r="BH189" s="54">
        <v>0</v>
      </c>
      <c r="BK189" s="104" t="str">
        <f>$V$77</f>
        <v>-</v>
      </c>
      <c r="BL189" s="108">
        <v>0</v>
      </c>
      <c r="BM189" s="108">
        <v>0</v>
      </c>
      <c r="BN189" s="108">
        <v>0</v>
      </c>
      <c r="BO189" s="108">
        <v>0</v>
      </c>
      <c r="BP189" s="108">
        <v>0</v>
      </c>
      <c r="BQ189" s="108">
        <v>0</v>
      </c>
      <c r="BR189" s="108">
        <v>0</v>
      </c>
      <c r="BS189" s="108">
        <v>0</v>
      </c>
      <c r="BT189" s="108">
        <v>0</v>
      </c>
      <c r="BU189" s="108">
        <v>0</v>
      </c>
      <c r="BV189" s="108">
        <v>0</v>
      </c>
      <c r="BW189" s="108">
        <v>0</v>
      </c>
      <c r="BX189" s="108">
        <v>0</v>
      </c>
      <c r="BY189" s="108">
        <v>0</v>
      </c>
      <c r="BZ189" s="108">
        <v>0</v>
      </c>
      <c r="CA189" s="108">
        <v>0</v>
      </c>
      <c r="CB189" s="108">
        <v>0</v>
      </c>
    </row>
    <row r="190" spans="2:80" x14ac:dyDescent="0.55000000000000004">
      <c r="B190" s="104" t="str">
        <f>$V$82</f>
        <v>-</v>
      </c>
      <c r="C190" s="108">
        <f t="shared" si="3"/>
        <v>0</v>
      </c>
      <c r="D190" s="108">
        <f t="shared" si="4"/>
        <v>0</v>
      </c>
      <c r="E190" s="108">
        <f t="shared" si="5"/>
        <v>0</v>
      </c>
      <c r="F190" s="108">
        <f t="shared" si="6"/>
        <v>0</v>
      </c>
      <c r="G190" s="108">
        <f t="shared" si="7"/>
        <v>0</v>
      </c>
      <c r="H190" s="108">
        <f t="shared" si="8"/>
        <v>0</v>
      </c>
      <c r="I190" s="108">
        <f t="shared" si="9"/>
        <v>0</v>
      </c>
      <c r="J190" s="108">
        <f t="shared" si="10"/>
        <v>0</v>
      </c>
      <c r="K190" s="108">
        <f t="shared" si="11"/>
        <v>0</v>
      </c>
      <c r="L190" s="108">
        <f t="shared" si="12"/>
        <v>0</v>
      </c>
      <c r="M190" s="108">
        <f t="shared" si="13"/>
        <v>0</v>
      </c>
      <c r="N190" s="108">
        <f t="shared" si="14"/>
        <v>0</v>
      </c>
      <c r="O190" s="108">
        <f t="shared" si="15"/>
        <v>0</v>
      </c>
      <c r="P190" s="108">
        <f t="shared" si="16"/>
        <v>0</v>
      </c>
      <c r="Q190" s="108">
        <f t="shared" si="17"/>
        <v>0</v>
      </c>
      <c r="R190" s="108">
        <f t="shared" si="18"/>
        <v>0</v>
      </c>
      <c r="S190" s="108">
        <f t="shared" si="19"/>
        <v>0</v>
      </c>
      <c r="T190" s="102" t="s">
        <v>20</v>
      </c>
      <c r="V190" s="104" t="str">
        <f>$V$82</f>
        <v>-</v>
      </c>
      <c r="W190" s="108">
        <f t="shared" ref="W190:AM190" si="49">W82</f>
        <v>0</v>
      </c>
      <c r="X190" s="108">
        <f t="shared" si="49"/>
        <v>0</v>
      </c>
      <c r="Y190" s="108">
        <f t="shared" si="49"/>
        <v>0</v>
      </c>
      <c r="Z190" s="108">
        <f t="shared" si="49"/>
        <v>0</v>
      </c>
      <c r="AA190" s="108">
        <f t="shared" si="49"/>
        <v>0</v>
      </c>
      <c r="AB190" s="108">
        <f t="shared" si="49"/>
        <v>0</v>
      </c>
      <c r="AC190" s="108">
        <f t="shared" si="49"/>
        <v>0</v>
      </c>
      <c r="AD190" s="108">
        <f t="shared" si="49"/>
        <v>0</v>
      </c>
      <c r="AE190" s="108">
        <f t="shared" si="49"/>
        <v>0</v>
      </c>
      <c r="AF190" s="108">
        <f t="shared" si="49"/>
        <v>0</v>
      </c>
      <c r="AG190" s="108">
        <f t="shared" si="49"/>
        <v>0</v>
      </c>
      <c r="AH190" s="108">
        <f t="shared" si="49"/>
        <v>0</v>
      </c>
      <c r="AI190" s="108">
        <f t="shared" si="49"/>
        <v>0</v>
      </c>
      <c r="AJ190" s="108">
        <f t="shared" si="49"/>
        <v>0</v>
      </c>
      <c r="AK190" s="108">
        <f t="shared" si="49"/>
        <v>0</v>
      </c>
      <c r="AL190" s="108">
        <f t="shared" si="49"/>
        <v>0</v>
      </c>
      <c r="AM190" s="108">
        <f t="shared" si="49"/>
        <v>0</v>
      </c>
      <c r="AQ190" s="104" t="str">
        <f>$V$89</f>
        <v>-</v>
      </c>
      <c r="AR190" s="54">
        <v>0</v>
      </c>
      <c r="AS190" s="54">
        <v>0</v>
      </c>
      <c r="AT190" s="54">
        <v>0</v>
      </c>
      <c r="AU190" s="54">
        <v>0</v>
      </c>
      <c r="AV190" s="54">
        <v>0</v>
      </c>
      <c r="AW190" s="54">
        <v>0</v>
      </c>
      <c r="AX190" s="54">
        <v>0</v>
      </c>
      <c r="AY190" s="54">
        <v>0</v>
      </c>
      <c r="AZ190" s="54">
        <v>0</v>
      </c>
      <c r="BA190" s="54">
        <v>0</v>
      </c>
      <c r="BB190" s="54">
        <v>0</v>
      </c>
      <c r="BC190" s="54">
        <v>0</v>
      </c>
      <c r="BD190" s="54">
        <v>0</v>
      </c>
      <c r="BE190" s="54">
        <v>0</v>
      </c>
      <c r="BF190" s="54">
        <v>0</v>
      </c>
      <c r="BG190" s="54">
        <v>0</v>
      </c>
      <c r="BH190" s="54">
        <v>0</v>
      </c>
      <c r="BK190" s="104" t="str">
        <f>$V$78</f>
        <v>-</v>
      </c>
      <c r="BL190" s="108">
        <v>0</v>
      </c>
      <c r="BM190" s="108">
        <v>0</v>
      </c>
      <c r="BN190" s="108">
        <v>0</v>
      </c>
      <c r="BO190" s="108">
        <v>0</v>
      </c>
      <c r="BP190" s="108">
        <v>0</v>
      </c>
      <c r="BQ190" s="108">
        <v>0</v>
      </c>
      <c r="BR190" s="108">
        <v>0</v>
      </c>
      <c r="BS190" s="108">
        <v>0</v>
      </c>
      <c r="BT190" s="108">
        <v>0</v>
      </c>
      <c r="BU190" s="108">
        <v>0</v>
      </c>
      <c r="BV190" s="108">
        <v>0</v>
      </c>
      <c r="BW190" s="108">
        <v>0</v>
      </c>
      <c r="BX190" s="108">
        <v>0</v>
      </c>
      <c r="BY190" s="108">
        <v>0</v>
      </c>
      <c r="BZ190" s="108">
        <v>0</v>
      </c>
      <c r="CA190" s="108">
        <v>0</v>
      </c>
      <c r="CB190" s="108">
        <v>0</v>
      </c>
    </row>
    <row r="191" spans="2:80" x14ac:dyDescent="0.55000000000000004">
      <c r="B191" s="104" t="str">
        <f>$V$83</f>
        <v>-</v>
      </c>
      <c r="C191" s="108">
        <f t="shared" si="3"/>
        <v>0</v>
      </c>
      <c r="D191" s="108">
        <f t="shared" si="4"/>
        <v>0</v>
      </c>
      <c r="E191" s="108">
        <f t="shared" si="5"/>
        <v>0</v>
      </c>
      <c r="F191" s="108">
        <f t="shared" si="6"/>
        <v>0</v>
      </c>
      <c r="G191" s="108">
        <f t="shared" si="7"/>
        <v>0</v>
      </c>
      <c r="H191" s="108">
        <f t="shared" si="8"/>
        <v>0</v>
      </c>
      <c r="I191" s="108">
        <f t="shared" si="9"/>
        <v>0</v>
      </c>
      <c r="J191" s="108">
        <f t="shared" si="10"/>
        <v>0</v>
      </c>
      <c r="K191" s="108">
        <f t="shared" si="11"/>
        <v>0</v>
      </c>
      <c r="L191" s="108">
        <f t="shared" si="12"/>
        <v>0</v>
      </c>
      <c r="M191" s="108">
        <f t="shared" si="13"/>
        <v>0</v>
      </c>
      <c r="N191" s="108">
        <f t="shared" si="14"/>
        <v>-2</v>
      </c>
      <c r="O191" s="108">
        <f t="shared" si="15"/>
        <v>0</v>
      </c>
      <c r="P191" s="108">
        <f t="shared" si="16"/>
        <v>0</v>
      </c>
      <c r="Q191" s="108">
        <f t="shared" si="17"/>
        <v>0</v>
      </c>
      <c r="R191" s="108">
        <f t="shared" si="18"/>
        <v>0</v>
      </c>
      <c r="S191" s="108">
        <f t="shared" si="19"/>
        <v>0</v>
      </c>
      <c r="T191" s="102" t="s">
        <v>20</v>
      </c>
      <c r="V191" s="104" t="str">
        <f>$V$83</f>
        <v>-</v>
      </c>
      <c r="W191" s="108">
        <f t="shared" ref="W191:AM191" si="50">W83</f>
        <v>0</v>
      </c>
      <c r="X191" s="108">
        <f t="shared" si="50"/>
        <v>0</v>
      </c>
      <c r="Y191" s="108">
        <f t="shared" si="50"/>
        <v>0</v>
      </c>
      <c r="Z191" s="108">
        <f t="shared" si="50"/>
        <v>0</v>
      </c>
      <c r="AA191" s="108">
        <f t="shared" si="50"/>
        <v>0</v>
      </c>
      <c r="AB191" s="108">
        <f t="shared" si="50"/>
        <v>0</v>
      </c>
      <c r="AC191" s="108">
        <f t="shared" si="50"/>
        <v>0</v>
      </c>
      <c r="AD191" s="108">
        <f t="shared" si="50"/>
        <v>0</v>
      </c>
      <c r="AE191" s="108">
        <f t="shared" si="50"/>
        <v>0</v>
      </c>
      <c r="AF191" s="108">
        <f t="shared" si="50"/>
        <v>0</v>
      </c>
      <c r="AG191" s="108">
        <f t="shared" si="50"/>
        <v>0</v>
      </c>
      <c r="AH191" s="108">
        <f t="shared" si="50"/>
        <v>0</v>
      </c>
      <c r="AI191" s="108">
        <f t="shared" si="50"/>
        <v>0</v>
      </c>
      <c r="AJ191" s="108">
        <f t="shared" si="50"/>
        <v>0</v>
      </c>
      <c r="AK191" s="108">
        <f t="shared" si="50"/>
        <v>0</v>
      </c>
      <c r="AL191" s="108">
        <f t="shared" si="50"/>
        <v>0</v>
      </c>
      <c r="AM191" s="108">
        <f t="shared" si="50"/>
        <v>0</v>
      </c>
      <c r="AQ191" s="104" t="str">
        <f>$V$90</f>
        <v>-</v>
      </c>
      <c r="AR191" s="54">
        <v>0</v>
      </c>
      <c r="AS191" s="54">
        <v>0</v>
      </c>
      <c r="AT191" s="54">
        <v>0</v>
      </c>
      <c r="AU191" s="54">
        <v>0</v>
      </c>
      <c r="AV191" s="54">
        <v>0</v>
      </c>
      <c r="AW191" s="54">
        <v>0</v>
      </c>
      <c r="AX191" s="54">
        <v>0</v>
      </c>
      <c r="AY191" s="54">
        <v>0</v>
      </c>
      <c r="AZ191" s="54">
        <v>0</v>
      </c>
      <c r="BA191" s="54">
        <v>0</v>
      </c>
      <c r="BB191" s="54">
        <v>0</v>
      </c>
      <c r="BC191" s="54">
        <v>0</v>
      </c>
      <c r="BD191" s="54">
        <v>0</v>
      </c>
      <c r="BE191" s="54">
        <v>0</v>
      </c>
      <c r="BF191" s="54">
        <v>0</v>
      </c>
      <c r="BG191" s="54">
        <v>0</v>
      </c>
      <c r="BH191" s="54">
        <v>0</v>
      </c>
      <c r="BK191" s="104" t="str">
        <f>$V$79</f>
        <v>-</v>
      </c>
      <c r="BL191" s="108">
        <v>0</v>
      </c>
      <c r="BM191" s="108">
        <v>0</v>
      </c>
      <c r="BN191" s="108">
        <v>0</v>
      </c>
      <c r="BO191" s="108">
        <v>0</v>
      </c>
      <c r="BP191" s="108">
        <v>0</v>
      </c>
      <c r="BQ191" s="108">
        <v>0</v>
      </c>
      <c r="BR191" s="108">
        <v>0</v>
      </c>
      <c r="BS191" s="108">
        <v>0</v>
      </c>
      <c r="BT191" s="108">
        <v>0</v>
      </c>
      <c r="BU191" s="108">
        <v>0</v>
      </c>
      <c r="BV191" s="108">
        <v>0</v>
      </c>
      <c r="BW191" s="108">
        <v>0</v>
      </c>
      <c r="BX191" s="108">
        <v>0</v>
      </c>
      <c r="BY191" s="108">
        <v>0</v>
      </c>
      <c r="BZ191" s="108">
        <v>0</v>
      </c>
      <c r="CA191" s="108">
        <v>0</v>
      </c>
      <c r="CB191" s="108">
        <v>0</v>
      </c>
    </row>
    <row r="192" spans="2:80" x14ac:dyDescent="0.55000000000000004">
      <c r="B192" s="104" t="str">
        <f>$V$84</f>
        <v>-</v>
      </c>
      <c r="C192" s="108">
        <f t="shared" si="3"/>
        <v>0</v>
      </c>
      <c r="D192" s="108">
        <f t="shared" si="4"/>
        <v>0</v>
      </c>
      <c r="E192" s="108">
        <f t="shared" si="5"/>
        <v>0</v>
      </c>
      <c r="F192" s="108">
        <f t="shared" si="6"/>
        <v>0</v>
      </c>
      <c r="G192" s="108">
        <f t="shared" si="7"/>
        <v>0</v>
      </c>
      <c r="H192" s="108">
        <f t="shared" si="8"/>
        <v>0</v>
      </c>
      <c r="I192" s="108">
        <f t="shared" si="9"/>
        <v>0</v>
      </c>
      <c r="J192" s="108">
        <f t="shared" si="10"/>
        <v>0</v>
      </c>
      <c r="K192" s="108">
        <f t="shared" si="11"/>
        <v>0</v>
      </c>
      <c r="L192" s="108">
        <f t="shared" si="12"/>
        <v>0</v>
      </c>
      <c r="M192" s="108">
        <f t="shared" si="13"/>
        <v>0</v>
      </c>
      <c r="N192" s="108">
        <f t="shared" si="14"/>
        <v>0</v>
      </c>
      <c r="O192" s="108">
        <f t="shared" si="15"/>
        <v>0</v>
      </c>
      <c r="P192" s="108">
        <f t="shared" si="16"/>
        <v>0</v>
      </c>
      <c r="Q192" s="108">
        <f t="shared" si="17"/>
        <v>0</v>
      </c>
      <c r="R192" s="108">
        <f t="shared" si="18"/>
        <v>0</v>
      </c>
      <c r="S192" s="108">
        <f t="shared" si="19"/>
        <v>0</v>
      </c>
      <c r="T192" s="102" t="s">
        <v>20</v>
      </c>
      <c r="V192" s="104" t="str">
        <f>$V$84</f>
        <v>-</v>
      </c>
      <c r="W192" s="108">
        <f t="shared" ref="W192:AM192" si="51">W84</f>
        <v>0</v>
      </c>
      <c r="X192" s="108">
        <f t="shared" si="51"/>
        <v>0</v>
      </c>
      <c r="Y192" s="108">
        <f t="shared" si="51"/>
        <v>0</v>
      </c>
      <c r="Z192" s="108">
        <f t="shared" si="51"/>
        <v>0</v>
      </c>
      <c r="AA192" s="108">
        <f t="shared" si="51"/>
        <v>0</v>
      </c>
      <c r="AB192" s="108">
        <f t="shared" si="51"/>
        <v>0</v>
      </c>
      <c r="AC192" s="108">
        <f t="shared" si="51"/>
        <v>0</v>
      </c>
      <c r="AD192" s="108">
        <f t="shared" si="51"/>
        <v>0</v>
      </c>
      <c r="AE192" s="108">
        <f t="shared" si="51"/>
        <v>0</v>
      </c>
      <c r="AF192" s="108">
        <f t="shared" si="51"/>
        <v>0</v>
      </c>
      <c r="AG192" s="108">
        <f t="shared" si="51"/>
        <v>0</v>
      </c>
      <c r="AH192" s="108">
        <f t="shared" si="51"/>
        <v>0</v>
      </c>
      <c r="AI192" s="108">
        <f t="shared" si="51"/>
        <v>0</v>
      </c>
      <c r="AJ192" s="108">
        <f t="shared" si="51"/>
        <v>0</v>
      </c>
      <c r="AK192" s="108">
        <f t="shared" si="51"/>
        <v>0</v>
      </c>
      <c r="AL192" s="108">
        <f t="shared" si="51"/>
        <v>0</v>
      </c>
      <c r="AM192" s="108">
        <f t="shared" si="51"/>
        <v>0</v>
      </c>
      <c r="AQ192" s="104" t="str">
        <f>$V$91</f>
        <v>-</v>
      </c>
      <c r="AR192" s="54">
        <v>0</v>
      </c>
      <c r="AS192" s="54">
        <v>0</v>
      </c>
      <c r="AT192" s="54">
        <v>0</v>
      </c>
      <c r="AU192" s="54">
        <v>0</v>
      </c>
      <c r="AV192" s="54">
        <v>0</v>
      </c>
      <c r="AW192" s="54">
        <v>0</v>
      </c>
      <c r="AX192" s="54">
        <v>0</v>
      </c>
      <c r="AY192" s="54">
        <v>0</v>
      </c>
      <c r="AZ192" s="54">
        <v>0</v>
      </c>
      <c r="BA192" s="54">
        <v>0</v>
      </c>
      <c r="BB192" s="54">
        <v>0</v>
      </c>
      <c r="BC192" s="54">
        <v>0</v>
      </c>
      <c r="BD192" s="54">
        <v>0</v>
      </c>
      <c r="BE192" s="54">
        <v>0</v>
      </c>
      <c r="BF192" s="54">
        <v>0</v>
      </c>
      <c r="BG192" s="54">
        <v>0</v>
      </c>
      <c r="BH192" s="54">
        <v>0</v>
      </c>
      <c r="BK192" s="104" t="str">
        <f>$V$80</f>
        <v>-</v>
      </c>
      <c r="BL192" s="108">
        <v>0</v>
      </c>
      <c r="BM192" s="108">
        <v>0</v>
      </c>
      <c r="BN192" s="108">
        <v>0</v>
      </c>
      <c r="BO192" s="108">
        <v>0</v>
      </c>
      <c r="BP192" s="108">
        <v>0</v>
      </c>
      <c r="BQ192" s="108">
        <v>0</v>
      </c>
      <c r="BR192" s="108">
        <v>0</v>
      </c>
      <c r="BS192" s="108">
        <v>0</v>
      </c>
      <c r="BT192" s="108">
        <v>0</v>
      </c>
      <c r="BU192" s="108">
        <v>0</v>
      </c>
      <c r="BV192" s="108">
        <v>0</v>
      </c>
      <c r="BW192" s="108">
        <v>0</v>
      </c>
      <c r="BX192" s="108">
        <v>0</v>
      </c>
      <c r="BY192" s="108">
        <v>0</v>
      </c>
      <c r="BZ192" s="108">
        <v>0</v>
      </c>
      <c r="CA192" s="108">
        <v>0</v>
      </c>
      <c r="CB192" s="108">
        <v>0</v>
      </c>
    </row>
    <row r="193" spans="2:80" x14ac:dyDescent="0.55000000000000004">
      <c r="B193" s="104" t="str">
        <f>$V$85</f>
        <v>-</v>
      </c>
      <c r="C193" s="108">
        <f t="shared" si="3"/>
        <v>0</v>
      </c>
      <c r="D193" s="108">
        <f t="shared" si="4"/>
        <v>0</v>
      </c>
      <c r="E193" s="108">
        <f t="shared" si="5"/>
        <v>0</v>
      </c>
      <c r="F193" s="108">
        <f t="shared" si="6"/>
        <v>0</v>
      </c>
      <c r="G193" s="108">
        <f t="shared" si="7"/>
        <v>0</v>
      </c>
      <c r="H193" s="108">
        <f t="shared" si="8"/>
        <v>0</v>
      </c>
      <c r="I193" s="108">
        <f t="shared" si="9"/>
        <v>0</v>
      </c>
      <c r="J193" s="108">
        <f t="shared" si="10"/>
        <v>0</v>
      </c>
      <c r="K193" s="108">
        <f t="shared" si="11"/>
        <v>0</v>
      </c>
      <c r="L193" s="108">
        <f t="shared" si="12"/>
        <v>0</v>
      </c>
      <c r="M193" s="108">
        <f t="shared" si="13"/>
        <v>0</v>
      </c>
      <c r="N193" s="108">
        <f t="shared" si="14"/>
        <v>0</v>
      </c>
      <c r="O193" s="108">
        <f t="shared" si="15"/>
        <v>0</v>
      </c>
      <c r="P193" s="108">
        <f t="shared" si="16"/>
        <v>0</v>
      </c>
      <c r="Q193" s="108">
        <f t="shared" si="17"/>
        <v>0</v>
      </c>
      <c r="R193" s="108">
        <f t="shared" si="18"/>
        <v>0</v>
      </c>
      <c r="S193" s="108">
        <f t="shared" si="19"/>
        <v>0</v>
      </c>
      <c r="T193" s="102" t="s">
        <v>20</v>
      </c>
      <c r="V193" s="104" t="str">
        <f>$V$85</f>
        <v>-</v>
      </c>
      <c r="W193" s="108">
        <f t="shared" ref="W193:AM193" si="52">W85</f>
        <v>0</v>
      </c>
      <c r="X193" s="108">
        <f t="shared" si="52"/>
        <v>0</v>
      </c>
      <c r="Y193" s="108">
        <f t="shared" si="52"/>
        <v>0</v>
      </c>
      <c r="Z193" s="108">
        <f t="shared" si="52"/>
        <v>0</v>
      </c>
      <c r="AA193" s="108">
        <f t="shared" si="52"/>
        <v>0</v>
      </c>
      <c r="AB193" s="108">
        <f t="shared" si="52"/>
        <v>0</v>
      </c>
      <c r="AC193" s="108">
        <f t="shared" si="52"/>
        <v>0</v>
      </c>
      <c r="AD193" s="108">
        <f t="shared" si="52"/>
        <v>0</v>
      </c>
      <c r="AE193" s="108">
        <f t="shared" si="52"/>
        <v>0</v>
      </c>
      <c r="AF193" s="108">
        <f t="shared" si="52"/>
        <v>0</v>
      </c>
      <c r="AG193" s="108">
        <f t="shared" si="52"/>
        <v>0</v>
      </c>
      <c r="AH193" s="108">
        <f t="shared" si="52"/>
        <v>0</v>
      </c>
      <c r="AI193" s="108">
        <f t="shared" si="52"/>
        <v>0</v>
      </c>
      <c r="AJ193" s="108">
        <f t="shared" si="52"/>
        <v>0</v>
      </c>
      <c r="AK193" s="108">
        <f t="shared" si="52"/>
        <v>0</v>
      </c>
      <c r="AL193" s="108">
        <f t="shared" si="52"/>
        <v>0</v>
      </c>
      <c r="AM193" s="108">
        <f t="shared" si="52"/>
        <v>0</v>
      </c>
      <c r="AQ193" s="104" t="str">
        <f>$V$92</f>
        <v>-</v>
      </c>
      <c r="AR193" s="54">
        <v>0</v>
      </c>
      <c r="AS193" s="54">
        <v>0</v>
      </c>
      <c r="AT193" s="54">
        <v>0</v>
      </c>
      <c r="AU193" s="54">
        <v>0</v>
      </c>
      <c r="AV193" s="54">
        <v>0</v>
      </c>
      <c r="AW193" s="54">
        <v>0</v>
      </c>
      <c r="AX193" s="54">
        <v>0</v>
      </c>
      <c r="AY193" s="54">
        <v>0</v>
      </c>
      <c r="AZ193" s="54">
        <v>0</v>
      </c>
      <c r="BA193" s="54">
        <v>0</v>
      </c>
      <c r="BB193" s="54">
        <v>0</v>
      </c>
      <c r="BC193" s="54">
        <v>0</v>
      </c>
      <c r="BD193" s="54">
        <v>0</v>
      </c>
      <c r="BE193" s="54">
        <v>0</v>
      </c>
      <c r="BF193" s="54">
        <v>0</v>
      </c>
      <c r="BG193" s="54">
        <v>0</v>
      </c>
      <c r="BH193" s="54">
        <v>0</v>
      </c>
      <c r="BK193" s="104" t="str">
        <f>$V$81</f>
        <v>-</v>
      </c>
      <c r="BL193" s="108">
        <v>0</v>
      </c>
      <c r="BM193" s="108">
        <v>0</v>
      </c>
      <c r="BN193" s="108">
        <v>0</v>
      </c>
      <c r="BO193" s="108">
        <v>0</v>
      </c>
      <c r="BP193" s="108">
        <v>0</v>
      </c>
      <c r="BQ193" s="108">
        <v>0</v>
      </c>
      <c r="BR193" s="108">
        <v>0</v>
      </c>
      <c r="BS193" s="108">
        <v>0</v>
      </c>
      <c r="BT193" s="108">
        <v>0</v>
      </c>
      <c r="BU193" s="108">
        <v>0</v>
      </c>
      <c r="BV193" s="108">
        <v>0</v>
      </c>
      <c r="BW193" s="108">
        <v>0</v>
      </c>
      <c r="BX193" s="108">
        <v>0</v>
      </c>
      <c r="BY193" s="108">
        <v>0</v>
      </c>
      <c r="BZ193" s="108">
        <v>0</v>
      </c>
      <c r="CA193" s="108">
        <v>0</v>
      </c>
      <c r="CB193" s="108">
        <v>0</v>
      </c>
    </row>
    <row r="194" spans="2:80" x14ac:dyDescent="0.55000000000000004">
      <c r="B194" s="104" t="str">
        <f>$V$86</f>
        <v>-</v>
      </c>
      <c r="C194" s="108">
        <f t="shared" si="3"/>
        <v>0</v>
      </c>
      <c r="D194" s="108">
        <f t="shared" si="4"/>
        <v>0</v>
      </c>
      <c r="E194" s="108">
        <f t="shared" si="5"/>
        <v>0</v>
      </c>
      <c r="F194" s="108">
        <f t="shared" si="6"/>
        <v>0</v>
      </c>
      <c r="G194" s="108">
        <f t="shared" si="7"/>
        <v>0</v>
      </c>
      <c r="H194" s="108">
        <f t="shared" si="8"/>
        <v>0</v>
      </c>
      <c r="I194" s="108">
        <f t="shared" si="9"/>
        <v>0</v>
      </c>
      <c r="J194" s="108">
        <f t="shared" si="10"/>
        <v>0</v>
      </c>
      <c r="K194" s="108">
        <f t="shared" si="11"/>
        <v>0</v>
      </c>
      <c r="L194" s="108">
        <f t="shared" si="12"/>
        <v>0</v>
      </c>
      <c r="M194" s="108">
        <f t="shared" si="13"/>
        <v>0</v>
      </c>
      <c r="N194" s="108">
        <f t="shared" si="14"/>
        <v>0</v>
      </c>
      <c r="O194" s="108">
        <f t="shared" si="15"/>
        <v>0</v>
      </c>
      <c r="P194" s="108">
        <f t="shared" si="16"/>
        <v>0</v>
      </c>
      <c r="Q194" s="108">
        <f t="shared" si="17"/>
        <v>0</v>
      </c>
      <c r="R194" s="108">
        <f t="shared" si="18"/>
        <v>0</v>
      </c>
      <c r="S194" s="108">
        <f t="shared" si="19"/>
        <v>0</v>
      </c>
      <c r="T194" s="102" t="s">
        <v>20</v>
      </c>
      <c r="V194" s="104" t="str">
        <f>$V$86</f>
        <v>-</v>
      </c>
      <c r="W194" s="108">
        <f t="shared" ref="W194:AM194" si="53">W86</f>
        <v>0</v>
      </c>
      <c r="X194" s="108">
        <f t="shared" si="53"/>
        <v>0</v>
      </c>
      <c r="Y194" s="108">
        <f t="shared" si="53"/>
        <v>0</v>
      </c>
      <c r="Z194" s="108">
        <f t="shared" si="53"/>
        <v>0</v>
      </c>
      <c r="AA194" s="108">
        <f t="shared" si="53"/>
        <v>0</v>
      </c>
      <c r="AB194" s="108">
        <f t="shared" si="53"/>
        <v>0</v>
      </c>
      <c r="AC194" s="108">
        <f t="shared" si="53"/>
        <v>0</v>
      </c>
      <c r="AD194" s="108">
        <f t="shared" si="53"/>
        <v>0</v>
      </c>
      <c r="AE194" s="108">
        <f t="shared" si="53"/>
        <v>0</v>
      </c>
      <c r="AF194" s="108">
        <f t="shared" si="53"/>
        <v>0</v>
      </c>
      <c r="AG194" s="108">
        <f t="shared" si="53"/>
        <v>0</v>
      </c>
      <c r="AH194" s="108">
        <f t="shared" si="53"/>
        <v>0</v>
      </c>
      <c r="AI194" s="108">
        <f t="shared" si="53"/>
        <v>0</v>
      </c>
      <c r="AJ194" s="108">
        <f t="shared" si="53"/>
        <v>0</v>
      </c>
      <c r="AK194" s="108">
        <f t="shared" si="53"/>
        <v>0</v>
      </c>
      <c r="AL194" s="108">
        <f t="shared" si="53"/>
        <v>0</v>
      </c>
      <c r="AM194" s="108">
        <f t="shared" si="53"/>
        <v>0</v>
      </c>
      <c r="AP194" t="str">
        <f>$V$38</f>
        <v>Rez</v>
      </c>
      <c r="AQ194" s="104" t="str">
        <f>$V$53</f>
        <v>Jennifer</v>
      </c>
      <c r="AR194" s="54">
        <v>0</v>
      </c>
      <c r="AS194" s="54">
        <v>0</v>
      </c>
      <c r="AT194" s="54">
        <v>0</v>
      </c>
      <c r="AU194" s="54">
        <v>0</v>
      </c>
      <c r="AV194" s="54">
        <v>0</v>
      </c>
      <c r="AW194" s="54">
        <v>1</v>
      </c>
      <c r="AX194" s="54">
        <v>0</v>
      </c>
      <c r="AY194" s="54">
        <v>1</v>
      </c>
      <c r="AZ194" s="54">
        <v>0</v>
      </c>
      <c r="BA194" s="54">
        <v>0</v>
      </c>
      <c r="BB194" s="54">
        <v>1</v>
      </c>
      <c r="BC194" s="54">
        <v>0</v>
      </c>
      <c r="BD194" s="54">
        <v>0</v>
      </c>
      <c r="BE194" s="54">
        <v>0</v>
      </c>
      <c r="BF194" s="54">
        <v>0</v>
      </c>
      <c r="BG194" s="54">
        <v>0</v>
      </c>
      <c r="BH194" s="54">
        <v>0</v>
      </c>
      <c r="BK194" s="104" t="str">
        <f>$V$82</f>
        <v>-</v>
      </c>
      <c r="BL194" s="108">
        <v>0</v>
      </c>
      <c r="BM194" s="108">
        <v>0</v>
      </c>
      <c r="BN194" s="108">
        <v>0</v>
      </c>
      <c r="BO194" s="108">
        <v>0</v>
      </c>
      <c r="BP194" s="108">
        <v>0</v>
      </c>
      <c r="BQ194" s="108">
        <v>0</v>
      </c>
      <c r="BR194" s="108">
        <v>0</v>
      </c>
      <c r="BS194" s="108">
        <v>0</v>
      </c>
      <c r="BT194" s="108">
        <v>0</v>
      </c>
      <c r="BU194" s="108">
        <v>0</v>
      </c>
      <c r="BV194" s="108">
        <v>0</v>
      </c>
      <c r="BW194" s="108">
        <v>0</v>
      </c>
      <c r="BX194" s="108">
        <v>0</v>
      </c>
      <c r="BY194" s="108">
        <v>0</v>
      </c>
      <c r="BZ194" s="108">
        <v>0</v>
      </c>
      <c r="CA194" s="108">
        <v>0</v>
      </c>
      <c r="CB194" s="108">
        <v>0</v>
      </c>
    </row>
    <row r="195" spans="2:80" x14ac:dyDescent="0.55000000000000004">
      <c r="B195" s="104" t="str">
        <f>$V$87</f>
        <v>-</v>
      </c>
      <c r="C195" s="108">
        <f t="shared" si="3"/>
        <v>0</v>
      </c>
      <c r="D195" s="108">
        <f t="shared" si="4"/>
        <v>0</v>
      </c>
      <c r="E195" s="108">
        <f t="shared" si="5"/>
        <v>0</v>
      </c>
      <c r="F195" s="108">
        <f t="shared" si="6"/>
        <v>-2</v>
      </c>
      <c r="G195" s="108">
        <f t="shared" si="7"/>
        <v>0</v>
      </c>
      <c r="H195" s="108">
        <f t="shared" si="8"/>
        <v>0</v>
      </c>
      <c r="I195" s="108">
        <f t="shared" si="9"/>
        <v>0</v>
      </c>
      <c r="J195" s="108">
        <f t="shared" si="10"/>
        <v>0</v>
      </c>
      <c r="K195" s="108">
        <f t="shared" si="11"/>
        <v>0</v>
      </c>
      <c r="L195" s="108">
        <f t="shared" si="12"/>
        <v>0</v>
      </c>
      <c r="M195" s="108">
        <f t="shared" si="13"/>
        <v>0</v>
      </c>
      <c r="N195" s="108">
        <f t="shared" si="14"/>
        <v>0</v>
      </c>
      <c r="O195" s="108">
        <f t="shared" si="15"/>
        <v>0</v>
      </c>
      <c r="P195" s="108">
        <f t="shared" si="16"/>
        <v>0</v>
      </c>
      <c r="Q195" s="108">
        <f t="shared" si="17"/>
        <v>0</v>
      </c>
      <c r="R195" s="108">
        <f t="shared" si="18"/>
        <v>0</v>
      </c>
      <c r="S195" s="108">
        <f t="shared" si="19"/>
        <v>0</v>
      </c>
      <c r="T195" s="102" t="s">
        <v>20</v>
      </c>
      <c r="V195" s="104" t="str">
        <f>$V$87</f>
        <v>-</v>
      </c>
      <c r="W195" s="108">
        <f t="shared" ref="W195:AM195" si="54">W87</f>
        <v>0</v>
      </c>
      <c r="X195" s="108">
        <f t="shared" si="54"/>
        <v>0</v>
      </c>
      <c r="Y195" s="108">
        <f t="shared" si="54"/>
        <v>0</v>
      </c>
      <c r="Z195" s="108">
        <f t="shared" si="54"/>
        <v>0</v>
      </c>
      <c r="AA195" s="108">
        <f t="shared" si="54"/>
        <v>0</v>
      </c>
      <c r="AB195" s="108">
        <f t="shared" si="54"/>
        <v>0</v>
      </c>
      <c r="AC195" s="108">
        <f t="shared" si="54"/>
        <v>0</v>
      </c>
      <c r="AD195" s="108">
        <f t="shared" si="54"/>
        <v>0</v>
      </c>
      <c r="AE195" s="108">
        <f t="shared" si="54"/>
        <v>0</v>
      </c>
      <c r="AF195" s="108">
        <f t="shared" si="54"/>
        <v>0</v>
      </c>
      <c r="AG195" s="108">
        <f t="shared" si="54"/>
        <v>0</v>
      </c>
      <c r="AH195" s="108">
        <f t="shared" si="54"/>
        <v>0</v>
      </c>
      <c r="AI195" s="108">
        <f t="shared" si="54"/>
        <v>0</v>
      </c>
      <c r="AJ195" s="108">
        <f t="shared" si="54"/>
        <v>0</v>
      </c>
      <c r="AK195" s="108">
        <f t="shared" si="54"/>
        <v>0</v>
      </c>
      <c r="AL195" s="108">
        <f t="shared" si="54"/>
        <v>0</v>
      </c>
      <c r="AM195" s="108">
        <f t="shared" si="54"/>
        <v>0</v>
      </c>
      <c r="AQ195" s="104" t="str">
        <f>$V$54</f>
        <v>Galileo</v>
      </c>
      <c r="AR195" s="54">
        <v>0</v>
      </c>
      <c r="AS195" s="54">
        <v>0</v>
      </c>
      <c r="AT195" s="54">
        <v>0</v>
      </c>
      <c r="AU195" s="54">
        <v>0</v>
      </c>
      <c r="AV195" s="54">
        <v>0</v>
      </c>
      <c r="AW195" s="54">
        <v>0</v>
      </c>
      <c r="AX195" s="54">
        <v>1</v>
      </c>
      <c r="AY195" s="54">
        <v>0</v>
      </c>
      <c r="AZ195" s="54">
        <v>0</v>
      </c>
      <c r="BA195" s="54">
        <v>1</v>
      </c>
      <c r="BB195" s="54">
        <v>0</v>
      </c>
      <c r="BC195" s="54">
        <v>0</v>
      </c>
      <c r="BD195" s="54">
        <v>0</v>
      </c>
      <c r="BE195" s="54">
        <v>0</v>
      </c>
      <c r="BF195" s="54">
        <v>0</v>
      </c>
      <c r="BG195" s="54">
        <v>0</v>
      </c>
      <c r="BH195" s="54">
        <v>0</v>
      </c>
      <c r="BK195" s="104" t="str">
        <f>$V$83</f>
        <v>-</v>
      </c>
      <c r="BL195" s="108">
        <v>0</v>
      </c>
      <c r="BM195" s="108">
        <v>0</v>
      </c>
      <c r="BN195" s="108">
        <v>0</v>
      </c>
      <c r="BO195" s="108">
        <v>0</v>
      </c>
      <c r="BP195" s="108">
        <v>0</v>
      </c>
      <c r="BQ195" s="108">
        <v>0</v>
      </c>
      <c r="BR195" s="108">
        <v>0</v>
      </c>
      <c r="BS195" s="108">
        <v>0</v>
      </c>
      <c r="BT195" s="108">
        <v>0</v>
      </c>
      <c r="BU195" s="108">
        <v>0</v>
      </c>
      <c r="BV195" s="108">
        <v>0</v>
      </c>
      <c r="BW195" s="108">
        <v>0</v>
      </c>
      <c r="BX195" s="108">
        <v>0</v>
      </c>
      <c r="BY195" s="108">
        <v>0</v>
      </c>
      <c r="BZ195" s="108">
        <v>0</v>
      </c>
      <c r="CA195" s="108">
        <v>0</v>
      </c>
      <c r="CB195" s="108">
        <v>0</v>
      </c>
    </row>
    <row r="196" spans="2:80" x14ac:dyDescent="0.55000000000000004">
      <c r="B196" s="104" t="str">
        <f>$V$88</f>
        <v>-</v>
      </c>
      <c r="C196" s="108">
        <f t="shared" si="3"/>
        <v>0</v>
      </c>
      <c r="D196" s="108">
        <f t="shared" si="4"/>
        <v>0</v>
      </c>
      <c r="E196" s="108">
        <f t="shared" si="5"/>
        <v>0</v>
      </c>
      <c r="F196" s="108">
        <f t="shared" si="6"/>
        <v>0</v>
      </c>
      <c r="G196" s="108">
        <f t="shared" si="7"/>
        <v>0</v>
      </c>
      <c r="H196" s="108">
        <f t="shared" si="8"/>
        <v>0</v>
      </c>
      <c r="I196" s="108">
        <f t="shared" si="9"/>
        <v>0</v>
      </c>
      <c r="J196" s="108">
        <f t="shared" si="10"/>
        <v>0</v>
      </c>
      <c r="K196" s="108">
        <f t="shared" si="11"/>
        <v>0</v>
      </c>
      <c r="L196" s="108">
        <f t="shared" si="12"/>
        <v>0</v>
      </c>
      <c r="M196" s="108">
        <f t="shared" si="13"/>
        <v>0</v>
      </c>
      <c r="N196" s="108">
        <f t="shared" si="14"/>
        <v>0</v>
      </c>
      <c r="O196" s="108">
        <f t="shared" si="15"/>
        <v>0</v>
      </c>
      <c r="P196" s="108">
        <f t="shared" si="16"/>
        <v>0</v>
      </c>
      <c r="Q196" s="108">
        <f t="shared" si="17"/>
        <v>0</v>
      </c>
      <c r="R196" s="108">
        <f t="shared" si="18"/>
        <v>0</v>
      </c>
      <c r="S196" s="108">
        <f t="shared" si="19"/>
        <v>0</v>
      </c>
      <c r="T196" s="102" t="s">
        <v>20</v>
      </c>
      <c r="V196" s="104" t="str">
        <f>$V$88</f>
        <v>-</v>
      </c>
      <c r="W196" s="108">
        <f t="shared" ref="W196:AM196" si="55">W88</f>
        <v>0</v>
      </c>
      <c r="X196" s="108">
        <f t="shared" si="55"/>
        <v>0</v>
      </c>
      <c r="Y196" s="108">
        <f t="shared" si="55"/>
        <v>0</v>
      </c>
      <c r="Z196" s="108">
        <f t="shared" si="55"/>
        <v>0</v>
      </c>
      <c r="AA196" s="108">
        <f t="shared" si="55"/>
        <v>0</v>
      </c>
      <c r="AB196" s="108">
        <f t="shared" si="55"/>
        <v>0</v>
      </c>
      <c r="AC196" s="108">
        <f t="shared" si="55"/>
        <v>0</v>
      </c>
      <c r="AD196" s="108">
        <f t="shared" si="55"/>
        <v>0</v>
      </c>
      <c r="AE196" s="108">
        <f t="shared" si="55"/>
        <v>0</v>
      </c>
      <c r="AF196" s="108">
        <f t="shared" si="55"/>
        <v>0</v>
      </c>
      <c r="AG196" s="108">
        <f t="shared" si="55"/>
        <v>0</v>
      </c>
      <c r="AH196" s="108">
        <f t="shared" si="55"/>
        <v>0</v>
      </c>
      <c r="AI196" s="108">
        <f t="shared" si="55"/>
        <v>0</v>
      </c>
      <c r="AJ196" s="108">
        <f t="shared" si="55"/>
        <v>0</v>
      </c>
      <c r="AK196" s="108">
        <f t="shared" si="55"/>
        <v>0</v>
      </c>
      <c r="AL196" s="108">
        <f t="shared" si="55"/>
        <v>0</v>
      </c>
      <c r="AM196" s="108">
        <f t="shared" si="55"/>
        <v>0</v>
      </c>
      <c r="AQ196" s="104" t="str">
        <f>$V$55</f>
        <v>Óscar</v>
      </c>
      <c r="AR196" s="54">
        <v>0</v>
      </c>
      <c r="AS196" s="54">
        <v>1</v>
      </c>
      <c r="AT196" s="54">
        <v>0</v>
      </c>
      <c r="AU196" s="54">
        <v>1</v>
      </c>
      <c r="AV196" s="54">
        <v>0</v>
      </c>
      <c r="AW196" s="54">
        <v>0</v>
      </c>
      <c r="AX196" s="54">
        <v>0</v>
      </c>
      <c r="AY196" s="54">
        <v>0</v>
      </c>
      <c r="AZ196" s="54">
        <v>0</v>
      </c>
      <c r="BA196" s="54">
        <v>0</v>
      </c>
      <c r="BB196" s="54">
        <v>0</v>
      </c>
      <c r="BC196" s="54">
        <v>0</v>
      </c>
      <c r="BD196" s="54">
        <v>0</v>
      </c>
      <c r="BE196" s="54">
        <v>0</v>
      </c>
      <c r="BF196" s="54">
        <v>0</v>
      </c>
      <c r="BG196" s="54">
        <v>0</v>
      </c>
      <c r="BH196" s="54">
        <v>0</v>
      </c>
      <c r="BK196" s="104" t="str">
        <f>$V$84</f>
        <v>-</v>
      </c>
      <c r="BL196" s="108">
        <v>0</v>
      </c>
      <c r="BM196" s="108">
        <v>0</v>
      </c>
      <c r="BN196" s="108">
        <v>0</v>
      </c>
      <c r="BO196" s="108">
        <v>0</v>
      </c>
      <c r="BP196" s="108">
        <v>0</v>
      </c>
      <c r="BQ196" s="108">
        <v>0</v>
      </c>
      <c r="BR196" s="108">
        <v>0</v>
      </c>
      <c r="BS196" s="108">
        <v>0</v>
      </c>
      <c r="BT196" s="108">
        <v>0</v>
      </c>
      <c r="BU196" s="108">
        <v>0</v>
      </c>
      <c r="BV196" s="108">
        <v>0</v>
      </c>
      <c r="BW196" s="108">
        <v>0</v>
      </c>
      <c r="BX196" s="108">
        <v>0</v>
      </c>
      <c r="BY196" s="108">
        <v>0</v>
      </c>
      <c r="BZ196" s="108">
        <v>0</v>
      </c>
      <c r="CA196" s="108">
        <v>0</v>
      </c>
      <c r="CB196" s="108">
        <v>0</v>
      </c>
    </row>
    <row r="197" spans="2:80" x14ac:dyDescent="0.55000000000000004">
      <c r="B197" s="104" t="str">
        <f>$V$89</f>
        <v>-</v>
      </c>
      <c r="C197" s="108">
        <f t="shared" si="3"/>
        <v>0</v>
      </c>
      <c r="D197" s="108">
        <f t="shared" si="4"/>
        <v>0</v>
      </c>
      <c r="E197" s="108">
        <f t="shared" si="5"/>
        <v>0</v>
      </c>
      <c r="F197" s="108">
        <f t="shared" si="6"/>
        <v>0</v>
      </c>
      <c r="G197" s="108">
        <f t="shared" si="7"/>
        <v>0</v>
      </c>
      <c r="H197" s="108">
        <f t="shared" si="8"/>
        <v>0</v>
      </c>
      <c r="I197" s="108">
        <f t="shared" si="9"/>
        <v>0</v>
      </c>
      <c r="J197" s="108">
        <f t="shared" si="10"/>
        <v>0</v>
      </c>
      <c r="K197" s="108">
        <f t="shared" si="11"/>
        <v>0</v>
      </c>
      <c r="L197" s="108">
        <f t="shared" si="12"/>
        <v>0</v>
      </c>
      <c r="M197" s="108">
        <f t="shared" si="13"/>
        <v>0</v>
      </c>
      <c r="N197" s="108">
        <f t="shared" si="14"/>
        <v>0</v>
      </c>
      <c r="O197" s="108">
        <f t="shared" si="15"/>
        <v>0</v>
      </c>
      <c r="P197" s="108">
        <f t="shared" si="16"/>
        <v>0</v>
      </c>
      <c r="Q197" s="108">
        <f t="shared" si="17"/>
        <v>0</v>
      </c>
      <c r="R197" s="108">
        <f t="shared" si="18"/>
        <v>0</v>
      </c>
      <c r="S197" s="108">
        <f t="shared" si="19"/>
        <v>0</v>
      </c>
      <c r="T197" s="102" t="s">
        <v>20</v>
      </c>
      <c r="V197" s="104" t="str">
        <f>$V$89</f>
        <v>-</v>
      </c>
      <c r="W197" s="108">
        <f t="shared" ref="W197:AM197" si="56">W89</f>
        <v>0</v>
      </c>
      <c r="X197" s="108">
        <f t="shared" si="56"/>
        <v>0</v>
      </c>
      <c r="Y197" s="108">
        <f t="shared" si="56"/>
        <v>0</v>
      </c>
      <c r="Z197" s="108">
        <f t="shared" si="56"/>
        <v>0</v>
      </c>
      <c r="AA197" s="108">
        <f t="shared" si="56"/>
        <v>0</v>
      </c>
      <c r="AB197" s="108">
        <f t="shared" si="56"/>
        <v>0</v>
      </c>
      <c r="AC197" s="108">
        <f t="shared" si="56"/>
        <v>0</v>
      </c>
      <c r="AD197" s="108">
        <f t="shared" si="56"/>
        <v>0</v>
      </c>
      <c r="AE197" s="108">
        <f t="shared" si="56"/>
        <v>0</v>
      </c>
      <c r="AF197" s="108">
        <f t="shared" si="56"/>
        <v>0</v>
      </c>
      <c r="AG197" s="108">
        <f t="shared" si="56"/>
        <v>0</v>
      </c>
      <c r="AH197" s="108">
        <f t="shared" si="56"/>
        <v>0</v>
      </c>
      <c r="AI197" s="108">
        <f t="shared" si="56"/>
        <v>0</v>
      </c>
      <c r="AJ197" s="108">
        <f t="shared" si="56"/>
        <v>0</v>
      </c>
      <c r="AK197" s="108">
        <f t="shared" si="56"/>
        <v>0</v>
      </c>
      <c r="AL197" s="108">
        <f t="shared" si="56"/>
        <v>0</v>
      </c>
      <c r="AM197" s="108">
        <f t="shared" si="56"/>
        <v>0</v>
      </c>
      <c r="AQ197" s="104" t="str">
        <f>$V$56</f>
        <v>Sebastián</v>
      </c>
      <c r="AR197" s="54">
        <v>1</v>
      </c>
      <c r="AS197" s="54">
        <v>0</v>
      </c>
      <c r="AT197" s="54">
        <v>1</v>
      </c>
      <c r="AU197" s="54">
        <v>0</v>
      </c>
      <c r="AV197" s="54">
        <v>0</v>
      </c>
      <c r="AW197" s="54">
        <v>0</v>
      </c>
      <c r="AX197" s="54">
        <v>0</v>
      </c>
      <c r="AY197" s="54">
        <v>0</v>
      </c>
      <c r="AZ197" s="54">
        <v>0</v>
      </c>
      <c r="BA197" s="54">
        <v>0</v>
      </c>
      <c r="BB197" s="54">
        <v>0</v>
      </c>
      <c r="BC197" s="54">
        <v>0</v>
      </c>
      <c r="BD197" s="54">
        <v>0</v>
      </c>
      <c r="BE197" s="54">
        <v>0</v>
      </c>
      <c r="BF197" s="54">
        <v>0</v>
      </c>
      <c r="BG197" s="54">
        <v>0</v>
      </c>
      <c r="BH197" s="54">
        <v>0</v>
      </c>
      <c r="BK197" s="104" t="str">
        <f>$V$85</f>
        <v>-</v>
      </c>
      <c r="BL197" s="108">
        <v>0</v>
      </c>
      <c r="BM197" s="108">
        <v>0</v>
      </c>
      <c r="BN197" s="108">
        <v>0</v>
      </c>
      <c r="BO197" s="108">
        <v>0</v>
      </c>
      <c r="BP197" s="108">
        <v>0</v>
      </c>
      <c r="BQ197" s="108">
        <v>0</v>
      </c>
      <c r="BR197" s="108">
        <v>0</v>
      </c>
      <c r="BS197" s="108">
        <v>0</v>
      </c>
      <c r="BT197" s="108">
        <v>0</v>
      </c>
      <c r="BU197" s="108">
        <v>0</v>
      </c>
      <c r="BV197" s="108">
        <v>0</v>
      </c>
      <c r="BW197" s="108">
        <v>0</v>
      </c>
      <c r="BX197" s="108">
        <v>0</v>
      </c>
      <c r="BY197" s="108">
        <v>0</v>
      </c>
      <c r="BZ197" s="108">
        <v>0</v>
      </c>
      <c r="CA197" s="108">
        <v>0</v>
      </c>
      <c r="CB197" s="108">
        <v>0</v>
      </c>
    </row>
    <row r="198" spans="2:80" x14ac:dyDescent="0.55000000000000004">
      <c r="B198" s="104" t="str">
        <f>$V$90</f>
        <v>-</v>
      </c>
      <c r="C198" s="108">
        <f t="shared" si="3"/>
        <v>0</v>
      </c>
      <c r="D198" s="108">
        <f t="shared" si="4"/>
        <v>0</v>
      </c>
      <c r="E198" s="108">
        <f t="shared" si="5"/>
        <v>0</v>
      </c>
      <c r="F198" s="108">
        <f t="shared" si="6"/>
        <v>0</v>
      </c>
      <c r="G198" s="108">
        <f t="shared" si="7"/>
        <v>0</v>
      </c>
      <c r="H198" s="108">
        <f t="shared" si="8"/>
        <v>0</v>
      </c>
      <c r="I198" s="108">
        <f t="shared" si="9"/>
        <v>0</v>
      </c>
      <c r="J198" s="108">
        <f t="shared" si="10"/>
        <v>0</v>
      </c>
      <c r="K198" s="108">
        <f t="shared" si="11"/>
        <v>0</v>
      </c>
      <c r="L198" s="108">
        <f t="shared" si="12"/>
        <v>0</v>
      </c>
      <c r="M198" s="108">
        <f t="shared" si="13"/>
        <v>0</v>
      </c>
      <c r="N198" s="108">
        <f t="shared" si="14"/>
        <v>0</v>
      </c>
      <c r="O198" s="108">
        <f t="shared" si="15"/>
        <v>0</v>
      </c>
      <c r="P198" s="108">
        <f t="shared" si="16"/>
        <v>0</v>
      </c>
      <c r="Q198" s="108">
        <f t="shared" si="17"/>
        <v>0</v>
      </c>
      <c r="R198" s="108">
        <f t="shared" si="18"/>
        <v>0</v>
      </c>
      <c r="S198" s="108">
        <f t="shared" si="19"/>
        <v>0</v>
      </c>
      <c r="T198" s="102" t="s">
        <v>20</v>
      </c>
      <c r="V198" s="104" t="str">
        <f>$V$90</f>
        <v>-</v>
      </c>
      <c r="W198" s="108">
        <f t="shared" ref="W198:AM198" si="57">W90</f>
        <v>0</v>
      </c>
      <c r="X198" s="108">
        <f t="shared" si="57"/>
        <v>0</v>
      </c>
      <c r="Y198" s="108">
        <f t="shared" si="57"/>
        <v>0</v>
      </c>
      <c r="Z198" s="108">
        <f t="shared" si="57"/>
        <v>0</v>
      </c>
      <c r="AA198" s="108">
        <f t="shared" si="57"/>
        <v>0</v>
      </c>
      <c r="AB198" s="108">
        <f t="shared" si="57"/>
        <v>0</v>
      </c>
      <c r="AC198" s="108">
        <f t="shared" si="57"/>
        <v>0</v>
      </c>
      <c r="AD198" s="108">
        <f t="shared" si="57"/>
        <v>0</v>
      </c>
      <c r="AE198" s="108">
        <f t="shared" si="57"/>
        <v>0</v>
      </c>
      <c r="AF198" s="108">
        <f t="shared" si="57"/>
        <v>0</v>
      </c>
      <c r="AG198" s="108">
        <f t="shared" si="57"/>
        <v>0</v>
      </c>
      <c r="AH198" s="108">
        <f t="shared" si="57"/>
        <v>0</v>
      </c>
      <c r="AI198" s="108">
        <f t="shared" si="57"/>
        <v>0</v>
      </c>
      <c r="AJ198" s="108">
        <f t="shared" si="57"/>
        <v>0</v>
      </c>
      <c r="AK198" s="108">
        <f t="shared" si="57"/>
        <v>0</v>
      </c>
      <c r="AL198" s="108">
        <f t="shared" si="57"/>
        <v>0</v>
      </c>
      <c r="AM198" s="108">
        <f t="shared" si="57"/>
        <v>0</v>
      </c>
      <c r="AQ198" s="104" t="str">
        <f>$V$57</f>
        <v>Marcos</v>
      </c>
      <c r="AR198" s="54">
        <v>0</v>
      </c>
      <c r="AS198" s="54">
        <v>0</v>
      </c>
      <c r="AT198" s="54">
        <v>1</v>
      </c>
      <c r="AU198" s="54">
        <v>0</v>
      </c>
      <c r="AV198" s="54">
        <v>1</v>
      </c>
      <c r="AW198" s="54">
        <v>0</v>
      </c>
      <c r="AX198" s="54">
        <v>0</v>
      </c>
      <c r="AY198" s="54">
        <v>0</v>
      </c>
      <c r="AZ198" s="54">
        <v>0</v>
      </c>
      <c r="BA198" s="54">
        <v>0</v>
      </c>
      <c r="BB198" s="54">
        <v>0</v>
      </c>
      <c r="BC198" s="54">
        <v>0</v>
      </c>
      <c r="BD198" s="54">
        <v>0</v>
      </c>
      <c r="BE198" s="54">
        <v>0</v>
      </c>
      <c r="BF198" s="54">
        <v>0</v>
      </c>
      <c r="BG198" s="54">
        <v>0</v>
      </c>
      <c r="BH198" s="54">
        <v>0</v>
      </c>
      <c r="BK198" s="104" t="str">
        <f>$V$86</f>
        <v>-</v>
      </c>
      <c r="BL198" s="108">
        <v>0</v>
      </c>
      <c r="BM198" s="108">
        <v>0</v>
      </c>
      <c r="BN198" s="108">
        <v>0</v>
      </c>
      <c r="BO198" s="108">
        <v>0</v>
      </c>
      <c r="BP198" s="108">
        <v>0</v>
      </c>
      <c r="BQ198" s="108">
        <v>0</v>
      </c>
      <c r="BR198" s="108">
        <v>0</v>
      </c>
      <c r="BS198" s="108">
        <v>0</v>
      </c>
      <c r="BT198" s="108">
        <v>0</v>
      </c>
      <c r="BU198" s="108">
        <v>0</v>
      </c>
      <c r="BV198" s="108">
        <v>0</v>
      </c>
      <c r="BW198" s="108">
        <v>0</v>
      </c>
      <c r="BX198" s="108">
        <v>0</v>
      </c>
      <c r="BY198" s="108">
        <v>0</v>
      </c>
      <c r="BZ198" s="108">
        <v>0</v>
      </c>
      <c r="CA198" s="108">
        <v>0</v>
      </c>
      <c r="CB198" s="108">
        <v>0</v>
      </c>
    </row>
    <row r="199" spans="2:80" x14ac:dyDescent="0.55000000000000004">
      <c r="B199" s="104" t="str">
        <f>$V$91</f>
        <v>-</v>
      </c>
      <c r="C199" s="108">
        <f t="shared" si="3"/>
        <v>0</v>
      </c>
      <c r="D199" s="108">
        <f t="shared" si="4"/>
        <v>0</v>
      </c>
      <c r="E199" s="108">
        <f t="shared" si="5"/>
        <v>0</v>
      </c>
      <c r="F199" s="108">
        <f t="shared" si="6"/>
        <v>0</v>
      </c>
      <c r="G199" s="108">
        <f t="shared" si="7"/>
        <v>0</v>
      </c>
      <c r="H199" s="108">
        <f t="shared" si="8"/>
        <v>0</v>
      </c>
      <c r="I199" s="108">
        <f t="shared" si="9"/>
        <v>0</v>
      </c>
      <c r="J199" s="108">
        <f t="shared" si="10"/>
        <v>0</v>
      </c>
      <c r="K199" s="108">
        <f t="shared" si="11"/>
        <v>0</v>
      </c>
      <c r="L199" s="108">
        <f t="shared" si="12"/>
        <v>0</v>
      </c>
      <c r="M199" s="108">
        <f t="shared" si="13"/>
        <v>0</v>
      </c>
      <c r="N199" s="108">
        <f t="shared" si="14"/>
        <v>0</v>
      </c>
      <c r="O199" s="108">
        <f t="shared" si="15"/>
        <v>0</v>
      </c>
      <c r="P199" s="108">
        <f t="shared" si="16"/>
        <v>0</v>
      </c>
      <c r="Q199" s="108">
        <f t="shared" si="17"/>
        <v>0</v>
      </c>
      <c r="R199" s="108">
        <f t="shared" si="18"/>
        <v>0</v>
      </c>
      <c r="S199" s="108">
        <f t="shared" si="19"/>
        <v>0</v>
      </c>
      <c r="T199" s="102" t="s">
        <v>20</v>
      </c>
      <c r="V199" s="104" t="str">
        <f>$V$91</f>
        <v>-</v>
      </c>
      <c r="W199" s="108">
        <f t="shared" ref="W199:AM199" si="58">W91</f>
        <v>0</v>
      </c>
      <c r="X199" s="108">
        <f t="shared" si="58"/>
        <v>0</v>
      </c>
      <c r="Y199" s="108">
        <f t="shared" si="58"/>
        <v>0</v>
      </c>
      <c r="Z199" s="108">
        <f t="shared" si="58"/>
        <v>0</v>
      </c>
      <c r="AA199" s="108">
        <f t="shared" si="58"/>
        <v>0</v>
      </c>
      <c r="AB199" s="108">
        <f t="shared" si="58"/>
        <v>0</v>
      </c>
      <c r="AC199" s="108">
        <f t="shared" si="58"/>
        <v>0</v>
      </c>
      <c r="AD199" s="108">
        <f t="shared" si="58"/>
        <v>0</v>
      </c>
      <c r="AE199" s="108">
        <f t="shared" si="58"/>
        <v>0</v>
      </c>
      <c r="AF199" s="108">
        <f t="shared" si="58"/>
        <v>0</v>
      </c>
      <c r="AG199" s="108">
        <f t="shared" si="58"/>
        <v>0</v>
      </c>
      <c r="AH199" s="108">
        <f t="shared" si="58"/>
        <v>0</v>
      </c>
      <c r="AI199" s="108">
        <f t="shared" si="58"/>
        <v>0</v>
      </c>
      <c r="AJ199" s="108">
        <f t="shared" si="58"/>
        <v>0</v>
      </c>
      <c r="AK199" s="108">
        <f t="shared" si="58"/>
        <v>0</v>
      </c>
      <c r="AL199" s="108">
        <f t="shared" si="58"/>
        <v>0</v>
      </c>
      <c r="AM199" s="108">
        <f t="shared" si="58"/>
        <v>0</v>
      </c>
      <c r="AQ199" s="104" t="str">
        <f>$V$58</f>
        <v>Weixin</v>
      </c>
      <c r="AR199" s="54">
        <v>0</v>
      </c>
      <c r="AS199" s="54">
        <v>0</v>
      </c>
      <c r="AT199" s="54">
        <v>1</v>
      </c>
      <c r="AU199" s="54">
        <v>0</v>
      </c>
      <c r="AV199" s="54">
        <v>0</v>
      </c>
      <c r="AW199" s="54">
        <v>0</v>
      </c>
      <c r="AX199" s="54">
        <v>0</v>
      </c>
      <c r="AY199" s="54">
        <v>0</v>
      </c>
      <c r="AZ199" s="54">
        <v>1</v>
      </c>
      <c r="BA199" s="54">
        <v>0</v>
      </c>
      <c r="BB199" s="54">
        <v>0</v>
      </c>
      <c r="BC199" s="54">
        <v>1</v>
      </c>
      <c r="BD199" s="54">
        <v>0</v>
      </c>
      <c r="BE199" s="54">
        <v>0</v>
      </c>
      <c r="BF199" s="54">
        <v>0</v>
      </c>
      <c r="BG199" s="54">
        <v>0</v>
      </c>
      <c r="BH199" s="54">
        <v>0</v>
      </c>
      <c r="BK199" s="104" t="str">
        <f>$V$87</f>
        <v>-</v>
      </c>
      <c r="BL199" s="108">
        <v>0</v>
      </c>
      <c r="BM199" s="108">
        <v>0</v>
      </c>
      <c r="BN199" s="108">
        <v>0</v>
      </c>
      <c r="BO199" s="108">
        <v>0</v>
      </c>
      <c r="BP199" s="108">
        <v>0</v>
      </c>
      <c r="BQ199" s="108">
        <v>0</v>
      </c>
      <c r="BR199" s="108">
        <v>0</v>
      </c>
      <c r="BS199" s="108">
        <v>0</v>
      </c>
      <c r="BT199" s="108">
        <v>0</v>
      </c>
      <c r="BU199" s="108">
        <v>0</v>
      </c>
      <c r="BV199" s="108">
        <v>0</v>
      </c>
      <c r="BW199" s="108">
        <v>0</v>
      </c>
      <c r="BX199" s="108">
        <v>0</v>
      </c>
      <c r="BY199" s="108">
        <v>0</v>
      </c>
      <c r="BZ199" s="108">
        <v>0</v>
      </c>
      <c r="CA199" s="108">
        <v>0</v>
      </c>
      <c r="CB199" s="108">
        <v>0</v>
      </c>
    </row>
    <row r="200" spans="2:80" x14ac:dyDescent="0.55000000000000004">
      <c r="B200" s="104" t="str">
        <f>$V$92</f>
        <v>-</v>
      </c>
      <c r="C200" s="108">
        <f t="shared" si="3"/>
        <v>0</v>
      </c>
      <c r="D200" s="108">
        <f t="shared" si="4"/>
        <v>0</v>
      </c>
      <c r="E200" s="108">
        <f t="shared" si="5"/>
        <v>0</v>
      </c>
      <c r="F200" s="108">
        <f t="shared" si="6"/>
        <v>0</v>
      </c>
      <c r="G200" s="108">
        <f t="shared" si="7"/>
        <v>0</v>
      </c>
      <c r="H200" s="108">
        <f t="shared" si="8"/>
        <v>0</v>
      </c>
      <c r="I200" s="108">
        <f t="shared" si="9"/>
        <v>0</v>
      </c>
      <c r="J200" s="108">
        <f t="shared" si="10"/>
        <v>0</v>
      </c>
      <c r="K200" s="108">
        <f t="shared" si="11"/>
        <v>0</v>
      </c>
      <c r="L200" s="108">
        <f t="shared" si="12"/>
        <v>0</v>
      </c>
      <c r="M200" s="108">
        <f t="shared" si="13"/>
        <v>0</v>
      </c>
      <c r="N200" s="108">
        <f t="shared" si="14"/>
        <v>0</v>
      </c>
      <c r="O200" s="108">
        <f t="shared" si="15"/>
        <v>0</v>
      </c>
      <c r="P200" s="108">
        <f t="shared" si="16"/>
        <v>0</v>
      </c>
      <c r="Q200" s="108">
        <f t="shared" si="17"/>
        <v>0</v>
      </c>
      <c r="R200" s="108">
        <f t="shared" si="18"/>
        <v>0</v>
      </c>
      <c r="S200" s="108">
        <f t="shared" si="19"/>
        <v>0</v>
      </c>
      <c r="T200" s="102" t="s">
        <v>20</v>
      </c>
      <c r="V200" s="104" t="str">
        <f>$V$92</f>
        <v>-</v>
      </c>
      <c r="W200" s="108">
        <f t="shared" ref="W200:AM200" si="59">W92</f>
        <v>0</v>
      </c>
      <c r="X200" s="108">
        <f t="shared" si="59"/>
        <v>0</v>
      </c>
      <c r="Y200" s="108">
        <f t="shared" si="59"/>
        <v>0</v>
      </c>
      <c r="Z200" s="108">
        <f t="shared" si="59"/>
        <v>0</v>
      </c>
      <c r="AA200" s="108">
        <f t="shared" si="59"/>
        <v>0</v>
      </c>
      <c r="AB200" s="108">
        <f t="shared" si="59"/>
        <v>0</v>
      </c>
      <c r="AC200" s="108">
        <f t="shared" si="59"/>
        <v>0</v>
      </c>
      <c r="AD200" s="108">
        <f t="shared" si="59"/>
        <v>0</v>
      </c>
      <c r="AE200" s="108">
        <f t="shared" si="59"/>
        <v>0</v>
      </c>
      <c r="AF200" s="108">
        <f t="shared" si="59"/>
        <v>0</v>
      </c>
      <c r="AG200" s="108">
        <f t="shared" si="59"/>
        <v>0</v>
      </c>
      <c r="AH200" s="108">
        <f t="shared" si="59"/>
        <v>0</v>
      </c>
      <c r="AI200" s="108">
        <f t="shared" si="59"/>
        <v>0</v>
      </c>
      <c r="AJ200" s="108">
        <f t="shared" si="59"/>
        <v>0</v>
      </c>
      <c r="AK200" s="108">
        <f t="shared" si="59"/>
        <v>0</v>
      </c>
      <c r="AL200" s="108">
        <f t="shared" si="59"/>
        <v>0</v>
      </c>
      <c r="AM200" s="108">
        <f t="shared" si="59"/>
        <v>0</v>
      </c>
      <c r="AQ200" s="104" t="str">
        <f>$V$59</f>
        <v>Benjamin</v>
      </c>
      <c r="AR200" s="54">
        <v>0</v>
      </c>
      <c r="AS200" s="54">
        <v>0</v>
      </c>
      <c r="AT200" s="54">
        <v>0</v>
      </c>
      <c r="AU200" s="54">
        <v>0</v>
      </c>
      <c r="AV200" s="54">
        <v>0</v>
      </c>
      <c r="AW200" s="54">
        <v>0</v>
      </c>
      <c r="AX200" s="54">
        <v>0</v>
      </c>
      <c r="AY200" s="54">
        <v>0</v>
      </c>
      <c r="AZ200" s="54">
        <v>0</v>
      </c>
      <c r="BA200" s="54">
        <v>0</v>
      </c>
      <c r="BB200" s="54">
        <v>0</v>
      </c>
      <c r="BC200" s="54">
        <v>0</v>
      </c>
      <c r="BD200" s="54">
        <v>0</v>
      </c>
      <c r="BE200" s="54">
        <v>0</v>
      </c>
      <c r="BF200" s="54">
        <v>0</v>
      </c>
      <c r="BG200" s="54">
        <v>0</v>
      </c>
      <c r="BH200" s="54">
        <v>0</v>
      </c>
      <c r="BK200" s="104" t="str">
        <f>$V$88</f>
        <v>-</v>
      </c>
      <c r="BL200" s="108">
        <v>0</v>
      </c>
      <c r="BM200" s="108">
        <v>0</v>
      </c>
      <c r="BN200" s="108">
        <v>0</v>
      </c>
      <c r="BO200" s="108">
        <v>0</v>
      </c>
      <c r="BP200" s="108">
        <v>0</v>
      </c>
      <c r="BQ200" s="108">
        <v>0</v>
      </c>
      <c r="BR200" s="108">
        <v>0</v>
      </c>
      <c r="BS200" s="108">
        <v>0</v>
      </c>
      <c r="BT200" s="108">
        <v>0</v>
      </c>
      <c r="BU200" s="108">
        <v>0</v>
      </c>
      <c r="BV200" s="108">
        <v>0</v>
      </c>
      <c r="BW200" s="108">
        <v>0</v>
      </c>
      <c r="BX200" s="108">
        <v>0</v>
      </c>
      <c r="BY200" s="108">
        <v>0</v>
      </c>
      <c r="BZ200" s="108">
        <v>0</v>
      </c>
      <c r="CA200" s="108">
        <v>0</v>
      </c>
      <c r="CB200" s="108">
        <v>0</v>
      </c>
    </row>
    <row r="201" spans="2:80" x14ac:dyDescent="0.55000000000000004">
      <c r="AQ201" s="104" t="str">
        <f>$V$60</f>
        <v>Joelle</v>
      </c>
      <c r="AR201" s="54">
        <v>0</v>
      </c>
      <c r="AS201" s="54">
        <v>0</v>
      </c>
      <c r="AT201" s="54">
        <v>0</v>
      </c>
      <c r="AU201" s="54">
        <v>0</v>
      </c>
      <c r="AV201" s="54">
        <v>0</v>
      </c>
      <c r="AW201" s="54">
        <v>0</v>
      </c>
      <c r="AX201" s="54">
        <v>0</v>
      </c>
      <c r="AY201" s="54">
        <v>0</v>
      </c>
      <c r="AZ201" s="54">
        <v>0</v>
      </c>
      <c r="BA201" s="54">
        <v>0</v>
      </c>
      <c r="BB201" s="54">
        <v>0</v>
      </c>
      <c r="BC201" s="54">
        <v>0</v>
      </c>
      <c r="BD201" s="54">
        <v>0</v>
      </c>
      <c r="BE201" s="54">
        <v>0</v>
      </c>
      <c r="BF201" s="54">
        <v>0</v>
      </c>
      <c r="BG201" s="54">
        <v>0</v>
      </c>
      <c r="BH201" s="54">
        <v>0</v>
      </c>
      <c r="BK201" s="104" t="str">
        <f>$V$89</f>
        <v>-</v>
      </c>
      <c r="BL201" s="108">
        <v>0</v>
      </c>
      <c r="BM201" s="108">
        <v>0</v>
      </c>
      <c r="BN201" s="108">
        <v>0</v>
      </c>
      <c r="BO201" s="108">
        <v>0</v>
      </c>
      <c r="BP201" s="108">
        <v>0</v>
      </c>
      <c r="BQ201" s="108">
        <v>0</v>
      </c>
      <c r="BR201" s="108">
        <v>0</v>
      </c>
      <c r="BS201" s="108">
        <v>0</v>
      </c>
      <c r="BT201" s="108">
        <v>0</v>
      </c>
      <c r="BU201" s="108">
        <v>0</v>
      </c>
      <c r="BV201" s="108">
        <v>0</v>
      </c>
      <c r="BW201" s="108">
        <v>0</v>
      </c>
      <c r="BX201" s="108">
        <v>0</v>
      </c>
      <c r="BY201" s="108">
        <v>0</v>
      </c>
      <c r="BZ201" s="108">
        <v>0</v>
      </c>
      <c r="CA201" s="108">
        <v>0</v>
      </c>
      <c r="CB201" s="108">
        <v>0</v>
      </c>
    </row>
    <row r="202" spans="2:80" x14ac:dyDescent="0.55000000000000004">
      <c r="AQ202" s="104" t="str">
        <f>$V$61</f>
        <v>Alexia</v>
      </c>
      <c r="AR202" s="54">
        <v>0</v>
      </c>
      <c r="AS202" s="54">
        <v>0</v>
      </c>
      <c r="AT202" s="54">
        <v>0</v>
      </c>
      <c r="AU202" s="54">
        <v>0</v>
      </c>
      <c r="AV202" s="54">
        <v>0</v>
      </c>
      <c r="AW202" s="54">
        <v>0</v>
      </c>
      <c r="AX202" s="54">
        <v>0</v>
      </c>
      <c r="AY202" s="54">
        <v>0</v>
      </c>
      <c r="AZ202" s="54">
        <v>0</v>
      </c>
      <c r="BA202" s="54">
        <v>0</v>
      </c>
      <c r="BB202" s="54">
        <v>0</v>
      </c>
      <c r="BC202" s="54">
        <v>0</v>
      </c>
      <c r="BD202" s="54">
        <v>0</v>
      </c>
      <c r="BE202" s="54">
        <v>0</v>
      </c>
      <c r="BF202" s="54">
        <v>0</v>
      </c>
      <c r="BG202" s="54">
        <v>0</v>
      </c>
      <c r="BH202" s="54">
        <v>0</v>
      </c>
      <c r="BK202" s="104" t="str">
        <f>$V$90</f>
        <v>-</v>
      </c>
      <c r="BL202" s="108">
        <v>0</v>
      </c>
      <c r="BM202" s="108">
        <v>0</v>
      </c>
      <c r="BN202" s="108">
        <v>0</v>
      </c>
      <c r="BO202" s="108">
        <v>0</v>
      </c>
      <c r="BP202" s="108">
        <v>0</v>
      </c>
      <c r="BQ202" s="108">
        <v>0</v>
      </c>
      <c r="BR202" s="108">
        <v>0</v>
      </c>
      <c r="BS202" s="108">
        <v>0</v>
      </c>
      <c r="BT202" s="108">
        <v>0</v>
      </c>
      <c r="BU202" s="108">
        <v>0</v>
      </c>
      <c r="BV202" s="108">
        <v>0</v>
      </c>
      <c r="BW202" s="108">
        <v>0</v>
      </c>
      <c r="BX202" s="108">
        <v>0</v>
      </c>
      <c r="BY202" s="108">
        <v>0</v>
      </c>
      <c r="BZ202" s="108">
        <v>0</v>
      </c>
      <c r="CA202" s="108">
        <v>0</v>
      </c>
      <c r="CB202" s="108">
        <v>0</v>
      </c>
    </row>
    <row r="203" spans="2:80" x14ac:dyDescent="0.55000000000000004">
      <c r="AQ203" s="104" t="str">
        <f>$V$62</f>
        <v>Joao</v>
      </c>
      <c r="AR203" s="54">
        <v>0</v>
      </c>
      <c r="AS203" s="54">
        <v>0</v>
      </c>
      <c r="AT203" s="54">
        <v>0</v>
      </c>
      <c r="AU203" s="54">
        <v>0</v>
      </c>
      <c r="AV203" s="54">
        <v>0</v>
      </c>
      <c r="AW203" s="54">
        <v>0</v>
      </c>
      <c r="AX203" s="54">
        <v>0</v>
      </c>
      <c r="AY203" s="54">
        <v>0</v>
      </c>
      <c r="AZ203" s="54">
        <v>0</v>
      </c>
      <c r="BA203" s="54">
        <v>0</v>
      </c>
      <c r="BB203" s="54">
        <v>0</v>
      </c>
      <c r="BC203" s="54">
        <v>0</v>
      </c>
      <c r="BD203" s="54">
        <v>0</v>
      </c>
      <c r="BE203" s="54">
        <v>0</v>
      </c>
      <c r="BF203" s="54">
        <v>0</v>
      </c>
      <c r="BG203" s="54">
        <v>0</v>
      </c>
      <c r="BH203" s="54">
        <v>0</v>
      </c>
      <c r="BK203" s="104" t="str">
        <f>$V$91</f>
        <v>-</v>
      </c>
      <c r="BL203" s="108">
        <v>0</v>
      </c>
      <c r="BM203" s="108">
        <v>0</v>
      </c>
      <c r="BN203" s="108">
        <v>0</v>
      </c>
      <c r="BO203" s="108">
        <v>0</v>
      </c>
      <c r="BP203" s="108">
        <v>0</v>
      </c>
      <c r="BQ203" s="108">
        <v>0</v>
      </c>
      <c r="BR203" s="108">
        <v>0</v>
      </c>
      <c r="BS203" s="108">
        <v>0</v>
      </c>
      <c r="BT203" s="108">
        <v>0</v>
      </c>
      <c r="BU203" s="108">
        <v>0</v>
      </c>
      <c r="BV203" s="108">
        <v>0</v>
      </c>
      <c r="BW203" s="108">
        <v>0</v>
      </c>
      <c r="BX203" s="108">
        <v>0</v>
      </c>
      <c r="BY203" s="108">
        <v>0</v>
      </c>
      <c r="BZ203" s="108">
        <v>0</v>
      </c>
      <c r="CA203" s="108">
        <v>0</v>
      </c>
      <c r="CB203" s="108">
        <v>0</v>
      </c>
    </row>
    <row r="204" spans="2:80" x14ac:dyDescent="0.55000000000000004">
      <c r="C204" s="104" t="str">
        <f>$W$33</f>
        <v>16h</v>
      </c>
      <c r="D204" s="104" t="str">
        <f>$X$33</f>
        <v>17h</v>
      </c>
      <c r="E204" s="104" t="str">
        <f>$Y$33</f>
        <v>18h</v>
      </c>
      <c r="F204" s="104" t="str">
        <f>$Z$33</f>
        <v>19h</v>
      </c>
      <c r="G204" s="104" t="str">
        <f>$AA$33</f>
        <v>20h</v>
      </c>
      <c r="H204" s="104" t="str">
        <f>$AB$33</f>
        <v>21h</v>
      </c>
      <c r="I204" s="104" t="str">
        <f>$AC$33</f>
        <v>22h</v>
      </c>
      <c r="J204" s="104" t="str">
        <f>$AD$33</f>
        <v>23h</v>
      </c>
      <c r="K204" s="104" t="str">
        <f>$AE$33</f>
        <v>00h</v>
      </c>
      <c r="L204" s="104" t="str">
        <f>$AF$33</f>
        <v>01h</v>
      </c>
      <c r="M204" s="104" t="str">
        <f>$AG$33</f>
        <v>02h</v>
      </c>
      <c r="N204" s="104" t="str">
        <f>$AH$33</f>
        <v>03h</v>
      </c>
      <c r="O204" s="104" t="str">
        <f>$AI$33</f>
        <v>04h</v>
      </c>
      <c r="P204" s="104" t="str">
        <f>$AJ$33</f>
        <v>05h</v>
      </c>
      <c r="Q204" s="104" t="str">
        <f>$AK$33</f>
        <v>06h</v>
      </c>
      <c r="R204" s="104" t="str">
        <f>$AL$33</f>
        <v>07h</v>
      </c>
      <c r="S204" s="104" t="str">
        <f>$AM$33</f>
        <v>08h</v>
      </c>
      <c r="W204" s="104" t="str">
        <f>$W$33</f>
        <v>16h</v>
      </c>
      <c r="X204" s="104" t="str">
        <f>$X$33</f>
        <v>17h</v>
      </c>
      <c r="Y204" s="104" t="str">
        <f>$Y$33</f>
        <v>18h</v>
      </c>
      <c r="Z204" s="104" t="str">
        <f>$Z$33</f>
        <v>19h</v>
      </c>
      <c r="AA204" s="104" t="str">
        <f>$AA$33</f>
        <v>20h</v>
      </c>
      <c r="AB204" s="104" t="str">
        <f>$AB$33</f>
        <v>21h</v>
      </c>
      <c r="AC204" s="104" t="str">
        <f>$AC$33</f>
        <v>22h</v>
      </c>
      <c r="AD204" s="104" t="str">
        <f>$AD$33</f>
        <v>23h</v>
      </c>
      <c r="AE204" s="104" t="str">
        <f>$AE$33</f>
        <v>00h</v>
      </c>
      <c r="AF204" s="104" t="str">
        <f>$AF$33</f>
        <v>01h</v>
      </c>
      <c r="AG204" s="104" t="str">
        <f>$AG$33</f>
        <v>02h</v>
      </c>
      <c r="AH204" s="104" t="str">
        <f>$AH$33</f>
        <v>03h</v>
      </c>
      <c r="AI204" s="104" t="str">
        <f>$AI$33</f>
        <v>04h</v>
      </c>
      <c r="AJ204" s="104" t="str">
        <f>$AJ$33</f>
        <v>05h</v>
      </c>
      <c r="AK204" s="104" t="str">
        <f>$AK$33</f>
        <v>06h</v>
      </c>
      <c r="AL204" s="104" t="str">
        <f>$AL$33</f>
        <v>07h</v>
      </c>
      <c r="AM204" s="104" t="str">
        <f>$AM$33</f>
        <v>08h</v>
      </c>
      <c r="AQ204" s="104" t="str">
        <f>$V$63</f>
        <v>Maxime</v>
      </c>
      <c r="AR204" s="54">
        <v>0</v>
      </c>
      <c r="AS204" s="54">
        <v>0</v>
      </c>
      <c r="AT204" s="54">
        <v>0</v>
      </c>
      <c r="AU204" s="54">
        <v>0</v>
      </c>
      <c r="AV204" s="54">
        <v>0</v>
      </c>
      <c r="AW204" s="54">
        <v>0</v>
      </c>
      <c r="AX204" s="54">
        <v>0</v>
      </c>
      <c r="AY204" s="54">
        <v>0</v>
      </c>
      <c r="AZ204" s="54">
        <v>0</v>
      </c>
      <c r="BA204" s="54">
        <v>0</v>
      </c>
      <c r="BB204" s="54">
        <v>0</v>
      </c>
      <c r="BC204" s="54">
        <v>0</v>
      </c>
      <c r="BD204" s="54">
        <v>0</v>
      </c>
      <c r="BE204" s="54">
        <v>0</v>
      </c>
      <c r="BF204" s="54">
        <v>0</v>
      </c>
      <c r="BG204" s="54">
        <v>0</v>
      </c>
      <c r="BH204" s="54">
        <v>0</v>
      </c>
      <c r="BK204" s="104" t="str">
        <f>$V$92</f>
        <v>-</v>
      </c>
      <c r="BL204" s="108">
        <v>0</v>
      </c>
      <c r="BM204" s="108">
        <v>0</v>
      </c>
      <c r="BN204" s="108">
        <v>0</v>
      </c>
      <c r="BO204" s="108">
        <v>0</v>
      </c>
      <c r="BP204" s="108">
        <v>0</v>
      </c>
      <c r="BQ204" s="108">
        <v>0</v>
      </c>
      <c r="BR204" s="108">
        <v>0</v>
      </c>
      <c r="BS204" s="108">
        <v>0</v>
      </c>
      <c r="BT204" s="108">
        <v>0</v>
      </c>
      <c r="BU204" s="108">
        <v>0</v>
      </c>
      <c r="BV204" s="108">
        <v>0</v>
      </c>
      <c r="BW204" s="108">
        <v>0</v>
      </c>
      <c r="BX204" s="108">
        <v>0</v>
      </c>
      <c r="BY204" s="108">
        <v>0</v>
      </c>
      <c r="BZ204" s="108">
        <v>0</v>
      </c>
      <c r="CA204" s="108">
        <v>0</v>
      </c>
      <c r="CB204" s="108">
        <v>0</v>
      </c>
    </row>
    <row r="205" spans="2:80" x14ac:dyDescent="0.55000000000000004">
      <c r="B205" s="104" t="str">
        <f>$V$34</f>
        <v>Set up</v>
      </c>
      <c r="C205" s="104">
        <f t="shared" ref="C205:S205" si="60">SUM(AR34:AR73)</f>
        <v>1</v>
      </c>
      <c r="D205" s="104">
        <f t="shared" si="60"/>
        <v>1</v>
      </c>
      <c r="E205" s="104">
        <f t="shared" si="60"/>
        <v>1</v>
      </c>
      <c r="F205" s="104">
        <f t="shared" si="60"/>
        <v>1</v>
      </c>
      <c r="G205" s="104">
        <f t="shared" si="60"/>
        <v>1</v>
      </c>
      <c r="H205" s="104">
        <f t="shared" si="60"/>
        <v>1</v>
      </c>
      <c r="I205" s="104">
        <f t="shared" si="60"/>
        <v>1</v>
      </c>
      <c r="J205" s="104">
        <f t="shared" si="60"/>
        <v>1</v>
      </c>
      <c r="K205" s="104">
        <f t="shared" si="60"/>
        <v>1</v>
      </c>
      <c r="L205" s="104">
        <f t="shared" si="60"/>
        <v>1</v>
      </c>
      <c r="M205" s="104">
        <f t="shared" si="60"/>
        <v>1</v>
      </c>
      <c r="N205" s="104">
        <f t="shared" si="60"/>
        <v>1</v>
      </c>
      <c r="O205" s="104">
        <f t="shared" si="60"/>
        <v>0</v>
      </c>
      <c r="P205" s="104">
        <f t="shared" si="60"/>
        <v>0</v>
      </c>
      <c r="Q205" s="104">
        <f t="shared" si="60"/>
        <v>0</v>
      </c>
      <c r="R205" s="104">
        <f t="shared" si="60"/>
        <v>0</v>
      </c>
      <c r="S205" s="104">
        <f t="shared" si="60"/>
        <v>0</v>
      </c>
      <c r="T205" s="102" t="s">
        <v>20</v>
      </c>
      <c r="V205" s="104" t="str">
        <f>$V$34</f>
        <v>Set up</v>
      </c>
      <c r="W205" s="104">
        <f t="shared" ref="W205:AM205" si="61">W34</f>
        <v>1</v>
      </c>
      <c r="X205" s="104">
        <f t="shared" si="61"/>
        <v>1</v>
      </c>
      <c r="Y205" s="104">
        <f t="shared" si="61"/>
        <v>1</v>
      </c>
      <c r="Z205" s="104">
        <f t="shared" si="61"/>
        <v>1</v>
      </c>
      <c r="AA205" s="104">
        <f t="shared" si="61"/>
        <v>1</v>
      </c>
      <c r="AB205" s="104">
        <f t="shared" si="61"/>
        <v>1</v>
      </c>
      <c r="AC205" s="104">
        <f t="shared" si="61"/>
        <v>1</v>
      </c>
      <c r="AD205" s="104">
        <f t="shared" si="61"/>
        <v>1</v>
      </c>
      <c r="AE205" s="104">
        <f t="shared" si="61"/>
        <v>1</v>
      </c>
      <c r="AF205" s="104">
        <f t="shared" si="61"/>
        <v>1</v>
      </c>
      <c r="AG205" s="104">
        <f t="shared" si="61"/>
        <v>1</v>
      </c>
      <c r="AH205" s="104">
        <f t="shared" si="61"/>
        <v>1</v>
      </c>
      <c r="AI205" s="104">
        <f t="shared" si="61"/>
        <v>0</v>
      </c>
      <c r="AJ205" s="104">
        <f t="shared" si="61"/>
        <v>0</v>
      </c>
      <c r="AK205" s="104">
        <f t="shared" si="61"/>
        <v>0</v>
      </c>
      <c r="AL205" s="104">
        <f t="shared" si="61"/>
        <v>0</v>
      </c>
      <c r="AM205" s="104">
        <f t="shared" si="61"/>
        <v>0</v>
      </c>
      <c r="AQ205" s="104" t="str">
        <f>$V$64</f>
        <v>Alex</v>
      </c>
      <c r="AR205" s="54">
        <v>0</v>
      </c>
      <c r="AS205" s="54">
        <v>0</v>
      </c>
      <c r="AT205" s="54">
        <v>0</v>
      </c>
      <c r="AU205" s="54">
        <v>0</v>
      </c>
      <c r="AV205" s="54">
        <v>0</v>
      </c>
      <c r="AW205" s="54">
        <v>0</v>
      </c>
      <c r="AX205" s="54">
        <v>0</v>
      </c>
      <c r="AY205" s="54">
        <v>0</v>
      </c>
      <c r="AZ205" s="54">
        <v>0</v>
      </c>
      <c r="BA205" s="54">
        <v>0</v>
      </c>
      <c r="BB205" s="54">
        <v>0</v>
      </c>
      <c r="BC205" s="54">
        <v>0</v>
      </c>
      <c r="BD205" s="54">
        <v>0</v>
      </c>
      <c r="BE205" s="54">
        <v>0</v>
      </c>
      <c r="BF205" s="54">
        <v>0</v>
      </c>
      <c r="BG205" s="54">
        <v>0</v>
      </c>
      <c r="BH205" s="54">
        <v>0</v>
      </c>
    </row>
    <row r="206" spans="2:80" x14ac:dyDescent="0.55000000000000004">
      <c r="B206" s="104" t="str">
        <f>$V$35</f>
        <v>Entry</v>
      </c>
      <c r="C206" s="104">
        <f t="shared" ref="C206:S206" si="62">SUM(AR74:AR113)</f>
        <v>1</v>
      </c>
      <c r="D206" s="104">
        <f t="shared" si="62"/>
        <v>1</v>
      </c>
      <c r="E206" s="104">
        <f t="shared" si="62"/>
        <v>1</v>
      </c>
      <c r="F206" s="104">
        <f t="shared" si="62"/>
        <v>1</v>
      </c>
      <c r="G206" s="104">
        <f t="shared" si="62"/>
        <v>1</v>
      </c>
      <c r="H206" s="104">
        <f t="shared" si="62"/>
        <v>1</v>
      </c>
      <c r="I206" s="104">
        <f t="shared" si="62"/>
        <v>1</v>
      </c>
      <c r="J206" s="104">
        <f t="shared" si="62"/>
        <v>1</v>
      </c>
      <c r="K206" s="104">
        <f t="shared" si="62"/>
        <v>1</v>
      </c>
      <c r="L206" s="104">
        <f t="shared" si="62"/>
        <v>1</v>
      </c>
      <c r="M206" s="104">
        <f t="shared" si="62"/>
        <v>1</v>
      </c>
      <c r="N206" s="104">
        <f t="shared" si="62"/>
        <v>1</v>
      </c>
      <c r="O206" s="104">
        <f t="shared" si="62"/>
        <v>0</v>
      </c>
      <c r="P206" s="104">
        <f t="shared" si="62"/>
        <v>0</v>
      </c>
      <c r="Q206" s="104">
        <f t="shared" si="62"/>
        <v>0</v>
      </c>
      <c r="R206" s="104">
        <f t="shared" si="62"/>
        <v>0</v>
      </c>
      <c r="S206" s="104">
        <f t="shared" si="62"/>
        <v>0</v>
      </c>
      <c r="T206" s="102" t="s">
        <v>20</v>
      </c>
      <c r="V206" s="104" t="str">
        <f>$V$35</f>
        <v>Entry</v>
      </c>
      <c r="W206" s="104">
        <f t="shared" ref="W206:AM206" si="63">W35</f>
        <v>1</v>
      </c>
      <c r="X206" s="104">
        <f t="shared" si="63"/>
        <v>1</v>
      </c>
      <c r="Y206" s="104">
        <f t="shared" si="63"/>
        <v>1</v>
      </c>
      <c r="Z206" s="104">
        <f t="shared" si="63"/>
        <v>1</v>
      </c>
      <c r="AA206" s="104">
        <f t="shared" si="63"/>
        <v>1</v>
      </c>
      <c r="AB206" s="104">
        <f t="shared" si="63"/>
        <v>1</v>
      </c>
      <c r="AC206" s="104">
        <f t="shared" si="63"/>
        <v>1</v>
      </c>
      <c r="AD206" s="104">
        <f t="shared" si="63"/>
        <v>1</v>
      </c>
      <c r="AE206" s="104">
        <f t="shared" si="63"/>
        <v>1</v>
      </c>
      <c r="AF206" s="104">
        <f t="shared" si="63"/>
        <v>1</v>
      </c>
      <c r="AG206" s="104">
        <f t="shared" si="63"/>
        <v>1</v>
      </c>
      <c r="AH206" s="104">
        <f t="shared" si="63"/>
        <v>1</v>
      </c>
      <c r="AI206" s="104">
        <f t="shared" si="63"/>
        <v>0</v>
      </c>
      <c r="AJ206" s="104">
        <f t="shared" si="63"/>
        <v>0</v>
      </c>
      <c r="AK206" s="104">
        <f t="shared" si="63"/>
        <v>0</v>
      </c>
      <c r="AL206" s="104">
        <f t="shared" si="63"/>
        <v>0</v>
      </c>
      <c r="AM206" s="104">
        <f t="shared" si="63"/>
        <v>0</v>
      </c>
      <c r="AQ206" s="104" t="str">
        <f>$V$65</f>
        <v>Alyssa</v>
      </c>
      <c r="AR206" s="54">
        <v>0</v>
      </c>
      <c r="AS206" s="54">
        <v>0</v>
      </c>
      <c r="AT206" s="54">
        <v>0</v>
      </c>
      <c r="AU206" s="54">
        <v>0</v>
      </c>
      <c r="AV206" s="54">
        <v>0</v>
      </c>
      <c r="AW206" s="54">
        <v>0</v>
      </c>
      <c r="AX206" s="54">
        <v>0</v>
      </c>
      <c r="AY206" s="54">
        <v>0</v>
      </c>
      <c r="AZ206" s="54">
        <v>0</v>
      </c>
      <c r="BA206" s="54">
        <v>0</v>
      </c>
      <c r="BB206" s="54">
        <v>0</v>
      </c>
      <c r="BC206" s="54">
        <v>0</v>
      </c>
      <c r="BD206" s="54">
        <v>0</v>
      </c>
      <c r="BE206" s="54">
        <v>0</v>
      </c>
      <c r="BF206" s="54">
        <v>0</v>
      </c>
      <c r="BG206" s="54">
        <v>0</v>
      </c>
      <c r="BH206" s="54">
        <v>0</v>
      </c>
    </row>
    <row r="207" spans="2:80" x14ac:dyDescent="0.55000000000000004">
      <c r="B207" s="104" t="str">
        <f>$V$36</f>
        <v>Bar</v>
      </c>
      <c r="C207" s="104">
        <f t="shared" ref="C207:S207" si="64">SUM(AR114:AR153)</f>
        <v>1</v>
      </c>
      <c r="D207" s="104">
        <f t="shared" si="64"/>
        <v>1</v>
      </c>
      <c r="E207" s="104">
        <f t="shared" si="64"/>
        <v>1</v>
      </c>
      <c r="F207" s="104">
        <f t="shared" si="64"/>
        <v>1</v>
      </c>
      <c r="G207" s="104">
        <f t="shared" si="64"/>
        <v>1</v>
      </c>
      <c r="H207" s="104">
        <f t="shared" si="64"/>
        <v>1</v>
      </c>
      <c r="I207" s="104">
        <f t="shared" si="64"/>
        <v>1</v>
      </c>
      <c r="J207" s="104">
        <f t="shared" si="64"/>
        <v>1</v>
      </c>
      <c r="K207" s="104">
        <f t="shared" si="64"/>
        <v>1</v>
      </c>
      <c r="L207" s="104">
        <f t="shared" si="64"/>
        <v>1</v>
      </c>
      <c r="M207" s="104">
        <f t="shared" si="64"/>
        <v>1</v>
      </c>
      <c r="N207" s="104">
        <f t="shared" si="64"/>
        <v>1</v>
      </c>
      <c r="O207" s="104">
        <f t="shared" si="64"/>
        <v>0</v>
      </c>
      <c r="P207" s="104">
        <f t="shared" si="64"/>
        <v>0</v>
      </c>
      <c r="Q207" s="104">
        <f t="shared" si="64"/>
        <v>0</v>
      </c>
      <c r="R207" s="104">
        <f t="shared" si="64"/>
        <v>0</v>
      </c>
      <c r="S207" s="104">
        <f t="shared" si="64"/>
        <v>0</v>
      </c>
      <c r="T207" s="102" t="s">
        <v>20</v>
      </c>
      <c r="V207" s="104" t="str">
        <f>$V$36</f>
        <v>Bar</v>
      </c>
      <c r="W207" s="104">
        <f t="shared" ref="W207:AM207" si="65">W36</f>
        <v>1</v>
      </c>
      <c r="X207" s="104">
        <f t="shared" si="65"/>
        <v>1</v>
      </c>
      <c r="Y207" s="104">
        <f t="shared" si="65"/>
        <v>1</v>
      </c>
      <c r="Z207" s="104">
        <f t="shared" si="65"/>
        <v>1</v>
      </c>
      <c r="AA207" s="104">
        <f t="shared" si="65"/>
        <v>1</v>
      </c>
      <c r="AB207" s="104">
        <f t="shared" si="65"/>
        <v>1</v>
      </c>
      <c r="AC207" s="104">
        <f t="shared" si="65"/>
        <v>1</v>
      </c>
      <c r="AD207" s="104">
        <f t="shared" si="65"/>
        <v>1</v>
      </c>
      <c r="AE207" s="104">
        <f t="shared" si="65"/>
        <v>1</v>
      </c>
      <c r="AF207" s="104">
        <f t="shared" si="65"/>
        <v>1</v>
      </c>
      <c r="AG207" s="104">
        <f t="shared" si="65"/>
        <v>1</v>
      </c>
      <c r="AH207" s="104">
        <f t="shared" si="65"/>
        <v>1</v>
      </c>
      <c r="AI207" s="104">
        <f t="shared" si="65"/>
        <v>0</v>
      </c>
      <c r="AJ207" s="104">
        <f t="shared" si="65"/>
        <v>0</v>
      </c>
      <c r="AK207" s="104">
        <f t="shared" si="65"/>
        <v>0</v>
      </c>
      <c r="AL207" s="104">
        <f t="shared" si="65"/>
        <v>0</v>
      </c>
      <c r="AM207" s="104">
        <f t="shared" si="65"/>
        <v>0</v>
      </c>
      <c r="AQ207" s="104" t="str">
        <f>$V$66</f>
        <v>Amanda</v>
      </c>
      <c r="AR207" s="54">
        <v>0</v>
      </c>
      <c r="AS207" s="54">
        <v>0</v>
      </c>
      <c r="AT207" s="54">
        <v>0</v>
      </c>
      <c r="AU207" s="54">
        <v>0</v>
      </c>
      <c r="AV207" s="54">
        <v>0</v>
      </c>
      <c r="AW207" s="54">
        <v>0</v>
      </c>
      <c r="AX207" s="54">
        <v>0</v>
      </c>
      <c r="AY207" s="54">
        <v>0</v>
      </c>
      <c r="AZ207" s="54">
        <v>0</v>
      </c>
      <c r="BA207" s="54">
        <v>0</v>
      </c>
      <c r="BB207" s="54">
        <v>0</v>
      </c>
      <c r="BC207" s="54">
        <v>0</v>
      </c>
      <c r="BD207" s="54">
        <v>0</v>
      </c>
      <c r="BE207" s="54">
        <v>0</v>
      </c>
      <c r="BF207" s="54">
        <v>0</v>
      </c>
      <c r="BG207" s="54">
        <v>0</v>
      </c>
      <c r="BH207" s="54">
        <v>0</v>
      </c>
      <c r="BK207" s="104" t="str">
        <f>CONCATENATE("OBLIGATORIEDAD DE (",BK208,")")</f>
        <v>OBLIGATORIEDAD DE (Rez)</v>
      </c>
    </row>
    <row r="208" spans="2:80" x14ac:dyDescent="0.55000000000000004">
      <c r="B208" s="104" t="str">
        <f>$V$37</f>
        <v>C-mix</v>
      </c>
      <c r="C208" s="104">
        <f t="shared" ref="C208:S208" si="66">SUM(AR154:AR193)</f>
        <v>1</v>
      </c>
      <c r="D208" s="104">
        <f t="shared" si="66"/>
        <v>1</v>
      </c>
      <c r="E208" s="104">
        <f t="shared" si="66"/>
        <v>1</v>
      </c>
      <c r="F208" s="104">
        <f t="shared" si="66"/>
        <v>1</v>
      </c>
      <c r="G208" s="104">
        <f t="shared" si="66"/>
        <v>1</v>
      </c>
      <c r="H208" s="104">
        <f t="shared" si="66"/>
        <v>1</v>
      </c>
      <c r="I208" s="104">
        <f t="shared" si="66"/>
        <v>1</v>
      </c>
      <c r="J208" s="104">
        <f t="shared" si="66"/>
        <v>1</v>
      </c>
      <c r="K208" s="104">
        <f t="shared" si="66"/>
        <v>1</v>
      </c>
      <c r="L208" s="104">
        <f t="shared" si="66"/>
        <v>1</v>
      </c>
      <c r="M208" s="104">
        <f t="shared" si="66"/>
        <v>1</v>
      </c>
      <c r="N208" s="104">
        <f t="shared" si="66"/>
        <v>1</v>
      </c>
      <c r="O208" s="104">
        <f t="shared" si="66"/>
        <v>0</v>
      </c>
      <c r="P208" s="104">
        <f t="shared" si="66"/>
        <v>0</v>
      </c>
      <c r="Q208" s="104">
        <f t="shared" si="66"/>
        <v>0</v>
      </c>
      <c r="R208" s="104">
        <f t="shared" si="66"/>
        <v>0</v>
      </c>
      <c r="S208" s="104">
        <f t="shared" si="66"/>
        <v>0</v>
      </c>
      <c r="T208" s="102" t="s">
        <v>20</v>
      </c>
      <c r="V208" s="104" t="str">
        <f>$V$37</f>
        <v>C-mix</v>
      </c>
      <c r="W208" s="104">
        <f t="shared" ref="W208:AM208" si="67">W37</f>
        <v>1</v>
      </c>
      <c r="X208" s="104">
        <f t="shared" si="67"/>
        <v>1</v>
      </c>
      <c r="Y208" s="104">
        <f t="shared" si="67"/>
        <v>1</v>
      </c>
      <c r="Z208" s="104">
        <f t="shared" si="67"/>
        <v>1</v>
      </c>
      <c r="AA208" s="104">
        <f t="shared" si="67"/>
        <v>1</v>
      </c>
      <c r="AB208" s="104">
        <f t="shared" si="67"/>
        <v>1</v>
      </c>
      <c r="AC208" s="104">
        <f t="shared" si="67"/>
        <v>1</v>
      </c>
      <c r="AD208" s="104">
        <f t="shared" si="67"/>
        <v>1</v>
      </c>
      <c r="AE208" s="104">
        <f t="shared" si="67"/>
        <v>1</v>
      </c>
      <c r="AF208" s="104">
        <f t="shared" si="67"/>
        <v>1</v>
      </c>
      <c r="AG208" s="104">
        <f t="shared" si="67"/>
        <v>1</v>
      </c>
      <c r="AH208" s="104">
        <f t="shared" si="67"/>
        <v>1</v>
      </c>
      <c r="AI208" s="104">
        <f t="shared" si="67"/>
        <v>0</v>
      </c>
      <c r="AJ208" s="104">
        <f t="shared" si="67"/>
        <v>0</v>
      </c>
      <c r="AK208" s="104">
        <f t="shared" si="67"/>
        <v>0</v>
      </c>
      <c r="AL208" s="104">
        <f t="shared" si="67"/>
        <v>0</v>
      </c>
      <c r="AM208" s="104">
        <f t="shared" si="67"/>
        <v>0</v>
      </c>
      <c r="AQ208" s="104" t="str">
        <f>$V$67</f>
        <v>Antoine</v>
      </c>
      <c r="AR208" s="54">
        <v>0</v>
      </c>
      <c r="AS208" s="54">
        <v>0</v>
      </c>
      <c r="AT208" s="54">
        <v>0</v>
      </c>
      <c r="AU208" s="54">
        <v>0</v>
      </c>
      <c r="AV208" s="54">
        <v>0</v>
      </c>
      <c r="AW208" s="54">
        <v>0</v>
      </c>
      <c r="AX208" s="54">
        <v>0</v>
      </c>
      <c r="AY208" s="54">
        <v>0</v>
      </c>
      <c r="AZ208" s="54">
        <v>0</v>
      </c>
      <c r="BA208" s="54">
        <v>0</v>
      </c>
      <c r="BB208" s="54">
        <v>0</v>
      </c>
      <c r="BC208" s="54">
        <v>0</v>
      </c>
      <c r="BD208" s="54">
        <v>0</v>
      </c>
      <c r="BE208" s="54">
        <v>0</v>
      </c>
      <c r="BF208" s="54">
        <v>0</v>
      </c>
      <c r="BG208" s="54">
        <v>0</v>
      </c>
      <c r="BH208" s="54">
        <v>0</v>
      </c>
      <c r="BK208" s="104" t="str">
        <f>V38</f>
        <v>Rez</v>
      </c>
      <c r="BL208" s="104" t="str">
        <f>$W$33</f>
        <v>16h</v>
      </c>
      <c r="BM208" s="104" t="str">
        <f>$X$33</f>
        <v>17h</v>
      </c>
      <c r="BN208" s="104" t="str">
        <f>$Y$33</f>
        <v>18h</v>
      </c>
      <c r="BO208" s="104" t="str">
        <f>$Z$33</f>
        <v>19h</v>
      </c>
      <c r="BP208" s="104" t="str">
        <f>$AA$33</f>
        <v>20h</v>
      </c>
      <c r="BQ208" s="104" t="str">
        <f>$AB$33</f>
        <v>21h</v>
      </c>
      <c r="BR208" s="104" t="str">
        <f>$AC$33</f>
        <v>22h</v>
      </c>
      <c r="BS208" s="104" t="str">
        <f>$AD$33</f>
        <v>23h</v>
      </c>
      <c r="BT208" s="104" t="str">
        <f>$AE$33</f>
        <v>00h</v>
      </c>
      <c r="BU208" s="104" t="str">
        <f>$AF$33</f>
        <v>01h</v>
      </c>
      <c r="BV208" s="104" t="str">
        <f>$AG$33</f>
        <v>02h</v>
      </c>
      <c r="BW208" s="104" t="str">
        <f>$AH$33</f>
        <v>03h</v>
      </c>
      <c r="BX208" s="104" t="str">
        <f>$AI$33</f>
        <v>04h</v>
      </c>
      <c r="BY208" s="104" t="str">
        <f>$AJ$33</f>
        <v>05h</v>
      </c>
      <c r="BZ208" s="104" t="str">
        <f>$AK$33</f>
        <v>06h</v>
      </c>
      <c r="CA208" s="104" t="str">
        <f>$AL$33</f>
        <v>07h</v>
      </c>
      <c r="CB208" s="104" t="str">
        <f>$AM$33</f>
        <v>08h</v>
      </c>
    </row>
    <row r="209" spans="2:80" x14ac:dyDescent="0.55000000000000004">
      <c r="B209" s="104" t="str">
        <f>$V$38</f>
        <v>Rez</v>
      </c>
      <c r="C209" s="104">
        <f t="shared" ref="C209:S209" si="68">SUM(AR194:AR233)</f>
        <v>1</v>
      </c>
      <c r="D209" s="104">
        <f t="shared" si="68"/>
        <v>1</v>
      </c>
      <c r="E209" s="104">
        <f t="shared" si="68"/>
        <v>1</v>
      </c>
      <c r="F209" s="104">
        <f t="shared" si="68"/>
        <v>1</v>
      </c>
      <c r="G209" s="104">
        <f t="shared" si="68"/>
        <v>1</v>
      </c>
      <c r="H209" s="104">
        <f t="shared" si="68"/>
        <v>1</v>
      </c>
      <c r="I209" s="104">
        <f t="shared" si="68"/>
        <v>1</v>
      </c>
      <c r="J209" s="104">
        <f t="shared" si="68"/>
        <v>1</v>
      </c>
      <c r="K209" s="104">
        <f t="shared" si="68"/>
        <v>1</v>
      </c>
      <c r="L209" s="104">
        <f t="shared" si="68"/>
        <v>1</v>
      </c>
      <c r="M209" s="104">
        <f t="shared" si="68"/>
        <v>1</v>
      </c>
      <c r="N209" s="104">
        <f t="shared" si="68"/>
        <v>1</v>
      </c>
      <c r="O209" s="104">
        <f t="shared" si="68"/>
        <v>0</v>
      </c>
      <c r="P209" s="104">
        <f t="shared" si="68"/>
        <v>0</v>
      </c>
      <c r="Q209" s="104">
        <f t="shared" si="68"/>
        <v>0</v>
      </c>
      <c r="R209" s="104">
        <f t="shared" si="68"/>
        <v>0</v>
      </c>
      <c r="S209" s="104">
        <f t="shared" si="68"/>
        <v>0</v>
      </c>
      <c r="T209" s="102" t="s">
        <v>20</v>
      </c>
      <c r="V209" s="104" t="str">
        <f>$V$38</f>
        <v>Rez</v>
      </c>
      <c r="W209" s="104">
        <f t="shared" ref="W209:AM209" si="69">W38</f>
        <v>1</v>
      </c>
      <c r="X209" s="104">
        <f t="shared" si="69"/>
        <v>1</v>
      </c>
      <c r="Y209" s="104">
        <f t="shared" si="69"/>
        <v>1</v>
      </c>
      <c r="Z209" s="104">
        <f t="shared" si="69"/>
        <v>1</v>
      </c>
      <c r="AA209" s="104">
        <f t="shared" si="69"/>
        <v>1</v>
      </c>
      <c r="AB209" s="104">
        <f t="shared" si="69"/>
        <v>1</v>
      </c>
      <c r="AC209" s="104">
        <f t="shared" si="69"/>
        <v>1</v>
      </c>
      <c r="AD209" s="104">
        <f t="shared" si="69"/>
        <v>1</v>
      </c>
      <c r="AE209" s="104">
        <f t="shared" si="69"/>
        <v>1</v>
      </c>
      <c r="AF209" s="104">
        <f t="shared" si="69"/>
        <v>1</v>
      </c>
      <c r="AG209" s="104">
        <f t="shared" si="69"/>
        <v>1</v>
      </c>
      <c r="AH209" s="104">
        <f t="shared" si="69"/>
        <v>1</v>
      </c>
      <c r="AI209" s="104">
        <f t="shared" si="69"/>
        <v>0</v>
      </c>
      <c r="AJ209" s="104">
        <f t="shared" si="69"/>
        <v>0</v>
      </c>
      <c r="AK209" s="104">
        <f t="shared" si="69"/>
        <v>0</v>
      </c>
      <c r="AL209" s="104">
        <f t="shared" si="69"/>
        <v>0</v>
      </c>
      <c r="AM209" s="104">
        <f t="shared" si="69"/>
        <v>0</v>
      </c>
      <c r="AQ209" s="104" t="str">
        <f>$V$68</f>
        <v>Beatriz</v>
      </c>
      <c r="AR209" s="54">
        <v>0</v>
      </c>
      <c r="AS209" s="54">
        <v>0</v>
      </c>
      <c r="AT209" s="54">
        <v>0</v>
      </c>
      <c r="AU209" s="54">
        <v>0</v>
      </c>
      <c r="AV209" s="54">
        <v>0</v>
      </c>
      <c r="AW209" s="54">
        <v>0</v>
      </c>
      <c r="AX209" s="54">
        <v>0</v>
      </c>
      <c r="AY209" s="54">
        <v>0</v>
      </c>
      <c r="AZ209" s="54">
        <v>0</v>
      </c>
      <c r="BA209" s="54">
        <v>0</v>
      </c>
      <c r="BB209" s="54">
        <v>0</v>
      </c>
      <c r="BC209" s="54">
        <v>0</v>
      </c>
      <c r="BD209" s="54">
        <v>0</v>
      </c>
      <c r="BE209" s="54">
        <v>0</v>
      </c>
      <c r="BF209" s="54">
        <v>0</v>
      </c>
      <c r="BG209" s="54">
        <v>0</v>
      </c>
      <c r="BH209" s="54">
        <v>0</v>
      </c>
      <c r="BK209" s="104" t="str">
        <f>$V$53</f>
        <v>Jennifer</v>
      </c>
      <c r="BL209" s="108">
        <v>0</v>
      </c>
      <c r="BM209" s="108">
        <v>0</v>
      </c>
      <c r="BN209" s="108">
        <v>0</v>
      </c>
      <c r="BO209" s="108">
        <v>0</v>
      </c>
      <c r="BP209" s="108">
        <v>0</v>
      </c>
      <c r="BQ209" s="108">
        <v>0</v>
      </c>
      <c r="BR209" s="108">
        <v>0</v>
      </c>
      <c r="BS209" s="108">
        <v>0</v>
      </c>
      <c r="BT209" s="108">
        <v>0</v>
      </c>
      <c r="BU209" s="108">
        <v>0</v>
      </c>
      <c r="BV209" s="108">
        <v>0</v>
      </c>
      <c r="BW209" s="108">
        <v>0</v>
      </c>
      <c r="BX209" s="108">
        <v>0</v>
      </c>
      <c r="BY209" s="108">
        <v>0</v>
      </c>
      <c r="BZ209" s="108">
        <v>0</v>
      </c>
      <c r="CA209" s="108">
        <v>0</v>
      </c>
      <c r="CB209" s="108">
        <v>0</v>
      </c>
    </row>
    <row r="210" spans="2:80" x14ac:dyDescent="0.55000000000000004">
      <c r="B210" s="104" t="str">
        <f>$V$39</f>
        <v>Homing</v>
      </c>
      <c r="C210" s="104">
        <f t="shared" ref="C210:S210" si="70">SUM(AR234:AR273)</f>
        <v>0</v>
      </c>
      <c r="D210" s="104">
        <f t="shared" si="70"/>
        <v>0</v>
      </c>
      <c r="E210" s="104">
        <f t="shared" si="70"/>
        <v>0</v>
      </c>
      <c r="F210" s="104">
        <f t="shared" si="70"/>
        <v>0</v>
      </c>
      <c r="G210" s="104">
        <f t="shared" si="70"/>
        <v>0</v>
      </c>
      <c r="H210" s="104">
        <f t="shared" si="70"/>
        <v>0</v>
      </c>
      <c r="I210" s="104">
        <f t="shared" si="70"/>
        <v>0</v>
      </c>
      <c r="J210" s="104">
        <f t="shared" si="70"/>
        <v>0</v>
      </c>
      <c r="K210" s="104">
        <f t="shared" si="70"/>
        <v>0</v>
      </c>
      <c r="L210" s="104">
        <f t="shared" si="70"/>
        <v>0</v>
      </c>
      <c r="M210" s="104">
        <f t="shared" si="70"/>
        <v>0</v>
      </c>
      <c r="N210" s="104">
        <f t="shared" si="70"/>
        <v>0</v>
      </c>
      <c r="O210" s="104">
        <f t="shared" si="70"/>
        <v>0</v>
      </c>
      <c r="P210" s="104">
        <f t="shared" si="70"/>
        <v>0</v>
      </c>
      <c r="Q210" s="104">
        <f t="shared" si="70"/>
        <v>0</v>
      </c>
      <c r="R210" s="104">
        <f t="shared" si="70"/>
        <v>0</v>
      </c>
      <c r="S210" s="104">
        <f t="shared" si="70"/>
        <v>0</v>
      </c>
      <c r="T210" s="102" t="s">
        <v>20</v>
      </c>
      <c r="V210" s="104" t="str">
        <f>$V$39</f>
        <v>Homing</v>
      </c>
      <c r="W210" s="104">
        <f t="shared" ref="W210:AM210" si="71">W39</f>
        <v>0</v>
      </c>
      <c r="X210" s="104">
        <f t="shared" si="71"/>
        <v>0</v>
      </c>
      <c r="Y210" s="104">
        <f t="shared" si="71"/>
        <v>0</v>
      </c>
      <c r="Z210" s="104">
        <f t="shared" si="71"/>
        <v>0</v>
      </c>
      <c r="AA210" s="104">
        <f t="shared" si="71"/>
        <v>0</v>
      </c>
      <c r="AB210" s="104">
        <f t="shared" si="71"/>
        <v>0</v>
      </c>
      <c r="AC210" s="104">
        <f t="shared" si="71"/>
        <v>0</v>
      </c>
      <c r="AD210" s="104">
        <f t="shared" si="71"/>
        <v>0</v>
      </c>
      <c r="AE210" s="104">
        <f t="shared" si="71"/>
        <v>0</v>
      </c>
      <c r="AF210" s="104">
        <f t="shared" si="71"/>
        <v>0</v>
      </c>
      <c r="AG210" s="104">
        <f t="shared" si="71"/>
        <v>0</v>
      </c>
      <c r="AH210" s="104">
        <f t="shared" si="71"/>
        <v>0</v>
      </c>
      <c r="AI210" s="104">
        <f t="shared" si="71"/>
        <v>0</v>
      </c>
      <c r="AJ210" s="104">
        <f t="shared" si="71"/>
        <v>0</v>
      </c>
      <c r="AK210" s="104">
        <f t="shared" si="71"/>
        <v>0</v>
      </c>
      <c r="AL210" s="104">
        <f t="shared" si="71"/>
        <v>0</v>
      </c>
      <c r="AM210" s="104">
        <f t="shared" si="71"/>
        <v>0</v>
      </c>
      <c r="AQ210" s="104" t="str">
        <f>$V$69</f>
        <v>Charelle</v>
      </c>
      <c r="AR210" s="54">
        <v>0</v>
      </c>
      <c r="AS210" s="54">
        <v>0</v>
      </c>
      <c r="AT210" s="54">
        <v>0</v>
      </c>
      <c r="AU210" s="54">
        <v>0</v>
      </c>
      <c r="AV210" s="54">
        <v>0</v>
      </c>
      <c r="AW210" s="54">
        <v>0</v>
      </c>
      <c r="AX210" s="54">
        <v>0</v>
      </c>
      <c r="AY210" s="54">
        <v>0</v>
      </c>
      <c r="AZ210" s="54">
        <v>0</v>
      </c>
      <c r="BA210" s="54">
        <v>0</v>
      </c>
      <c r="BB210" s="54">
        <v>0</v>
      </c>
      <c r="BC210" s="54">
        <v>0</v>
      </c>
      <c r="BD210" s="54">
        <v>0</v>
      </c>
      <c r="BE210" s="54">
        <v>0</v>
      </c>
      <c r="BF210" s="54">
        <v>0</v>
      </c>
      <c r="BG210" s="54">
        <v>0</v>
      </c>
      <c r="BH210" s="54">
        <v>0</v>
      </c>
      <c r="BK210" s="104" t="str">
        <f>$V$54</f>
        <v>Galileo</v>
      </c>
      <c r="BL210" s="108">
        <v>0</v>
      </c>
      <c r="BM210" s="108">
        <v>0</v>
      </c>
      <c r="BN210" s="108">
        <v>0</v>
      </c>
      <c r="BO210" s="108">
        <v>0</v>
      </c>
      <c r="BP210" s="108">
        <v>0</v>
      </c>
      <c r="BQ210" s="108">
        <v>0</v>
      </c>
      <c r="BR210" s="108">
        <v>0</v>
      </c>
      <c r="BS210" s="108">
        <v>0</v>
      </c>
      <c r="BT210" s="108">
        <v>0</v>
      </c>
      <c r="BU210" s="108">
        <v>0</v>
      </c>
      <c r="BV210" s="108">
        <v>0</v>
      </c>
      <c r="BW210" s="108">
        <v>0</v>
      </c>
      <c r="BX210" s="108">
        <v>0</v>
      </c>
      <c r="BY210" s="108">
        <v>0</v>
      </c>
      <c r="BZ210" s="108">
        <v>0</v>
      </c>
      <c r="CA210" s="108">
        <v>0</v>
      </c>
      <c r="CB210" s="108">
        <v>0</v>
      </c>
    </row>
    <row r="211" spans="2:80" x14ac:dyDescent="0.55000000000000004">
      <c r="B211" s="104" t="str">
        <f>$V$40</f>
        <v>Toilets</v>
      </c>
      <c r="C211" s="104">
        <f t="shared" ref="C211:S211" si="72">SUM(AR274:AR313)</f>
        <v>0</v>
      </c>
      <c r="D211" s="104">
        <f t="shared" si="72"/>
        <v>0</v>
      </c>
      <c r="E211" s="104">
        <f t="shared" si="72"/>
        <v>0</v>
      </c>
      <c r="F211" s="104">
        <f t="shared" si="72"/>
        <v>0</v>
      </c>
      <c r="G211" s="104">
        <f t="shared" si="72"/>
        <v>0</v>
      </c>
      <c r="H211" s="104">
        <f t="shared" si="72"/>
        <v>0</v>
      </c>
      <c r="I211" s="104">
        <f t="shared" si="72"/>
        <v>0</v>
      </c>
      <c r="J211" s="104">
        <f t="shared" si="72"/>
        <v>0</v>
      </c>
      <c r="K211" s="104">
        <f t="shared" si="72"/>
        <v>0</v>
      </c>
      <c r="L211" s="104">
        <f t="shared" si="72"/>
        <v>0</v>
      </c>
      <c r="M211" s="104">
        <f t="shared" si="72"/>
        <v>0</v>
      </c>
      <c r="N211" s="104">
        <f t="shared" si="72"/>
        <v>0</v>
      </c>
      <c r="O211" s="104">
        <f t="shared" si="72"/>
        <v>0</v>
      </c>
      <c r="P211" s="104">
        <f t="shared" si="72"/>
        <v>0</v>
      </c>
      <c r="Q211" s="104">
        <f t="shared" si="72"/>
        <v>0</v>
      </c>
      <c r="R211" s="104">
        <f t="shared" si="72"/>
        <v>0</v>
      </c>
      <c r="S211" s="104">
        <f t="shared" si="72"/>
        <v>0</v>
      </c>
      <c r="T211" s="102" t="s">
        <v>20</v>
      </c>
      <c r="V211" s="104" t="str">
        <f>$V$40</f>
        <v>Toilets</v>
      </c>
      <c r="W211" s="104">
        <f t="shared" ref="W211:AM211" si="73">W40</f>
        <v>0</v>
      </c>
      <c r="X211" s="104">
        <f t="shared" si="73"/>
        <v>0</v>
      </c>
      <c r="Y211" s="104">
        <f t="shared" si="73"/>
        <v>0</v>
      </c>
      <c r="Z211" s="104">
        <f t="shared" si="73"/>
        <v>0</v>
      </c>
      <c r="AA211" s="104">
        <f t="shared" si="73"/>
        <v>0</v>
      </c>
      <c r="AB211" s="104">
        <f t="shared" si="73"/>
        <v>0</v>
      </c>
      <c r="AC211" s="104">
        <f t="shared" si="73"/>
        <v>0</v>
      </c>
      <c r="AD211" s="104">
        <f t="shared" si="73"/>
        <v>0</v>
      </c>
      <c r="AE211" s="104">
        <f t="shared" si="73"/>
        <v>0</v>
      </c>
      <c r="AF211" s="104">
        <f t="shared" si="73"/>
        <v>0</v>
      </c>
      <c r="AG211" s="104">
        <f t="shared" si="73"/>
        <v>0</v>
      </c>
      <c r="AH211" s="104">
        <f t="shared" si="73"/>
        <v>0</v>
      </c>
      <c r="AI211" s="104">
        <f t="shared" si="73"/>
        <v>0</v>
      </c>
      <c r="AJ211" s="104">
        <f t="shared" si="73"/>
        <v>0</v>
      </c>
      <c r="AK211" s="104">
        <f t="shared" si="73"/>
        <v>0</v>
      </c>
      <c r="AL211" s="104">
        <f t="shared" si="73"/>
        <v>0</v>
      </c>
      <c r="AM211" s="104">
        <f t="shared" si="73"/>
        <v>0</v>
      </c>
      <c r="AQ211" s="104" t="str">
        <f>$V$70</f>
        <v>Dimitri</v>
      </c>
      <c r="AR211" s="54">
        <v>0</v>
      </c>
      <c r="AS211" s="54">
        <v>0</v>
      </c>
      <c r="AT211" s="54">
        <v>0</v>
      </c>
      <c r="AU211" s="54">
        <v>0</v>
      </c>
      <c r="AV211" s="54">
        <v>0</v>
      </c>
      <c r="AW211" s="54">
        <v>0</v>
      </c>
      <c r="AX211" s="54">
        <v>0</v>
      </c>
      <c r="AY211" s="54">
        <v>0</v>
      </c>
      <c r="AZ211" s="54">
        <v>0</v>
      </c>
      <c r="BA211" s="54">
        <v>0</v>
      </c>
      <c r="BB211" s="54">
        <v>0</v>
      </c>
      <c r="BC211" s="54">
        <v>0</v>
      </c>
      <c r="BD211" s="54">
        <v>0</v>
      </c>
      <c r="BE211" s="54">
        <v>0</v>
      </c>
      <c r="BF211" s="54">
        <v>0</v>
      </c>
      <c r="BG211" s="54">
        <v>0</v>
      </c>
      <c r="BH211" s="54">
        <v>0</v>
      </c>
      <c r="BK211" s="104" t="str">
        <f>$V$55</f>
        <v>Óscar</v>
      </c>
      <c r="BL211" s="108">
        <v>0</v>
      </c>
      <c r="BM211" s="108">
        <v>0</v>
      </c>
      <c r="BN211" s="108">
        <v>0</v>
      </c>
      <c r="BO211" s="108">
        <v>0</v>
      </c>
      <c r="BP211" s="108">
        <v>0</v>
      </c>
      <c r="BQ211" s="108">
        <v>0</v>
      </c>
      <c r="BR211" s="108">
        <v>0</v>
      </c>
      <c r="BS211" s="108">
        <v>0</v>
      </c>
      <c r="BT211" s="108">
        <v>0</v>
      </c>
      <c r="BU211" s="108">
        <v>0</v>
      </c>
      <c r="BV211" s="108">
        <v>0</v>
      </c>
      <c r="BW211" s="108">
        <v>0</v>
      </c>
      <c r="BX211" s="108">
        <v>0</v>
      </c>
      <c r="BY211" s="108">
        <v>0</v>
      </c>
      <c r="BZ211" s="108">
        <v>0</v>
      </c>
      <c r="CA211" s="108">
        <v>0</v>
      </c>
      <c r="CB211" s="108">
        <v>0</v>
      </c>
    </row>
    <row r="212" spans="2:80" x14ac:dyDescent="0.55000000000000004">
      <c r="B212" s="104" t="str">
        <f>$V$41</f>
        <v>Level</v>
      </c>
      <c r="C212" s="104">
        <f t="shared" ref="C212:S212" si="74">SUM(AR314:AR353)</f>
        <v>0</v>
      </c>
      <c r="D212" s="104">
        <f t="shared" si="74"/>
        <v>0</v>
      </c>
      <c r="E212" s="104">
        <f t="shared" si="74"/>
        <v>0</v>
      </c>
      <c r="F212" s="104">
        <f t="shared" si="74"/>
        <v>0</v>
      </c>
      <c r="G212" s="104">
        <f t="shared" si="74"/>
        <v>0</v>
      </c>
      <c r="H212" s="104">
        <f t="shared" si="74"/>
        <v>0</v>
      </c>
      <c r="I212" s="104">
        <f t="shared" si="74"/>
        <v>0</v>
      </c>
      <c r="J212" s="104">
        <f t="shared" si="74"/>
        <v>0</v>
      </c>
      <c r="K212" s="104">
        <f t="shared" si="74"/>
        <v>0</v>
      </c>
      <c r="L212" s="104">
        <f t="shared" si="74"/>
        <v>0</v>
      </c>
      <c r="M212" s="104">
        <f t="shared" si="74"/>
        <v>0</v>
      </c>
      <c r="N212" s="104">
        <f t="shared" si="74"/>
        <v>0</v>
      </c>
      <c r="O212" s="104">
        <f t="shared" si="74"/>
        <v>0</v>
      </c>
      <c r="P212" s="104">
        <f t="shared" si="74"/>
        <v>0</v>
      </c>
      <c r="Q212" s="104">
        <f t="shared" si="74"/>
        <v>0</v>
      </c>
      <c r="R212" s="104">
        <f t="shared" si="74"/>
        <v>0</v>
      </c>
      <c r="S212" s="104">
        <f t="shared" si="74"/>
        <v>0</v>
      </c>
      <c r="T212" s="102" t="s">
        <v>20</v>
      </c>
      <c r="V212" s="104" t="str">
        <f>$V$41</f>
        <v>Level</v>
      </c>
      <c r="W212" s="104">
        <f t="shared" ref="W212:AM212" si="75">W41</f>
        <v>0</v>
      </c>
      <c r="X212" s="104">
        <f t="shared" si="75"/>
        <v>0</v>
      </c>
      <c r="Y212" s="104">
        <f t="shared" si="75"/>
        <v>0</v>
      </c>
      <c r="Z212" s="104">
        <f t="shared" si="75"/>
        <v>0</v>
      </c>
      <c r="AA212" s="104">
        <f t="shared" si="75"/>
        <v>0</v>
      </c>
      <c r="AB212" s="104">
        <f t="shared" si="75"/>
        <v>0</v>
      </c>
      <c r="AC212" s="104">
        <f t="shared" si="75"/>
        <v>0</v>
      </c>
      <c r="AD212" s="104">
        <f t="shared" si="75"/>
        <v>0</v>
      </c>
      <c r="AE212" s="104">
        <f t="shared" si="75"/>
        <v>0</v>
      </c>
      <c r="AF212" s="104">
        <f t="shared" si="75"/>
        <v>0</v>
      </c>
      <c r="AG212" s="104">
        <f t="shared" si="75"/>
        <v>0</v>
      </c>
      <c r="AH212" s="104">
        <f t="shared" si="75"/>
        <v>0</v>
      </c>
      <c r="AI212" s="104">
        <f t="shared" si="75"/>
        <v>0</v>
      </c>
      <c r="AJ212" s="104">
        <f t="shared" si="75"/>
        <v>0</v>
      </c>
      <c r="AK212" s="104">
        <f t="shared" si="75"/>
        <v>0</v>
      </c>
      <c r="AL212" s="104">
        <f t="shared" si="75"/>
        <v>0</v>
      </c>
      <c r="AM212" s="104">
        <f t="shared" si="75"/>
        <v>0</v>
      </c>
      <c r="AQ212" s="104" t="str">
        <f>$V$71</f>
        <v>Marina</v>
      </c>
      <c r="AR212" s="54">
        <v>0</v>
      </c>
      <c r="AS212" s="54">
        <v>0</v>
      </c>
      <c r="AT212" s="54">
        <v>0</v>
      </c>
      <c r="AU212" s="54">
        <v>0</v>
      </c>
      <c r="AV212" s="54">
        <v>0</v>
      </c>
      <c r="AW212" s="54">
        <v>0</v>
      </c>
      <c r="AX212" s="54">
        <v>0</v>
      </c>
      <c r="AY212" s="54">
        <v>0</v>
      </c>
      <c r="AZ212" s="54">
        <v>0</v>
      </c>
      <c r="BA212" s="54">
        <v>0</v>
      </c>
      <c r="BB212" s="54">
        <v>0</v>
      </c>
      <c r="BC212" s="54">
        <v>0</v>
      </c>
      <c r="BD212" s="54">
        <v>0</v>
      </c>
      <c r="BE212" s="54">
        <v>0</v>
      </c>
      <c r="BF212" s="54">
        <v>0</v>
      </c>
      <c r="BG212" s="54">
        <v>0</v>
      </c>
      <c r="BH212" s="54">
        <v>0</v>
      </c>
      <c r="BK212" s="104" t="str">
        <f>$V$56</f>
        <v>Sebastián</v>
      </c>
      <c r="BL212" s="108">
        <v>0</v>
      </c>
      <c r="BM212" s="108">
        <v>0</v>
      </c>
      <c r="BN212" s="108">
        <v>0</v>
      </c>
      <c r="BO212" s="108">
        <v>0</v>
      </c>
      <c r="BP212" s="108">
        <v>0</v>
      </c>
      <c r="BQ212" s="108">
        <v>0</v>
      </c>
      <c r="BR212" s="108">
        <v>0</v>
      </c>
      <c r="BS212" s="108">
        <v>0</v>
      </c>
      <c r="BT212" s="108">
        <v>0</v>
      </c>
      <c r="BU212" s="108">
        <v>0</v>
      </c>
      <c r="BV212" s="108">
        <v>0</v>
      </c>
      <c r="BW212" s="108">
        <v>0</v>
      </c>
      <c r="BX212" s="108">
        <v>0</v>
      </c>
      <c r="BY212" s="108">
        <v>0</v>
      </c>
      <c r="BZ212" s="108">
        <v>0</v>
      </c>
      <c r="CA212" s="108">
        <v>0</v>
      </c>
      <c r="CB212" s="108">
        <v>0</v>
      </c>
    </row>
    <row r="213" spans="2:80" x14ac:dyDescent="0.55000000000000004">
      <c r="B213" s="104" t="str">
        <f>$V$42</f>
        <v>Çapèse</v>
      </c>
      <c r="C213" s="104">
        <f t="shared" ref="C213:S213" si="76">SUM(AR354:AR393)</f>
        <v>0</v>
      </c>
      <c r="D213" s="104">
        <f t="shared" si="76"/>
        <v>0</v>
      </c>
      <c r="E213" s="104">
        <f t="shared" si="76"/>
        <v>0</v>
      </c>
      <c r="F213" s="104">
        <f t="shared" si="76"/>
        <v>0</v>
      </c>
      <c r="G213" s="104">
        <f t="shared" si="76"/>
        <v>0</v>
      </c>
      <c r="H213" s="104">
        <f t="shared" si="76"/>
        <v>0</v>
      </c>
      <c r="I213" s="104">
        <f t="shared" si="76"/>
        <v>0</v>
      </c>
      <c r="J213" s="104">
        <f t="shared" si="76"/>
        <v>0</v>
      </c>
      <c r="K213" s="104">
        <f t="shared" si="76"/>
        <v>0</v>
      </c>
      <c r="L213" s="104">
        <f t="shared" si="76"/>
        <v>0</v>
      </c>
      <c r="M213" s="104">
        <f t="shared" si="76"/>
        <v>0</v>
      </c>
      <c r="N213" s="104">
        <f t="shared" si="76"/>
        <v>0</v>
      </c>
      <c r="O213" s="104">
        <f t="shared" si="76"/>
        <v>0</v>
      </c>
      <c r="P213" s="104">
        <f t="shared" si="76"/>
        <v>0</v>
      </c>
      <c r="Q213" s="104">
        <f t="shared" si="76"/>
        <v>0</v>
      </c>
      <c r="R213" s="104">
        <f t="shared" si="76"/>
        <v>0</v>
      </c>
      <c r="S213" s="104">
        <f t="shared" si="76"/>
        <v>0</v>
      </c>
      <c r="T213" s="102" t="s">
        <v>20</v>
      </c>
      <c r="V213" s="104" t="str">
        <f>$V$42</f>
        <v>Çapèse</v>
      </c>
      <c r="W213" s="104">
        <f t="shared" ref="W213:AM213" si="77">W42</f>
        <v>0</v>
      </c>
      <c r="X213" s="104">
        <f t="shared" si="77"/>
        <v>0</v>
      </c>
      <c r="Y213" s="104">
        <f t="shared" si="77"/>
        <v>0</v>
      </c>
      <c r="Z213" s="104">
        <f t="shared" si="77"/>
        <v>0</v>
      </c>
      <c r="AA213" s="104">
        <f t="shared" si="77"/>
        <v>0</v>
      </c>
      <c r="AB213" s="104">
        <f t="shared" si="77"/>
        <v>0</v>
      </c>
      <c r="AC213" s="104">
        <f t="shared" si="77"/>
        <v>0</v>
      </c>
      <c r="AD213" s="104">
        <f t="shared" si="77"/>
        <v>0</v>
      </c>
      <c r="AE213" s="104">
        <f t="shared" si="77"/>
        <v>0</v>
      </c>
      <c r="AF213" s="104">
        <f t="shared" si="77"/>
        <v>0</v>
      </c>
      <c r="AG213" s="104">
        <f t="shared" si="77"/>
        <v>0</v>
      </c>
      <c r="AH213" s="104">
        <f t="shared" si="77"/>
        <v>0</v>
      </c>
      <c r="AI213" s="104">
        <f t="shared" si="77"/>
        <v>0</v>
      </c>
      <c r="AJ213" s="104">
        <f t="shared" si="77"/>
        <v>0</v>
      </c>
      <c r="AK213" s="104">
        <f t="shared" si="77"/>
        <v>0</v>
      </c>
      <c r="AL213" s="104">
        <f t="shared" si="77"/>
        <v>0</v>
      </c>
      <c r="AM213" s="104">
        <f t="shared" si="77"/>
        <v>0</v>
      </c>
      <c r="AQ213" s="104" t="str">
        <f>$V$72</f>
        <v>Michel</v>
      </c>
      <c r="AR213" s="54">
        <v>0</v>
      </c>
      <c r="AS213" s="54">
        <v>0</v>
      </c>
      <c r="AT213" s="54">
        <v>0</v>
      </c>
      <c r="AU213" s="54">
        <v>0</v>
      </c>
      <c r="AV213" s="54">
        <v>0</v>
      </c>
      <c r="AW213" s="54">
        <v>0</v>
      </c>
      <c r="AX213" s="54">
        <v>0</v>
      </c>
      <c r="AY213" s="54">
        <v>0</v>
      </c>
      <c r="AZ213" s="54">
        <v>0</v>
      </c>
      <c r="BA213" s="54">
        <v>0</v>
      </c>
      <c r="BB213" s="54">
        <v>0</v>
      </c>
      <c r="BC213" s="54">
        <v>0</v>
      </c>
      <c r="BD213" s="54">
        <v>0</v>
      </c>
      <c r="BE213" s="54">
        <v>0</v>
      </c>
      <c r="BF213" s="54">
        <v>0</v>
      </c>
      <c r="BG213" s="54">
        <v>0</v>
      </c>
      <c r="BH213" s="54">
        <v>0</v>
      </c>
      <c r="BK213" s="104" t="str">
        <f>$V$57</f>
        <v>Marcos</v>
      </c>
      <c r="BL213" s="108">
        <v>0</v>
      </c>
      <c r="BM213" s="108">
        <v>0</v>
      </c>
      <c r="BN213" s="108">
        <v>0</v>
      </c>
      <c r="BO213" s="108">
        <v>0</v>
      </c>
      <c r="BP213" s="108">
        <v>0</v>
      </c>
      <c r="BQ213" s="108">
        <v>0</v>
      </c>
      <c r="BR213" s="108">
        <v>0</v>
      </c>
      <c r="BS213" s="108">
        <v>0</v>
      </c>
      <c r="BT213" s="108">
        <v>0</v>
      </c>
      <c r="BU213" s="108">
        <v>0</v>
      </c>
      <c r="BV213" s="108">
        <v>0</v>
      </c>
      <c r="BW213" s="108">
        <v>0</v>
      </c>
      <c r="BX213" s="108">
        <v>0</v>
      </c>
      <c r="BY213" s="108">
        <v>0</v>
      </c>
      <c r="BZ213" s="108">
        <v>0</v>
      </c>
      <c r="CA213" s="108">
        <v>0</v>
      </c>
      <c r="CB213" s="108">
        <v>0</v>
      </c>
    </row>
    <row r="214" spans="2:80" x14ac:dyDescent="0.55000000000000004">
      <c r="B214" s="104" t="str">
        <f>$V$43</f>
        <v>Tidying</v>
      </c>
      <c r="C214" s="104">
        <f t="shared" ref="C214:S214" si="78">SUM(AR394:AR433)</f>
        <v>0</v>
      </c>
      <c r="D214" s="104">
        <f t="shared" si="78"/>
        <v>0</v>
      </c>
      <c r="E214" s="104">
        <f t="shared" si="78"/>
        <v>0</v>
      </c>
      <c r="F214" s="104">
        <f t="shared" si="78"/>
        <v>0</v>
      </c>
      <c r="G214" s="104">
        <f t="shared" si="78"/>
        <v>0</v>
      </c>
      <c r="H214" s="104">
        <f t="shared" si="78"/>
        <v>0</v>
      </c>
      <c r="I214" s="104">
        <f t="shared" si="78"/>
        <v>0</v>
      </c>
      <c r="J214" s="104">
        <f t="shared" si="78"/>
        <v>0</v>
      </c>
      <c r="K214" s="104">
        <f t="shared" si="78"/>
        <v>0</v>
      </c>
      <c r="L214" s="104">
        <f t="shared" si="78"/>
        <v>0</v>
      </c>
      <c r="M214" s="104">
        <f t="shared" si="78"/>
        <v>0</v>
      </c>
      <c r="N214" s="104">
        <f t="shared" si="78"/>
        <v>0</v>
      </c>
      <c r="O214" s="104">
        <f t="shared" si="78"/>
        <v>0</v>
      </c>
      <c r="P214" s="104">
        <f t="shared" si="78"/>
        <v>0</v>
      </c>
      <c r="Q214" s="104">
        <f t="shared" si="78"/>
        <v>0</v>
      </c>
      <c r="R214" s="104">
        <f t="shared" si="78"/>
        <v>0</v>
      </c>
      <c r="S214" s="104">
        <f t="shared" si="78"/>
        <v>0</v>
      </c>
      <c r="T214" s="102" t="s">
        <v>20</v>
      </c>
      <c r="V214" s="104" t="str">
        <f>$V$43</f>
        <v>Tidying</v>
      </c>
      <c r="W214" s="104">
        <f t="shared" ref="W214:AM214" si="79">W43</f>
        <v>0</v>
      </c>
      <c r="X214" s="104">
        <f t="shared" si="79"/>
        <v>0</v>
      </c>
      <c r="Y214" s="104">
        <f t="shared" si="79"/>
        <v>0</v>
      </c>
      <c r="Z214" s="104">
        <f t="shared" si="79"/>
        <v>0</v>
      </c>
      <c r="AA214" s="104">
        <f t="shared" si="79"/>
        <v>0</v>
      </c>
      <c r="AB214" s="104">
        <f t="shared" si="79"/>
        <v>0</v>
      </c>
      <c r="AC214" s="104">
        <f t="shared" si="79"/>
        <v>0</v>
      </c>
      <c r="AD214" s="104">
        <f t="shared" si="79"/>
        <v>0</v>
      </c>
      <c r="AE214" s="104">
        <f t="shared" si="79"/>
        <v>0</v>
      </c>
      <c r="AF214" s="104">
        <f t="shared" si="79"/>
        <v>0</v>
      </c>
      <c r="AG214" s="104">
        <f t="shared" si="79"/>
        <v>0</v>
      </c>
      <c r="AH214" s="104">
        <f t="shared" si="79"/>
        <v>0</v>
      </c>
      <c r="AI214" s="104">
        <f t="shared" si="79"/>
        <v>0</v>
      </c>
      <c r="AJ214" s="104">
        <f t="shared" si="79"/>
        <v>0</v>
      </c>
      <c r="AK214" s="104">
        <f t="shared" si="79"/>
        <v>0</v>
      </c>
      <c r="AL214" s="104">
        <f t="shared" si="79"/>
        <v>0</v>
      </c>
      <c r="AM214" s="104">
        <f t="shared" si="79"/>
        <v>0</v>
      </c>
      <c r="AQ214" s="104" t="str">
        <f>$V$73</f>
        <v>Nour</v>
      </c>
      <c r="AR214" s="54">
        <v>0</v>
      </c>
      <c r="AS214" s="54">
        <v>0</v>
      </c>
      <c r="AT214" s="54">
        <v>0</v>
      </c>
      <c r="AU214" s="54">
        <v>0</v>
      </c>
      <c r="AV214" s="54">
        <v>0</v>
      </c>
      <c r="AW214" s="54">
        <v>0</v>
      </c>
      <c r="AX214" s="54">
        <v>0</v>
      </c>
      <c r="AY214" s="54">
        <v>0</v>
      </c>
      <c r="AZ214" s="54">
        <v>0</v>
      </c>
      <c r="BA214" s="54">
        <v>0</v>
      </c>
      <c r="BB214" s="54">
        <v>0</v>
      </c>
      <c r="BC214" s="54">
        <v>0</v>
      </c>
      <c r="BD214" s="54">
        <v>0</v>
      </c>
      <c r="BE214" s="54">
        <v>0</v>
      </c>
      <c r="BF214" s="54">
        <v>0</v>
      </c>
      <c r="BG214" s="54">
        <v>0</v>
      </c>
      <c r="BH214" s="54">
        <v>0</v>
      </c>
      <c r="BK214" s="104" t="str">
        <f>$V$58</f>
        <v>Weixin</v>
      </c>
      <c r="BL214" s="108">
        <v>0</v>
      </c>
      <c r="BM214" s="108">
        <v>0</v>
      </c>
      <c r="BN214" s="108">
        <v>0</v>
      </c>
      <c r="BO214" s="108">
        <v>0</v>
      </c>
      <c r="BP214" s="108">
        <v>0</v>
      </c>
      <c r="BQ214" s="108">
        <v>0</v>
      </c>
      <c r="BR214" s="108">
        <v>0</v>
      </c>
      <c r="BS214" s="108">
        <v>0</v>
      </c>
      <c r="BT214" s="108">
        <v>0</v>
      </c>
      <c r="BU214" s="108">
        <v>0</v>
      </c>
      <c r="BV214" s="108">
        <v>0</v>
      </c>
      <c r="BW214" s="108">
        <v>0</v>
      </c>
      <c r="BX214" s="108">
        <v>0</v>
      </c>
      <c r="BY214" s="108">
        <v>0</v>
      </c>
      <c r="BZ214" s="108">
        <v>0</v>
      </c>
      <c r="CA214" s="108">
        <v>0</v>
      </c>
      <c r="CB214" s="108">
        <v>0</v>
      </c>
    </row>
    <row r="215" spans="2:80" x14ac:dyDescent="0.55000000000000004">
      <c r="B215" s="104" t="str">
        <f>$V$44</f>
        <v>Volante</v>
      </c>
      <c r="C215" s="104">
        <f t="shared" ref="C215:S215" si="80">SUM(AR434:AR473)</f>
        <v>0</v>
      </c>
      <c r="D215" s="104">
        <f t="shared" si="80"/>
        <v>0</v>
      </c>
      <c r="E215" s="104">
        <f t="shared" si="80"/>
        <v>0</v>
      </c>
      <c r="F215" s="104">
        <f t="shared" si="80"/>
        <v>0</v>
      </c>
      <c r="G215" s="104">
        <f t="shared" si="80"/>
        <v>0</v>
      </c>
      <c r="H215" s="104">
        <f t="shared" si="80"/>
        <v>0</v>
      </c>
      <c r="I215" s="104">
        <f t="shared" si="80"/>
        <v>0</v>
      </c>
      <c r="J215" s="104">
        <f t="shared" si="80"/>
        <v>0</v>
      </c>
      <c r="K215" s="104">
        <f t="shared" si="80"/>
        <v>0</v>
      </c>
      <c r="L215" s="104">
        <f t="shared" si="80"/>
        <v>0</v>
      </c>
      <c r="M215" s="104">
        <f t="shared" si="80"/>
        <v>0</v>
      </c>
      <c r="N215" s="104">
        <f t="shared" si="80"/>
        <v>0</v>
      </c>
      <c r="O215" s="104">
        <f t="shared" si="80"/>
        <v>0</v>
      </c>
      <c r="P215" s="104">
        <f t="shared" si="80"/>
        <v>0</v>
      </c>
      <c r="Q215" s="104">
        <f t="shared" si="80"/>
        <v>0</v>
      </c>
      <c r="R215" s="104">
        <f t="shared" si="80"/>
        <v>0</v>
      </c>
      <c r="S215" s="104">
        <f t="shared" si="80"/>
        <v>0</v>
      </c>
      <c r="T215" s="102" t="s">
        <v>20</v>
      </c>
      <c r="V215" s="104" t="str">
        <f>$V$44</f>
        <v>Volante</v>
      </c>
      <c r="W215" s="104">
        <f t="shared" ref="W215:AM215" si="81">W44</f>
        <v>0</v>
      </c>
      <c r="X215" s="104">
        <f t="shared" si="81"/>
        <v>0</v>
      </c>
      <c r="Y215" s="104">
        <f t="shared" si="81"/>
        <v>0</v>
      </c>
      <c r="Z215" s="104">
        <f t="shared" si="81"/>
        <v>0</v>
      </c>
      <c r="AA215" s="104">
        <f t="shared" si="81"/>
        <v>0</v>
      </c>
      <c r="AB215" s="104">
        <f t="shared" si="81"/>
        <v>0</v>
      </c>
      <c r="AC215" s="104">
        <f t="shared" si="81"/>
        <v>0</v>
      </c>
      <c r="AD215" s="104">
        <f t="shared" si="81"/>
        <v>0</v>
      </c>
      <c r="AE215" s="104">
        <f t="shared" si="81"/>
        <v>0</v>
      </c>
      <c r="AF215" s="104">
        <f t="shared" si="81"/>
        <v>0</v>
      </c>
      <c r="AG215" s="104">
        <f t="shared" si="81"/>
        <v>0</v>
      </c>
      <c r="AH215" s="104">
        <f t="shared" si="81"/>
        <v>0</v>
      </c>
      <c r="AI215" s="104">
        <f t="shared" si="81"/>
        <v>0</v>
      </c>
      <c r="AJ215" s="104">
        <f t="shared" si="81"/>
        <v>0</v>
      </c>
      <c r="AK215" s="104">
        <f t="shared" si="81"/>
        <v>0</v>
      </c>
      <c r="AL215" s="104">
        <f t="shared" si="81"/>
        <v>0</v>
      </c>
      <c r="AM215" s="104">
        <f t="shared" si="81"/>
        <v>0</v>
      </c>
      <c r="AQ215" s="104" t="str">
        <f>$V$74</f>
        <v>Samuel</v>
      </c>
      <c r="AR215" s="54">
        <v>0</v>
      </c>
      <c r="AS215" s="54">
        <v>0</v>
      </c>
      <c r="AT215" s="54">
        <v>0</v>
      </c>
      <c r="AU215" s="54">
        <v>0</v>
      </c>
      <c r="AV215" s="54">
        <v>0</v>
      </c>
      <c r="AW215" s="54">
        <v>0</v>
      </c>
      <c r="AX215" s="54">
        <v>0</v>
      </c>
      <c r="AY215" s="54">
        <v>0</v>
      </c>
      <c r="AZ215" s="54">
        <v>0</v>
      </c>
      <c r="BA215" s="54">
        <v>0</v>
      </c>
      <c r="BB215" s="54">
        <v>0</v>
      </c>
      <c r="BC215" s="54">
        <v>0</v>
      </c>
      <c r="BD215" s="54">
        <v>0</v>
      </c>
      <c r="BE215" s="54">
        <v>0</v>
      </c>
      <c r="BF215" s="54">
        <v>0</v>
      </c>
      <c r="BG215" s="54">
        <v>0</v>
      </c>
      <c r="BH215" s="54">
        <v>0</v>
      </c>
      <c r="BK215" s="104" t="str">
        <f>$V$59</f>
        <v>Benjamin</v>
      </c>
      <c r="BL215" s="108">
        <v>0</v>
      </c>
      <c r="BM215" s="108">
        <v>0</v>
      </c>
      <c r="BN215" s="108">
        <v>0</v>
      </c>
      <c r="BO215" s="108">
        <v>0</v>
      </c>
      <c r="BP215" s="108">
        <v>0</v>
      </c>
      <c r="BQ215" s="108">
        <v>0</v>
      </c>
      <c r="BR215" s="108">
        <v>0</v>
      </c>
      <c r="BS215" s="108">
        <v>0</v>
      </c>
      <c r="BT215" s="108">
        <v>0</v>
      </c>
      <c r="BU215" s="108">
        <v>0</v>
      </c>
      <c r="BV215" s="108">
        <v>0</v>
      </c>
      <c r="BW215" s="108">
        <v>0</v>
      </c>
      <c r="BX215" s="108">
        <v>0</v>
      </c>
      <c r="BY215" s="108">
        <v>0</v>
      </c>
      <c r="BZ215" s="108">
        <v>0</v>
      </c>
      <c r="CA215" s="108">
        <v>0</v>
      </c>
      <c r="CB215" s="108">
        <v>0</v>
      </c>
    </row>
    <row r="216" spans="2:80" x14ac:dyDescent="0.55000000000000004">
      <c r="B216" s="104" t="str">
        <f>$V$45</f>
        <v>Dummy 1</v>
      </c>
      <c r="C216" s="104">
        <f t="shared" ref="C216:S216" si="82">SUM(AR474:AR513)</f>
        <v>0</v>
      </c>
      <c r="D216" s="104">
        <f t="shared" si="82"/>
        <v>0</v>
      </c>
      <c r="E216" s="104">
        <f t="shared" si="82"/>
        <v>0</v>
      </c>
      <c r="F216" s="104">
        <f t="shared" si="82"/>
        <v>0</v>
      </c>
      <c r="G216" s="104">
        <f t="shared" si="82"/>
        <v>0</v>
      </c>
      <c r="H216" s="104">
        <f t="shared" si="82"/>
        <v>0</v>
      </c>
      <c r="I216" s="104">
        <f t="shared" si="82"/>
        <v>0</v>
      </c>
      <c r="J216" s="104">
        <f t="shared" si="82"/>
        <v>0</v>
      </c>
      <c r="K216" s="104">
        <f t="shared" si="82"/>
        <v>0</v>
      </c>
      <c r="L216" s="104">
        <f t="shared" si="82"/>
        <v>0</v>
      </c>
      <c r="M216" s="104">
        <f t="shared" si="82"/>
        <v>0</v>
      </c>
      <c r="N216" s="104">
        <f t="shared" si="82"/>
        <v>0</v>
      </c>
      <c r="O216" s="104">
        <f t="shared" si="82"/>
        <v>0</v>
      </c>
      <c r="P216" s="104">
        <f t="shared" si="82"/>
        <v>0</v>
      </c>
      <c r="Q216" s="104">
        <f t="shared" si="82"/>
        <v>0</v>
      </c>
      <c r="R216" s="104">
        <f t="shared" si="82"/>
        <v>0</v>
      </c>
      <c r="S216" s="104">
        <f t="shared" si="82"/>
        <v>0</v>
      </c>
      <c r="T216" s="102" t="s">
        <v>20</v>
      </c>
      <c r="V216" s="104" t="str">
        <f>$V$45</f>
        <v>Dummy 1</v>
      </c>
      <c r="W216" s="104">
        <f t="shared" ref="W216:AM216" si="83">W45</f>
        <v>0</v>
      </c>
      <c r="X216" s="104">
        <f t="shared" si="83"/>
        <v>0</v>
      </c>
      <c r="Y216" s="104">
        <f t="shared" si="83"/>
        <v>0</v>
      </c>
      <c r="Z216" s="104">
        <f t="shared" si="83"/>
        <v>0</v>
      </c>
      <c r="AA216" s="104">
        <f t="shared" si="83"/>
        <v>0</v>
      </c>
      <c r="AB216" s="104">
        <f t="shared" si="83"/>
        <v>0</v>
      </c>
      <c r="AC216" s="104">
        <f t="shared" si="83"/>
        <v>0</v>
      </c>
      <c r="AD216" s="104">
        <f t="shared" si="83"/>
        <v>0</v>
      </c>
      <c r="AE216" s="104">
        <f t="shared" si="83"/>
        <v>0</v>
      </c>
      <c r="AF216" s="104">
        <f t="shared" si="83"/>
        <v>0</v>
      </c>
      <c r="AG216" s="104">
        <f t="shared" si="83"/>
        <v>0</v>
      </c>
      <c r="AH216" s="104">
        <f t="shared" si="83"/>
        <v>0</v>
      </c>
      <c r="AI216" s="104">
        <f t="shared" si="83"/>
        <v>0</v>
      </c>
      <c r="AJ216" s="104">
        <f t="shared" si="83"/>
        <v>0</v>
      </c>
      <c r="AK216" s="104">
        <f t="shared" si="83"/>
        <v>0</v>
      </c>
      <c r="AL216" s="104">
        <f t="shared" si="83"/>
        <v>0</v>
      </c>
      <c r="AM216" s="104">
        <f t="shared" si="83"/>
        <v>0</v>
      </c>
      <c r="AQ216" s="104" t="str">
        <f>$V$75</f>
        <v>Yassin</v>
      </c>
      <c r="AR216" s="54">
        <v>0</v>
      </c>
      <c r="AS216" s="54">
        <v>0</v>
      </c>
      <c r="AT216" s="54">
        <v>0</v>
      </c>
      <c r="AU216" s="54">
        <v>0</v>
      </c>
      <c r="AV216" s="54">
        <v>0</v>
      </c>
      <c r="AW216" s="54">
        <v>0</v>
      </c>
      <c r="AX216" s="54">
        <v>0</v>
      </c>
      <c r="AY216" s="54">
        <v>0</v>
      </c>
      <c r="AZ216" s="54">
        <v>0</v>
      </c>
      <c r="BA216" s="54">
        <v>0</v>
      </c>
      <c r="BB216" s="54">
        <v>0</v>
      </c>
      <c r="BC216" s="54">
        <v>0</v>
      </c>
      <c r="BD216" s="54">
        <v>0</v>
      </c>
      <c r="BE216" s="54">
        <v>0</v>
      </c>
      <c r="BF216" s="54">
        <v>0</v>
      </c>
      <c r="BG216" s="54">
        <v>0</v>
      </c>
      <c r="BH216" s="54">
        <v>0</v>
      </c>
      <c r="BK216" s="104" t="str">
        <f>$V$60</f>
        <v>Joelle</v>
      </c>
      <c r="BL216" s="108">
        <v>0</v>
      </c>
      <c r="BM216" s="108">
        <v>0</v>
      </c>
      <c r="BN216" s="108">
        <v>0</v>
      </c>
      <c r="BO216" s="108">
        <v>0</v>
      </c>
      <c r="BP216" s="108">
        <v>0</v>
      </c>
      <c r="BQ216" s="108">
        <v>0</v>
      </c>
      <c r="BR216" s="108">
        <v>0</v>
      </c>
      <c r="BS216" s="108">
        <v>0</v>
      </c>
      <c r="BT216" s="108">
        <v>0</v>
      </c>
      <c r="BU216" s="108">
        <v>0</v>
      </c>
      <c r="BV216" s="108">
        <v>0</v>
      </c>
      <c r="BW216" s="108">
        <v>0</v>
      </c>
      <c r="BX216" s="108">
        <v>0</v>
      </c>
      <c r="BY216" s="108">
        <v>0</v>
      </c>
      <c r="BZ216" s="108">
        <v>0</v>
      </c>
      <c r="CA216" s="108">
        <v>0</v>
      </c>
      <c r="CB216" s="108">
        <v>0</v>
      </c>
    </row>
    <row r="217" spans="2:80" x14ac:dyDescent="0.55000000000000004">
      <c r="B217" s="104" t="str">
        <f>$V$46</f>
        <v>Dummy 2</v>
      </c>
      <c r="C217" s="104">
        <f t="shared" ref="C217:S217" si="84">SUM(AR514:AR553)</f>
        <v>0</v>
      </c>
      <c r="D217" s="104">
        <f t="shared" si="84"/>
        <v>0</v>
      </c>
      <c r="E217" s="104">
        <f t="shared" si="84"/>
        <v>0</v>
      </c>
      <c r="F217" s="104">
        <f t="shared" si="84"/>
        <v>0</v>
      </c>
      <c r="G217" s="104">
        <f t="shared" si="84"/>
        <v>0</v>
      </c>
      <c r="H217" s="104">
        <f t="shared" si="84"/>
        <v>0</v>
      </c>
      <c r="I217" s="104">
        <f t="shared" si="84"/>
        <v>0</v>
      </c>
      <c r="J217" s="104">
        <f t="shared" si="84"/>
        <v>0</v>
      </c>
      <c r="K217" s="104">
        <f t="shared" si="84"/>
        <v>0</v>
      </c>
      <c r="L217" s="104">
        <f t="shared" si="84"/>
        <v>0</v>
      </c>
      <c r="M217" s="104">
        <f t="shared" si="84"/>
        <v>0</v>
      </c>
      <c r="N217" s="104">
        <f t="shared" si="84"/>
        <v>0</v>
      </c>
      <c r="O217" s="104">
        <f t="shared" si="84"/>
        <v>0</v>
      </c>
      <c r="P217" s="104">
        <f t="shared" si="84"/>
        <v>0</v>
      </c>
      <c r="Q217" s="104">
        <f t="shared" si="84"/>
        <v>0</v>
      </c>
      <c r="R217" s="104">
        <f t="shared" si="84"/>
        <v>0</v>
      </c>
      <c r="S217" s="104">
        <f t="shared" si="84"/>
        <v>0</v>
      </c>
      <c r="T217" s="102" t="s">
        <v>20</v>
      </c>
      <c r="V217" s="104" t="str">
        <f>$V$46</f>
        <v>Dummy 2</v>
      </c>
      <c r="W217" s="104">
        <f t="shared" ref="W217:AM217" si="85">W46</f>
        <v>0</v>
      </c>
      <c r="X217" s="104">
        <f t="shared" si="85"/>
        <v>0</v>
      </c>
      <c r="Y217" s="104">
        <f t="shared" si="85"/>
        <v>0</v>
      </c>
      <c r="Z217" s="104">
        <f t="shared" si="85"/>
        <v>0</v>
      </c>
      <c r="AA217" s="104">
        <f t="shared" si="85"/>
        <v>0</v>
      </c>
      <c r="AB217" s="104">
        <f t="shared" si="85"/>
        <v>0</v>
      </c>
      <c r="AC217" s="104">
        <f t="shared" si="85"/>
        <v>0</v>
      </c>
      <c r="AD217" s="104">
        <f t="shared" si="85"/>
        <v>0</v>
      </c>
      <c r="AE217" s="104">
        <f t="shared" si="85"/>
        <v>0</v>
      </c>
      <c r="AF217" s="104">
        <f t="shared" si="85"/>
        <v>0</v>
      </c>
      <c r="AG217" s="104">
        <f t="shared" si="85"/>
        <v>0</v>
      </c>
      <c r="AH217" s="104">
        <f t="shared" si="85"/>
        <v>0</v>
      </c>
      <c r="AI217" s="104">
        <f t="shared" si="85"/>
        <v>0</v>
      </c>
      <c r="AJ217" s="104">
        <f t="shared" si="85"/>
        <v>0</v>
      </c>
      <c r="AK217" s="104">
        <f t="shared" si="85"/>
        <v>0</v>
      </c>
      <c r="AL217" s="104">
        <f t="shared" si="85"/>
        <v>0</v>
      </c>
      <c r="AM217" s="104">
        <f t="shared" si="85"/>
        <v>0</v>
      </c>
      <c r="AQ217" s="104" t="str">
        <f>$V$76</f>
        <v>Kamar</v>
      </c>
      <c r="AR217" s="54">
        <v>0</v>
      </c>
      <c r="AS217" s="54">
        <v>0</v>
      </c>
      <c r="AT217" s="54">
        <v>0</v>
      </c>
      <c r="AU217" s="54">
        <v>0</v>
      </c>
      <c r="AV217" s="54">
        <v>0</v>
      </c>
      <c r="AW217" s="54">
        <v>0</v>
      </c>
      <c r="AX217" s="54">
        <v>0</v>
      </c>
      <c r="AY217" s="54">
        <v>0</v>
      </c>
      <c r="AZ217" s="54">
        <v>0</v>
      </c>
      <c r="BA217" s="54">
        <v>0</v>
      </c>
      <c r="BB217" s="54">
        <v>0</v>
      </c>
      <c r="BC217" s="54">
        <v>0</v>
      </c>
      <c r="BD217" s="54">
        <v>0</v>
      </c>
      <c r="BE217" s="54">
        <v>0</v>
      </c>
      <c r="BF217" s="54">
        <v>0</v>
      </c>
      <c r="BG217" s="54">
        <v>0</v>
      </c>
      <c r="BH217" s="54">
        <v>0</v>
      </c>
      <c r="BK217" s="104" t="str">
        <f>$V$61</f>
        <v>Alexia</v>
      </c>
      <c r="BL217" s="108">
        <v>0</v>
      </c>
      <c r="BM217" s="108">
        <v>0</v>
      </c>
      <c r="BN217" s="108">
        <v>0</v>
      </c>
      <c r="BO217" s="108">
        <v>0</v>
      </c>
      <c r="BP217" s="108">
        <v>0</v>
      </c>
      <c r="BQ217" s="108">
        <v>0</v>
      </c>
      <c r="BR217" s="108">
        <v>0</v>
      </c>
      <c r="BS217" s="108">
        <v>0</v>
      </c>
      <c r="BT217" s="108">
        <v>0</v>
      </c>
      <c r="BU217" s="108">
        <v>0</v>
      </c>
      <c r="BV217" s="108">
        <v>0</v>
      </c>
      <c r="BW217" s="108">
        <v>0</v>
      </c>
      <c r="BX217" s="108">
        <v>0</v>
      </c>
      <c r="BY217" s="108">
        <v>0</v>
      </c>
      <c r="BZ217" s="108">
        <v>0</v>
      </c>
      <c r="CA217" s="108">
        <v>0</v>
      </c>
      <c r="CB217" s="108">
        <v>0</v>
      </c>
    </row>
    <row r="218" spans="2:80" x14ac:dyDescent="0.55000000000000004">
      <c r="B218" s="104" t="str">
        <f>$V$47</f>
        <v>Dummy 3</v>
      </c>
      <c r="C218" s="104">
        <f t="shared" ref="C218:S218" si="86">SUM(AR554:AR593)</f>
        <v>0</v>
      </c>
      <c r="D218" s="104">
        <f t="shared" si="86"/>
        <v>0</v>
      </c>
      <c r="E218" s="104">
        <f t="shared" si="86"/>
        <v>0</v>
      </c>
      <c r="F218" s="104">
        <f t="shared" si="86"/>
        <v>0</v>
      </c>
      <c r="G218" s="104">
        <f t="shared" si="86"/>
        <v>0</v>
      </c>
      <c r="H218" s="104">
        <f t="shared" si="86"/>
        <v>0</v>
      </c>
      <c r="I218" s="104">
        <f t="shared" si="86"/>
        <v>0</v>
      </c>
      <c r="J218" s="104">
        <f t="shared" si="86"/>
        <v>0</v>
      </c>
      <c r="K218" s="104">
        <f t="shared" si="86"/>
        <v>0</v>
      </c>
      <c r="L218" s="104">
        <f t="shared" si="86"/>
        <v>0</v>
      </c>
      <c r="M218" s="104">
        <f t="shared" si="86"/>
        <v>0</v>
      </c>
      <c r="N218" s="104">
        <f t="shared" si="86"/>
        <v>0</v>
      </c>
      <c r="O218" s="104">
        <f t="shared" si="86"/>
        <v>0</v>
      </c>
      <c r="P218" s="104">
        <f t="shared" si="86"/>
        <v>0</v>
      </c>
      <c r="Q218" s="104">
        <f t="shared" si="86"/>
        <v>0</v>
      </c>
      <c r="R218" s="104">
        <f t="shared" si="86"/>
        <v>0</v>
      </c>
      <c r="S218" s="104">
        <f t="shared" si="86"/>
        <v>0</v>
      </c>
      <c r="T218" s="102" t="s">
        <v>20</v>
      </c>
      <c r="V218" s="104" t="str">
        <f>$V$47</f>
        <v>Dummy 3</v>
      </c>
      <c r="W218" s="104">
        <f t="shared" ref="W218:AM218" si="87">W47</f>
        <v>0</v>
      </c>
      <c r="X218" s="104">
        <f t="shared" si="87"/>
        <v>0</v>
      </c>
      <c r="Y218" s="104">
        <f t="shared" si="87"/>
        <v>0</v>
      </c>
      <c r="Z218" s="104">
        <f t="shared" si="87"/>
        <v>0</v>
      </c>
      <c r="AA218" s="104">
        <f t="shared" si="87"/>
        <v>0</v>
      </c>
      <c r="AB218" s="104">
        <f t="shared" si="87"/>
        <v>0</v>
      </c>
      <c r="AC218" s="104">
        <f t="shared" si="87"/>
        <v>0</v>
      </c>
      <c r="AD218" s="104">
        <f t="shared" si="87"/>
        <v>0</v>
      </c>
      <c r="AE218" s="104">
        <f t="shared" si="87"/>
        <v>0</v>
      </c>
      <c r="AF218" s="104">
        <f t="shared" si="87"/>
        <v>0</v>
      </c>
      <c r="AG218" s="104">
        <f t="shared" si="87"/>
        <v>0</v>
      </c>
      <c r="AH218" s="104">
        <f t="shared" si="87"/>
        <v>0</v>
      </c>
      <c r="AI218" s="104">
        <f t="shared" si="87"/>
        <v>0</v>
      </c>
      <c r="AJ218" s="104">
        <f t="shared" si="87"/>
        <v>0</v>
      </c>
      <c r="AK218" s="104">
        <f t="shared" si="87"/>
        <v>0</v>
      </c>
      <c r="AL218" s="104">
        <f t="shared" si="87"/>
        <v>0</v>
      </c>
      <c r="AM218" s="104">
        <f t="shared" si="87"/>
        <v>0</v>
      </c>
      <c r="AQ218" s="104" t="str">
        <f>$V$77</f>
        <v>-</v>
      </c>
      <c r="AR218" s="54">
        <v>0</v>
      </c>
      <c r="AS218" s="54">
        <v>0</v>
      </c>
      <c r="AT218" s="54">
        <v>0</v>
      </c>
      <c r="AU218" s="54">
        <v>0</v>
      </c>
      <c r="AV218" s="54">
        <v>0</v>
      </c>
      <c r="AW218" s="54">
        <v>0</v>
      </c>
      <c r="AX218" s="54">
        <v>0</v>
      </c>
      <c r="AY218" s="54">
        <v>0</v>
      </c>
      <c r="AZ218" s="54">
        <v>0</v>
      </c>
      <c r="BA218" s="54">
        <v>0</v>
      </c>
      <c r="BB218" s="54">
        <v>0</v>
      </c>
      <c r="BC218" s="54">
        <v>0</v>
      </c>
      <c r="BD218" s="54">
        <v>0</v>
      </c>
      <c r="BE218" s="54">
        <v>0</v>
      </c>
      <c r="BF218" s="54">
        <v>0</v>
      </c>
      <c r="BG218" s="54">
        <v>0</v>
      </c>
      <c r="BH218" s="54">
        <v>0</v>
      </c>
      <c r="BK218" s="104" t="str">
        <f>$V$62</f>
        <v>Joao</v>
      </c>
      <c r="BL218" s="108">
        <v>0</v>
      </c>
      <c r="BM218" s="108">
        <v>0</v>
      </c>
      <c r="BN218" s="108">
        <v>0</v>
      </c>
      <c r="BO218" s="108">
        <v>0</v>
      </c>
      <c r="BP218" s="108">
        <v>0</v>
      </c>
      <c r="BQ218" s="108">
        <v>0</v>
      </c>
      <c r="BR218" s="108">
        <v>0</v>
      </c>
      <c r="BS218" s="108">
        <v>0</v>
      </c>
      <c r="BT218" s="108">
        <v>0</v>
      </c>
      <c r="BU218" s="108">
        <v>0</v>
      </c>
      <c r="BV218" s="108">
        <v>0</v>
      </c>
      <c r="BW218" s="108">
        <v>0</v>
      </c>
      <c r="BX218" s="108">
        <v>0</v>
      </c>
      <c r="BY218" s="108">
        <v>0</v>
      </c>
      <c r="BZ218" s="108">
        <v>0</v>
      </c>
      <c r="CA218" s="108">
        <v>0</v>
      </c>
      <c r="CB218" s="108">
        <v>0</v>
      </c>
    </row>
    <row r="219" spans="2:80" x14ac:dyDescent="0.55000000000000004">
      <c r="B219" s="104" t="str">
        <f>$V$48</f>
        <v>Dummy 4</v>
      </c>
      <c r="C219" s="104">
        <f t="shared" ref="C219:S219" si="88">SUM(AR594:AR633)</f>
        <v>0</v>
      </c>
      <c r="D219" s="104">
        <f t="shared" si="88"/>
        <v>0</v>
      </c>
      <c r="E219" s="104">
        <f t="shared" si="88"/>
        <v>0</v>
      </c>
      <c r="F219" s="104">
        <f t="shared" si="88"/>
        <v>0</v>
      </c>
      <c r="G219" s="104">
        <f t="shared" si="88"/>
        <v>0</v>
      </c>
      <c r="H219" s="104">
        <f t="shared" si="88"/>
        <v>0</v>
      </c>
      <c r="I219" s="104">
        <f t="shared" si="88"/>
        <v>0</v>
      </c>
      <c r="J219" s="104">
        <f t="shared" si="88"/>
        <v>0</v>
      </c>
      <c r="K219" s="104">
        <f t="shared" si="88"/>
        <v>0</v>
      </c>
      <c r="L219" s="104">
        <f t="shared" si="88"/>
        <v>0</v>
      </c>
      <c r="M219" s="104">
        <f t="shared" si="88"/>
        <v>0</v>
      </c>
      <c r="N219" s="104">
        <f t="shared" si="88"/>
        <v>0</v>
      </c>
      <c r="O219" s="104">
        <f t="shared" si="88"/>
        <v>0</v>
      </c>
      <c r="P219" s="104">
        <f t="shared" si="88"/>
        <v>0</v>
      </c>
      <c r="Q219" s="104">
        <f t="shared" si="88"/>
        <v>0</v>
      </c>
      <c r="R219" s="104">
        <f t="shared" si="88"/>
        <v>0</v>
      </c>
      <c r="S219" s="104">
        <f t="shared" si="88"/>
        <v>0</v>
      </c>
      <c r="T219" s="102" t="s">
        <v>20</v>
      </c>
      <c r="V219" s="104" t="str">
        <f>$V$48</f>
        <v>Dummy 4</v>
      </c>
      <c r="W219" s="104">
        <f t="shared" ref="W219:AM219" si="89">W48</f>
        <v>0</v>
      </c>
      <c r="X219" s="104">
        <f t="shared" si="89"/>
        <v>0</v>
      </c>
      <c r="Y219" s="104">
        <f t="shared" si="89"/>
        <v>0</v>
      </c>
      <c r="Z219" s="104">
        <f t="shared" si="89"/>
        <v>0</v>
      </c>
      <c r="AA219" s="104">
        <f t="shared" si="89"/>
        <v>0</v>
      </c>
      <c r="AB219" s="104">
        <f t="shared" si="89"/>
        <v>0</v>
      </c>
      <c r="AC219" s="104">
        <f t="shared" si="89"/>
        <v>0</v>
      </c>
      <c r="AD219" s="104">
        <f t="shared" si="89"/>
        <v>0</v>
      </c>
      <c r="AE219" s="104">
        <f t="shared" si="89"/>
        <v>0</v>
      </c>
      <c r="AF219" s="104">
        <f t="shared" si="89"/>
        <v>0</v>
      </c>
      <c r="AG219" s="104">
        <f t="shared" si="89"/>
        <v>0</v>
      </c>
      <c r="AH219" s="104">
        <f t="shared" si="89"/>
        <v>0</v>
      </c>
      <c r="AI219" s="104">
        <f t="shared" si="89"/>
        <v>0</v>
      </c>
      <c r="AJ219" s="104">
        <f t="shared" si="89"/>
        <v>0</v>
      </c>
      <c r="AK219" s="104">
        <f t="shared" si="89"/>
        <v>0</v>
      </c>
      <c r="AL219" s="104">
        <f t="shared" si="89"/>
        <v>0</v>
      </c>
      <c r="AM219" s="104">
        <f t="shared" si="89"/>
        <v>0</v>
      </c>
      <c r="AQ219" s="104" t="str">
        <f>$V$78</f>
        <v>-</v>
      </c>
      <c r="AR219" s="54">
        <v>0</v>
      </c>
      <c r="AS219" s="54">
        <v>0</v>
      </c>
      <c r="AT219" s="54">
        <v>0</v>
      </c>
      <c r="AU219" s="54">
        <v>0</v>
      </c>
      <c r="AV219" s="54">
        <v>0</v>
      </c>
      <c r="AW219" s="54">
        <v>0</v>
      </c>
      <c r="AX219" s="54">
        <v>0</v>
      </c>
      <c r="AY219" s="54">
        <v>0</v>
      </c>
      <c r="AZ219" s="54">
        <v>0</v>
      </c>
      <c r="BA219" s="54">
        <v>0</v>
      </c>
      <c r="BB219" s="54">
        <v>0</v>
      </c>
      <c r="BC219" s="54">
        <v>0</v>
      </c>
      <c r="BD219" s="54">
        <v>0</v>
      </c>
      <c r="BE219" s="54">
        <v>0</v>
      </c>
      <c r="BF219" s="54">
        <v>0</v>
      </c>
      <c r="BG219" s="54">
        <v>0</v>
      </c>
      <c r="BH219" s="54">
        <v>0</v>
      </c>
      <c r="BK219" s="104" t="str">
        <f>$V$63</f>
        <v>Maxime</v>
      </c>
      <c r="BL219" s="108">
        <v>0</v>
      </c>
      <c r="BM219" s="108">
        <v>0</v>
      </c>
      <c r="BN219" s="108">
        <v>0</v>
      </c>
      <c r="BO219" s="108">
        <v>0</v>
      </c>
      <c r="BP219" s="108">
        <v>0</v>
      </c>
      <c r="BQ219" s="108">
        <v>0</v>
      </c>
      <c r="BR219" s="108">
        <v>0</v>
      </c>
      <c r="BS219" s="108">
        <v>0</v>
      </c>
      <c r="BT219" s="108">
        <v>0</v>
      </c>
      <c r="BU219" s="108">
        <v>0</v>
      </c>
      <c r="BV219" s="108">
        <v>0</v>
      </c>
      <c r="BW219" s="108">
        <v>0</v>
      </c>
      <c r="BX219" s="108">
        <v>0</v>
      </c>
      <c r="BY219" s="108">
        <v>0</v>
      </c>
      <c r="BZ219" s="108">
        <v>0</v>
      </c>
      <c r="CA219" s="108">
        <v>0</v>
      </c>
      <c r="CB219" s="108">
        <v>0</v>
      </c>
    </row>
    <row r="220" spans="2:80" x14ac:dyDescent="0.55000000000000004">
      <c r="AQ220" s="104" t="str">
        <f>$V$79</f>
        <v>-</v>
      </c>
      <c r="AR220" s="54">
        <v>0</v>
      </c>
      <c r="AS220" s="54">
        <v>0</v>
      </c>
      <c r="AT220" s="54">
        <v>0</v>
      </c>
      <c r="AU220" s="54">
        <v>0</v>
      </c>
      <c r="AV220" s="54">
        <v>0</v>
      </c>
      <c r="AW220" s="54">
        <v>0</v>
      </c>
      <c r="AX220" s="54">
        <v>0</v>
      </c>
      <c r="AY220" s="54">
        <v>0</v>
      </c>
      <c r="AZ220" s="54">
        <v>0</v>
      </c>
      <c r="BA220" s="54">
        <v>0</v>
      </c>
      <c r="BB220" s="54">
        <v>0</v>
      </c>
      <c r="BC220" s="54">
        <v>0</v>
      </c>
      <c r="BD220" s="54">
        <v>0</v>
      </c>
      <c r="BE220" s="54">
        <v>0</v>
      </c>
      <c r="BF220" s="54">
        <v>0</v>
      </c>
      <c r="BG220" s="54">
        <v>0</v>
      </c>
      <c r="BH220" s="54">
        <v>0</v>
      </c>
      <c r="BK220" s="104" t="str">
        <f>$V$64</f>
        <v>Alex</v>
      </c>
      <c r="BL220" s="108">
        <v>0</v>
      </c>
      <c r="BM220" s="108">
        <v>0</v>
      </c>
      <c r="BN220" s="108">
        <v>0</v>
      </c>
      <c r="BO220" s="108">
        <v>0</v>
      </c>
      <c r="BP220" s="108">
        <v>0</v>
      </c>
      <c r="BQ220" s="108">
        <v>0</v>
      </c>
      <c r="BR220" s="108">
        <v>0</v>
      </c>
      <c r="BS220" s="108">
        <v>0</v>
      </c>
      <c r="BT220" s="108">
        <v>0</v>
      </c>
      <c r="BU220" s="108">
        <v>0</v>
      </c>
      <c r="BV220" s="108">
        <v>0</v>
      </c>
      <c r="BW220" s="108">
        <v>0</v>
      </c>
      <c r="BX220" s="108">
        <v>0</v>
      </c>
      <c r="BY220" s="108">
        <v>0</v>
      </c>
      <c r="BZ220" s="108">
        <v>0</v>
      </c>
      <c r="CA220" s="108">
        <v>0</v>
      </c>
      <c r="CB220" s="108">
        <v>0</v>
      </c>
    </row>
    <row r="221" spans="2:80" x14ac:dyDescent="0.55000000000000004">
      <c r="AQ221" s="104" t="str">
        <f>$V$80</f>
        <v>-</v>
      </c>
      <c r="AR221" s="54">
        <v>0</v>
      </c>
      <c r="AS221" s="54">
        <v>0</v>
      </c>
      <c r="AT221" s="54">
        <v>-2</v>
      </c>
      <c r="AU221" s="54">
        <v>0</v>
      </c>
      <c r="AV221" s="54">
        <v>0</v>
      </c>
      <c r="AW221" s="54">
        <v>0</v>
      </c>
      <c r="AX221" s="54">
        <v>0</v>
      </c>
      <c r="AY221" s="54">
        <v>0</v>
      </c>
      <c r="AZ221" s="54">
        <v>0</v>
      </c>
      <c r="BA221" s="54">
        <v>0</v>
      </c>
      <c r="BB221" s="54">
        <v>0</v>
      </c>
      <c r="BC221" s="54">
        <v>0</v>
      </c>
      <c r="BD221" s="54">
        <v>0</v>
      </c>
      <c r="BE221" s="54">
        <v>0</v>
      </c>
      <c r="BF221" s="54">
        <v>0</v>
      </c>
      <c r="BG221" s="54">
        <v>0</v>
      </c>
      <c r="BH221" s="54">
        <v>0</v>
      </c>
      <c r="BK221" s="104" t="str">
        <f>$V$65</f>
        <v>Alyssa</v>
      </c>
      <c r="BL221" s="108">
        <v>0</v>
      </c>
      <c r="BM221" s="108">
        <v>0</v>
      </c>
      <c r="BN221" s="108">
        <v>0</v>
      </c>
      <c r="BO221" s="108">
        <v>0</v>
      </c>
      <c r="BP221" s="108">
        <v>0</v>
      </c>
      <c r="BQ221" s="108">
        <v>0</v>
      </c>
      <c r="BR221" s="108">
        <v>0</v>
      </c>
      <c r="BS221" s="108">
        <v>0</v>
      </c>
      <c r="BT221" s="108">
        <v>0</v>
      </c>
      <c r="BU221" s="108">
        <v>0</v>
      </c>
      <c r="BV221" s="108">
        <v>0</v>
      </c>
      <c r="BW221" s="108">
        <v>0</v>
      </c>
      <c r="BX221" s="108">
        <v>0</v>
      </c>
      <c r="BY221" s="108">
        <v>0</v>
      </c>
      <c r="BZ221" s="108">
        <v>0</v>
      </c>
      <c r="CA221" s="108">
        <v>0</v>
      </c>
      <c r="CB221" s="108">
        <v>0</v>
      </c>
    </row>
    <row r="222" spans="2:80" x14ac:dyDescent="0.55000000000000004">
      <c r="AQ222" s="104" t="str">
        <f>$V$81</f>
        <v>-</v>
      </c>
      <c r="AR222" s="54">
        <v>0</v>
      </c>
      <c r="AS222" s="54">
        <v>0</v>
      </c>
      <c r="AT222" s="54">
        <v>0</v>
      </c>
      <c r="AU222" s="54">
        <v>0</v>
      </c>
      <c r="AV222" s="54">
        <v>0</v>
      </c>
      <c r="AW222" s="54">
        <v>0</v>
      </c>
      <c r="AX222" s="54">
        <v>0</v>
      </c>
      <c r="AY222" s="54">
        <v>0</v>
      </c>
      <c r="AZ222" s="54">
        <v>0</v>
      </c>
      <c r="BA222" s="54">
        <v>0</v>
      </c>
      <c r="BB222" s="54">
        <v>0</v>
      </c>
      <c r="BC222" s="54">
        <v>0</v>
      </c>
      <c r="BD222" s="54">
        <v>0</v>
      </c>
      <c r="BE222" s="54">
        <v>0</v>
      </c>
      <c r="BF222" s="54">
        <v>0</v>
      </c>
      <c r="BG222" s="54">
        <v>0</v>
      </c>
      <c r="BH222" s="54">
        <v>0</v>
      </c>
      <c r="BK222" s="104" t="str">
        <f>$V$66</f>
        <v>Amanda</v>
      </c>
      <c r="BL222" s="108">
        <v>0</v>
      </c>
      <c r="BM222" s="108">
        <v>0</v>
      </c>
      <c r="BN222" s="108">
        <v>0</v>
      </c>
      <c r="BO222" s="108">
        <v>0</v>
      </c>
      <c r="BP222" s="108">
        <v>0</v>
      </c>
      <c r="BQ222" s="108">
        <v>0</v>
      </c>
      <c r="BR222" s="108">
        <v>0</v>
      </c>
      <c r="BS222" s="108">
        <v>0</v>
      </c>
      <c r="BT222" s="108">
        <v>0</v>
      </c>
      <c r="BU222" s="108">
        <v>0</v>
      </c>
      <c r="BV222" s="108">
        <v>0</v>
      </c>
      <c r="BW222" s="108">
        <v>0</v>
      </c>
      <c r="BX222" s="108">
        <v>0</v>
      </c>
      <c r="BY222" s="108">
        <v>0</v>
      </c>
      <c r="BZ222" s="108">
        <v>0</v>
      </c>
      <c r="CA222" s="108">
        <v>0</v>
      </c>
      <c r="CB222" s="108">
        <v>0</v>
      </c>
    </row>
    <row r="223" spans="2:80" x14ac:dyDescent="0.55000000000000004">
      <c r="AQ223" s="104" t="str">
        <f>$V$82</f>
        <v>-</v>
      </c>
      <c r="AR223" s="54">
        <v>0</v>
      </c>
      <c r="AS223" s="54">
        <v>0</v>
      </c>
      <c r="AT223" s="54">
        <v>0</v>
      </c>
      <c r="AU223" s="54">
        <v>0</v>
      </c>
      <c r="AV223" s="54">
        <v>0</v>
      </c>
      <c r="AW223" s="54">
        <v>0</v>
      </c>
      <c r="AX223" s="54">
        <v>0</v>
      </c>
      <c r="AY223" s="54">
        <v>0</v>
      </c>
      <c r="AZ223" s="54">
        <v>0</v>
      </c>
      <c r="BA223" s="54">
        <v>0</v>
      </c>
      <c r="BB223" s="54">
        <v>0</v>
      </c>
      <c r="BC223" s="54">
        <v>0</v>
      </c>
      <c r="BD223" s="54">
        <v>0</v>
      </c>
      <c r="BE223" s="54">
        <v>0</v>
      </c>
      <c r="BF223" s="54">
        <v>0</v>
      </c>
      <c r="BG223" s="54">
        <v>0</v>
      </c>
      <c r="BH223" s="54">
        <v>0</v>
      </c>
      <c r="BK223" s="104" t="str">
        <f>$V$67</f>
        <v>Antoine</v>
      </c>
      <c r="BL223" s="108">
        <v>0</v>
      </c>
      <c r="BM223" s="108">
        <v>0</v>
      </c>
      <c r="BN223" s="108">
        <v>0</v>
      </c>
      <c r="BO223" s="108">
        <v>0</v>
      </c>
      <c r="BP223" s="108">
        <v>0</v>
      </c>
      <c r="BQ223" s="108">
        <v>0</v>
      </c>
      <c r="BR223" s="108">
        <v>0</v>
      </c>
      <c r="BS223" s="108">
        <v>0</v>
      </c>
      <c r="BT223" s="108">
        <v>0</v>
      </c>
      <c r="BU223" s="108">
        <v>0</v>
      </c>
      <c r="BV223" s="108">
        <v>0</v>
      </c>
      <c r="BW223" s="108">
        <v>0</v>
      </c>
      <c r="BX223" s="108">
        <v>0</v>
      </c>
      <c r="BY223" s="108">
        <v>0</v>
      </c>
      <c r="BZ223" s="108">
        <v>0</v>
      </c>
      <c r="CA223" s="108">
        <v>0</v>
      </c>
      <c r="CB223" s="108">
        <v>0</v>
      </c>
    </row>
    <row r="224" spans="2:80" x14ac:dyDescent="0.55000000000000004">
      <c r="AQ224" s="104" t="str">
        <f>$V$83</f>
        <v>-</v>
      </c>
      <c r="AR224" s="54">
        <v>0</v>
      </c>
      <c r="AS224" s="54">
        <v>0</v>
      </c>
      <c r="AT224" s="54">
        <v>0</v>
      </c>
      <c r="AU224" s="54">
        <v>0</v>
      </c>
      <c r="AV224" s="54">
        <v>0</v>
      </c>
      <c r="AW224" s="54">
        <v>0</v>
      </c>
      <c r="AX224" s="54">
        <v>0</v>
      </c>
      <c r="AY224" s="54">
        <v>0</v>
      </c>
      <c r="AZ224" s="54">
        <v>0</v>
      </c>
      <c r="BA224" s="54">
        <v>0</v>
      </c>
      <c r="BB224" s="54">
        <v>0</v>
      </c>
      <c r="BC224" s="54">
        <v>0</v>
      </c>
      <c r="BD224" s="54">
        <v>0</v>
      </c>
      <c r="BE224" s="54">
        <v>0</v>
      </c>
      <c r="BF224" s="54">
        <v>0</v>
      </c>
      <c r="BG224" s="54">
        <v>0</v>
      </c>
      <c r="BH224" s="54">
        <v>0</v>
      </c>
      <c r="BK224" s="104" t="str">
        <f>$V$68</f>
        <v>Beatriz</v>
      </c>
      <c r="BL224" s="108">
        <v>0</v>
      </c>
      <c r="BM224" s="108">
        <v>0</v>
      </c>
      <c r="BN224" s="108">
        <v>0</v>
      </c>
      <c r="BO224" s="108">
        <v>0</v>
      </c>
      <c r="BP224" s="108">
        <v>0</v>
      </c>
      <c r="BQ224" s="108">
        <v>0</v>
      </c>
      <c r="BR224" s="108">
        <v>0</v>
      </c>
      <c r="BS224" s="108">
        <v>0</v>
      </c>
      <c r="BT224" s="108">
        <v>0</v>
      </c>
      <c r="BU224" s="108">
        <v>0</v>
      </c>
      <c r="BV224" s="108">
        <v>0</v>
      </c>
      <c r="BW224" s="108">
        <v>0</v>
      </c>
      <c r="BX224" s="108">
        <v>0</v>
      </c>
      <c r="BY224" s="108">
        <v>0</v>
      </c>
      <c r="BZ224" s="108">
        <v>0</v>
      </c>
      <c r="CA224" s="108">
        <v>0</v>
      </c>
      <c r="CB224" s="108">
        <v>0</v>
      </c>
    </row>
    <row r="225" spans="4:80" x14ac:dyDescent="0.55000000000000004">
      <c r="E225" s="104" t="str" cm="1">
        <f t="array" ref="E225:S225">TRANSPOSE(V34:V48)</f>
        <v>Set up</v>
      </c>
      <c r="F225" s="104" t="str">
        <v>Entry</v>
      </c>
      <c r="G225" s="104" t="str">
        <v>Bar</v>
      </c>
      <c r="H225" s="104" t="str">
        <v>C-mix</v>
      </c>
      <c r="I225" s="104" t="str">
        <v>Rez</v>
      </c>
      <c r="J225" s="104" t="str">
        <v>Homing</v>
      </c>
      <c r="K225" s="104" t="str">
        <v>Toilets</v>
      </c>
      <c r="L225" s="104" t="str">
        <v>Level</v>
      </c>
      <c r="M225" s="104" t="str">
        <v>Çapèse</v>
      </c>
      <c r="N225" s="104" t="str">
        <v>Tidying</v>
      </c>
      <c r="O225" s="104" t="str">
        <v>Volante</v>
      </c>
      <c r="P225" s="104" t="str">
        <v>Dummy 1</v>
      </c>
      <c r="Q225" s="104" t="str">
        <v>Dummy 2</v>
      </c>
      <c r="R225" s="104" t="str">
        <v>Dummy 3</v>
      </c>
      <c r="S225" s="104" t="str">
        <v>Dummy 4</v>
      </c>
      <c r="W225" s="104" t="str" cm="1">
        <f t="array" ref="W225:AK225">TRANSPOSE(V34:V48)</f>
        <v>Set up</v>
      </c>
      <c r="X225" s="104" t="str">
        <v>Entry</v>
      </c>
      <c r="Y225" s="104" t="str">
        <v>Bar</v>
      </c>
      <c r="Z225" s="104" t="str">
        <v>C-mix</v>
      </c>
      <c r="AA225" s="104" t="str">
        <v>Rez</v>
      </c>
      <c r="AB225" s="104" t="str">
        <v>Homing</v>
      </c>
      <c r="AC225" s="104" t="str">
        <v>Toilets</v>
      </c>
      <c r="AD225" s="104" t="str">
        <v>Level</v>
      </c>
      <c r="AE225" s="104" t="str">
        <v>Çapèse</v>
      </c>
      <c r="AF225" s="104" t="str">
        <v>Tidying</v>
      </c>
      <c r="AG225" s="104" t="str">
        <v>Volante</v>
      </c>
      <c r="AH225" s="104" t="str">
        <v>Dummy 1</v>
      </c>
      <c r="AI225" s="104" t="str">
        <v>Dummy 2</v>
      </c>
      <c r="AJ225" s="104" t="str">
        <v>Dummy 3</v>
      </c>
      <c r="AK225" s="104" t="str">
        <v>Dummy 4</v>
      </c>
      <c r="AQ225" s="104" t="str">
        <f>$V$84</f>
        <v>-</v>
      </c>
      <c r="AR225" s="54">
        <v>0</v>
      </c>
      <c r="AS225" s="54">
        <v>0</v>
      </c>
      <c r="AT225" s="54">
        <v>0</v>
      </c>
      <c r="AU225" s="54">
        <v>0</v>
      </c>
      <c r="AV225" s="54">
        <v>0</v>
      </c>
      <c r="AW225" s="54">
        <v>0</v>
      </c>
      <c r="AX225" s="54">
        <v>0</v>
      </c>
      <c r="AY225" s="54">
        <v>0</v>
      </c>
      <c r="AZ225" s="54">
        <v>0</v>
      </c>
      <c r="BA225" s="54">
        <v>0</v>
      </c>
      <c r="BB225" s="54">
        <v>0</v>
      </c>
      <c r="BC225" s="54">
        <v>0</v>
      </c>
      <c r="BD225" s="54">
        <v>0</v>
      </c>
      <c r="BE225" s="54">
        <v>0</v>
      </c>
      <c r="BF225" s="54">
        <v>0</v>
      </c>
      <c r="BG225" s="54">
        <v>0</v>
      </c>
      <c r="BH225" s="54">
        <v>0</v>
      </c>
      <c r="BK225" s="104" t="str">
        <f>$V$69</f>
        <v>Charelle</v>
      </c>
      <c r="BL225" s="108">
        <v>0</v>
      </c>
      <c r="BM225" s="108">
        <v>0</v>
      </c>
      <c r="BN225" s="108">
        <v>0</v>
      </c>
      <c r="BO225" s="108">
        <v>0</v>
      </c>
      <c r="BP225" s="108">
        <v>0</v>
      </c>
      <c r="BQ225" s="108">
        <v>0</v>
      </c>
      <c r="BR225" s="108">
        <v>0</v>
      </c>
      <c r="BS225" s="108">
        <v>0</v>
      </c>
      <c r="BT225" s="108">
        <v>0</v>
      </c>
      <c r="BU225" s="108">
        <v>0</v>
      </c>
      <c r="BV225" s="108">
        <v>0</v>
      </c>
      <c r="BW225" s="108">
        <v>0</v>
      </c>
      <c r="BX225" s="108">
        <v>0</v>
      </c>
      <c r="BY225" s="108">
        <v>0</v>
      </c>
      <c r="BZ225" s="108">
        <v>0</v>
      </c>
      <c r="CA225" s="108">
        <v>0</v>
      </c>
      <c r="CB225" s="108">
        <v>0</v>
      </c>
    </row>
    <row r="226" spans="4:80" x14ac:dyDescent="0.55000000000000004">
      <c r="D226" s="104" t="str">
        <f>$V$53</f>
        <v>Jennifer</v>
      </c>
      <c r="E226" s="104">
        <f t="shared" ref="E226:E265" si="90">SUM(AR34:BH34)</f>
        <v>4</v>
      </c>
      <c r="F226" s="104">
        <f t="shared" ref="F226:F265" si="91">SUM(AR74:BH74)</f>
        <v>3</v>
      </c>
      <c r="G226" s="104">
        <f t="shared" ref="G226:G265" si="92">SUM(AR114:BH114)</f>
        <v>2</v>
      </c>
      <c r="H226" s="104">
        <f t="shared" ref="H226:H265" si="93">SUM(AR154:BH154)</f>
        <v>0</v>
      </c>
      <c r="I226" s="104">
        <f t="shared" ref="I226:I265" si="94">SUM(AR194:BH194)</f>
        <v>3</v>
      </c>
      <c r="J226" s="104">
        <f t="shared" ref="J226:J265" si="95">SUM(AR234:BH234)</f>
        <v>0</v>
      </c>
      <c r="K226" s="104">
        <f t="shared" ref="K226:K265" si="96">SUM(AR274:BH274)</f>
        <v>0</v>
      </c>
      <c r="L226" s="104">
        <f t="shared" ref="L226:L265" si="97">SUM(AR314:BH314)</f>
        <v>0</v>
      </c>
      <c r="M226" s="104">
        <f t="shared" ref="M226:M265" si="98">SUM(AR354:BH354)</f>
        <v>0</v>
      </c>
      <c r="N226" s="104">
        <f t="shared" ref="N226:N265" si="99">SUM(AR394:BH394)</f>
        <v>0</v>
      </c>
      <c r="O226" s="104">
        <f t="shared" ref="O226:O265" si="100">SUM(AR434:BH434)</f>
        <v>0</v>
      </c>
      <c r="P226" s="104">
        <f t="shared" ref="P226:P265" si="101">SUM(AR474:BH474)</f>
        <v>0</v>
      </c>
      <c r="Q226" s="104">
        <f t="shared" ref="Q226:Q265" si="102">SUM(AR514:BH514)</f>
        <v>0</v>
      </c>
      <c r="R226" s="104">
        <f t="shared" ref="R226:R265" si="103">SUM(AR554:BH554)</f>
        <v>0</v>
      </c>
      <c r="S226" s="104">
        <f t="shared" ref="S226:S265" si="104">SUM(AR594:BH594)</f>
        <v>0</v>
      </c>
      <c r="T226" s="28" t="s">
        <v>18</v>
      </c>
      <c r="V226" s="104" t="str">
        <f>$V$53</f>
        <v>Jennifer</v>
      </c>
      <c r="W226" s="104">
        <f t="shared" ref="W226:AK226" si="105">W98*$AN53</f>
        <v>12</v>
      </c>
      <c r="X226" s="104">
        <f t="shared" si="105"/>
        <v>12</v>
      </c>
      <c r="Y226" s="104">
        <f t="shared" si="105"/>
        <v>12</v>
      </c>
      <c r="Z226" s="104">
        <f t="shared" si="105"/>
        <v>12</v>
      </c>
      <c r="AA226" s="104">
        <f t="shared" si="105"/>
        <v>12</v>
      </c>
      <c r="AB226" s="104">
        <f t="shared" si="105"/>
        <v>12</v>
      </c>
      <c r="AC226" s="104">
        <f t="shared" si="105"/>
        <v>12</v>
      </c>
      <c r="AD226" s="104">
        <f t="shared" si="105"/>
        <v>12</v>
      </c>
      <c r="AE226" s="104">
        <f t="shared" si="105"/>
        <v>12</v>
      </c>
      <c r="AF226" s="104">
        <f t="shared" si="105"/>
        <v>12</v>
      </c>
      <c r="AG226" s="104">
        <f t="shared" si="105"/>
        <v>12</v>
      </c>
      <c r="AH226" s="104">
        <f t="shared" si="105"/>
        <v>12</v>
      </c>
      <c r="AI226" s="104">
        <f t="shared" si="105"/>
        <v>12</v>
      </c>
      <c r="AJ226" s="104">
        <f t="shared" si="105"/>
        <v>12</v>
      </c>
      <c r="AK226" s="104">
        <f t="shared" si="105"/>
        <v>12</v>
      </c>
      <c r="AQ226" s="104" t="str">
        <f>$V$85</f>
        <v>-</v>
      </c>
      <c r="AR226" s="54">
        <v>0</v>
      </c>
      <c r="AS226" s="54">
        <v>0</v>
      </c>
      <c r="AT226" s="54">
        <v>0</v>
      </c>
      <c r="AU226" s="54">
        <v>0</v>
      </c>
      <c r="AV226" s="54">
        <v>0</v>
      </c>
      <c r="AW226" s="54">
        <v>0</v>
      </c>
      <c r="AX226" s="54">
        <v>0</v>
      </c>
      <c r="AY226" s="54">
        <v>0</v>
      </c>
      <c r="AZ226" s="54">
        <v>0</v>
      </c>
      <c r="BA226" s="54">
        <v>0</v>
      </c>
      <c r="BB226" s="54">
        <v>0</v>
      </c>
      <c r="BC226" s="54">
        <v>0</v>
      </c>
      <c r="BD226" s="54">
        <v>0</v>
      </c>
      <c r="BE226" s="54">
        <v>0</v>
      </c>
      <c r="BF226" s="54">
        <v>0</v>
      </c>
      <c r="BG226" s="54">
        <v>0</v>
      </c>
      <c r="BH226" s="54">
        <v>0</v>
      </c>
      <c r="BK226" s="104" t="str">
        <f>$V$70</f>
        <v>Dimitri</v>
      </c>
      <c r="BL226" s="108">
        <v>0</v>
      </c>
      <c r="BM226" s="108">
        <v>0</v>
      </c>
      <c r="BN226" s="108">
        <v>0</v>
      </c>
      <c r="BO226" s="108">
        <v>0</v>
      </c>
      <c r="BP226" s="108">
        <v>0</v>
      </c>
      <c r="BQ226" s="108">
        <v>0</v>
      </c>
      <c r="BR226" s="108">
        <v>0</v>
      </c>
      <c r="BS226" s="108">
        <v>0</v>
      </c>
      <c r="BT226" s="108">
        <v>0</v>
      </c>
      <c r="BU226" s="108">
        <v>0</v>
      </c>
      <c r="BV226" s="108">
        <v>0</v>
      </c>
      <c r="BW226" s="108">
        <v>0</v>
      </c>
      <c r="BX226" s="108">
        <v>0</v>
      </c>
      <c r="BY226" s="108">
        <v>0</v>
      </c>
      <c r="BZ226" s="108">
        <v>0</v>
      </c>
      <c r="CA226" s="108">
        <v>0</v>
      </c>
      <c r="CB226" s="108">
        <v>0</v>
      </c>
    </row>
    <row r="227" spans="4:80" x14ac:dyDescent="0.55000000000000004">
      <c r="D227" s="104" t="str">
        <f>$V$54</f>
        <v>Galileo</v>
      </c>
      <c r="E227" s="104">
        <f t="shared" si="90"/>
        <v>1</v>
      </c>
      <c r="F227" s="104">
        <f t="shared" si="91"/>
        <v>1</v>
      </c>
      <c r="G227" s="104">
        <f t="shared" si="92"/>
        <v>3</v>
      </c>
      <c r="H227" s="104">
        <f t="shared" si="93"/>
        <v>4</v>
      </c>
      <c r="I227" s="104">
        <f t="shared" si="94"/>
        <v>2</v>
      </c>
      <c r="J227" s="104">
        <f t="shared" si="95"/>
        <v>0</v>
      </c>
      <c r="K227" s="104">
        <f t="shared" si="96"/>
        <v>0</v>
      </c>
      <c r="L227" s="104">
        <f t="shared" si="97"/>
        <v>1</v>
      </c>
      <c r="M227" s="104">
        <f t="shared" si="98"/>
        <v>0</v>
      </c>
      <c r="N227" s="104">
        <f t="shared" si="99"/>
        <v>0</v>
      </c>
      <c r="O227" s="104">
        <f t="shared" si="100"/>
        <v>0</v>
      </c>
      <c r="P227" s="104">
        <f t="shared" si="101"/>
        <v>0</v>
      </c>
      <c r="Q227" s="104">
        <f t="shared" si="102"/>
        <v>0</v>
      </c>
      <c r="R227" s="104">
        <f t="shared" si="103"/>
        <v>0</v>
      </c>
      <c r="S227" s="104">
        <f t="shared" si="104"/>
        <v>0</v>
      </c>
      <c r="T227" s="28" t="s">
        <v>18</v>
      </c>
      <c r="V227" s="104" t="str">
        <f>$V$54</f>
        <v>Galileo</v>
      </c>
      <c r="W227" s="104">
        <f t="shared" ref="W227:AK227" si="106">W99*$AN54</f>
        <v>12</v>
      </c>
      <c r="X227" s="104">
        <f t="shared" si="106"/>
        <v>12</v>
      </c>
      <c r="Y227" s="104">
        <f t="shared" si="106"/>
        <v>12</v>
      </c>
      <c r="Z227" s="104">
        <f t="shared" si="106"/>
        <v>12</v>
      </c>
      <c r="AA227" s="104">
        <f t="shared" si="106"/>
        <v>12</v>
      </c>
      <c r="AB227" s="104">
        <f t="shared" si="106"/>
        <v>12</v>
      </c>
      <c r="AC227" s="104">
        <f t="shared" si="106"/>
        <v>12</v>
      </c>
      <c r="AD227" s="104">
        <f t="shared" si="106"/>
        <v>12</v>
      </c>
      <c r="AE227" s="104">
        <f t="shared" si="106"/>
        <v>12</v>
      </c>
      <c r="AF227" s="104">
        <f t="shared" si="106"/>
        <v>12</v>
      </c>
      <c r="AG227" s="104">
        <f t="shared" si="106"/>
        <v>12</v>
      </c>
      <c r="AH227" s="104">
        <f t="shared" si="106"/>
        <v>12</v>
      </c>
      <c r="AI227" s="104">
        <f t="shared" si="106"/>
        <v>12</v>
      </c>
      <c r="AJ227" s="104">
        <f t="shared" si="106"/>
        <v>12</v>
      </c>
      <c r="AK227" s="104">
        <f t="shared" si="106"/>
        <v>12</v>
      </c>
      <c r="AM227" s="108"/>
      <c r="AQ227" s="104" t="str">
        <f>$V$86</f>
        <v>-</v>
      </c>
      <c r="AR227" s="54">
        <v>0</v>
      </c>
      <c r="AS227" s="54">
        <v>0</v>
      </c>
      <c r="AT227" s="54">
        <v>0</v>
      </c>
      <c r="AU227" s="54">
        <v>0</v>
      </c>
      <c r="AV227" s="54">
        <v>0</v>
      </c>
      <c r="AW227" s="54">
        <v>0</v>
      </c>
      <c r="AX227" s="54">
        <v>0</v>
      </c>
      <c r="AY227" s="54">
        <v>0</v>
      </c>
      <c r="AZ227" s="54">
        <v>0</v>
      </c>
      <c r="BA227" s="54">
        <v>0</v>
      </c>
      <c r="BB227" s="54">
        <v>0</v>
      </c>
      <c r="BC227" s="54">
        <v>0</v>
      </c>
      <c r="BD227" s="54">
        <v>0</v>
      </c>
      <c r="BE227" s="54">
        <v>0</v>
      </c>
      <c r="BF227" s="54">
        <v>0</v>
      </c>
      <c r="BG227" s="54">
        <v>0</v>
      </c>
      <c r="BH227" s="54">
        <v>0</v>
      </c>
      <c r="BK227" s="104" t="str">
        <f>$V$71</f>
        <v>Marina</v>
      </c>
      <c r="BL227" s="108">
        <v>0</v>
      </c>
      <c r="BM227" s="108">
        <v>0</v>
      </c>
      <c r="BN227" s="108">
        <v>0</v>
      </c>
      <c r="BO227" s="108">
        <v>0</v>
      </c>
      <c r="BP227" s="108">
        <v>0</v>
      </c>
      <c r="BQ227" s="108">
        <v>0</v>
      </c>
      <c r="BR227" s="108">
        <v>0</v>
      </c>
      <c r="BS227" s="108">
        <v>0</v>
      </c>
      <c r="BT227" s="108">
        <v>0</v>
      </c>
      <c r="BU227" s="108">
        <v>0</v>
      </c>
      <c r="BV227" s="108">
        <v>0</v>
      </c>
      <c r="BW227" s="108">
        <v>0</v>
      </c>
      <c r="BX227" s="108">
        <v>0</v>
      </c>
      <c r="BY227" s="108">
        <v>0</v>
      </c>
      <c r="BZ227" s="108">
        <v>0</v>
      </c>
      <c r="CA227" s="108">
        <v>0</v>
      </c>
      <c r="CB227" s="108">
        <v>0</v>
      </c>
    </row>
    <row r="228" spans="4:80" x14ac:dyDescent="0.55000000000000004">
      <c r="D228" s="104" t="str">
        <f>$V$55</f>
        <v>Óscar</v>
      </c>
      <c r="E228" s="104">
        <f t="shared" si="90"/>
        <v>1</v>
      </c>
      <c r="F228" s="104">
        <f t="shared" si="91"/>
        <v>1</v>
      </c>
      <c r="G228" s="104">
        <f t="shared" si="92"/>
        <v>1</v>
      </c>
      <c r="H228" s="104">
        <f t="shared" si="93"/>
        <v>3</v>
      </c>
      <c r="I228" s="104">
        <f t="shared" si="94"/>
        <v>2</v>
      </c>
      <c r="J228" s="104">
        <f t="shared" si="95"/>
        <v>0</v>
      </c>
      <c r="K228" s="104">
        <f t="shared" si="96"/>
        <v>0</v>
      </c>
      <c r="L228" s="104">
        <f t="shared" si="97"/>
        <v>1</v>
      </c>
      <c r="M228" s="104">
        <f t="shared" si="98"/>
        <v>1</v>
      </c>
      <c r="N228" s="104">
        <f t="shared" si="99"/>
        <v>0</v>
      </c>
      <c r="O228" s="104">
        <f t="shared" si="100"/>
        <v>0</v>
      </c>
      <c r="P228" s="104">
        <f t="shared" si="101"/>
        <v>1</v>
      </c>
      <c r="Q228" s="104">
        <f t="shared" si="102"/>
        <v>1</v>
      </c>
      <c r="R228" s="104">
        <f t="shared" si="103"/>
        <v>0</v>
      </c>
      <c r="S228" s="104">
        <f t="shared" si="104"/>
        <v>0</v>
      </c>
      <c r="T228" s="28" t="s">
        <v>18</v>
      </c>
      <c r="V228" s="104" t="str">
        <f>$V$55</f>
        <v>Óscar</v>
      </c>
      <c r="W228" s="104">
        <f t="shared" ref="W228:AK228" si="107">W100*$AN55</f>
        <v>12</v>
      </c>
      <c r="X228" s="104">
        <f t="shared" si="107"/>
        <v>12</v>
      </c>
      <c r="Y228" s="104">
        <f t="shared" si="107"/>
        <v>12</v>
      </c>
      <c r="Z228" s="104">
        <f t="shared" si="107"/>
        <v>12</v>
      </c>
      <c r="AA228" s="104">
        <f t="shared" si="107"/>
        <v>12</v>
      </c>
      <c r="AB228" s="104">
        <f t="shared" si="107"/>
        <v>12</v>
      </c>
      <c r="AC228" s="104">
        <f t="shared" si="107"/>
        <v>12</v>
      </c>
      <c r="AD228" s="104">
        <f t="shared" si="107"/>
        <v>12</v>
      </c>
      <c r="AE228" s="104">
        <f t="shared" si="107"/>
        <v>12</v>
      </c>
      <c r="AF228" s="104">
        <f t="shared" si="107"/>
        <v>12</v>
      </c>
      <c r="AG228" s="104">
        <f t="shared" si="107"/>
        <v>12</v>
      </c>
      <c r="AH228" s="104">
        <f t="shared" si="107"/>
        <v>12</v>
      </c>
      <c r="AI228" s="104">
        <f t="shared" si="107"/>
        <v>12</v>
      </c>
      <c r="AJ228" s="104">
        <f t="shared" si="107"/>
        <v>12</v>
      </c>
      <c r="AK228" s="104">
        <f t="shared" si="107"/>
        <v>12</v>
      </c>
      <c r="AM228" s="108"/>
      <c r="AQ228" s="104" t="str">
        <f>$V$87</f>
        <v>-</v>
      </c>
      <c r="AR228" s="54">
        <v>0</v>
      </c>
      <c r="AS228" s="54">
        <v>0</v>
      </c>
      <c r="AT228" s="54">
        <v>0</v>
      </c>
      <c r="AU228" s="54">
        <v>0</v>
      </c>
      <c r="AV228" s="54">
        <v>0</v>
      </c>
      <c r="AW228" s="54">
        <v>0</v>
      </c>
      <c r="AX228" s="54">
        <v>0</v>
      </c>
      <c r="AY228" s="54">
        <v>0</v>
      </c>
      <c r="AZ228" s="54">
        <v>0</v>
      </c>
      <c r="BA228" s="54">
        <v>0</v>
      </c>
      <c r="BB228" s="54">
        <v>0</v>
      </c>
      <c r="BC228" s="54">
        <v>0</v>
      </c>
      <c r="BD228" s="54">
        <v>0</v>
      </c>
      <c r="BE228" s="54">
        <v>0</v>
      </c>
      <c r="BF228" s="54">
        <v>0</v>
      </c>
      <c r="BG228" s="54">
        <v>0</v>
      </c>
      <c r="BH228" s="54">
        <v>0</v>
      </c>
      <c r="BK228" s="104" t="str">
        <f>$V$72</f>
        <v>Michel</v>
      </c>
      <c r="BL228" s="108">
        <v>0</v>
      </c>
      <c r="BM228" s="108">
        <v>0</v>
      </c>
      <c r="BN228" s="108">
        <v>0</v>
      </c>
      <c r="BO228" s="108">
        <v>0</v>
      </c>
      <c r="BP228" s="108">
        <v>0</v>
      </c>
      <c r="BQ228" s="108">
        <v>0</v>
      </c>
      <c r="BR228" s="108">
        <v>0</v>
      </c>
      <c r="BS228" s="108">
        <v>0</v>
      </c>
      <c r="BT228" s="108">
        <v>0</v>
      </c>
      <c r="BU228" s="108">
        <v>0</v>
      </c>
      <c r="BV228" s="108">
        <v>0</v>
      </c>
      <c r="BW228" s="108">
        <v>0</v>
      </c>
      <c r="BX228" s="108">
        <v>0</v>
      </c>
      <c r="BY228" s="108">
        <v>0</v>
      </c>
      <c r="BZ228" s="108">
        <v>0</v>
      </c>
      <c r="CA228" s="108">
        <v>0</v>
      </c>
      <c r="CB228" s="108">
        <v>0</v>
      </c>
    </row>
    <row r="229" spans="4:80" x14ac:dyDescent="0.55000000000000004">
      <c r="D229" s="104" t="str">
        <f>$V$56</f>
        <v>Sebastián</v>
      </c>
      <c r="E229" s="104">
        <f t="shared" si="90"/>
        <v>0</v>
      </c>
      <c r="F229" s="104">
        <f t="shared" si="91"/>
        <v>3</v>
      </c>
      <c r="G229" s="104">
        <f t="shared" si="92"/>
        <v>2</v>
      </c>
      <c r="H229" s="104">
        <f t="shared" si="93"/>
        <v>2</v>
      </c>
      <c r="I229" s="104">
        <f t="shared" si="94"/>
        <v>2</v>
      </c>
      <c r="J229" s="104">
        <f t="shared" si="95"/>
        <v>0</v>
      </c>
      <c r="K229" s="104">
        <f t="shared" si="96"/>
        <v>0</v>
      </c>
      <c r="L229" s="104">
        <f t="shared" si="97"/>
        <v>1</v>
      </c>
      <c r="M229" s="104">
        <f t="shared" si="98"/>
        <v>0</v>
      </c>
      <c r="N229" s="104">
        <f t="shared" si="99"/>
        <v>0</v>
      </c>
      <c r="O229" s="104">
        <f t="shared" si="100"/>
        <v>0</v>
      </c>
      <c r="P229" s="104">
        <f t="shared" si="101"/>
        <v>1</v>
      </c>
      <c r="Q229" s="104">
        <f t="shared" si="102"/>
        <v>0</v>
      </c>
      <c r="R229" s="104">
        <f t="shared" si="103"/>
        <v>0</v>
      </c>
      <c r="S229" s="104">
        <f t="shared" si="104"/>
        <v>1</v>
      </c>
      <c r="T229" s="28" t="s">
        <v>18</v>
      </c>
      <c r="V229" s="104" t="str">
        <f>$V$56</f>
        <v>Sebastián</v>
      </c>
      <c r="W229" s="104">
        <f t="shared" ref="W229:AK229" si="108">W101*$AN56</f>
        <v>12</v>
      </c>
      <c r="X229" s="104">
        <f t="shared" si="108"/>
        <v>12</v>
      </c>
      <c r="Y229" s="104">
        <f t="shared" si="108"/>
        <v>12</v>
      </c>
      <c r="Z229" s="104">
        <f t="shared" si="108"/>
        <v>12</v>
      </c>
      <c r="AA229" s="104">
        <f t="shared" si="108"/>
        <v>12</v>
      </c>
      <c r="AB229" s="104">
        <f t="shared" si="108"/>
        <v>12</v>
      </c>
      <c r="AC229" s="104">
        <f t="shared" si="108"/>
        <v>12</v>
      </c>
      <c r="AD229" s="104">
        <f t="shared" si="108"/>
        <v>12</v>
      </c>
      <c r="AE229" s="104">
        <f t="shared" si="108"/>
        <v>12</v>
      </c>
      <c r="AF229" s="104">
        <f t="shared" si="108"/>
        <v>12</v>
      </c>
      <c r="AG229" s="104">
        <f t="shared" si="108"/>
        <v>12</v>
      </c>
      <c r="AH229" s="104">
        <f t="shared" si="108"/>
        <v>12</v>
      </c>
      <c r="AI229" s="104">
        <f t="shared" si="108"/>
        <v>12</v>
      </c>
      <c r="AJ229" s="104">
        <f t="shared" si="108"/>
        <v>12</v>
      </c>
      <c r="AK229" s="104">
        <f t="shared" si="108"/>
        <v>12</v>
      </c>
      <c r="AM229" s="108"/>
      <c r="AQ229" s="104" t="str">
        <f>$V$88</f>
        <v>-</v>
      </c>
      <c r="AR229" s="54">
        <v>0</v>
      </c>
      <c r="AS229" s="54">
        <v>0</v>
      </c>
      <c r="AT229" s="54">
        <v>0</v>
      </c>
      <c r="AU229" s="54">
        <v>0</v>
      </c>
      <c r="AV229" s="54">
        <v>0</v>
      </c>
      <c r="AW229" s="54">
        <v>0</v>
      </c>
      <c r="AX229" s="54">
        <v>0</v>
      </c>
      <c r="AY229" s="54">
        <v>0</v>
      </c>
      <c r="AZ229" s="54">
        <v>0</v>
      </c>
      <c r="BA229" s="54">
        <v>0</v>
      </c>
      <c r="BB229" s="54">
        <v>0</v>
      </c>
      <c r="BC229" s="54">
        <v>0</v>
      </c>
      <c r="BD229" s="54">
        <v>0</v>
      </c>
      <c r="BE229" s="54">
        <v>0</v>
      </c>
      <c r="BF229" s="54">
        <v>0</v>
      </c>
      <c r="BG229" s="54">
        <v>0</v>
      </c>
      <c r="BH229" s="54">
        <v>0</v>
      </c>
      <c r="BK229" s="104" t="str">
        <f>$V$73</f>
        <v>Nour</v>
      </c>
      <c r="BL229" s="108">
        <v>0</v>
      </c>
      <c r="BM229" s="108">
        <v>0</v>
      </c>
      <c r="BN229" s="108">
        <v>0</v>
      </c>
      <c r="BO229" s="108">
        <v>0</v>
      </c>
      <c r="BP229" s="108">
        <v>0</v>
      </c>
      <c r="BQ229" s="108">
        <v>0</v>
      </c>
      <c r="BR229" s="108">
        <v>0</v>
      </c>
      <c r="BS229" s="108">
        <v>0</v>
      </c>
      <c r="BT229" s="108">
        <v>0</v>
      </c>
      <c r="BU229" s="108">
        <v>0</v>
      </c>
      <c r="BV229" s="108">
        <v>0</v>
      </c>
      <c r="BW229" s="108">
        <v>0</v>
      </c>
      <c r="BX229" s="108">
        <v>0</v>
      </c>
      <c r="BY229" s="108">
        <v>0</v>
      </c>
      <c r="BZ229" s="108">
        <v>0</v>
      </c>
      <c r="CA229" s="108">
        <v>0</v>
      </c>
      <c r="CB229" s="108">
        <v>0</v>
      </c>
    </row>
    <row r="230" spans="4:80" x14ac:dyDescent="0.55000000000000004">
      <c r="D230" s="104" t="str">
        <f>$V$57</f>
        <v>Marcos</v>
      </c>
      <c r="E230" s="104">
        <f t="shared" si="90"/>
        <v>1</v>
      </c>
      <c r="F230" s="104">
        <f t="shared" si="91"/>
        <v>1</v>
      </c>
      <c r="G230" s="104">
        <f t="shared" si="92"/>
        <v>2</v>
      </c>
      <c r="H230" s="104">
        <f t="shared" si="93"/>
        <v>2</v>
      </c>
      <c r="I230" s="104">
        <f t="shared" si="94"/>
        <v>2</v>
      </c>
      <c r="J230" s="104">
        <f t="shared" si="95"/>
        <v>0</v>
      </c>
      <c r="K230" s="104">
        <f t="shared" si="96"/>
        <v>0</v>
      </c>
      <c r="L230" s="104">
        <f t="shared" si="97"/>
        <v>0</v>
      </c>
      <c r="M230" s="104">
        <f t="shared" si="98"/>
        <v>0</v>
      </c>
      <c r="N230" s="104">
        <f t="shared" si="99"/>
        <v>0</v>
      </c>
      <c r="O230" s="104">
        <f t="shared" si="100"/>
        <v>1</v>
      </c>
      <c r="P230" s="104">
        <f t="shared" si="101"/>
        <v>2</v>
      </c>
      <c r="Q230" s="104">
        <f t="shared" si="102"/>
        <v>0</v>
      </c>
      <c r="R230" s="104">
        <f t="shared" si="103"/>
        <v>0</v>
      </c>
      <c r="S230" s="104">
        <f t="shared" si="104"/>
        <v>1</v>
      </c>
      <c r="T230" s="28" t="s">
        <v>18</v>
      </c>
      <c r="V230" s="104" t="str">
        <f>$V$57</f>
        <v>Marcos</v>
      </c>
      <c r="W230" s="104">
        <f t="shared" ref="W230:AK230" si="109">W102*$AN57</f>
        <v>12</v>
      </c>
      <c r="X230" s="104">
        <f t="shared" si="109"/>
        <v>12</v>
      </c>
      <c r="Y230" s="104">
        <f t="shared" si="109"/>
        <v>12</v>
      </c>
      <c r="Z230" s="104">
        <f t="shared" si="109"/>
        <v>12</v>
      </c>
      <c r="AA230" s="104">
        <f t="shared" si="109"/>
        <v>12</v>
      </c>
      <c r="AB230" s="104">
        <f t="shared" si="109"/>
        <v>12</v>
      </c>
      <c r="AC230" s="104">
        <f t="shared" si="109"/>
        <v>12</v>
      </c>
      <c r="AD230" s="104">
        <f t="shared" si="109"/>
        <v>12</v>
      </c>
      <c r="AE230" s="104">
        <f t="shared" si="109"/>
        <v>12</v>
      </c>
      <c r="AF230" s="104">
        <f t="shared" si="109"/>
        <v>12</v>
      </c>
      <c r="AG230" s="104">
        <f t="shared" si="109"/>
        <v>12</v>
      </c>
      <c r="AH230" s="104">
        <f t="shared" si="109"/>
        <v>12</v>
      </c>
      <c r="AI230" s="104">
        <f t="shared" si="109"/>
        <v>12</v>
      </c>
      <c r="AJ230" s="104">
        <f t="shared" si="109"/>
        <v>12</v>
      </c>
      <c r="AK230" s="104">
        <f t="shared" si="109"/>
        <v>12</v>
      </c>
      <c r="AM230" s="108"/>
      <c r="AQ230" s="104" t="str">
        <f>$V$89</f>
        <v>-</v>
      </c>
      <c r="AR230" s="54">
        <v>0</v>
      </c>
      <c r="AS230" s="54">
        <v>0</v>
      </c>
      <c r="AT230" s="54">
        <v>0</v>
      </c>
      <c r="AU230" s="54">
        <v>0</v>
      </c>
      <c r="AV230" s="54">
        <v>0</v>
      </c>
      <c r="AW230" s="54">
        <v>0</v>
      </c>
      <c r="AX230" s="54">
        <v>0</v>
      </c>
      <c r="AY230" s="54">
        <v>0</v>
      </c>
      <c r="AZ230" s="54">
        <v>0</v>
      </c>
      <c r="BA230" s="54">
        <v>0</v>
      </c>
      <c r="BB230" s="54">
        <v>0</v>
      </c>
      <c r="BC230" s="54">
        <v>0</v>
      </c>
      <c r="BD230" s="54">
        <v>0</v>
      </c>
      <c r="BE230" s="54">
        <v>0</v>
      </c>
      <c r="BF230" s="54">
        <v>0</v>
      </c>
      <c r="BG230" s="54">
        <v>0</v>
      </c>
      <c r="BH230" s="54">
        <v>0</v>
      </c>
      <c r="BK230" s="104" t="str">
        <f>$V$74</f>
        <v>Samuel</v>
      </c>
      <c r="BL230" s="108">
        <v>0</v>
      </c>
      <c r="BM230" s="108">
        <v>0</v>
      </c>
      <c r="BN230" s="108">
        <v>0</v>
      </c>
      <c r="BO230" s="108">
        <v>0</v>
      </c>
      <c r="BP230" s="108">
        <v>0</v>
      </c>
      <c r="BQ230" s="108">
        <v>0</v>
      </c>
      <c r="BR230" s="108">
        <v>0</v>
      </c>
      <c r="BS230" s="108">
        <v>0</v>
      </c>
      <c r="BT230" s="108">
        <v>0</v>
      </c>
      <c r="BU230" s="108">
        <v>0</v>
      </c>
      <c r="BV230" s="108">
        <v>0</v>
      </c>
      <c r="BW230" s="108">
        <v>0</v>
      </c>
      <c r="BX230" s="108">
        <v>0</v>
      </c>
      <c r="BY230" s="108">
        <v>0</v>
      </c>
      <c r="BZ230" s="108">
        <v>0</v>
      </c>
      <c r="CA230" s="108">
        <v>0</v>
      </c>
      <c r="CB230" s="108">
        <v>0</v>
      </c>
    </row>
    <row r="231" spans="4:80" x14ac:dyDescent="0.55000000000000004">
      <c r="D231" s="104" t="str">
        <f>$V$58</f>
        <v>Weixin</v>
      </c>
      <c r="E231" s="104">
        <f t="shared" si="90"/>
        <v>1</v>
      </c>
      <c r="F231" s="104">
        <f t="shared" si="91"/>
        <v>3</v>
      </c>
      <c r="G231" s="104">
        <f t="shared" si="92"/>
        <v>0</v>
      </c>
      <c r="H231" s="104">
        <f t="shared" si="93"/>
        <v>1</v>
      </c>
      <c r="I231" s="104">
        <f t="shared" si="94"/>
        <v>3</v>
      </c>
      <c r="J231" s="104">
        <f t="shared" si="95"/>
        <v>0</v>
      </c>
      <c r="K231" s="104">
        <f t="shared" si="96"/>
        <v>1</v>
      </c>
      <c r="L231" s="104">
        <f t="shared" si="97"/>
        <v>1</v>
      </c>
      <c r="M231" s="104">
        <f t="shared" si="98"/>
        <v>1</v>
      </c>
      <c r="N231" s="104">
        <f t="shared" si="99"/>
        <v>0</v>
      </c>
      <c r="O231" s="104">
        <f t="shared" si="100"/>
        <v>1</v>
      </c>
      <c r="P231" s="104">
        <f t="shared" si="101"/>
        <v>0</v>
      </c>
      <c r="Q231" s="104">
        <f t="shared" si="102"/>
        <v>0</v>
      </c>
      <c r="R231" s="104">
        <f t="shared" si="103"/>
        <v>0</v>
      </c>
      <c r="S231" s="104">
        <f t="shared" si="104"/>
        <v>0</v>
      </c>
      <c r="T231" s="28" t="s">
        <v>18</v>
      </c>
      <c r="V231" s="104" t="str">
        <f>$V$58</f>
        <v>Weixin</v>
      </c>
      <c r="W231" s="104">
        <f t="shared" ref="W231:AK231" si="110">W103*$AN58</f>
        <v>12</v>
      </c>
      <c r="X231" s="104">
        <f t="shared" si="110"/>
        <v>12</v>
      </c>
      <c r="Y231" s="104">
        <f t="shared" si="110"/>
        <v>12</v>
      </c>
      <c r="Z231" s="104">
        <f t="shared" si="110"/>
        <v>12</v>
      </c>
      <c r="AA231" s="104">
        <f t="shared" si="110"/>
        <v>12</v>
      </c>
      <c r="AB231" s="104">
        <f t="shared" si="110"/>
        <v>12</v>
      </c>
      <c r="AC231" s="104">
        <f t="shared" si="110"/>
        <v>12</v>
      </c>
      <c r="AD231" s="104">
        <f t="shared" si="110"/>
        <v>12</v>
      </c>
      <c r="AE231" s="104">
        <f t="shared" si="110"/>
        <v>12</v>
      </c>
      <c r="AF231" s="104">
        <f t="shared" si="110"/>
        <v>12</v>
      </c>
      <c r="AG231" s="104">
        <f t="shared" si="110"/>
        <v>12</v>
      </c>
      <c r="AH231" s="104">
        <f t="shared" si="110"/>
        <v>12</v>
      </c>
      <c r="AI231" s="104">
        <f t="shared" si="110"/>
        <v>12</v>
      </c>
      <c r="AJ231" s="104">
        <f t="shared" si="110"/>
        <v>12</v>
      </c>
      <c r="AK231" s="104">
        <f t="shared" si="110"/>
        <v>12</v>
      </c>
      <c r="AM231" s="108"/>
      <c r="AQ231" s="104" t="str">
        <f>$V$90</f>
        <v>-</v>
      </c>
      <c r="AR231" s="54">
        <v>0</v>
      </c>
      <c r="AS231" s="54">
        <v>0</v>
      </c>
      <c r="AT231" s="54">
        <v>0</v>
      </c>
      <c r="AU231" s="54">
        <v>0</v>
      </c>
      <c r="AV231" s="54">
        <v>0</v>
      </c>
      <c r="AW231" s="54">
        <v>0</v>
      </c>
      <c r="AX231" s="54">
        <v>0</v>
      </c>
      <c r="AY231" s="54">
        <v>0</v>
      </c>
      <c r="AZ231" s="54">
        <v>0</v>
      </c>
      <c r="BA231" s="54">
        <v>0</v>
      </c>
      <c r="BB231" s="54">
        <v>0</v>
      </c>
      <c r="BC231" s="54">
        <v>0</v>
      </c>
      <c r="BD231" s="54">
        <v>0</v>
      </c>
      <c r="BE231" s="54">
        <v>0</v>
      </c>
      <c r="BF231" s="54">
        <v>0</v>
      </c>
      <c r="BG231" s="54">
        <v>0</v>
      </c>
      <c r="BH231" s="54">
        <v>0</v>
      </c>
      <c r="BK231" s="104" t="str">
        <f>$V$75</f>
        <v>Yassin</v>
      </c>
      <c r="BL231" s="108">
        <v>0</v>
      </c>
      <c r="BM231" s="108">
        <v>0</v>
      </c>
      <c r="BN231" s="108">
        <v>0</v>
      </c>
      <c r="BO231" s="108">
        <v>0</v>
      </c>
      <c r="BP231" s="108">
        <v>0</v>
      </c>
      <c r="BQ231" s="108">
        <v>0</v>
      </c>
      <c r="BR231" s="108">
        <v>0</v>
      </c>
      <c r="BS231" s="108">
        <v>0</v>
      </c>
      <c r="BT231" s="108">
        <v>0</v>
      </c>
      <c r="BU231" s="108">
        <v>0</v>
      </c>
      <c r="BV231" s="108">
        <v>0</v>
      </c>
      <c r="BW231" s="108">
        <v>0</v>
      </c>
      <c r="BX231" s="108">
        <v>0</v>
      </c>
      <c r="BY231" s="108">
        <v>0</v>
      </c>
      <c r="BZ231" s="108">
        <v>0</v>
      </c>
      <c r="CA231" s="108">
        <v>0</v>
      </c>
      <c r="CB231" s="108">
        <v>0</v>
      </c>
    </row>
    <row r="232" spans="4:80" x14ac:dyDescent="0.55000000000000004">
      <c r="D232" s="104" t="str">
        <f>$V$59</f>
        <v>Benjamin</v>
      </c>
      <c r="E232" s="104">
        <f t="shared" si="90"/>
        <v>4</v>
      </c>
      <c r="F232" s="104">
        <f t="shared" si="91"/>
        <v>0</v>
      </c>
      <c r="G232" s="104">
        <f t="shared" si="92"/>
        <v>2</v>
      </c>
      <c r="H232" s="104">
        <f t="shared" si="93"/>
        <v>2</v>
      </c>
      <c r="I232" s="104">
        <f t="shared" si="94"/>
        <v>0</v>
      </c>
      <c r="J232" s="104">
        <f t="shared" si="95"/>
        <v>0</v>
      </c>
      <c r="K232" s="104">
        <f t="shared" si="96"/>
        <v>1</v>
      </c>
      <c r="L232" s="104">
        <f t="shared" si="97"/>
        <v>0</v>
      </c>
      <c r="M232" s="104">
        <f t="shared" si="98"/>
        <v>0</v>
      </c>
      <c r="N232" s="104">
        <f t="shared" si="99"/>
        <v>0</v>
      </c>
      <c r="O232" s="104">
        <f t="shared" si="100"/>
        <v>2</v>
      </c>
      <c r="P232" s="104">
        <f t="shared" si="101"/>
        <v>0</v>
      </c>
      <c r="Q232" s="104">
        <f t="shared" si="102"/>
        <v>1</v>
      </c>
      <c r="R232" s="104">
        <f t="shared" si="103"/>
        <v>0</v>
      </c>
      <c r="S232" s="104">
        <f t="shared" si="104"/>
        <v>0</v>
      </c>
      <c r="T232" s="28" t="s">
        <v>18</v>
      </c>
      <c r="V232" s="104" t="str">
        <f>$V$59</f>
        <v>Benjamin</v>
      </c>
      <c r="W232" s="104">
        <f t="shared" ref="W232:AK232" si="111">W104*$AN59</f>
        <v>12</v>
      </c>
      <c r="X232" s="104">
        <f t="shared" si="111"/>
        <v>12</v>
      </c>
      <c r="Y232" s="104">
        <f t="shared" si="111"/>
        <v>12</v>
      </c>
      <c r="Z232" s="104">
        <f t="shared" si="111"/>
        <v>12</v>
      </c>
      <c r="AA232" s="104">
        <f t="shared" si="111"/>
        <v>12</v>
      </c>
      <c r="AB232" s="104">
        <f t="shared" si="111"/>
        <v>12</v>
      </c>
      <c r="AC232" s="104">
        <f t="shared" si="111"/>
        <v>12</v>
      </c>
      <c r="AD232" s="104">
        <f t="shared" si="111"/>
        <v>12</v>
      </c>
      <c r="AE232" s="104">
        <f t="shared" si="111"/>
        <v>12</v>
      </c>
      <c r="AF232" s="104">
        <f t="shared" si="111"/>
        <v>12</v>
      </c>
      <c r="AG232" s="104">
        <f t="shared" si="111"/>
        <v>12</v>
      </c>
      <c r="AH232" s="104">
        <f t="shared" si="111"/>
        <v>12</v>
      </c>
      <c r="AI232" s="104">
        <f t="shared" si="111"/>
        <v>12</v>
      </c>
      <c r="AJ232" s="104">
        <f t="shared" si="111"/>
        <v>12</v>
      </c>
      <c r="AK232" s="104">
        <f t="shared" si="111"/>
        <v>12</v>
      </c>
      <c r="AM232" s="108"/>
      <c r="AQ232" s="104" t="str">
        <f>$V$91</f>
        <v>-</v>
      </c>
      <c r="AR232" s="54">
        <v>0</v>
      </c>
      <c r="AS232" s="54">
        <v>0</v>
      </c>
      <c r="AT232" s="54">
        <v>0</v>
      </c>
      <c r="AU232" s="54">
        <v>0</v>
      </c>
      <c r="AV232" s="54">
        <v>0</v>
      </c>
      <c r="AW232" s="54">
        <v>0</v>
      </c>
      <c r="AX232" s="54">
        <v>0</v>
      </c>
      <c r="AY232" s="54">
        <v>0</v>
      </c>
      <c r="AZ232" s="54">
        <v>0</v>
      </c>
      <c r="BA232" s="54">
        <v>0</v>
      </c>
      <c r="BB232" s="54">
        <v>0</v>
      </c>
      <c r="BC232" s="54">
        <v>0</v>
      </c>
      <c r="BD232" s="54">
        <v>0</v>
      </c>
      <c r="BE232" s="54">
        <v>0</v>
      </c>
      <c r="BF232" s="54">
        <v>0</v>
      </c>
      <c r="BG232" s="54">
        <v>0</v>
      </c>
      <c r="BH232" s="54">
        <v>0</v>
      </c>
      <c r="BK232" s="104" t="str">
        <f>$V$76</f>
        <v>Kamar</v>
      </c>
      <c r="BL232" s="108">
        <v>0</v>
      </c>
      <c r="BM232" s="108">
        <v>0</v>
      </c>
      <c r="BN232" s="108">
        <v>0</v>
      </c>
      <c r="BO232" s="108">
        <v>0</v>
      </c>
      <c r="BP232" s="108">
        <v>0</v>
      </c>
      <c r="BQ232" s="108">
        <v>0</v>
      </c>
      <c r="BR232" s="108">
        <v>0</v>
      </c>
      <c r="BS232" s="108">
        <v>0</v>
      </c>
      <c r="BT232" s="108">
        <v>0</v>
      </c>
      <c r="BU232" s="108">
        <v>0</v>
      </c>
      <c r="BV232" s="108">
        <v>0</v>
      </c>
      <c r="BW232" s="108">
        <v>0</v>
      </c>
      <c r="BX232" s="108">
        <v>0</v>
      </c>
      <c r="BY232" s="108">
        <v>0</v>
      </c>
      <c r="BZ232" s="108">
        <v>0</v>
      </c>
      <c r="CA232" s="108">
        <v>0</v>
      </c>
      <c r="CB232" s="108">
        <v>0</v>
      </c>
    </row>
    <row r="233" spans="4:80" x14ac:dyDescent="0.55000000000000004">
      <c r="D233" s="104" t="str">
        <f>$V$60</f>
        <v>Joelle</v>
      </c>
      <c r="E233" s="104">
        <f t="shared" si="90"/>
        <v>0</v>
      </c>
      <c r="F233" s="104">
        <f t="shared" si="91"/>
        <v>0</v>
      </c>
      <c r="G233" s="104">
        <f t="shared" si="92"/>
        <v>0</v>
      </c>
      <c r="H233" s="104">
        <f t="shared" si="93"/>
        <v>0</v>
      </c>
      <c r="I233" s="104">
        <f t="shared" si="94"/>
        <v>0</v>
      </c>
      <c r="J233" s="104">
        <f t="shared" si="95"/>
        <v>0</v>
      </c>
      <c r="K233" s="104">
        <f t="shared" si="96"/>
        <v>0</v>
      </c>
      <c r="L233" s="104">
        <f t="shared" si="97"/>
        <v>0</v>
      </c>
      <c r="M233" s="104">
        <f t="shared" si="98"/>
        <v>0</v>
      </c>
      <c r="N233" s="104">
        <f t="shared" si="99"/>
        <v>0</v>
      </c>
      <c r="O233" s="104">
        <f t="shared" si="100"/>
        <v>0</v>
      </c>
      <c r="P233" s="104">
        <f t="shared" si="101"/>
        <v>0</v>
      </c>
      <c r="Q233" s="104">
        <f t="shared" si="102"/>
        <v>0</v>
      </c>
      <c r="R233" s="104">
        <f t="shared" si="103"/>
        <v>0</v>
      </c>
      <c r="S233" s="104">
        <f t="shared" si="104"/>
        <v>0</v>
      </c>
      <c r="T233" s="28" t="s">
        <v>18</v>
      </c>
      <c r="V233" s="104" t="str">
        <f>$V$60</f>
        <v>Joelle</v>
      </c>
      <c r="W233" s="104">
        <f t="shared" ref="W233:AK233" si="112">W105*$AN60</f>
        <v>0</v>
      </c>
      <c r="X233" s="104">
        <f t="shared" si="112"/>
        <v>0</v>
      </c>
      <c r="Y233" s="104">
        <f t="shared" si="112"/>
        <v>0</v>
      </c>
      <c r="Z233" s="104">
        <f t="shared" si="112"/>
        <v>0</v>
      </c>
      <c r="AA233" s="104">
        <f t="shared" si="112"/>
        <v>0</v>
      </c>
      <c r="AB233" s="104">
        <f t="shared" si="112"/>
        <v>0</v>
      </c>
      <c r="AC233" s="104">
        <f t="shared" si="112"/>
        <v>0</v>
      </c>
      <c r="AD233" s="104">
        <f t="shared" si="112"/>
        <v>0</v>
      </c>
      <c r="AE233" s="104">
        <f t="shared" si="112"/>
        <v>0</v>
      </c>
      <c r="AF233" s="104">
        <f t="shared" si="112"/>
        <v>0</v>
      </c>
      <c r="AG233" s="104">
        <f t="shared" si="112"/>
        <v>0</v>
      </c>
      <c r="AH233" s="104">
        <f t="shared" si="112"/>
        <v>0</v>
      </c>
      <c r="AI233" s="104">
        <f t="shared" si="112"/>
        <v>0</v>
      </c>
      <c r="AJ233" s="104">
        <f t="shared" si="112"/>
        <v>0</v>
      </c>
      <c r="AK233" s="104">
        <f t="shared" si="112"/>
        <v>0</v>
      </c>
      <c r="AM233" s="108"/>
      <c r="AQ233" s="104" t="str">
        <f>$V$92</f>
        <v>-</v>
      </c>
      <c r="AR233" s="54">
        <v>0</v>
      </c>
      <c r="AS233" s="54">
        <v>0</v>
      </c>
      <c r="AT233" s="54">
        <v>0</v>
      </c>
      <c r="AU233" s="54">
        <v>0</v>
      </c>
      <c r="AV233" s="54">
        <v>0</v>
      </c>
      <c r="AW233" s="54">
        <v>0</v>
      </c>
      <c r="AX233" s="54">
        <v>0</v>
      </c>
      <c r="AY233" s="54">
        <v>0</v>
      </c>
      <c r="AZ233" s="54">
        <v>0</v>
      </c>
      <c r="BA233" s="54">
        <v>0</v>
      </c>
      <c r="BB233" s="54">
        <v>0</v>
      </c>
      <c r="BC233" s="54">
        <v>0</v>
      </c>
      <c r="BD233" s="54">
        <v>0</v>
      </c>
      <c r="BE233" s="54">
        <v>0</v>
      </c>
      <c r="BF233" s="54">
        <v>0</v>
      </c>
      <c r="BG233" s="54">
        <v>0</v>
      </c>
      <c r="BH233" s="54">
        <v>0</v>
      </c>
      <c r="BK233" s="104" t="str">
        <f>$V$77</f>
        <v>-</v>
      </c>
      <c r="BL233" s="108">
        <v>0</v>
      </c>
      <c r="BM233" s="108">
        <v>0</v>
      </c>
      <c r="BN233" s="108">
        <v>0</v>
      </c>
      <c r="BO233" s="108">
        <v>0</v>
      </c>
      <c r="BP233" s="108">
        <v>0</v>
      </c>
      <c r="BQ233" s="108">
        <v>0</v>
      </c>
      <c r="BR233" s="108">
        <v>0</v>
      </c>
      <c r="BS233" s="108">
        <v>0</v>
      </c>
      <c r="BT233" s="108">
        <v>0</v>
      </c>
      <c r="BU233" s="108">
        <v>0</v>
      </c>
      <c r="BV233" s="108">
        <v>0</v>
      </c>
      <c r="BW233" s="108">
        <v>0</v>
      </c>
      <c r="BX233" s="108">
        <v>0</v>
      </c>
      <c r="BY233" s="108">
        <v>0</v>
      </c>
      <c r="BZ233" s="108">
        <v>0</v>
      </c>
      <c r="CA233" s="108">
        <v>0</v>
      </c>
      <c r="CB233" s="108">
        <v>0</v>
      </c>
    </row>
    <row r="234" spans="4:80" x14ac:dyDescent="0.55000000000000004">
      <c r="D234" s="104" t="str">
        <f>$V$61</f>
        <v>Alexia</v>
      </c>
      <c r="E234" s="104">
        <f t="shared" si="90"/>
        <v>0</v>
      </c>
      <c r="F234" s="104">
        <f t="shared" si="91"/>
        <v>0</v>
      </c>
      <c r="G234" s="104">
        <f t="shared" si="92"/>
        <v>0</v>
      </c>
      <c r="H234" s="104">
        <f t="shared" si="93"/>
        <v>0</v>
      </c>
      <c r="I234" s="104">
        <f t="shared" si="94"/>
        <v>0</v>
      </c>
      <c r="J234" s="104">
        <f t="shared" si="95"/>
        <v>0</v>
      </c>
      <c r="K234" s="104">
        <f t="shared" si="96"/>
        <v>0</v>
      </c>
      <c r="L234" s="104">
        <f t="shared" si="97"/>
        <v>0</v>
      </c>
      <c r="M234" s="104">
        <f t="shared" si="98"/>
        <v>0</v>
      </c>
      <c r="N234" s="104">
        <f t="shared" si="99"/>
        <v>0</v>
      </c>
      <c r="O234" s="104">
        <f t="shared" si="100"/>
        <v>0</v>
      </c>
      <c r="P234" s="104">
        <f t="shared" si="101"/>
        <v>0</v>
      </c>
      <c r="Q234" s="104">
        <f t="shared" si="102"/>
        <v>0</v>
      </c>
      <c r="R234" s="104">
        <f t="shared" si="103"/>
        <v>0</v>
      </c>
      <c r="S234" s="104">
        <f t="shared" si="104"/>
        <v>0</v>
      </c>
      <c r="T234" s="28" t="s">
        <v>18</v>
      </c>
      <c r="V234" s="104" t="str">
        <f>$V$61</f>
        <v>Alexia</v>
      </c>
      <c r="W234" s="104">
        <f t="shared" ref="W234:AK234" si="113">W106*$AN61</f>
        <v>0</v>
      </c>
      <c r="X234" s="104">
        <f t="shared" si="113"/>
        <v>0</v>
      </c>
      <c r="Y234" s="104">
        <f t="shared" si="113"/>
        <v>0</v>
      </c>
      <c r="Z234" s="104">
        <f t="shared" si="113"/>
        <v>0</v>
      </c>
      <c r="AA234" s="104">
        <f t="shared" si="113"/>
        <v>0</v>
      </c>
      <c r="AB234" s="104">
        <f t="shared" si="113"/>
        <v>0</v>
      </c>
      <c r="AC234" s="104">
        <f t="shared" si="113"/>
        <v>0</v>
      </c>
      <c r="AD234" s="104">
        <f t="shared" si="113"/>
        <v>0</v>
      </c>
      <c r="AE234" s="104">
        <f t="shared" si="113"/>
        <v>0</v>
      </c>
      <c r="AF234" s="104">
        <f t="shared" si="113"/>
        <v>0</v>
      </c>
      <c r="AG234" s="104">
        <f t="shared" si="113"/>
        <v>0</v>
      </c>
      <c r="AH234" s="104">
        <f t="shared" si="113"/>
        <v>0</v>
      </c>
      <c r="AI234" s="104">
        <f t="shared" si="113"/>
        <v>0</v>
      </c>
      <c r="AJ234" s="104">
        <f t="shared" si="113"/>
        <v>0</v>
      </c>
      <c r="AK234" s="104">
        <f t="shared" si="113"/>
        <v>0</v>
      </c>
      <c r="AM234" s="108"/>
      <c r="AP234" t="str">
        <f>$V$39</f>
        <v>Homing</v>
      </c>
      <c r="AQ234" s="104" t="str">
        <f>$V$53</f>
        <v>Jennifer</v>
      </c>
      <c r="AR234" s="54">
        <v>0</v>
      </c>
      <c r="AS234" s="54">
        <v>0</v>
      </c>
      <c r="AT234" s="54">
        <v>0</v>
      </c>
      <c r="AU234" s="54">
        <v>0</v>
      </c>
      <c r="AV234" s="54">
        <v>0</v>
      </c>
      <c r="AW234" s="54">
        <v>0</v>
      </c>
      <c r="AX234" s="54">
        <v>0</v>
      </c>
      <c r="AY234" s="54">
        <v>0</v>
      </c>
      <c r="AZ234" s="54">
        <v>0</v>
      </c>
      <c r="BA234" s="54">
        <v>0</v>
      </c>
      <c r="BB234" s="54">
        <v>0</v>
      </c>
      <c r="BC234" s="54">
        <v>0</v>
      </c>
      <c r="BD234" s="54">
        <v>0</v>
      </c>
      <c r="BE234" s="54">
        <v>0</v>
      </c>
      <c r="BF234" s="54">
        <v>0</v>
      </c>
      <c r="BG234" s="54">
        <v>0</v>
      </c>
      <c r="BH234" s="54">
        <v>0</v>
      </c>
      <c r="BK234" s="104" t="str">
        <f>$V$78</f>
        <v>-</v>
      </c>
      <c r="BL234" s="108">
        <v>0</v>
      </c>
      <c r="BM234" s="108">
        <v>0</v>
      </c>
      <c r="BN234" s="108">
        <v>0</v>
      </c>
      <c r="BO234" s="108">
        <v>0</v>
      </c>
      <c r="BP234" s="108">
        <v>0</v>
      </c>
      <c r="BQ234" s="108">
        <v>0</v>
      </c>
      <c r="BR234" s="108">
        <v>0</v>
      </c>
      <c r="BS234" s="108">
        <v>0</v>
      </c>
      <c r="BT234" s="108">
        <v>0</v>
      </c>
      <c r="BU234" s="108">
        <v>0</v>
      </c>
      <c r="BV234" s="108">
        <v>0</v>
      </c>
      <c r="BW234" s="108">
        <v>0</v>
      </c>
      <c r="BX234" s="108">
        <v>0</v>
      </c>
      <c r="BY234" s="108">
        <v>0</v>
      </c>
      <c r="BZ234" s="108">
        <v>0</v>
      </c>
      <c r="CA234" s="108">
        <v>0</v>
      </c>
      <c r="CB234" s="108">
        <v>0</v>
      </c>
    </row>
    <row r="235" spans="4:80" x14ac:dyDescent="0.55000000000000004">
      <c r="D235" s="104" t="str">
        <f>$V$62</f>
        <v>Joao</v>
      </c>
      <c r="E235" s="104">
        <f t="shared" si="90"/>
        <v>0</v>
      </c>
      <c r="F235" s="104">
        <f t="shared" si="91"/>
        <v>0</v>
      </c>
      <c r="G235" s="104">
        <f t="shared" si="92"/>
        <v>0</v>
      </c>
      <c r="H235" s="104">
        <f t="shared" si="93"/>
        <v>0</v>
      </c>
      <c r="I235" s="104">
        <f t="shared" si="94"/>
        <v>0</v>
      </c>
      <c r="J235" s="104">
        <f t="shared" si="95"/>
        <v>0</v>
      </c>
      <c r="K235" s="104">
        <f t="shared" si="96"/>
        <v>0</v>
      </c>
      <c r="L235" s="104">
        <f t="shared" si="97"/>
        <v>0</v>
      </c>
      <c r="M235" s="104">
        <f t="shared" si="98"/>
        <v>0</v>
      </c>
      <c r="N235" s="104">
        <f t="shared" si="99"/>
        <v>0</v>
      </c>
      <c r="O235" s="104">
        <f t="shared" si="100"/>
        <v>0</v>
      </c>
      <c r="P235" s="104">
        <f t="shared" si="101"/>
        <v>0</v>
      </c>
      <c r="Q235" s="104">
        <f t="shared" si="102"/>
        <v>0</v>
      </c>
      <c r="R235" s="104">
        <f t="shared" si="103"/>
        <v>0</v>
      </c>
      <c r="S235" s="104">
        <f t="shared" si="104"/>
        <v>0</v>
      </c>
      <c r="T235" s="28" t="s">
        <v>18</v>
      </c>
      <c r="V235" s="104" t="str">
        <f>$V$62</f>
        <v>Joao</v>
      </c>
      <c r="W235" s="104">
        <f t="shared" ref="W235:AK235" si="114">W107*$AN62</f>
        <v>0</v>
      </c>
      <c r="X235" s="104">
        <f t="shared" si="114"/>
        <v>0</v>
      </c>
      <c r="Y235" s="104">
        <f t="shared" si="114"/>
        <v>0</v>
      </c>
      <c r="Z235" s="104">
        <f t="shared" si="114"/>
        <v>0</v>
      </c>
      <c r="AA235" s="104">
        <f t="shared" si="114"/>
        <v>0</v>
      </c>
      <c r="AB235" s="104">
        <f t="shared" si="114"/>
        <v>0</v>
      </c>
      <c r="AC235" s="104">
        <f t="shared" si="114"/>
        <v>0</v>
      </c>
      <c r="AD235" s="104">
        <f t="shared" si="114"/>
        <v>0</v>
      </c>
      <c r="AE235" s="104">
        <f t="shared" si="114"/>
        <v>0</v>
      </c>
      <c r="AF235" s="104">
        <f t="shared" si="114"/>
        <v>0</v>
      </c>
      <c r="AG235" s="104">
        <f t="shared" si="114"/>
        <v>0</v>
      </c>
      <c r="AH235" s="104">
        <f t="shared" si="114"/>
        <v>0</v>
      </c>
      <c r="AI235" s="104">
        <f t="shared" si="114"/>
        <v>0</v>
      </c>
      <c r="AJ235" s="104">
        <f t="shared" si="114"/>
        <v>0</v>
      </c>
      <c r="AK235" s="104">
        <f t="shared" si="114"/>
        <v>0</v>
      </c>
      <c r="AM235" s="108"/>
      <c r="AQ235" s="104" t="str">
        <f>$V$54</f>
        <v>Galileo</v>
      </c>
      <c r="AR235" s="54">
        <v>0</v>
      </c>
      <c r="AS235" s="54">
        <v>0</v>
      </c>
      <c r="AT235" s="54">
        <v>0</v>
      </c>
      <c r="AU235" s="54">
        <v>0</v>
      </c>
      <c r="AV235" s="54">
        <v>0</v>
      </c>
      <c r="AW235" s="54">
        <v>0</v>
      </c>
      <c r="AX235" s="54">
        <v>0</v>
      </c>
      <c r="AY235" s="54">
        <v>0</v>
      </c>
      <c r="AZ235" s="54">
        <v>0</v>
      </c>
      <c r="BA235" s="54">
        <v>0</v>
      </c>
      <c r="BB235" s="54">
        <v>0</v>
      </c>
      <c r="BC235" s="54">
        <v>0</v>
      </c>
      <c r="BD235" s="54">
        <v>0</v>
      </c>
      <c r="BE235" s="54">
        <v>0</v>
      </c>
      <c r="BF235" s="54">
        <v>0</v>
      </c>
      <c r="BG235" s="54">
        <v>0</v>
      </c>
      <c r="BH235" s="54">
        <v>0</v>
      </c>
      <c r="BK235" s="104" t="str">
        <f>$V$79</f>
        <v>-</v>
      </c>
      <c r="BL235" s="108">
        <v>0</v>
      </c>
      <c r="BM235" s="108">
        <v>0</v>
      </c>
      <c r="BN235" s="108">
        <v>0</v>
      </c>
      <c r="BO235" s="108">
        <v>0</v>
      </c>
      <c r="BP235" s="108">
        <v>0</v>
      </c>
      <c r="BQ235" s="108">
        <v>0</v>
      </c>
      <c r="BR235" s="108">
        <v>0</v>
      </c>
      <c r="BS235" s="108">
        <v>0</v>
      </c>
      <c r="BT235" s="108">
        <v>0</v>
      </c>
      <c r="BU235" s="108">
        <v>0</v>
      </c>
      <c r="BV235" s="108">
        <v>0</v>
      </c>
      <c r="BW235" s="108">
        <v>0</v>
      </c>
      <c r="BX235" s="108">
        <v>0</v>
      </c>
      <c r="BY235" s="108">
        <v>0</v>
      </c>
      <c r="BZ235" s="108">
        <v>0</v>
      </c>
      <c r="CA235" s="108">
        <v>0</v>
      </c>
      <c r="CB235" s="108">
        <v>0</v>
      </c>
    </row>
    <row r="236" spans="4:80" x14ac:dyDescent="0.55000000000000004">
      <c r="D236" s="104" t="str">
        <f>$V$63</f>
        <v>Maxime</v>
      </c>
      <c r="E236" s="104">
        <f t="shared" si="90"/>
        <v>0</v>
      </c>
      <c r="F236" s="104">
        <f t="shared" si="91"/>
        <v>0</v>
      </c>
      <c r="G236" s="104">
        <f t="shared" si="92"/>
        <v>0</v>
      </c>
      <c r="H236" s="104">
        <f t="shared" si="93"/>
        <v>0</v>
      </c>
      <c r="I236" s="104">
        <f t="shared" si="94"/>
        <v>0</v>
      </c>
      <c r="J236" s="104">
        <f t="shared" si="95"/>
        <v>0</v>
      </c>
      <c r="K236" s="104">
        <f t="shared" si="96"/>
        <v>0</v>
      </c>
      <c r="L236" s="104">
        <f t="shared" si="97"/>
        <v>0</v>
      </c>
      <c r="M236" s="104">
        <f t="shared" si="98"/>
        <v>0</v>
      </c>
      <c r="N236" s="104">
        <f t="shared" si="99"/>
        <v>0</v>
      </c>
      <c r="O236" s="104">
        <f t="shared" si="100"/>
        <v>0</v>
      </c>
      <c r="P236" s="104">
        <f t="shared" si="101"/>
        <v>0</v>
      </c>
      <c r="Q236" s="104">
        <f t="shared" si="102"/>
        <v>0</v>
      </c>
      <c r="R236" s="104">
        <f t="shared" si="103"/>
        <v>0</v>
      </c>
      <c r="S236" s="104">
        <f t="shared" si="104"/>
        <v>0</v>
      </c>
      <c r="T236" s="28" t="s">
        <v>18</v>
      </c>
      <c r="V236" s="104" t="str">
        <f>$V$63</f>
        <v>Maxime</v>
      </c>
      <c r="W236" s="104">
        <f t="shared" ref="W236:AK236" si="115">W108*$AN63</f>
        <v>0</v>
      </c>
      <c r="X236" s="104">
        <f t="shared" si="115"/>
        <v>0</v>
      </c>
      <c r="Y236" s="104">
        <f t="shared" si="115"/>
        <v>0</v>
      </c>
      <c r="Z236" s="104">
        <f t="shared" si="115"/>
        <v>0</v>
      </c>
      <c r="AA236" s="104">
        <f t="shared" si="115"/>
        <v>0</v>
      </c>
      <c r="AB236" s="104">
        <f t="shared" si="115"/>
        <v>0</v>
      </c>
      <c r="AC236" s="104">
        <f t="shared" si="115"/>
        <v>0</v>
      </c>
      <c r="AD236" s="104">
        <f t="shared" si="115"/>
        <v>0</v>
      </c>
      <c r="AE236" s="104">
        <f t="shared" si="115"/>
        <v>0</v>
      </c>
      <c r="AF236" s="104">
        <f t="shared" si="115"/>
        <v>0</v>
      </c>
      <c r="AG236" s="104">
        <f t="shared" si="115"/>
        <v>0</v>
      </c>
      <c r="AH236" s="104">
        <f t="shared" si="115"/>
        <v>0</v>
      </c>
      <c r="AI236" s="104">
        <f t="shared" si="115"/>
        <v>0</v>
      </c>
      <c r="AJ236" s="104">
        <f t="shared" si="115"/>
        <v>0</v>
      </c>
      <c r="AK236" s="104">
        <f t="shared" si="115"/>
        <v>0</v>
      </c>
      <c r="AM236" s="108"/>
      <c r="AQ236" s="104" t="str">
        <f>$V$55</f>
        <v>Óscar</v>
      </c>
      <c r="AR236" s="54">
        <v>0</v>
      </c>
      <c r="AS236" s="54">
        <v>0</v>
      </c>
      <c r="AT236" s="54">
        <v>0</v>
      </c>
      <c r="AU236" s="54">
        <v>0</v>
      </c>
      <c r="AV236" s="54">
        <v>0</v>
      </c>
      <c r="AW236" s="54">
        <v>0</v>
      </c>
      <c r="AX236" s="54">
        <v>0</v>
      </c>
      <c r="AY236" s="54">
        <v>0</v>
      </c>
      <c r="AZ236" s="54">
        <v>0</v>
      </c>
      <c r="BA236" s="54">
        <v>0</v>
      </c>
      <c r="BB236" s="54">
        <v>0</v>
      </c>
      <c r="BC236" s="54">
        <v>0</v>
      </c>
      <c r="BD236" s="54">
        <v>0</v>
      </c>
      <c r="BE236" s="54">
        <v>0</v>
      </c>
      <c r="BF236" s="54">
        <v>0</v>
      </c>
      <c r="BG236" s="54">
        <v>0</v>
      </c>
      <c r="BH236" s="54">
        <v>0</v>
      </c>
      <c r="BK236" s="104" t="str">
        <f>$V$80</f>
        <v>-</v>
      </c>
      <c r="BL236" s="108">
        <v>0</v>
      </c>
      <c r="BM236" s="108">
        <v>0</v>
      </c>
      <c r="BN236" s="108">
        <v>0</v>
      </c>
      <c r="BO236" s="108">
        <v>0</v>
      </c>
      <c r="BP236" s="108">
        <v>0</v>
      </c>
      <c r="BQ236" s="108">
        <v>0</v>
      </c>
      <c r="BR236" s="108">
        <v>0</v>
      </c>
      <c r="BS236" s="108">
        <v>0</v>
      </c>
      <c r="BT236" s="108">
        <v>0</v>
      </c>
      <c r="BU236" s="108">
        <v>0</v>
      </c>
      <c r="BV236" s="108">
        <v>0</v>
      </c>
      <c r="BW236" s="108">
        <v>0</v>
      </c>
      <c r="BX236" s="108">
        <v>0</v>
      </c>
      <c r="BY236" s="108">
        <v>0</v>
      </c>
      <c r="BZ236" s="108">
        <v>0</v>
      </c>
      <c r="CA236" s="108">
        <v>0</v>
      </c>
      <c r="CB236" s="108">
        <v>0</v>
      </c>
    </row>
    <row r="237" spans="4:80" x14ac:dyDescent="0.55000000000000004">
      <c r="D237" s="104" t="str">
        <f>$V$64</f>
        <v>Alex</v>
      </c>
      <c r="E237" s="104">
        <f t="shared" si="90"/>
        <v>0</v>
      </c>
      <c r="F237" s="104">
        <f t="shared" si="91"/>
        <v>0</v>
      </c>
      <c r="G237" s="104">
        <f t="shared" si="92"/>
        <v>0</v>
      </c>
      <c r="H237" s="104">
        <f t="shared" si="93"/>
        <v>-2</v>
      </c>
      <c r="I237" s="104">
        <f t="shared" si="94"/>
        <v>0</v>
      </c>
      <c r="J237" s="104">
        <f t="shared" si="95"/>
        <v>0</v>
      </c>
      <c r="K237" s="104">
        <f t="shared" si="96"/>
        <v>0</v>
      </c>
      <c r="L237" s="104">
        <f t="shared" si="97"/>
        <v>0</v>
      </c>
      <c r="M237" s="104">
        <f t="shared" si="98"/>
        <v>0</v>
      </c>
      <c r="N237" s="104">
        <f t="shared" si="99"/>
        <v>0</v>
      </c>
      <c r="O237" s="104">
        <f t="shared" si="100"/>
        <v>0</v>
      </c>
      <c r="P237" s="104">
        <f t="shared" si="101"/>
        <v>0</v>
      </c>
      <c r="Q237" s="104">
        <f t="shared" si="102"/>
        <v>0</v>
      </c>
      <c r="R237" s="104">
        <f t="shared" si="103"/>
        <v>0</v>
      </c>
      <c r="S237" s="104">
        <f t="shared" si="104"/>
        <v>0</v>
      </c>
      <c r="T237" s="28" t="s">
        <v>18</v>
      </c>
      <c r="V237" s="104" t="str">
        <f>$V$64</f>
        <v>Alex</v>
      </c>
      <c r="W237" s="104">
        <f t="shared" ref="W237:AK237" si="116">W109*$AN64</f>
        <v>0</v>
      </c>
      <c r="X237" s="104">
        <f t="shared" si="116"/>
        <v>0</v>
      </c>
      <c r="Y237" s="104">
        <f t="shared" si="116"/>
        <v>0</v>
      </c>
      <c r="Z237" s="104">
        <f t="shared" si="116"/>
        <v>0</v>
      </c>
      <c r="AA237" s="104">
        <f t="shared" si="116"/>
        <v>0</v>
      </c>
      <c r="AB237" s="104">
        <f t="shared" si="116"/>
        <v>0</v>
      </c>
      <c r="AC237" s="104">
        <f t="shared" si="116"/>
        <v>0</v>
      </c>
      <c r="AD237" s="104">
        <f t="shared" si="116"/>
        <v>0</v>
      </c>
      <c r="AE237" s="104">
        <f t="shared" si="116"/>
        <v>0</v>
      </c>
      <c r="AF237" s="104">
        <f t="shared" si="116"/>
        <v>0</v>
      </c>
      <c r="AG237" s="104">
        <f t="shared" si="116"/>
        <v>0</v>
      </c>
      <c r="AH237" s="104">
        <f t="shared" si="116"/>
        <v>0</v>
      </c>
      <c r="AI237" s="104">
        <f t="shared" si="116"/>
        <v>0</v>
      </c>
      <c r="AJ237" s="104">
        <f t="shared" si="116"/>
        <v>0</v>
      </c>
      <c r="AK237" s="104">
        <f t="shared" si="116"/>
        <v>0</v>
      </c>
      <c r="AQ237" s="104" t="str">
        <f>$V$56</f>
        <v>Sebastián</v>
      </c>
      <c r="AR237" s="54">
        <v>0</v>
      </c>
      <c r="AS237" s="54">
        <v>0</v>
      </c>
      <c r="AT237" s="54">
        <v>0</v>
      </c>
      <c r="AU237" s="54">
        <v>0</v>
      </c>
      <c r="AV237" s="54">
        <v>0</v>
      </c>
      <c r="AW237" s="54">
        <v>0</v>
      </c>
      <c r="AX237" s="54">
        <v>0</v>
      </c>
      <c r="AY237" s="54">
        <v>0</v>
      </c>
      <c r="AZ237" s="54">
        <v>0</v>
      </c>
      <c r="BA237" s="54">
        <v>0</v>
      </c>
      <c r="BB237" s="54">
        <v>0</v>
      </c>
      <c r="BC237" s="54">
        <v>0</v>
      </c>
      <c r="BD237" s="54">
        <v>0</v>
      </c>
      <c r="BE237" s="54">
        <v>0</v>
      </c>
      <c r="BF237" s="54">
        <v>0</v>
      </c>
      <c r="BG237" s="54">
        <v>0</v>
      </c>
      <c r="BH237" s="54">
        <v>0</v>
      </c>
      <c r="BK237" s="104" t="str">
        <f>$V$81</f>
        <v>-</v>
      </c>
      <c r="BL237" s="108">
        <v>0</v>
      </c>
      <c r="BM237" s="108">
        <v>0</v>
      </c>
      <c r="BN237" s="108">
        <v>0</v>
      </c>
      <c r="BO237" s="108">
        <v>0</v>
      </c>
      <c r="BP237" s="108">
        <v>0</v>
      </c>
      <c r="BQ237" s="108">
        <v>0</v>
      </c>
      <c r="BR237" s="108">
        <v>0</v>
      </c>
      <c r="BS237" s="108">
        <v>0</v>
      </c>
      <c r="BT237" s="108">
        <v>0</v>
      </c>
      <c r="BU237" s="108">
        <v>0</v>
      </c>
      <c r="BV237" s="108">
        <v>0</v>
      </c>
      <c r="BW237" s="108">
        <v>0</v>
      </c>
      <c r="BX237" s="108">
        <v>0</v>
      </c>
      <c r="BY237" s="108">
        <v>0</v>
      </c>
      <c r="BZ237" s="108">
        <v>0</v>
      </c>
      <c r="CA237" s="108">
        <v>0</v>
      </c>
      <c r="CB237" s="108">
        <v>0</v>
      </c>
    </row>
    <row r="238" spans="4:80" x14ac:dyDescent="0.55000000000000004">
      <c r="D238" s="104" t="str">
        <f>$V$65</f>
        <v>Alyssa</v>
      </c>
      <c r="E238" s="104">
        <f t="shared" si="90"/>
        <v>0</v>
      </c>
      <c r="F238" s="104">
        <f t="shared" si="91"/>
        <v>0</v>
      </c>
      <c r="G238" s="104">
        <f t="shared" si="92"/>
        <v>0</v>
      </c>
      <c r="H238" s="104">
        <f t="shared" si="93"/>
        <v>0</v>
      </c>
      <c r="I238" s="104">
        <f t="shared" si="94"/>
        <v>0</v>
      </c>
      <c r="J238" s="104">
        <f t="shared" si="95"/>
        <v>0</v>
      </c>
      <c r="K238" s="104">
        <f t="shared" si="96"/>
        <v>0</v>
      </c>
      <c r="L238" s="104">
        <f t="shared" si="97"/>
        <v>0</v>
      </c>
      <c r="M238" s="104">
        <f t="shared" si="98"/>
        <v>0</v>
      </c>
      <c r="N238" s="104">
        <f t="shared" si="99"/>
        <v>0</v>
      </c>
      <c r="O238" s="104">
        <f t="shared" si="100"/>
        <v>0</v>
      </c>
      <c r="P238" s="104">
        <f t="shared" si="101"/>
        <v>0</v>
      </c>
      <c r="Q238" s="104">
        <f t="shared" si="102"/>
        <v>0</v>
      </c>
      <c r="R238" s="104">
        <f t="shared" si="103"/>
        <v>0</v>
      </c>
      <c r="S238" s="104">
        <f t="shared" si="104"/>
        <v>0</v>
      </c>
      <c r="T238" s="28" t="s">
        <v>18</v>
      </c>
      <c r="V238" s="104" t="str">
        <f>$V$65</f>
        <v>Alyssa</v>
      </c>
      <c r="W238" s="104">
        <f t="shared" ref="W238:AK238" si="117">W110*$AN65</f>
        <v>0</v>
      </c>
      <c r="X238" s="104">
        <f t="shared" si="117"/>
        <v>0</v>
      </c>
      <c r="Y238" s="104">
        <f t="shared" si="117"/>
        <v>0</v>
      </c>
      <c r="Z238" s="104">
        <f t="shared" si="117"/>
        <v>0</v>
      </c>
      <c r="AA238" s="104">
        <f t="shared" si="117"/>
        <v>0</v>
      </c>
      <c r="AB238" s="104">
        <f t="shared" si="117"/>
        <v>0</v>
      </c>
      <c r="AC238" s="104">
        <f t="shared" si="117"/>
        <v>0</v>
      </c>
      <c r="AD238" s="104">
        <f t="shared" si="117"/>
        <v>0</v>
      </c>
      <c r="AE238" s="104">
        <f t="shared" si="117"/>
        <v>0</v>
      </c>
      <c r="AF238" s="104">
        <f t="shared" si="117"/>
        <v>0</v>
      </c>
      <c r="AG238" s="104">
        <f t="shared" si="117"/>
        <v>0</v>
      </c>
      <c r="AH238" s="104">
        <f t="shared" si="117"/>
        <v>0</v>
      </c>
      <c r="AI238" s="104">
        <f t="shared" si="117"/>
        <v>0</v>
      </c>
      <c r="AJ238" s="104">
        <f t="shared" si="117"/>
        <v>0</v>
      </c>
      <c r="AK238" s="104">
        <f t="shared" si="117"/>
        <v>0</v>
      </c>
      <c r="AQ238" s="104" t="str">
        <f>$V$57</f>
        <v>Marcos</v>
      </c>
      <c r="AR238" s="54">
        <v>0</v>
      </c>
      <c r="AS238" s="54">
        <v>0</v>
      </c>
      <c r="AT238" s="54">
        <v>0</v>
      </c>
      <c r="AU238" s="54">
        <v>0</v>
      </c>
      <c r="AV238" s="54">
        <v>0</v>
      </c>
      <c r="AW238" s="54">
        <v>0</v>
      </c>
      <c r="AX238" s="54">
        <v>0</v>
      </c>
      <c r="AY238" s="54">
        <v>0</v>
      </c>
      <c r="AZ238" s="54">
        <v>0</v>
      </c>
      <c r="BA238" s="54">
        <v>0</v>
      </c>
      <c r="BB238" s="54">
        <v>0</v>
      </c>
      <c r="BC238" s="54">
        <v>0</v>
      </c>
      <c r="BD238" s="54">
        <v>0</v>
      </c>
      <c r="BE238" s="54">
        <v>0</v>
      </c>
      <c r="BF238" s="54">
        <v>0</v>
      </c>
      <c r="BG238" s="54">
        <v>0</v>
      </c>
      <c r="BH238" s="54">
        <v>0</v>
      </c>
      <c r="BK238" s="104" t="str">
        <f>$V$82</f>
        <v>-</v>
      </c>
      <c r="BL238" s="108">
        <v>0</v>
      </c>
      <c r="BM238" s="108">
        <v>0</v>
      </c>
      <c r="BN238" s="108">
        <v>0</v>
      </c>
      <c r="BO238" s="108">
        <v>0</v>
      </c>
      <c r="BP238" s="108">
        <v>0</v>
      </c>
      <c r="BQ238" s="108">
        <v>0</v>
      </c>
      <c r="BR238" s="108">
        <v>0</v>
      </c>
      <c r="BS238" s="108">
        <v>0</v>
      </c>
      <c r="BT238" s="108">
        <v>0</v>
      </c>
      <c r="BU238" s="108">
        <v>0</v>
      </c>
      <c r="BV238" s="108">
        <v>0</v>
      </c>
      <c r="BW238" s="108">
        <v>0</v>
      </c>
      <c r="BX238" s="108">
        <v>0</v>
      </c>
      <c r="BY238" s="108">
        <v>0</v>
      </c>
      <c r="BZ238" s="108">
        <v>0</v>
      </c>
      <c r="CA238" s="108">
        <v>0</v>
      </c>
      <c r="CB238" s="108">
        <v>0</v>
      </c>
    </row>
    <row r="239" spans="4:80" x14ac:dyDescent="0.55000000000000004">
      <c r="D239" s="104" t="str">
        <f>$V$66</f>
        <v>Amanda</v>
      </c>
      <c r="E239" s="104">
        <f t="shared" si="90"/>
        <v>0</v>
      </c>
      <c r="F239" s="104">
        <f t="shared" si="91"/>
        <v>0</v>
      </c>
      <c r="G239" s="104">
        <f t="shared" si="92"/>
        <v>0</v>
      </c>
      <c r="H239" s="104">
        <f t="shared" si="93"/>
        <v>0</v>
      </c>
      <c r="I239" s="104">
        <f t="shared" si="94"/>
        <v>0</v>
      </c>
      <c r="J239" s="104">
        <f t="shared" si="95"/>
        <v>0</v>
      </c>
      <c r="K239" s="104">
        <f t="shared" si="96"/>
        <v>0</v>
      </c>
      <c r="L239" s="104">
        <f t="shared" si="97"/>
        <v>0</v>
      </c>
      <c r="M239" s="104">
        <f t="shared" si="98"/>
        <v>0</v>
      </c>
      <c r="N239" s="104">
        <f t="shared" si="99"/>
        <v>0</v>
      </c>
      <c r="O239" s="104">
        <f t="shared" si="100"/>
        <v>0</v>
      </c>
      <c r="P239" s="104">
        <f t="shared" si="101"/>
        <v>0</v>
      </c>
      <c r="Q239" s="104">
        <f t="shared" si="102"/>
        <v>0</v>
      </c>
      <c r="R239" s="104">
        <f t="shared" si="103"/>
        <v>0</v>
      </c>
      <c r="S239" s="104">
        <f t="shared" si="104"/>
        <v>0</v>
      </c>
      <c r="T239" s="28" t="s">
        <v>18</v>
      </c>
      <c r="V239" s="104" t="str">
        <f>$V$66</f>
        <v>Amanda</v>
      </c>
      <c r="W239" s="104">
        <f t="shared" ref="W239:AK239" si="118">W111*$AN66</f>
        <v>0</v>
      </c>
      <c r="X239" s="104">
        <f t="shared" si="118"/>
        <v>0</v>
      </c>
      <c r="Y239" s="104">
        <f t="shared" si="118"/>
        <v>0</v>
      </c>
      <c r="Z239" s="104">
        <f t="shared" si="118"/>
        <v>0</v>
      </c>
      <c r="AA239" s="104">
        <f t="shared" si="118"/>
        <v>0</v>
      </c>
      <c r="AB239" s="104">
        <f t="shared" si="118"/>
        <v>0</v>
      </c>
      <c r="AC239" s="104">
        <f t="shared" si="118"/>
        <v>0</v>
      </c>
      <c r="AD239" s="104">
        <f t="shared" si="118"/>
        <v>0</v>
      </c>
      <c r="AE239" s="104">
        <f t="shared" si="118"/>
        <v>0</v>
      </c>
      <c r="AF239" s="104">
        <f t="shared" si="118"/>
        <v>0</v>
      </c>
      <c r="AG239" s="104">
        <f t="shared" si="118"/>
        <v>0</v>
      </c>
      <c r="AH239" s="104">
        <f t="shared" si="118"/>
        <v>0</v>
      </c>
      <c r="AI239" s="104">
        <f t="shared" si="118"/>
        <v>0</v>
      </c>
      <c r="AJ239" s="104">
        <f t="shared" si="118"/>
        <v>0</v>
      </c>
      <c r="AK239" s="104">
        <f t="shared" si="118"/>
        <v>0</v>
      </c>
      <c r="AQ239" s="104" t="str">
        <f>$V$58</f>
        <v>Weixin</v>
      </c>
      <c r="AR239" s="54">
        <v>0</v>
      </c>
      <c r="AS239" s="54">
        <v>0</v>
      </c>
      <c r="AT239" s="54">
        <v>0</v>
      </c>
      <c r="AU239" s="54">
        <v>0</v>
      </c>
      <c r="AV239" s="54">
        <v>0</v>
      </c>
      <c r="AW239" s="54">
        <v>0</v>
      </c>
      <c r="AX239" s="54">
        <v>0</v>
      </c>
      <c r="AY239" s="54">
        <v>0</v>
      </c>
      <c r="AZ239" s="54">
        <v>0</v>
      </c>
      <c r="BA239" s="54">
        <v>0</v>
      </c>
      <c r="BB239" s="54">
        <v>0</v>
      </c>
      <c r="BC239" s="54">
        <v>0</v>
      </c>
      <c r="BD239" s="54">
        <v>0</v>
      </c>
      <c r="BE239" s="54">
        <v>0</v>
      </c>
      <c r="BF239" s="54">
        <v>0</v>
      </c>
      <c r="BG239" s="54">
        <v>0</v>
      </c>
      <c r="BH239" s="54">
        <v>0</v>
      </c>
      <c r="BK239" s="104" t="str">
        <f>$V$83</f>
        <v>-</v>
      </c>
      <c r="BL239" s="108">
        <v>0</v>
      </c>
      <c r="BM239" s="108">
        <v>0</v>
      </c>
      <c r="BN239" s="108">
        <v>0</v>
      </c>
      <c r="BO239" s="108">
        <v>0</v>
      </c>
      <c r="BP239" s="108">
        <v>0</v>
      </c>
      <c r="BQ239" s="108">
        <v>0</v>
      </c>
      <c r="BR239" s="108">
        <v>0</v>
      </c>
      <c r="BS239" s="108">
        <v>0</v>
      </c>
      <c r="BT239" s="108">
        <v>0</v>
      </c>
      <c r="BU239" s="108">
        <v>0</v>
      </c>
      <c r="BV239" s="108">
        <v>0</v>
      </c>
      <c r="BW239" s="108">
        <v>0</v>
      </c>
      <c r="BX239" s="108">
        <v>0</v>
      </c>
      <c r="BY239" s="108">
        <v>0</v>
      </c>
      <c r="BZ239" s="108">
        <v>0</v>
      </c>
      <c r="CA239" s="108">
        <v>0</v>
      </c>
      <c r="CB239" s="108">
        <v>0</v>
      </c>
    </row>
    <row r="240" spans="4:80" x14ac:dyDescent="0.55000000000000004">
      <c r="D240" s="104" t="str">
        <f>$V$67</f>
        <v>Antoine</v>
      </c>
      <c r="E240" s="104">
        <f t="shared" si="90"/>
        <v>0</v>
      </c>
      <c r="F240" s="104">
        <f t="shared" si="91"/>
        <v>0</v>
      </c>
      <c r="G240" s="104">
        <f t="shared" si="92"/>
        <v>0</v>
      </c>
      <c r="H240" s="104">
        <f t="shared" si="93"/>
        <v>0</v>
      </c>
      <c r="I240" s="104">
        <f t="shared" si="94"/>
        <v>0</v>
      </c>
      <c r="J240" s="104">
        <f t="shared" si="95"/>
        <v>0</v>
      </c>
      <c r="K240" s="104">
        <f t="shared" si="96"/>
        <v>0</v>
      </c>
      <c r="L240" s="104">
        <f t="shared" si="97"/>
        <v>0</v>
      </c>
      <c r="M240" s="104">
        <f t="shared" si="98"/>
        <v>0</v>
      </c>
      <c r="N240" s="104">
        <f t="shared" si="99"/>
        <v>0</v>
      </c>
      <c r="O240" s="104">
        <f t="shared" si="100"/>
        <v>0</v>
      </c>
      <c r="P240" s="104">
        <f t="shared" si="101"/>
        <v>0</v>
      </c>
      <c r="Q240" s="104">
        <f t="shared" si="102"/>
        <v>0</v>
      </c>
      <c r="R240" s="104">
        <f t="shared" si="103"/>
        <v>0</v>
      </c>
      <c r="S240" s="104">
        <f t="shared" si="104"/>
        <v>0</v>
      </c>
      <c r="T240" s="28" t="s">
        <v>18</v>
      </c>
      <c r="V240" s="104" t="str">
        <f>$V$67</f>
        <v>Antoine</v>
      </c>
      <c r="W240" s="104">
        <f t="shared" ref="W240:AK240" si="119">W112*$AN67</f>
        <v>0</v>
      </c>
      <c r="X240" s="104">
        <f t="shared" si="119"/>
        <v>0</v>
      </c>
      <c r="Y240" s="104">
        <f t="shared" si="119"/>
        <v>0</v>
      </c>
      <c r="Z240" s="104">
        <f t="shared" si="119"/>
        <v>0</v>
      </c>
      <c r="AA240" s="104">
        <f t="shared" si="119"/>
        <v>0</v>
      </c>
      <c r="AB240" s="104">
        <f t="shared" si="119"/>
        <v>0</v>
      </c>
      <c r="AC240" s="104">
        <f t="shared" si="119"/>
        <v>0</v>
      </c>
      <c r="AD240" s="104">
        <f t="shared" si="119"/>
        <v>0</v>
      </c>
      <c r="AE240" s="104">
        <f t="shared" si="119"/>
        <v>0</v>
      </c>
      <c r="AF240" s="104">
        <f t="shared" si="119"/>
        <v>0</v>
      </c>
      <c r="AG240" s="104">
        <f t="shared" si="119"/>
        <v>0</v>
      </c>
      <c r="AH240" s="104">
        <f t="shared" si="119"/>
        <v>0</v>
      </c>
      <c r="AI240" s="104">
        <f t="shared" si="119"/>
        <v>0</v>
      </c>
      <c r="AJ240" s="104">
        <f t="shared" si="119"/>
        <v>0</v>
      </c>
      <c r="AK240" s="104">
        <f t="shared" si="119"/>
        <v>0</v>
      </c>
      <c r="AQ240" s="104" t="str">
        <f>$V$59</f>
        <v>Benjamin</v>
      </c>
      <c r="AR240" s="54">
        <v>0</v>
      </c>
      <c r="AS240" s="54">
        <v>0</v>
      </c>
      <c r="AT240" s="54">
        <v>0</v>
      </c>
      <c r="AU240" s="54">
        <v>0</v>
      </c>
      <c r="AV240" s="54">
        <v>0</v>
      </c>
      <c r="AW240" s="54">
        <v>0</v>
      </c>
      <c r="AX240" s="54">
        <v>0</v>
      </c>
      <c r="AY240" s="54">
        <v>0</v>
      </c>
      <c r="AZ240" s="54">
        <v>0</v>
      </c>
      <c r="BA240" s="54">
        <v>0</v>
      </c>
      <c r="BB240" s="54">
        <v>0</v>
      </c>
      <c r="BC240" s="54">
        <v>0</v>
      </c>
      <c r="BD240" s="54">
        <v>0</v>
      </c>
      <c r="BE240" s="54">
        <v>0</v>
      </c>
      <c r="BF240" s="54">
        <v>0</v>
      </c>
      <c r="BG240" s="54">
        <v>0</v>
      </c>
      <c r="BH240" s="54">
        <v>0</v>
      </c>
      <c r="BK240" s="104" t="str">
        <f>$V$84</f>
        <v>-</v>
      </c>
      <c r="BL240" s="108">
        <v>0</v>
      </c>
      <c r="BM240" s="108">
        <v>0</v>
      </c>
      <c r="BN240" s="108">
        <v>0</v>
      </c>
      <c r="BO240" s="108">
        <v>0</v>
      </c>
      <c r="BP240" s="108">
        <v>0</v>
      </c>
      <c r="BQ240" s="108">
        <v>0</v>
      </c>
      <c r="BR240" s="108">
        <v>0</v>
      </c>
      <c r="BS240" s="108">
        <v>0</v>
      </c>
      <c r="BT240" s="108">
        <v>0</v>
      </c>
      <c r="BU240" s="108">
        <v>0</v>
      </c>
      <c r="BV240" s="108">
        <v>0</v>
      </c>
      <c r="BW240" s="108">
        <v>0</v>
      </c>
      <c r="BX240" s="108">
        <v>0</v>
      </c>
      <c r="BY240" s="108">
        <v>0</v>
      </c>
      <c r="BZ240" s="108">
        <v>0</v>
      </c>
      <c r="CA240" s="108">
        <v>0</v>
      </c>
      <c r="CB240" s="108">
        <v>0</v>
      </c>
    </row>
    <row r="241" spans="4:80" x14ac:dyDescent="0.55000000000000004">
      <c r="D241" s="104" t="str">
        <f>$V$68</f>
        <v>Beatriz</v>
      </c>
      <c r="E241" s="104">
        <f t="shared" si="90"/>
        <v>0</v>
      </c>
      <c r="F241" s="104">
        <f t="shared" si="91"/>
        <v>0</v>
      </c>
      <c r="G241" s="104">
        <f t="shared" si="92"/>
        <v>0</v>
      </c>
      <c r="H241" s="104">
        <f t="shared" si="93"/>
        <v>0</v>
      </c>
      <c r="I241" s="104">
        <f t="shared" si="94"/>
        <v>0</v>
      </c>
      <c r="J241" s="104">
        <f t="shared" si="95"/>
        <v>0</v>
      </c>
      <c r="K241" s="104">
        <f t="shared" si="96"/>
        <v>0</v>
      </c>
      <c r="L241" s="104">
        <f t="shared" si="97"/>
        <v>0</v>
      </c>
      <c r="M241" s="104">
        <f t="shared" si="98"/>
        <v>0</v>
      </c>
      <c r="N241" s="104">
        <f t="shared" si="99"/>
        <v>0</v>
      </c>
      <c r="O241" s="104">
        <f t="shared" si="100"/>
        <v>0</v>
      </c>
      <c r="P241" s="104">
        <f t="shared" si="101"/>
        <v>0</v>
      </c>
      <c r="Q241" s="104">
        <f t="shared" si="102"/>
        <v>0</v>
      </c>
      <c r="R241" s="104">
        <f t="shared" si="103"/>
        <v>0</v>
      </c>
      <c r="S241" s="104">
        <f t="shared" si="104"/>
        <v>0</v>
      </c>
      <c r="T241" s="28" t="s">
        <v>18</v>
      </c>
      <c r="V241" s="104" t="str">
        <f>$V$68</f>
        <v>Beatriz</v>
      </c>
      <c r="W241" s="104">
        <f t="shared" ref="W241:AK241" si="120">W113*$AN68</f>
        <v>0</v>
      </c>
      <c r="X241" s="104">
        <f t="shared" si="120"/>
        <v>0</v>
      </c>
      <c r="Y241" s="104">
        <f t="shared" si="120"/>
        <v>0</v>
      </c>
      <c r="Z241" s="104">
        <f t="shared" si="120"/>
        <v>0</v>
      </c>
      <c r="AA241" s="104">
        <f t="shared" si="120"/>
        <v>0</v>
      </c>
      <c r="AB241" s="104">
        <f t="shared" si="120"/>
        <v>0</v>
      </c>
      <c r="AC241" s="104">
        <f t="shared" si="120"/>
        <v>0</v>
      </c>
      <c r="AD241" s="104">
        <f t="shared" si="120"/>
        <v>0</v>
      </c>
      <c r="AE241" s="104">
        <f t="shared" si="120"/>
        <v>0</v>
      </c>
      <c r="AF241" s="104">
        <f t="shared" si="120"/>
        <v>0</v>
      </c>
      <c r="AG241" s="104">
        <f t="shared" si="120"/>
        <v>0</v>
      </c>
      <c r="AH241" s="104">
        <f t="shared" si="120"/>
        <v>0</v>
      </c>
      <c r="AI241" s="104">
        <f t="shared" si="120"/>
        <v>0</v>
      </c>
      <c r="AJ241" s="104">
        <f t="shared" si="120"/>
        <v>0</v>
      </c>
      <c r="AK241" s="104">
        <f t="shared" si="120"/>
        <v>0</v>
      </c>
      <c r="AQ241" s="104" t="str">
        <f>$V$60</f>
        <v>Joelle</v>
      </c>
      <c r="AR241" s="54">
        <v>0</v>
      </c>
      <c r="AS241" s="54">
        <v>0</v>
      </c>
      <c r="AT241" s="54">
        <v>0</v>
      </c>
      <c r="AU241" s="54">
        <v>0</v>
      </c>
      <c r="AV241" s="54">
        <v>0</v>
      </c>
      <c r="AW241" s="54">
        <v>0</v>
      </c>
      <c r="AX241" s="54">
        <v>0</v>
      </c>
      <c r="AY241" s="54">
        <v>0</v>
      </c>
      <c r="AZ241" s="54">
        <v>0</v>
      </c>
      <c r="BA241" s="54">
        <v>0</v>
      </c>
      <c r="BB241" s="54">
        <v>0</v>
      </c>
      <c r="BC241" s="54">
        <v>0</v>
      </c>
      <c r="BD241" s="54">
        <v>0</v>
      </c>
      <c r="BE241" s="54">
        <v>0</v>
      </c>
      <c r="BF241" s="54">
        <v>0</v>
      </c>
      <c r="BG241" s="54">
        <v>0</v>
      </c>
      <c r="BH241" s="54">
        <v>0</v>
      </c>
      <c r="BK241" s="104" t="str">
        <f>$V$85</f>
        <v>-</v>
      </c>
      <c r="BL241" s="108">
        <v>0</v>
      </c>
      <c r="BM241" s="108">
        <v>0</v>
      </c>
      <c r="BN241" s="108">
        <v>0</v>
      </c>
      <c r="BO241" s="108">
        <v>0</v>
      </c>
      <c r="BP241" s="108">
        <v>0</v>
      </c>
      <c r="BQ241" s="108">
        <v>0</v>
      </c>
      <c r="BR241" s="108">
        <v>0</v>
      </c>
      <c r="BS241" s="108">
        <v>0</v>
      </c>
      <c r="BT241" s="108">
        <v>0</v>
      </c>
      <c r="BU241" s="108">
        <v>0</v>
      </c>
      <c r="BV241" s="108">
        <v>0</v>
      </c>
      <c r="BW241" s="108">
        <v>0</v>
      </c>
      <c r="BX241" s="108">
        <v>0</v>
      </c>
      <c r="BY241" s="108">
        <v>0</v>
      </c>
      <c r="BZ241" s="108">
        <v>0</v>
      </c>
      <c r="CA241" s="108">
        <v>0</v>
      </c>
      <c r="CB241" s="108">
        <v>0</v>
      </c>
    </row>
    <row r="242" spans="4:80" x14ac:dyDescent="0.55000000000000004">
      <c r="D242" s="104" t="str">
        <f>$V$69</f>
        <v>Charelle</v>
      </c>
      <c r="E242" s="104">
        <f t="shared" si="90"/>
        <v>0</v>
      </c>
      <c r="F242" s="104">
        <f t="shared" si="91"/>
        <v>0</v>
      </c>
      <c r="G242" s="104">
        <f t="shared" si="92"/>
        <v>0</v>
      </c>
      <c r="H242" s="104">
        <f t="shared" si="93"/>
        <v>0</v>
      </c>
      <c r="I242" s="104">
        <f t="shared" si="94"/>
        <v>0</v>
      </c>
      <c r="J242" s="104">
        <f t="shared" si="95"/>
        <v>0</v>
      </c>
      <c r="K242" s="104">
        <f t="shared" si="96"/>
        <v>0</v>
      </c>
      <c r="L242" s="104">
        <f t="shared" si="97"/>
        <v>-2</v>
      </c>
      <c r="M242" s="104">
        <f t="shared" si="98"/>
        <v>0</v>
      </c>
      <c r="N242" s="104">
        <f t="shared" si="99"/>
        <v>0</v>
      </c>
      <c r="O242" s="104">
        <f t="shared" si="100"/>
        <v>0</v>
      </c>
      <c r="P242" s="104">
        <f t="shared" si="101"/>
        <v>0</v>
      </c>
      <c r="Q242" s="104">
        <f t="shared" si="102"/>
        <v>0</v>
      </c>
      <c r="R242" s="104">
        <f t="shared" si="103"/>
        <v>0</v>
      </c>
      <c r="S242" s="104">
        <f t="shared" si="104"/>
        <v>0</v>
      </c>
      <c r="T242" s="28" t="s">
        <v>18</v>
      </c>
      <c r="V242" s="104" t="str">
        <f>$V$69</f>
        <v>Charelle</v>
      </c>
      <c r="W242" s="104">
        <f t="shared" ref="W242:AK242" si="121">W114*$AN69</f>
        <v>0</v>
      </c>
      <c r="X242" s="104">
        <f t="shared" si="121"/>
        <v>0</v>
      </c>
      <c r="Y242" s="104">
        <f t="shared" si="121"/>
        <v>0</v>
      </c>
      <c r="Z242" s="104">
        <f t="shared" si="121"/>
        <v>0</v>
      </c>
      <c r="AA242" s="104">
        <f t="shared" si="121"/>
        <v>0</v>
      </c>
      <c r="AB242" s="104">
        <f t="shared" si="121"/>
        <v>0</v>
      </c>
      <c r="AC242" s="104">
        <f t="shared" si="121"/>
        <v>0</v>
      </c>
      <c r="AD242" s="104">
        <f t="shared" si="121"/>
        <v>0</v>
      </c>
      <c r="AE242" s="104">
        <f t="shared" si="121"/>
        <v>0</v>
      </c>
      <c r="AF242" s="104">
        <f t="shared" si="121"/>
        <v>0</v>
      </c>
      <c r="AG242" s="104">
        <f t="shared" si="121"/>
        <v>0</v>
      </c>
      <c r="AH242" s="104">
        <f t="shared" si="121"/>
        <v>0</v>
      </c>
      <c r="AI242" s="104">
        <f t="shared" si="121"/>
        <v>0</v>
      </c>
      <c r="AJ242" s="104">
        <f t="shared" si="121"/>
        <v>0</v>
      </c>
      <c r="AK242" s="104">
        <f t="shared" si="121"/>
        <v>0</v>
      </c>
      <c r="AQ242" s="104" t="str">
        <f>$V$61</f>
        <v>Alexia</v>
      </c>
      <c r="AR242" s="54">
        <v>0</v>
      </c>
      <c r="AS242" s="54">
        <v>0</v>
      </c>
      <c r="AT242" s="54">
        <v>0</v>
      </c>
      <c r="AU242" s="54">
        <v>0</v>
      </c>
      <c r="AV242" s="54">
        <v>0</v>
      </c>
      <c r="AW242" s="54">
        <v>0</v>
      </c>
      <c r="AX242" s="54">
        <v>0</v>
      </c>
      <c r="AY242" s="54">
        <v>0</v>
      </c>
      <c r="AZ242" s="54">
        <v>0</v>
      </c>
      <c r="BA242" s="54">
        <v>0</v>
      </c>
      <c r="BB242" s="54">
        <v>0</v>
      </c>
      <c r="BC242" s="54">
        <v>0</v>
      </c>
      <c r="BD242" s="54">
        <v>0</v>
      </c>
      <c r="BE242" s="54">
        <v>0</v>
      </c>
      <c r="BF242" s="54">
        <v>0</v>
      </c>
      <c r="BG242" s="54">
        <v>0</v>
      </c>
      <c r="BH242" s="54">
        <v>0</v>
      </c>
      <c r="BK242" s="104" t="str">
        <f>$V$86</f>
        <v>-</v>
      </c>
      <c r="BL242" s="108">
        <v>0</v>
      </c>
      <c r="BM242" s="108">
        <v>0</v>
      </c>
      <c r="BN242" s="108">
        <v>0</v>
      </c>
      <c r="BO242" s="108">
        <v>0</v>
      </c>
      <c r="BP242" s="108">
        <v>0</v>
      </c>
      <c r="BQ242" s="108">
        <v>0</v>
      </c>
      <c r="BR242" s="108">
        <v>0</v>
      </c>
      <c r="BS242" s="108">
        <v>0</v>
      </c>
      <c r="BT242" s="108">
        <v>0</v>
      </c>
      <c r="BU242" s="108">
        <v>0</v>
      </c>
      <c r="BV242" s="108">
        <v>0</v>
      </c>
      <c r="BW242" s="108">
        <v>0</v>
      </c>
      <c r="BX242" s="108">
        <v>0</v>
      </c>
      <c r="BY242" s="108">
        <v>0</v>
      </c>
      <c r="BZ242" s="108">
        <v>0</v>
      </c>
      <c r="CA242" s="108">
        <v>0</v>
      </c>
      <c r="CB242" s="108">
        <v>0</v>
      </c>
    </row>
    <row r="243" spans="4:80" x14ac:dyDescent="0.55000000000000004">
      <c r="D243" s="104" t="str">
        <f>$V$70</f>
        <v>Dimitri</v>
      </c>
      <c r="E243" s="104">
        <f t="shared" si="90"/>
        <v>0</v>
      </c>
      <c r="F243" s="104">
        <f t="shared" si="91"/>
        <v>0</v>
      </c>
      <c r="G243" s="104">
        <f t="shared" si="92"/>
        <v>0</v>
      </c>
      <c r="H243" s="104">
        <f t="shared" si="93"/>
        <v>0</v>
      </c>
      <c r="I243" s="104">
        <f t="shared" si="94"/>
        <v>0</v>
      </c>
      <c r="J243" s="104">
        <f t="shared" si="95"/>
        <v>0</v>
      </c>
      <c r="K243" s="104">
        <f t="shared" si="96"/>
        <v>0</v>
      </c>
      <c r="L243" s="104">
        <f t="shared" si="97"/>
        <v>0</v>
      </c>
      <c r="M243" s="104">
        <f t="shared" si="98"/>
        <v>0</v>
      </c>
      <c r="N243" s="104">
        <f t="shared" si="99"/>
        <v>0</v>
      </c>
      <c r="O243" s="104">
        <f t="shared" si="100"/>
        <v>0</v>
      </c>
      <c r="P243" s="104">
        <f t="shared" si="101"/>
        <v>0</v>
      </c>
      <c r="Q243" s="104">
        <f t="shared" si="102"/>
        <v>0</v>
      </c>
      <c r="R243" s="104">
        <f t="shared" si="103"/>
        <v>0</v>
      </c>
      <c r="S243" s="104">
        <f t="shared" si="104"/>
        <v>-2</v>
      </c>
      <c r="T243" s="28" t="s">
        <v>18</v>
      </c>
      <c r="V243" s="104" t="str">
        <f>$V$70</f>
        <v>Dimitri</v>
      </c>
      <c r="W243" s="104">
        <f t="shared" ref="W243:AK243" si="122">W115*$AN70</f>
        <v>0</v>
      </c>
      <c r="X243" s="104">
        <f t="shared" si="122"/>
        <v>0</v>
      </c>
      <c r="Y243" s="104">
        <f t="shared" si="122"/>
        <v>0</v>
      </c>
      <c r="Z243" s="104">
        <f t="shared" si="122"/>
        <v>0</v>
      </c>
      <c r="AA243" s="104">
        <f t="shared" si="122"/>
        <v>0</v>
      </c>
      <c r="AB243" s="104">
        <f t="shared" si="122"/>
        <v>0</v>
      </c>
      <c r="AC243" s="104">
        <f t="shared" si="122"/>
        <v>0</v>
      </c>
      <c r="AD243" s="104">
        <f t="shared" si="122"/>
        <v>0</v>
      </c>
      <c r="AE243" s="104">
        <f t="shared" si="122"/>
        <v>0</v>
      </c>
      <c r="AF243" s="104">
        <f t="shared" si="122"/>
        <v>0</v>
      </c>
      <c r="AG243" s="104">
        <f t="shared" si="122"/>
        <v>0</v>
      </c>
      <c r="AH243" s="104">
        <f t="shared" si="122"/>
        <v>0</v>
      </c>
      <c r="AI243" s="104">
        <f t="shared" si="122"/>
        <v>0</v>
      </c>
      <c r="AJ243" s="104">
        <f t="shared" si="122"/>
        <v>0</v>
      </c>
      <c r="AK243" s="104">
        <f t="shared" si="122"/>
        <v>0</v>
      </c>
      <c r="AQ243" s="104" t="str">
        <f>$V$62</f>
        <v>Joao</v>
      </c>
      <c r="AR243" s="54">
        <v>0</v>
      </c>
      <c r="AS243" s="54">
        <v>0</v>
      </c>
      <c r="AT243" s="54">
        <v>0</v>
      </c>
      <c r="AU243" s="54">
        <v>0</v>
      </c>
      <c r="AV243" s="54">
        <v>0</v>
      </c>
      <c r="AW243" s="54">
        <v>0</v>
      </c>
      <c r="AX243" s="54">
        <v>0</v>
      </c>
      <c r="AY243" s="54">
        <v>0</v>
      </c>
      <c r="AZ243" s="54">
        <v>0</v>
      </c>
      <c r="BA243" s="54">
        <v>0</v>
      </c>
      <c r="BB243" s="54">
        <v>0</v>
      </c>
      <c r="BC243" s="54">
        <v>0</v>
      </c>
      <c r="BD243" s="54">
        <v>0</v>
      </c>
      <c r="BE243" s="54">
        <v>0</v>
      </c>
      <c r="BF243" s="54">
        <v>0</v>
      </c>
      <c r="BG243" s="54">
        <v>0</v>
      </c>
      <c r="BH243" s="54">
        <v>0</v>
      </c>
      <c r="BK243" s="104" t="str">
        <f>$V$87</f>
        <v>-</v>
      </c>
      <c r="BL243" s="108">
        <v>0</v>
      </c>
      <c r="BM243" s="108">
        <v>0</v>
      </c>
      <c r="BN243" s="108">
        <v>0</v>
      </c>
      <c r="BO243" s="108">
        <v>0</v>
      </c>
      <c r="BP243" s="108">
        <v>0</v>
      </c>
      <c r="BQ243" s="108">
        <v>0</v>
      </c>
      <c r="BR243" s="108">
        <v>0</v>
      </c>
      <c r="BS243" s="108">
        <v>0</v>
      </c>
      <c r="BT243" s="108">
        <v>0</v>
      </c>
      <c r="BU243" s="108">
        <v>0</v>
      </c>
      <c r="BV243" s="108">
        <v>0</v>
      </c>
      <c r="BW243" s="108">
        <v>0</v>
      </c>
      <c r="BX243" s="108">
        <v>0</v>
      </c>
      <c r="BY243" s="108">
        <v>0</v>
      </c>
      <c r="BZ243" s="108">
        <v>0</v>
      </c>
      <c r="CA243" s="108">
        <v>0</v>
      </c>
      <c r="CB243" s="108">
        <v>0</v>
      </c>
    </row>
    <row r="244" spans="4:80" x14ac:dyDescent="0.55000000000000004">
      <c r="D244" s="104" t="str">
        <f>$V$71</f>
        <v>Marina</v>
      </c>
      <c r="E244" s="104">
        <f t="shared" si="90"/>
        <v>0</v>
      </c>
      <c r="F244" s="104">
        <f t="shared" si="91"/>
        <v>0</v>
      </c>
      <c r="G244" s="104">
        <f t="shared" si="92"/>
        <v>0</v>
      </c>
      <c r="H244" s="104">
        <f t="shared" si="93"/>
        <v>0</v>
      </c>
      <c r="I244" s="104">
        <f t="shared" si="94"/>
        <v>0</v>
      </c>
      <c r="J244" s="104">
        <f t="shared" si="95"/>
        <v>0</v>
      </c>
      <c r="K244" s="104">
        <f t="shared" si="96"/>
        <v>0</v>
      </c>
      <c r="L244" s="104">
        <f t="shared" si="97"/>
        <v>0</v>
      </c>
      <c r="M244" s="104">
        <f t="shared" si="98"/>
        <v>0</v>
      </c>
      <c r="N244" s="104">
        <f t="shared" si="99"/>
        <v>0</v>
      </c>
      <c r="O244" s="104">
        <f t="shared" si="100"/>
        <v>0</v>
      </c>
      <c r="P244" s="104">
        <f t="shared" si="101"/>
        <v>0</v>
      </c>
      <c r="Q244" s="104">
        <f t="shared" si="102"/>
        <v>0</v>
      </c>
      <c r="R244" s="104">
        <f t="shared" si="103"/>
        <v>0</v>
      </c>
      <c r="S244" s="104">
        <f t="shared" si="104"/>
        <v>0</v>
      </c>
      <c r="T244" s="28" t="s">
        <v>18</v>
      </c>
      <c r="V244" s="104" t="str">
        <f>$V$71</f>
        <v>Marina</v>
      </c>
      <c r="W244" s="104">
        <f t="shared" ref="W244:AK244" si="123">W116*$AN71</f>
        <v>0</v>
      </c>
      <c r="X244" s="104">
        <f t="shared" si="123"/>
        <v>0</v>
      </c>
      <c r="Y244" s="104">
        <f t="shared" si="123"/>
        <v>0</v>
      </c>
      <c r="Z244" s="104">
        <f t="shared" si="123"/>
        <v>0</v>
      </c>
      <c r="AA244" s="104">
        <f t="shared" si="123"/>
        <v>0</v>
      </c>
      <c r="AB244" s="104">
        <f t="shared" si="123"/>
        <v>0</v>
      </c>
      <c r="AC244" s="104">
        <f t="shared" si="123"/>
        <v>0</v>
      </c>
      <c r="AD244" s="104">
        <f t="shared" si="123"/>
        <v>0</v>
      </c>
      <c r="AE244" s="104">
        <f t="shared" si="123"/>
        <v>0</v>
      </c>
      <c r="AF244" s="104">
        <f t="shared" si="123"/>
        <v>0</v>
      </c>
      <c r="AG244" s="104">
        <f t="shared" si="123"/>
        <v>0</v>
      </c>
      <c r="AH244" s="104">
        <f t="shared" si="123"/>
        <v>0</v>
      </c>
      <c r="AI244" s="104">
        <f t="shared" si="123"/>
        <v>0</v>
      </c>
      <c r="AJ244" s="104">
        <f t="shared" si="123"/>
        <v>0</v>
      </c>
      <c r="AK244" s="104">
        <f t="shared" si="123"/>
        <v>0</v>
      </c>
      <c r="AQ244" s="104" t="str">
        <f>$V$63</f>
        <v>Maxime</v>
      </c>
      <c r="AR244" s="54">
        <v>0</v>
      </c>
      <c r="AS244" s="54">
        <v>0</v>
      </c>
      <c r="AT244" s="54">
        <v>0</v>
      </c>
      <c r="AU244" s="54">
        <v>0</v>
      </c>
      <c r="AV244" s="54">
        <v>0</v>
      </c>
      <c r="AW244" s="54">
        <v>0</v>
      </c>
      <c r="AX244" s="54">
        <v>0</v>
      </c>
      <c r="AY244" s="54">
        <v>0</v>
      </c>
      <c r="AZ244" s="54">
        <v>0</v>
      </c>
      <c r="BA244" s="54">
        <v>0</v>
      </c>
      <c r="BB244" s="54">
        <v>0</v>
      </c>
      <c r="BC244" s="54">
        <v>0</v>
      </c>
      <c r="BD244" s="54">
        <v>0</v>
      </c>
      <c r="BE244" s="54">
        <v>0</v>
      </c>
      <c r="BF244" s="54">
        <v>0</v>
      </c>
      <c r="BG244" s="54">
        <v>0</v>
      </c>
      <c r="BH244" s="54">
        <v>0</v>
      </c>
      <c r="BK244" s="104" t="str">
        <f>$V$88</f>
        <v>-</v>
      </c>
      <c r="BL244" s="108">
        <v>0</v>
      </c>
      <c r="BM244" s="108">
        <v>0</v>
      </c>
      <c r="BN244" s="108">
        <v>0</v>
      </c>
      <c r="BO244" s="108">
        <v>0</v>
      </c>
      <c r="BP244" s="108">
        <v>0</v>
      </c>
      <c r="BQ244" s="108">
        <v>0</v>
      </c>
      <c r="BR244" s="108">
        <v>0</v>
      </c>
      <c r="BS244" s="108">
        <v>0</v>
      </c>
      <c r="BT244" s="108">
        <v>0</v>
      </c>
      <c r="BU244" s="108">
        <v>0</v>
      </c>
      <c r="BV244" s="108">
        <v>0</v>
      </c>
      <c r="BW244" s="108">
        <v>0</v>
      </c>
      <c r="BX244" s="108">
        <v>0</v>
      </c>
      <c r="BY244" s="108">
        <v>0</v>
      </c>
      <c r="BZ244" s="108">
        <v>0</v>
      </c>
      <c r="CA244" s="108">
        <v>0</v>
      </c>
      <c r="CB244" s="108">
        <v>0</v>
      </c>
    </row>
    <row r="245" spans="4:80" x14ac:dyDescent="0.55000000000000004">
      <c r="D245" s="104" t="str">
        <f>$V$72</f>
        <v>Michel</v>
      </c>
      <c r="E245" s="104">
        <f t="shared" si="90"/>
        <v>0</v>
      </c>
      <c r="F245" s="104">
        <f t="shared" si="91"/>
        <v>0</v>
      </c>
      <c r="G245" s="104">
        <f t="shared" si="92"/>
        <v>0</v>
      </c>
      <c r="H245" s="104">
        <f t="shared" si="93"/>
        <v>0</v>
      </c>
      <c r="I245" s="104">
        <f t="shared" si="94"/>
        <v>0</v>
      </c>
      <c r="J245" s="104">
        <f t="shared" si="95"/>
        <v>0</v>
      </c>
      <c r="K245" s="104">
        <f t="shared" si="96"/>
        <v>0</v>
      </c>
      <c r="L245" s="104">
        <f t="shared" si="97"/>
        <v>0</v>
      </c>
      <c r="M245" s="104">
        <f t="shared" si="98"/>
        <v>0</v>
      </c>
      <c r="N245" s="104">
        <f t="shared" si="99"/>
        <v>0</v>
      </c>
      <c r="O245" s="104">
        <f t="shared" si="100"/>
        <v>0</v>
      </c>
      <c r="P245" s="104">
        <f t="shared" si="101"/>
        <v>0</v>
      </c>
      <c r="Q245" s="104">
        <f t="shared" si="102"/>
        <v>0</v>
      </c>
      <c r="R245" s="104">
        <f t="shared" si="103"/>
        <v>0</v>
      </c>
      <c r="S245" s="104">
        <f t="shared" si="104"/>
        <v>0</v>
      </c>
      <c r="T245" s="28" t="s">
        <v>18</v>
      </c>
      <c r="V245" s="104" t="str">
        <f>$V$72</f>
        <v>Michel</v>
      </c>
      <c r="W245" s="104">
        <f t="shared" ref="W245:AK245" si="124">W117*$AN72</f>
        <v>0</v>
      </c>
      <c r="X245" s="104">
        <f t="shared" si="124"/>
        <v>0</v>
      </c>
      <c r="Y245" s="104">
        <f t="shared" si="124"/>
        <v>0</v>
      </c>
      <c r="Z245" s="104">
        <f t="shared" si="124"/>
        <v>0</v>
      </c>
      <c r="AA245" s="104">
        <f t="shared" si="124"/>
        <v>0</v>
      </c>
      <c r="AB245" s="104">
        <f t="shared" si="124"/>
        <v>0</v>
      </c>
      <c r="AC245" s="104">
        <f t="shared" si="124"/>
        <v>0</v>
      </c>
      <c r="AD245" s="104">
        <f t="shared" si="124"/>
        <v>0</v>
      </c>
      <c r="AE245" s="104">
        <f t="shared" si="124"/>
        <v>0</v>
      </c>
      <c r="AF245" s="104">
        <f t="shared" si="124"/>
        <v>0</v>
      </c>
      <c r="AG245" s="104">
        <f t="shared" si="124"/>
        <v>0</v>
      </c>
      <c r="AH245" s="104">
        <f t="shared" si="124"/>
        <v>0</v>
      </c>
      <c r="AI245" s="104">
        <f t="shared" si="124"/>
        <v>0</v>
      </c>
      <c r="AJ245" s="104">
        <f t="shared" si="124"/>
        <v>0</v>
      </c>
      <c r="AK245" s="104">
        <f t="shared" si="124"/>
        <v>0</v>
      </c>
      <c r="AQ245" s="104" t="str">
        <f>$V$64</f>
        <v>Alex</v>
      </c>
      <c r="AR245" s="54">
        <v>0</v>
      </c>
      <c r="AS245" s="54">
        <v>0</v>
      </c>
      <c r="AT245" s="54">
        <v>0</v>
      </c>
      <c r="AU245" s="54">
        <v>0</v>
      </c>
      <c r="AV245" s="54">
        <v>0</v>
      </c>
      <c r="AW245" s="54">
        <v>0</v>
      </c>
      <c r="AX245" s="54">
        <v>0</v>
      </c>
      <c r="AY245" s="54">
        <v>0</v>
      </c>
      <c r="AZ245" s="54">
        <v>0</v>
      </c>
      <c r="BA245" s="54">
        <v>0</v>
      </c>
      <c r="BB245" s="54">
        <v>0</v>
      </c>
      <c r="BC245" s="54">
        <v>0</v>
      </c>
      <c r="BD245" s="54">
        <v>0</v>
      </c>
      <c r="BE245" s="54">
        <v>0</v>
      </c>
      <c r="BF245" s="54">
        <v>0</v>
      </c>
      <c r="BG245" s="54">
        <v>0</v>
      </c>
      <c r="BH245" s="54">
        <v>0</v>
      </c>
      <c r="BK245" s="104" t="str">
        <f>$V$89</f>
        <v>-</v>
      </c>
      <c r="BL245" s="108">
        <v>0</v>
      </c>
      <c r="BM245" s="108">
        <v>0</v>
      </c>
      <c r="BN245" s="108">
        <v>0</v>
      </c>
      <c r="BO245" s="108">
        <v>0</v>
      </c>
      <c r="BP245" s="108">
        <v>0</v>
      </c>
      <c r="BQ245" s="108">
        <v>0</v>
      </c>
      <c r="BR245" s="108">
        <v>0</v>
      </c>
      <c r="BS245" s="108">
        <v>0</v>
      </c>
      <c r="BT245" s="108">
        <v>0</v>
      </c>
      <c r="BU245" s="108">
        <v>0</v>
      </c>
      <c r="BV245" s="108">
        <v>0</v>
      </c>
      <c r="BW245" s="108">
        <v>0</v>
      </c>
      <c r="BX245" s="108">
        <v>0</v>
      </c>
      <c r="BY245" s="108">
        <v>0</v>
      </c>
      <c r="BZ245" s="108">
        <v>0</v>
      </c>
      <c r="CA245" s="108">
        <v>0</v>
      </c>
      <c r="CB245" s="108">
        <v>0</v>
      </c>
    </row>
    <row r="246" spans="4:80" x14ac:dyDescent="0.55000000000000004">
      <c r="D246" s="104" t="str">
        <f>$V$73</f>
        <v>Nour</v>
      </c>
      <c r="E246" s="104">
        <f t="shared" si="90"/>
        <v>0</v>
      </c>
      <c r="F246" s="104">
        <f t="shared" si="91"/>
        <v>0</v>
      </c>
      <c r="G246" s="104">
        <f t="shared" si="92"/>
        <v>0</v>
      </c>
      <c r="H246" s="104">
        <f t="shared" si="93"/>
        <v>0</v>
      </c>
      <c r="I246" s="104">
        <f t="shared" si="94"/>
        <v>0</v>
      </c>
      <c r="J246" s="104">
        <f t="shared" si="95"/>
        <v>0</v>
      </c>
      <c r="K246" s="104">
        <f t="shared" si="96"/>
        <v>0</v>
      </c>
      <c r="L246" s="104">
        <f t="shared" si="97"/>
        <v>0</v>
      </c>
      <c r="M246" s="104">
        <f t="shared" si="98"/>
        <v>-2</v>
      </c>
      <c r="N246" s="104">
        <f t="shared" si="99"/>
        <v>0</v>
      </c>
      <c r="O246" s="104">
        <f t="shared" si="100"/>
        <v>0</v>
      </c>
      <c r="P246" s="104">
        <f t="shared" si="101"/>
        <v>0</v>
      </c>
      <c r="Q246" s="104">
        <f t="shared" si="102"/>
        <v>0</v>
      </c>
      <c r="R246" s="104">
        <f t="shared" si="103"/>
        <v>0</v>
      </c>
      <c r="S246" s="104">
        <f t="shared" si="104"/>
        <v>0</v>
      </c>
      <c r="T246" s="28" t="s">
        <v>18</v>
      </c>
      <c r="V246" s="104" t="str">
        <f>$V$73</f>
        <v>Nour</v>
      </c>
      <c r="W246" s="104">
        <f t="shared" ref="W246:AK246" si="125">W118*$AN73</f>
        <v>0</v>
      </c>
      <c r="X246" s="104">
        <f t="shared" si="125"/>
        <v>0</v>
      </c>
      <c r="Y246" s="104">
        <f t="shared" si="125"/>
        <v>0</v>
      </c>
      <c r="Z246" s="104">
        <f t="shared" si="125"/>
        <v>0</v>
      </c>
      <c r="AA246" s="104">
        <f t="shared" si="125"/>
        <v>0</v>
      </c>
      <c r="AB246" s="104">
        <f t="shared" si="125"/>
        <v>0</v>
      </c>
      <c r="AC246" s="104">
        <f t="shared" si="125"/>
        <v>0</v>
      </c>
      <c r="AD246" s="104">
        <f t="shared" si="125"/>
        <v>0</v>
      </c>
      <c r="AE246" s="104">
        <f t="shared" si="125"/>
        <v>0</v>
      </c>
      <c r="AF246" s="104">
        <f t="shared" si="125"/>
        <v>0</v>
      </c>
      <c r="AG246" s="104">
        <f t="shared" si="125"/>
        <v>0</v>
      </c>
      <c r="AH246" s="104">
        <f t="shared" si="125"/>
        <v>0</v>
      </c>
      <c r="AI246" s="104">
        <f t="shared" si="125"/>
        <v>0</v>
      </c>
      <c r="AJ246" s="104">
        <f t="shared" si="125"/>
        <v>0</v>
      </c>
      <c r="AK246" s="104">
        <f t="shared" si="125"/>
        <v>0</v>
      </c>
      <c r="AQ246" s="104" t="str">
        <f>$V$65</f>
        <v>Alyssa</v>
      </c>
      <c r="AR246" s="54">
        <v>0</v>
      </c>
      <c r="AS246" s="54">
        <v>0</v>
      </c>
      <c r="AT246" s="54">
        <v>0</v>
      </c>
      <c r="AU246" s="54">
        <v>0</v>
      </c>
      <c r="AV246" s="54">
        <v>0</v>
      </c>
      <c r="AW246" s="54">
        <v>0</v>
      </c>
      <c r="AX246" s="54">
        <v>0</v>
      </c>
      <c r="AY246" s="54">
        <v>0</v>
      </c>
      <c r="AZ246" s="54">
        <v>0</v>
      </c>
      <c r="BA246" s="54">
        <v>0</v>
      </c>
      <c r="BB246" s="54">
        <v>0</v>
      </c>
      <c r="BC246" s="54">
        <v>0</v>
      </c>
      <c r="BD246" s="54">
        <v>0</v>
      </c>
      <c r="BE246" s="54">
        <v>0</v>
      </c>
      <c r="BF246" s="54">
        <v>0</v>
      </c>
      <c r="BG246" s="54">
        <v>0</v>
      </c>
      <c r="BH246" s="54">
        <v>0</v>
      </c>
      <c r="BK246" s="104" t="str">
        <f>$V$90</f>
        <v>-</v>
      </c>
      <c r="BL246" s="108">
        <v>0</v>
      </c>
      <c r="BM246" s="108">
        <v>0</v>
      </c>
      <c r="BN246" s="108">
        <v>0</v>
      </c>
      <c r="BO246" s="108">
        <v>0</v>
      </c>
      <c r="BP246" s="108">
        <v>0</v>
      </c>
      <c r="BQ246" s="108">
        <v>0</v>
      </c>
      <c r="BR246" s="108">
        <v>0</v>
      </c>
      <c r="BS246" s="108">
        <v>0</v>
      </c>
      <c r="BT246" s="108">
        <v>0</v>
      </c>
      <c r="BU246" s="108">
        <v>0</v>
      </c>
      <c r="BV246" s="108">
        <v>0</v>
      </c>
      <c r="BW246" s="108">
        <v>0</v>
      </c>
      <c r="BX246" s="108">
        <v>0</v>
      </c>
      <c r="BY246" s="108">
        <v>0</v>
      </c>
      <c r="BZ246" s="108">
        <v>0</v>
      </c>
      <c r="CA246" s="108">
        <v>0</v>
      </c>
      <c r="CB246" s="108">
        <v>0</v>
      </c>
    </row>
    <row r="247" spans="4:80" x14ac:dyDescent="0.55000000000000004">
      <c r="D247" s="104" t="str">
        <f>$V$74</f>
        <v>Samuel</v>
      </c>
      <c r="E247" s="104">
        <f t="shared" si="90"/>
        <v>0</v>
      </c>
      <c r="F247" s="104">
        <f t="shared" si="91"/>
        <v>0</v>
      </c>
      <c r="G247" s="104">
        <f t="shared" si="92"/>
        <v>0</v>
      </c>
      <c r="H247" s="104">
        <f t="shared" si="93"/>
        <v>0</v>
      </c>
      <c r="I247" s="104">
        <f t="shared" si="94"/>
        <v>0</v>
      </c>
      <c r="J247" s="104">
        <f t="shared" si="95"/>
        <v>0</v>
      </c>
      <c r="K247" s="104">
        <f t="shared" si="96"/>
        <v>0</v>
      </c>
      <c r="L247" s="104">
        <f t="shared" si="97"/>
        <v>0</v>
      </c>
      <c r="M247" s="104">
        <f t="shared" si="98"/>
        <v>0</v>
      </c>
      <c r="N247" s="104">
        <f t="shared" si="99"/>
        <v>0</v>
      </c>
      <c r="O247" s="104">
        <f t="shared" si="100"/>
        <v>0</v>
      </c>
      <c r="P247" s="104">
        <f t="shared" si="101"/>
        <v>0</v>
      </c>
      <c r="Q247" s="104">
        <f t="shared" si="102"/>
        <v>0</v>
      </c>
      <c r="R247" s="104">
        <f t="shared" si="103"/>
        <v>0</v>
      </c>
      <c r="S247" s="104">
        <f t="shared" si="104"/>
        <v>0</v>
      </c>
      <c r="T247" s="28" t="s">
        <v>18</v>
      </c>
      <c r="V247" s="104" t="str">
        <f>$V$74</f>
        <v>Samuel</v>
      </c>
      <c r="W247" s="104">
        <f t="shared" ref="W247:AK247" si="126">W119*$AN74</f>
        <v>0</v>
      </c>
      <c r="X247" s="104">
        <f t="shared" si="126"/>
        <v>0</v>
      </c>
      <c r="Y247" s="104">
        <f t="shared" si="126"/>
        <v>0</v>
      </c>
      <c r="Z247" s="104">
        <f t="shared" si="126"/>
        <v>0</v>
      </c>
      <c r="AA247" s="104">
        <f t="shared" si="126"/>
        <v>0</v>
      </c>
      <c r="AB247" s="104">
        <f t="shared" si="126"/>
        <v>0</v>
      </c>
      <c r="AC247" s="104">
        <f t="shared" si="126"/>
        <v>0</v>
      </c>
      <c r="AD247" s="104">
        <f t="shared" si="126"/>
        <v>0</v>
      </c>
      <c r="AE247" s="104">
        <f t="shared" si="126"/>
        <v>0</v>
      </c>
      <c r="AF247" s="104">
        <f t="shared" si="126"/>
        <v>0</v>
      </c>
      <c r="AG247" s="104">
        <f t="shared" si="126"/>
        <v>0</v>
      </c>
      <c r="AH247" s="104">
        <f t="shared" si="126"/>
        <v>0</v>
      </c>
      <c r="AI247" s="104">
        <f t="shared" si="126"/>
        <v>0</v>
      </c>
      <c r="AJ247" s="104">
        <f t="shared" si="126"/>
        <v>0</v>
      </c>
      <c r="AK247" s="104">
        <f t="shared" si="126"/>
        <v>0</v>
      </c>
      <c r="AQ247" s="104" t="str">
        <f>$V$66</f>
        <v>Amanda</v>
      </c>
      <c r="AR247" s="54">
        <v>0</v>
      </c>
      <c r="AS247" s="54">
        <v>0</v>
      </c>
      <c r="AT247" s="54">
        <v>0</v>
      </c>
      <c r="AU247" s="54">
        <v>0</v>
      </c>
      <c r="AV247" s="54">
        <v>0</v>
      </c>
      <c r="AW247" s="54">
        <v>0</v>
      </c>
      <c r="AX247" s="54">
        <v>0</v>
      </c>
      <c r="AY247" s="54">
        <v>0</v>
      </c>
      <c r="AZ247" s="54">
        <v>0</v>
      </c>
      <c r="BA247" s="54">
        <v>0</v>
      </c>
      <c r="BB247" s="54">
        <v>0</v>
      </c>
      <c r="BC247" s="54">
        <v>0</v>
      </c>
      <c r="BD247" s="54">
        <v>0</v>
      </c>
      <c r="BE247" s="54">
        <v>0</v>
      </c>
      <c r="BF247" s="54">
        <v>0</v>
      </c>
      <c r="BG247" s="54">
        <v>0</v>
      </c>
      <c r="BH247" s="54">
        <v>0</v>
      </c>
      <c r="BK247" s="104" t="str">
        <f>$V$91</f>
        <v>-</v>
      </c>
      <c r="BL247" s="108">
        <v>0</v>
      </c>
      <c r="BM247" s="108">
        <v>0</v>
      </c>
      <c r="BN247" s="108">
        <v>0</v>
      </c>
      <c r="BO247" s="108">
        <v>0</v>
      </c>
      <c r="BP247" s="108">
        <v>0</v>
      </c>
      <c r="BQ247" s="108">
        <v>0</v>
      </c>
      <c r="BR247" s="108">
        <v>0</v>
      </c>
      <c r="BS247" s="108">
        <v>0</v>
      </c>
      <c r="BT247" s="108">
        <v>0</v>
      </c>
      <c r="BU247" s="108">
        <v>0</v>
      </c>
      <c r="BV247" s="108">
        <v>0</v>
      </c>
      <c r="BW247" s="108">
        <v>0</v>
      </c>
      <c r="BX247" s="108">
        <v>0</v>
      </c>
      <c r="BY247" s="108">
        <v>0</v>
      </c>
      <c r="BZ247" s="108">
        <v>0</v>
      </c>
      <c r="CA247" s="108">
        <v>0</v>
      </c>
      <c r="CB247" s="108">
        <v>0</v>
      </c>
    </row>
    <row r="248" spans="4:80" x14ac:dyDescent="0.55000000000000004">
      <c r="D248" s="104" t="str">
        <f>$V$75</f>
        <v>Yassin</v>
      </c>
      <c r="E248" s="104">
        <f t="shared" si="90"/>
        <v>0</v>
      </c>
      <c r="F248" s="104">
        <f t="shared" si="91"/>
        <v>0</v>
      </c>
      <c r="G248" s="104">
        <f t="shared" si="92"/>
        <v>0</v>
      </c>
      <c r="H248" s="104">
        <f t="shared" si="93"/>
        <v>0</v>
      </c>
      <c r="I248" s="104">
        <f t="shared" si="94"/>
        <v>0</v>
      </c>
      <c r="J248" s="104">
        <f t="shared" si="95"/>
        <v>0</v>
      </c>
      <c r="K248" s="104">
        <f t="shared" si="96"/>
        <v>0</v>
      </c>
      <c r="L248" s="104">
        <f t="shared" si="97"/>
        <v>0</v>
      </c>
      <c r="M248" s="104">
        <f t="shared" si="98"/>
        <v>0</v>
      </c>
      <c r="N248" s="104">
        <f t="shared" si="99"/>
        <v>0</v>
      </c>
      <c r="O248" s="104">
        <f t="shared" si="100"/>
        <v>0</v>
      </c>
      <c r="P248" s="104">
        <f t="shared" si="101"/>
        <v>0</v>
      </c>
      <c r="Q248" s="104">
        <f t="shared" si="102"/>
        <v>0</v>
      </c>
      <c r="R248" s="104">
        <f t="shared" si="103"/>
        <v>0</v>
      </c>
      <c r="S248" s="104">
        <f t="shared" si="104"/>
        <v>0</v>
      </c>
      <c r="T248" s="28" t="s">
        <v>18</v>
      </c>
      <c r="V248" s="104" t="str">
        <f>$V$75</f>
        <v>Yassin</v>
      </c>
      <c r="W248" s="104">
        <f t="shared" ref="W248:AK248" si="127">W120*$AN75</f>
        <v>0</v>
      </c>
      <c r="X248" s="104">
        <f t="shared" si="127"/>
        <v>0</v>
      </c>
      <c r="Y248" s="104">
        <f t="shared" si="127"/>
        <v>0</v>
      </c>
      <c r="Z248" s="104">
        <f t="shared" si="127"/>
        <v>0</v>
      </c>
      <c r="AA248" s="104">
        <f t="shared" si="127"/>
        <v>0</v>
      </c>
      <c r="AB248" s="104">
        <f t="shared" si="127"/>
        <v>0</v>
      </c>
      <c r="AC248" s="104">
        <f t="shared" si="127"/>
        <v>0</v>
      </c>
      <c r="AD248" s="104">
        <f t="shared" si="127"/>
        <v>0</v>
      </c>
      <c r="AE248" s="104">
        <f t="shared" si="127"/>
        <v>0</v>
      </c>
      <c r="AF248" s="104">
        <f t="shared" si="127"/>
        <v>0</v>
      </c>
      <c r="AG248" s="104">
        <f t="shared" si="127"/>
        <v>0</v>
      </c>
      <c r="AH248" s="104">
        <f t="shared" si="127"/>
        <v>0</v>
      </c>
      <c r="AI248" s="104">
        <f t="shared" si="127"/>
        <v>0</v>
      </c>
      <c r="AJ248" s="104">
        <f t="shared" si="127"/>
        <v>0</v>
      </c>
      <c r="AK248" s="104">
        <f t="shared" si="127"/>
        <v>0</v>
      </c>
      <c r="AQ248" s="104" t="str">
        <f>$V$67</f>
        <v>Antoine</v>
      </c>
      <c r="AR248" s="54">
        <v>0</v>
      </c>
      <c r="AS248" s="54">
        <v>0</v>
      </c>
      <c r="AT248" s="54">
        <v>0</v>
      </c>
      <c r="AU248" s="54">
        <v>0</v>
      </c>
      <c r="AV248" s="54">
        <v>0</v>
      </c>
      <c r="AW248" s="54">
        <v>0</v>
      </c>
      <c r="AX248" s="54">
        <v>0</v>
      </c>
      <c r="AY248" s="54">
        <v>0</v>
      </c>
      <c r="AZ248" s="54">
        <v>0</v>
      </c>
      <c r="BA248" s="54">
        <v>0</v>
      </c>
      <c r="BB248" s="54">
        <v>0</v>
      </c>
      <c r="BC248" s="54">
        <v>0</v>
      </c>
      <c r="BD248" s="54">
        <v>0</v>
      </c>
      <c r="BE248" s="54">
        <v>0</v>
      </c>
      <c r="BF248" s="54">
        <v>0</v>
      </c>
      <c r="BG248" s="54">
        <v>0</v>
      </c>
      <c r="BH248" s="54">
        <v>0</v>
      </c>
      <c r="BK248" s="104" t="str">
        <f>$V$92</f>
        <v>-</v>
      </c>
      <c r="BL248" s="108">
        <v>0</v>
      </c>
      <c r="BM248" s="108">
        <v>0</v>
      </c>
      <c r="BN248" s="108">
        <v>0</v>
      </c>
      <c r="BO248" s="108">
        <v>0</v>
      </c>
      <c r="BP248" s="108">
        <v>0</v>
      </c>
      <c r="BQ248" s="108">
        <v>0</v>
      </c>
      <c r="BR248" s="108">
        <v>0</v>
      </c>
      <c r="BS248" s="108">
        <v>0</v>
      </c>
      <c r="BT248" s="108">
        <v>0</v>
      </c>
      <c r="BU248" s="108">
        <v>0</v>
      </c>
      <c r="BV248" s="108">
        <v>0</v>
      </c>
      <c r="BW248" s="108">
        <v>0</v>
      </c>
      <c r="BX248" s="108">
        <v>0</v>
      </c>
      <c r="BY248" s="108">
        <v>0</v>
      </c>
      <c r="BZ248" s="108">
        <v>0</v>
      </c>
      <c r="CA248" s="108">
        <v>0</v>
      </c>
      <c r="CB248" s="108">
        <v>0</v>
      </c>
    </row>
    <row r="249" spans="4:80" x14ac:dyDescent="0.55000000000000004">
      <c r="D249" s="104" t="str">
        <f>$V$76</f>
        <v>Kamar</v>
      </c>
      <c r="E249" s="104">
        <f t="shared" si="90"/>
        <v>0</v>
      </c>
      <c r="F249" s="104">
        <f t="shared" si="91"/>
        <v>0</v>
      </c>
      <c r="G249" s="104">
        <f t="shared" si="92"/>
        <v>0</v>
      </c>
      <c r="H249" s="104">
        <f t="shared" si="93"/>
        <v>0</v>
      </c>
      <c r="I249" s="104">
        <f t="shared" si="94"/>
        <v>0</v>
      </c>
      <c r="J249" s="104">
        <f t="shared" si="95"/>
        <v>0</v>
      </c>
      <c r="K249" s="104">
        <f t="shared" si="96"/>
        <v>0</v>
      </c>
      <c r="L249" s="104">
        <f t="shared" si="97"/>
        <v>0</v>
      </c>
      <c r="M249" s="104">
        <f t="shared" si="98"/>
        <v>0</v>
      </c>
      <c r="N249" s="104">
        <f t="shared" si="99"/>
        <v>0</v>
      </c>
      <c r="O249" s="104">
        <f t="shared" si="100"/>
        <v>0</v>
      </c>
      <c r="P249" s="104">
        <f t="shared" si="101"/>
        <v>0</v>
      </c>
      <c r="Q249" s="104">
        <f t="shared" si="102"/>
        <v>0</v>
      </c>
      <c r="R249" s="104">
        <f t="shared" si="103"/>
        <v>0</v>
      </c>
      <c r="S249" s="104">
        <f t="shared" si="104"/>
        <v>0</v>
      </c>
      <c r="T249" s="28" t="s">
        <v>18</v>
      </c>
      <c r="V249" s="104" t="str">
        <f>$V$76</f>
        <v>Kamar</v>
      </c>
      <c r="W249" s="104">
        <f t="shared" ref="W249:AK249" si="128">W121*$AN76</f>
        <v>0</v>
      </c>
      <c r="X249" s="104">
        <f t="shared" si="128"/>
        <v>0</v>
      </c>
      <c r="Y249" s="104">
        <f t="shared" si="128"/>
        <v>0</v>
      </c>
      <c r="Z249" s="104">
        <f t="shared" si="128"/>
        <v>0</v>
      </c>
      <c r="AA249" s="104">
        <f t="shared" si="128"/>
        <v>0</v>
      </c>
      <c r="AB249" s="104">
        <f t="shared" si="128"/>
        <v>0</v>
      </c>
      <c r="AC249" s="104">
        <f t="shared" si="128"/>
        <v>0</v>
      </c>
      <c r="AD249" s="104">
        <f t="shared" si="128"/>
        <v>0</v>
      </c>
      <c r="AE249" s="104">
        <f t="shared" si="128"/>
        <v>0</v>
      </c>
      <c r="AF249" s="104">
        <f t="shared" si="128"/>
        <v>0</v>
      </c>
      <c r="AG249" s="104">
        <f t="shared" si="128"/>
        <v>0</v>
      </c>
      <c r="AH249" s="104">
        <f t="shared" si="128"/>
        <v>0</v>
      </c>
      <c r="AI249" s="104">
        <f t="shared" si="128"/>
        <v>0</v>
      </c>
      <c r="AJ249" s="104">
        <f t="shared" si="128"/>
        <v>0</v>
      </c>
      <c r="AK249" s="104">
        <f t="shared" si="128"/>
        <v>0</v>
      </c>
      <c r="AQ249" s="104" t="str">
        <f>$V$68</f>
        <v>Beatriz</v>
      </c>
      <c r="AR249" s="54">
        <v>0</v>
      </c>
      <c r="AS249" s="54">
        <v>0</v>
      </c>
      <c r="AT249" s="54">
        <v>0</v>
      </c>
      <c r="AU249" s="54">
        <v>0</v>
      </c>
      <c r="AV249" s="54">
        <v>0</v>
      </c>
      <c r="AW249" s="54">
        <v>0</v>
      </c>
      <c r="AX249" s="54">
        <v>0</v>
      </c>
      <c r="AY249" s="54">
        <v>0</v>
      </c>
      <c r="AZ249" s="54">
        <v>0</v>
      </c>
      <c r="BA249" s="54">
        <v>0</v>
      </c>
      <c r="BB249" s="54">
        <v>0</v>
      </c>
      <c r="BC249" s="54">
        <v>0</v>
      </c>
      <c r="BD249" s="54">
        <v>0</v>
      </c>
      <c r="BE249" s="54">
        <v>0</v>
      </c>
      <c r="BF249" s="54">
        <v>0</v>
      </c>
      <c r="BG249" s="54">
        <v>0</v>
      </c>
      <c r="BH249" s="54">
        <v>0</v>
      </c>
    </row>
    <row r="250" spans="4:80" x14ac:dyDescent="0.55000000000000004">
      <c r="D250" s="104" t="str">
        <f>$V$77</f>
        <v>-</v>
      </c>
      <c r="E250" s="104">
        <f t="shared" si="90"/>
        <v>0</v>
      </c>
      <c r="F250" s="104">
        <f t="shared" si="91"/>
        <v>0</v>
      </c>
      <c r="G250" s="104">
        <f t="shared" si="92"/>
        <v>0</v>
      </c>
      <c r="H250" s="104">
        <f t="shared" si="93"/>
        <v>0</v>
      </c>
      <c r="I250" s="104">
        <f t="shared" si="94"/>
        <v>0</v>
      </c>
      <c r="J250" s="104">
        <f t="shared" si="95"/>
        <v>0</v>
      </c>
      <c r="K250" s="104">
        <f t="shared" si="96"/>
        <v>0</v>
      </c>
      <c r="L250" s="104">
        <f t="shared" si="97"/>
        <v>0</v>
      </c>
      <c r="M250" s="104">
        <f t="shared" si="98"/>
        <v>0</v>
      </c>
      <c r="N250" s="104">
        <f t="shared" si="99"/>
        <v>0</v>
      </c>
      <c r="O250" s="104">
        <f t="shared" si="100"/>
        <v>0</v>
      </c>
      <c r="P250" s="104">
        <f t="shared" si="101"/>
        <v>0</v>
      </c>
      <c r="Q250" s="104">
        <f t="shared" si="102"/>
        <v>0</v>
      </c>
      <c r="R250" s="104">
        <f t="shared" si="103"/>
        <v>0</v>
      </c>
      <c r="S250" s="104">
        <f t="shared" si="104"/>
        <v>0</v>
      </c>
      <c r="T250" s="28" t="s">
        <v>18</v>
      </c>
      <c r="V250" s="104" t="str">
        <f>$V$77</f>
        <v>-</v>
      </c>
      <c r="W250" s="104">
        <f t="shared" ref="W250:AK250" si="129">W122*$AN77</f>
        <v>0</v>
      </c>
      <c r="X250" s="104">
        <f t="shared" si="129"/>
        <v>0</v>
      </c>
      <c r="Y250" s="104">
        <f t="shared" si="129"/>
        <v>0</v>
      </c>
      <c r="Z250" s="104">
        <f t="shared" si="129"/>
        <v>0</v>
      </c>
      <c r="AA250" s="104">
        <f t="shared" si="129"/>
        <v>0</v>
      </c>
      <c r="AB250" s="104">
        <f t="shared" si="129"/>
        <v>0</v>
      </c>
      <c r="AC250" s="104">
        <f t="shared" si="129"/>
        <v>0</v>
      </c>
      <c r="AD250" s="104">
        <f t="shared" si="129"/>
        <v>0</v>
      </c>
      <c r="AE250" s="104">
        <f t="shared" si="129"/>
        <v>0</v>
      </c>
      <c r="AF250" s="104">
        <f t="shared" si="129"/>
        <v>0</v>
      </c>
      <c r="AG250" s="104">
        <f t="shared" si="129"/>
        <v>0</v>
      </c>
      <c r="AH250" s="104">
        <f t="shared" si="129"/>
        <v>0</v>
      </c>
      <c r="AI250" s="104">
        <f t="shared" si="129"/>
        <v>0</v>
      </c>
      <c r="AJ250" s="104">
        <f t="shared" si="129"/>
        <v>0</v>
      </c>
      <c r="AK250" s="104">
        <f t="shared" si="129"/>
        <v>0</v>
      </c>
      <c r="AQ250" s="104" t="str">
        <f>$V$69</f>
        <v>Charelle</v>
      </c>
      <c r="AR250" s="54">
        <v>0</v>
      </c>
      <c r="AS250" s="54">
        <v>0</v>
      </c>
      <c r="AT250" s="54">
        <v>0</v>
      </c>
      <c r="AU250" s="54">
        <v>0</v>
      </c>
      <c r="AV250" s="54">
        <v>0</v>
      </c>
      <c r="AW250" s="54">
        <v>0</v>
      </c>
      <c r="AX250" s="54">
        <v>0</v>
      </c>
      <c r="AY250" s="54">
        <v>0</v>
      </c>
      <c r="AZ250" s="54">
        <v>0</v>
      </c>
      <c r="BA250" s="54">
        <v>0</v>
      </c>
      <c r="BB250" s="54">
        <v>0</v>
      </c>
      <c r="BC250" s="54">
        <v>0</v>
      </c>
      <c r="BD250" s="54">
        <v>0</v>
      </c>
      <c r="BE250" s="54">
        <v>0</v>
      </c>
      <c r="BF250" s="54">
        <v>0</v>
      </c>
      <c r="BG250" s="54">
        <v>0</v>
      </c>
      <c r="BH250" s="54">
        <v>0</v>
      </c>
    </row>
    <row r="251" spans="4:80" x14ac:dyDescent="0.55000000000000004">
      <c r="D251" s="104" t="str">
        <f>$V$78</f>
        <v>-</v>
      </c>
      <c r="E251" s="104">
        <f t="shared" si="90"/>
        <v>0</v>
      </c>
      <c r="F251" s="104">
        <f t="shared" si="91"/>
        <v>0</v>
      </c>
      <c r="G251" s="104">
        <f t="shared" si="92"/>
        <v>0</v>
      </c>
      <c r="H251" s="104">
        <f t="shared" si="93"/>
        <v>0</v>
      </c>
      <c r="I251" s="104">
        <f t="shared" si="94"/>
        <v>0</v>
      </c>
      <c r="J251" s="104">
        <f t="shared" si="95"/>
        <v>0</v>
      </c>
      <c r="K251" s="104">
        <f t="shared" si="96"/>
        <v>0</v>
      </c>
      <c r="L251" s="104">
        <f t="shared" si="97"/>
        <v>0</v>
      </c>
      <c r="M251" s="104">
        <f t="shared" si="98"/>
        <v>0</v>
      </c>
      <c r="N251" s="104">
        <f t="shared" si="99"/>
        <v>0</v>
      </c>
      <c r="O251" s="104">
        <f t="shared" si="100"/>
        <v>-2</v>
      </c>
      <c r="P251" s="104">
        <f t="shared" si="101"/>
        <v>0</v>
      </c>
      <c r="Q251" s="104">
        <f t="shared" si="102"/>
        <v>0</v>
      </c>
      <c r="R251" s="104">
        <f t="shared" si="103"/>
        <v>0</v>
      </c>
      <c r="S251" s="104">
        <f t="shared" si="104"/>
        <v>0</v>
      </c>
      <c r="T251" s="28" t="s">
        <v>18</v>
      </c>
      <c r="V251" s="104" t="str">
        <f>$V$78</f>
        <v>-</v>
      </c>
      <c r="W251" s="104">
        <f t="shared" ref="W251:AK251" si="130">W123*$AN78</f>
        <v>0</v>
      </c>
      <c r="X251" s="104">
        <f t="shared" si="130"/>
        <v>0</v>
      </c>
      <c r="Y251" s="104">
        <f t="shared" si="130"/>
        <v>0</v>
      </c>
      <c r="Z251" s="104">
        <f t="shared" si="130"/>
        <v>0</v>
      </c>
      <c r="AA251" s="104">
        <f t="shared" si="130"/>
        <v>0</v>
      </c>
      <c r="AB251" s="104">
        <f t="shared" si="130"/>
        <v>0</v>
      </c>
      <c r="AC251" s="104">
        <f t="shared" si="130"/>
        <v>0</v>
      </c>
      <c r="AD251" s="104">
        <f t="shared" si="130"/>
        <v>0</v>
      </c>
      <c r="AE251" s="104">
        <f t="shared" si="130"/>
        <v>0</v>
      </c>
      <c r="AF251" s="104">
        <f t="shared" si="130"/>
        <v>0</v>
      </c>
      <c r="AG251" s="104">
        <f t="shared" si="130"/>
        <v>0</v>
      </c>
      <c r="AH251" s="104">
        <f t="shared" si="130"/>
        <v>0</v>
      </c>
      <c r="AI251" s="104">
        <f t="shared" si="130"/>
        <v>0</v>
      </c>
      <c r="AJ251" s="104">
        <f t="shared" si="130"/>
        <v>0</v>
      </c>
      <c r="AK251" s="104">
        <f t="shared" si="130"/>
        <v>0</v>
      </c>
      <c r="AQ251" s="104" t="str">
        <f>$V$70</f>
        <v>Dimitri</v>
      </c>
      <c r="AR251" s="54">
        <v>0</v>
      </c>
      <c r="AS251" s="54">
        <v>0</v>
      </c>
      <c r="AT251" s="54">
        <v>0</v>
      </c>
      <c r="AU251" s="54">
        <v>0</v>
      </c>
      <c r="AV251" s="54">
        <v>0</v>
      </c>
      <c r="AW251" s="54">
        <v>0</v>
      </c>
      <c r="AX251" s="54">
        <v>0</v>
      </c>
      <c r="AY251" s="54">
        <v>0</v>
      </c>
      <c r="AZ251" s="54">
        <v>0</v>
      </c>
      <c r="BA251" s="54">
        <v>0</v>
      </c>
      <c r="BB251" s="54">
        <v>0</v>
      </c>
      <c r="BC251" s="54">
        <v>0</v>
      </c>
      <c r="BD251" s="54">
        <v>0</v>
      </c>
      <c r="BE251" s="54">
        <v>0</v>
      </c>
      <c r="BF251" s="54">
        <v>0</v>
      </c>
      <c r="BG251" s="54">
        <v>0</v>
      </c>
      <c r="BH251" s="54">
        <v>0</v>
      </c>
      <c r="BK251" s="104" t="str">
        <f>CONCATENATE("OBLIGATORIEDAD DE (",BK252,")")</f>
        <v>OBLIGATORIEDAD DE (Homing)</v>
      </c>
    </row>
    <row r="252" spans="4:80" x14ac:dyDescent="0.55000000000000004">
      <c r="D252" s="104" t="str">
        <f>$V$79</f>
        <v>-</v>
      </c>
      <c r="E252" s="104">
        <f t="shared" si="90"/>
        <v>0</v>
      </c>
      <c r="F252" s="104">
        <f t="shared" si="91"/>
        <v>0</v>
      </c>
      <c r="G252" s="104">
        <f t="shared" si="92"/>
        <v>0</v>
      </c>
      <c r="H252" s="104">
        <f t="shared" si="93"/>
        <v>0</v>
      </c>
      <c r="I252" s="104">
        <f t="shared" si="94"/>
        <v>0</v>
      </c>
      <c r="J252" s="104">
        <f t="shared" si="95"/>
        <v>0</v>
      </c>
      <c r="K252" s="104">
        <f t="shared" si="96"/>
        <v>0</v>
      </c>
      <c r="L252" s="104">
        <f t="shared" si="97"/>
        <v>0</v>
      </c>
      <c r="M252" s="104">
        <f t="shared" si="98"/>
        <v>0</v>
      </c>
      <c r="N252" s="104">
        <f t="shared" si="99"/>
        <v>0</v>
      </c>
      <c r="O252" s="104">
        <f t="shared" si="100"/>
        <v>-2</v>
      </c>
      <c r="P252" s="104">
        <f t="shared" si="101"/>
        <v>0</v>
      </c>
      <c r="Q252" s="104">
        <f t="shared" si="102"/>
        <v>0</v>
      </c>
      <c r="R252" s="104">
        <f t="shared" si="103"/>
        <v>0</v>
      </c>
      <c r="S252" s="104">
        <f t="shared" si="104"/>
        <v>0</v>
      </c>
      <c r="T252" s="28" t="s">
        <v>18</v>
      </c>
      <c r="V252" s="104" t="str">
        <f>$V$79</f>
        <v>-</v>
      </c>
      <c r="W252" s="104">
        <f t="shared" ref="W252:AK252" si="131">W124*$AN79</f>
        <v>0</v>
      </c>
      <c r="X252" s="104">
        <f t="shared" si="131"/>
        <v>0</v>
      </c>
      <c r="Y252" s="104">
        <f t="shared" si="131"/>
        <v>0</v>
      </c>
      <c r="Z252" s="104">
        <f t="shared" si="131"/>
        <v>0</v>
      </c>
      <c r="AA252" s="104">
        <f t="shared" si="131"/>
        <v>0</v>
      </c>
      <c r="AB252" s="104">
        <f t="shared" si="131"/>
        <v>0</v>
      </c>
      <c r="AC252" s="104">
        <f t="shared" si="131"/>
        <v>0</v>
      </c>
      <c r="AD252" s="104">
        <f t="shared" si="131"/>
        <v>0</v>
      </c>
      <c r="AE252" s="104">
        <f t="shared" si="131"/>
        <v>0</v>
      </c>
      <c r="AF252" s="104">
        <f t="shared" si="131"/>
        <v>0</v>
      </c>
      <c r="AG252" s="104">
        <f t="shared" si="131"/>
        <v>0</v>
      </c>
      <c r="AH252" s="104">
        <f t="shared" si="131"/>
        <v>0</v>
      </c>
      <c r="AI252" s="104">
        <f t="shared" si="131"/>
        <v>0</v>
      </c>
      <c r="AJ252" s="104">
        <f t="shared" si="131"/>
        <v>0</v>
      </c>
      <c r="AK252" s="104">
        <f t="shared" si="131"/>
        <v>0</v>
      </c>
      <c r="AQ252" s="104" t="str">
        <f>$V$71</f>
        <v>Marina</v>
      </c>
      <c r="AR252" s="54">
        <v>0</v>
      </c>
      <c r="AS252" s="54">
        <v>0</v>
      </c>
      <c r="AT252" s="54">
        <v>0</v>
      </c>
      <c r="AU252" s="54">
        <v>0</v>
      </c>
      <c r="AV252" s="54">
        <v>0</v>
      </c>
      <c r="AW252" s="54">
        <v>0</v>
      </c>
      <c r="AX252" s="54">
        <v>0</v>
      </c>
      <c r="AY252" s="54">
        <v>0</v>
      </c>
      <c r="AZ252" s="54">
        <v>0</v>
      </c>
      <c r="BA252" s="54">
        <v>0</v>
      </c>
      <c r="BB252" s="54">
        <v>0</v>
      </c>
      <c r="BC252" s="54">
        <v>0</v>
      </c>
      <c r="BD252" s="54">
        <v>0</v>
      </c>
      <c r="BE252" s="54">
        <v>0</v>
      </c>
      <c r="BF252" s="54">
        <v>0</v>
      </c>
      <c r="BG252" s="54">
        <v>0</v>
      </c>
      <c r="BH252" s="54">
        <v>0</v>
      </c>
      <c r="BK252" s="104" t="str">
        <f>V39</f>
        <v>Homing</v>
      </c>
      <c r="BL252" s="104" t="str">
        <f>$W$33</f>
        <v>16h</v>
      </c>
      <c r="BM252" s="104" t="str">
        <f>$X$33</f>
        <v>17h</v>
      </c>
      <c r="BN252" s="104" t="str">
        <f>$Y$33</f>
        <v>18h</v>
      </c>
      <c r="BO252" s="104" t="str">
        <f>$Z$33</f>
        <v>19h</v>
      </c>
      <c r="BP252" s="104" t="str">
        <f>$AA$33</f>
        <v>20h</v>
      </c>
      <c r="BQ252" s="104" t="str">
        <f>$AB$33</f>
        <v>21h</v>
      </c>
      <c r="BR252" s="104" t="str">
        <f>$AC$33</f>
        <v>22h</v>
      </c>
      <c r="BS252" s="104" t="str">
        <f>$AD$33</f>
        <v>23h</v>
      </c>
      <c r="BT252" s="104" t="str">
        <f>$AE$33</f>
        <v>00h</v>
      </c>
      <c r="BU252" s="104" t="str">
        <f>$AF$33</f>
        <v>01h</v>
      </c>
      <c r="BV252" s="104" t="str">
        <f>$AG$33</f>
        <v>02h</v>
      </c>
      <c r="BW252" s="104" t="str">
        <f>$AH$33</f>
        <v>03h</v>
      </c>
      <c r="BX252" s="104" t="str">
        <f>$AI$33</f>
        <v>04h</v>
      </c>
      <c r="BY252" s="104" t="str">
        <f>$AJ$33</f>
        <v>05h</v>
      </c>
      <c r="BZ252" s="104" t="str">
        <f>$AK$33</f>
        <v>06h</v>
      </c>
      <c r="CA252" s="104" t="str">
        <f>$AL$33</f>
        <v>07h</v>
      </c>
      <c r="CB252" s="104" t="str">
        <f>$AM$33</f>
        <v>08h</v>
      </c>
    </row>
    <row r="253" spans="4:80" x14ac:dyDescent="0.55000000000000004">
      <c r="D253" s="104" t="str">
        <f>$V$80</f>
        <v>-</v>
      </c>
      <c r="E253" s="104">
        <f t="shared" si="90"/>
        <v>0</v>
      </c>
      <c r="F253" s="104">
        <f t="shared" si="91"/>
        <v>0</v>
      </c>
      <c r="G253" s="104">
        <f t="shared" si="92"/>
        <v>0</v>
      </c>
      <c r="H253" s="104">
        <f t="shared" si="93"/>
        <v>0</v>
      </c>
      <c r="I253" s="104">
        <f t="shared" si="94"/>
        <v>-2</v>
      </c>
      <c r="J253" s="104">
        <f t="shared" si="95"/>
        <v>0</v>
      </c>
      <c r="K253" s="104">
        <f t="shared" si="96"/>
        <v>-2</v>
      </c>
      <c r="L253" s="104">
        <f t="shared" si="97"/>
        <v>-2</v>
      </c>
      <c r="M253" s="104">
        <f t="shared" si="98"/>
        <v>0</v>
      </c>
      <c r="N253" s="104">
        <f t="shared" si="99"/>
        <v>0</v>
      </c>
      <c r="O253" s="104">
        <f t="shared" si="100"/>
        <v>0</v>
      </c>
      <c r="P253" s="104">
        <f t="shared" si="101"/>
        <v>0</v>
      </c>
      <c r="Q253" s="104">
        <f t="shared" si="102"/>
        <v>-2</v>
      </c>
      <c r="R253" s="104">
        <f t="shared" si="103"/>
        <v>0</v>
      </c>
      <c r="S253" s="104">
        <f t="shared" si="104"/>
        <v>0</v>
      </c>
      <c r="T253" s="28" t="s">
        <v>18</v>
      </c>
      <c r="V253" s="104" t="str">
        <f>$V$80</f>
        <v>-</v>
      </c>
      <c r="W253" s="104">
        <f t="shared" ref="W253:AK253" si="132">W125*$AN80</f>
        <v>0</v>
      </c>
      <c r="X253" s="104">
        <f t="shared" si="132"/>
        <v>0</v>
      </c>
      <c r="Y253" s="104">
        <f t="shared" si="132"/>
        <v>0</v>
      </c>
      <c r="Z253" s="104">
        <f t="shared" si="132"/>
        <v>0</v>
      </c>
      <c r="AA253" s="104">
        <f t="shared" si="132"/>
        <v>0</v>
      </c>
      <c r="AB253" s="104">
        <f t="shared" si="132"/>
        <v>0</v>
      </c>
      <c r="AC253" s="104">
        <f t="shared" si="132"/>
        <v>0</v>
      </c>
      <c r="AD253" s="104">
        <f t="shared" si="132"/>
        <v>0</v>
      </c>
      <c r="AE253" s="104">
        <f t="shared" si="132"/>
        <v>0</v>
      </c>
      <c r="AF253" s="104">
        <f t="shared" si="132"/>
        <v>0</v>
      </c>
      <c r="AG253" s="104">
        <f t="shared" si="132"/>
        <v>0</v>
      </c>
      <c r="AH253" s="104">
        <f t="shared" si="132"/>
        <v>0</v>
      </c>
      <c r="AI253" s="104">
        <f t="shared" si="132"/>
        <v>0</v>
      </c>
      <c r="AJ253" s="104">
        <f t="shared" si="132"/>
        <v>0</v>
      </c>
      <c r="AK253" s="104">
        <f t="shared" si="132"/>
        <v>0</v>
      </c>
      <c r="AQ253" s="104" t="str">
        <f>$V$72</f>
        <v>Michel</v>
      </c>
      <c r="AR253" s="54">
        <v>0</v>
      </c>
      <c r="AS253" s="54">
        <v>0</v>
      </c>
      <c r="AT253" s="54">
        <v>0</v>
      </c>
      <c r="AU253" s="54">
        <v>0</v>
      </c>
      <c r="AV253" s="54">
        <v>0</v>
      </c>
      <c r="AW253" s="54">
        <v>0</v>
      </c>
      <c r="AX253" s="54">
        <v>0</v>
      </c>
      <c r="AY253" s="54">
        <v>0</v>
      </c>
      <c r="AZ253" s="54">
        <v>0</v>
      </c>
      <c r="BA253" s="54">
        <v>0</v>
      </c>
      <c r="BB253" s="54">
        <v>0</v>
      </c>
      <c r="BC253" s="54">
        <v>0</v>
      </c>
      <c r="BD253" s="54">
        <v>0</v>
      </c>
      <c r="BE253" s="54">
        <v>0</v>
      </c>
      <c r="BF253" s="54">
        <v>0</v>
      </c>
      <c r="BG253" s="54">
        <v>0</v>
      </c>
      <c r="BH253" s="54">
        <v>0</v>
      </c>
      <c r="BK253" s="104" t="str">
        <f>$V$53</f>
        <v>Jennifer</v>
      </c>
      <c r="BL253" s="108">
        <v>0</v>
      </c>
      <c r="BM253" s="108">
        <v>0</v>
      </c>
      <c r="BN253" s="108">
        <v>0</v>
      </c>
      <c r="BO253" s="108">
        <v>0</v>
      </c>
      <c r="BP253" s="108">
        <v>0</v>
      </c>
      <c r="BQ253" s="108">
        <v>0</v>
      </c>
      <c r="BR253" s="108">
        <v>0</v>
      </c>
      <c r="BS253" s="108">
        <v>0</v>
      </c>
      <c r="BT253" s="108">
        <v>0</v>
      </c>
      <c r="BU253" s="108">
        <v>0</v>
      </c>
      <c r="BV253" s="108">
        <v>0</v>
      </c>
      <c r="BW253" s="108">
        <v>0</v>
      </c>
      <c r="BX253" s="108">
        <v>0</v>
      </c>
      <c r="BY253" s="108">
        <v>0</v>
      </c>
      <c r="BZ253" s="108">
        <v>0</v>
      </c>
      <c r="CA253" s="108">
        <v>0</v>
      </c>
      <c r="CB253" s="108">
        <v>0</v>
      </c>
    </row>
    <row r="254" spans="4:80" x14ac:dyDescent="0.55000000000000004">
      <c r="D254" s="104" t="str">
        <f>$V$81</f>
        <v>-</v>
      </c>
      <c r="E254" s="104">
        <f t="shared" si="90"/>
        <v>0</v>
      </c>
      <c r="F254" s="104">
        <f t="shared" si="91"/>
        <v>0</v>
      </c>
      <c r="G254" s="104">
        <f t="shared" si="92"/>
        <v>0</v>
      </c>
      <c r="H254" s="104">
        <f t="shared" si="93"/>
        <v>0</v>
      </c>
      <c r="I254" s="104">
        <f t="shared" si="94"/>
        <v>0</v>
      </c>
      <c r="J254" s="104">
        <f t="shared" si="95"/>
        <v>0</v>
      </c>
      <c r="K254" s="104">
        <f t="shared" si="96"/>
        <v>0</v>
      </c>
      <c r="L254" s="104">
        <f t="shared" si="97"/>
        <v>0</v>
      </c>
      <c r="M254" s="104">
        <f t="shared" si="98"/>
        <v>0</v>
      </c>
      <c r="N254" s="104">
        <f t="shared" si="99"/>
        <v>0</v>
      </c>
      <c r="O254" s="104">
        <f t="shared" si="100"/>
        <v>0</v>
      </c>
      <c r="P254" s="104">
        <f t="shared" si="101"/>
        <v>0</v>
      </c>
      <c r="Q254" s="104">
        <f t="shared" si="102"/>
        <v>0</v>
      </c>
      <c r="R254" s="104">
        <f t="shared" si="103"/>
        <v>0</v>
      </c>
      <c r="S254" s="104">
        <f t="shared" si="104"/>
        <v>0</v>
      </c>
      <c r="T254" s="28" t="s">
        <v>18</v>
      </c>
      <c r="V254" s="104" t="str">
        <f>$V$81</f>
        <v>-</v>
      </c>
      <c r="W254" s="104">
        <f t="shared" ref="W254:AK254" si="133">W126*$AN81</f>
        <v>0</v>
      </c>
      <c r="X254" s="104">
        <f t="shared" si="133"/>
        <v>0</v>
      </c>
      <c r="Y254" s="104">
        <f t="shared" si="133"/>
        <v>0</v>
      </c>
      <c r="Z254" s="104">
        <f t="shared" si="133"/>
        <v>0</v>
      </c>
      <c r="AA254" s="104">
        <f t="shared" si="133"/>
        <v>0</v>
      </c>
      <c r="AB254" s="104">
        <f t="shared" si="133"/>
        <v>0</v>
      </c>
      <c r="AC254" s="104">
        <f t="shared" si="133"/>
        <v>0</v>
      </c>
      <c r="AD254" s="104">
        <f t="shared" si="133"/>
        <v>0</v>
      </c>
      <c r="AE254" s="104">
        <f t="shared" si="133"/>
        <v>0</v>
      </c>
      <c r="AF254" s="104">
        <f t="shared" si="133"/>
        <v>0</v>
      </c>
      <c r="AG254" s="104">
        <f t="shared" si="133"/>
        <v>0</v>
      </c>
      <c r="AH254" s="104">
        <f t="shared" si="133"/>
        <v>0</v>
      </c>
      <c r="AI254" s="104">
        <f t="shared" si="133"/>
        <v>0</v>
      </c>
      <c r="AJ254" s="104">
        <f t="shared" si="133"/>
        <v>0</v>
      </c>
      <c r="AK254" s="104">
        <f t="shared" si="133"/>
        <v>0</v>
      </c>
      <c r="AQ254" s="104" t="str">
        <f>$V$73</f>
        <v>Nour</v>
      </c>
      <c r="AR254" s="54">
        <v>0</v>
      </c>
      <c r="AS254" s="54">
        <v>0</v>
      </c>
      <c r="AT254" s="54">
        <v>0</v>
      </c>
      <c r="AU254" s="54">
        <v>0</v>
      </c>
      <c r="AV254" s="54">
        <v>0</v>
      </c>
      <c r="AW254" s="54">
        <v>0</v>
      </c>
      <c r="AX254" s="54">
        <v>0</v>
      </c>
      <c r="AY254" s="54">
        <v>0</v>
      </c>
      <c r="AZ254" s="54">
        <v>0</v>
      </c>
      <c r="BA254" s="54">
        <v>0</v>
      </c>
      <c r="BB254" s="54">
        <v>0</v>
      </c>
      <c r="BC254" s="54">
        <v>0</v>
      </c>
      <c r="BD254" s="54">
        <v>0</v>
      </c>
      <c r="BE254" s="54">
        <v>0</v>
      </c>
      <c r="BF254" s="54">
        <v>0</v>
      </c>
      <c r="BG254" s="54">
        <v>0</v>
      </c>
      <c r="BH254" s="54">
        <v>0</v>
      </c>
      <c r="BK254" s="104" t="str">
        <f>$V$54</f>
        <v>Galileo</v>
      </c>
      <c r="BL254" s="108">
        <v>0</v>
      </c>
      <c r="BM254" s="108">
        <v>0</v>
      </c>
      <c r="BN254" s="108">
        <v>0</v>
      </c>
      <c r="BO254" s="108">
        <v>0</v>
      </c>
      <c r="BP254" s="108">
        <v>0</v>
      </c>
      <c r="BQ254" s="108">
        <v>0</v>
      </c>
      <c r="BR254" s="108">
        <v>0</v>
      </c>
      <c r="BS254" s="108">
        <v>0</v>
      </c>
      <c r="BT254" s="108">
        <v>0</v>
      </c>
      <c r="BU254" s="108">
        <v>0</v>
      </c>
      <c r="BV254" s="108">
        <v>0</v>
      </c>
      <c r="BW254" s="108">
        <v>0</v>
      </c>
      <c r="BX254" s="108">
        <v>0</v>
      </c>
      <c r="BY254" s="108">
        <v>0</v>
      </c>
      <c r="BZ254" s="108">
        <v>0</v>
      </c>
      <c r="CA254" s="108">
        <v>0</v>
      </c>
      <c r="CB254" s="108">
        <v>0</v>
      </c>
    </row>
    <row r="255" spans="4:80" x14ac:dyDescent="0.55000000000000004">
      <c r="D255" s="104" t="str">
        <f>$V$82</f>
        <v>-</v>
      </c>
      <c r="E255" s="104">
        <f t="shared" si="90"/>
        <v>0</v>
      </c>
      <c r="F255" s="104">
        <f t="shared" si="91"/>
        <v>0</v>
      </c>
      <c r="G255" s="104">
        <f t="shared" si="92"/>
        <v>0</v>
      </c>
      <c r="H255" s="104">
        <f t="shared" si="93"/>
        <v>0</v>
      </c>
      <c r="I255" s="104">
        <f t="shared" si="94"/>
        <v>0</v>
      </c>
      <c r="J255" s="104">
        <f t="shared" si="95"/>
        <v>0</v>
      </c>
      <c r="K255" s="104">
        <f t="shared" si="96"/>
        <v>0</v>
      </c>
      <c r="L255" s="104">
        <f t="shared" si="97"/>
        <v>0</v>
      </c>
      <c r="M255" s="104">
        <f t="shared" si="98"/>
        <v>0</v>
      </c>
      <c r="N255" s="104">
        <f t="shared" si="99"/>
        <v>0</v>
      </c>
      <c r="O255" s="104">
        <f t="shared" si="100"/>
        <v>0</v>
      </c>
      <c r="P255" s="104">
        <f t="shared" si="101"/>
        <v>0</v>
      </c>
      <c r="Q255" s="104">
        <f t="shared" si="102"/>
        <v>0</v>
      </c>
      <c r="R255" s="104">
        <f t="shared" si="103"/>
        <v>0</v>
      </c>
      <c r="S255" s="104">
        <f t="shared" si="104"/>
        <v>0</v>
      </c>
      <c r="T255" s="28" t="s">
        <v>18</v>
      </c>
      <c r="V255" s="104" t="str">
        <f>$V$82</f>
        <v>-</v>
      </c>
      <c r="W255" s="104">
        <f t="shared" ref="W255:AK255" si="134">W127*$AN82</f>
        <v>0</v>
      </c>
      <c r="X255" s="104">
        <f t="shared" si="134"/>
        <v>0</v>
      </c>
      <c r="Y255" s="104">
        <f t="shared" si="134"/>
        <v>0</v>
      </c>
      <c r="Z255" s="104">
        <f t="shared" si="134"/>
        <v>0</v>
      </c>
      <c r="AA255" s="104">
        <f t="shared" si="134"/>
        <v>0</v>
      </c>
      <c r="AB255" s="104">
        <f t="shared" si="134"/>
        <v>0</v>
      </c>
      <c r="AC255" s="104">
        <f t="shared" si="134"/>
        <v>0</v>
      </c>
      <c r="AD255" s="104">
        <f t="shared" si="134"/>
        <v>0</v>
      </c>
      <c r="AE255" s="104">
        <f t="shared" si="134"/>
        <v>0</v>
      </c>
      <c r="AF255" s="104">
        <f t="shared" si="134"/>
        <v>0</v>
      </c>
      <c r="AG255" s="104">
        <f t="shared" si="134"/>
        <v>0</v>
      </c>
      <c r="AH255" s="104">
        <f t="shared" si="134"/>
        <v>0</v>
      </c>
      <c r="AI255" s="104">
        <f t="shared" si="134"/>
        <v>0</v>
      </c>
      <c r="AJ255" s="104">
        <f t="shared" si="134"/>
        <v>0</v>
      </c>
      <c r="AK255" s="104">
        <f t="shared" si="134"/>
        <v>0</v>
      </c>
      <c r="AQ255" s="104" t="str">
        <f>$V$74</f>
        <v>Samuel</v>
      </c>
      <c r="AR255" s="54">
        <v>0</v>
      </c>
      <c r="AS255" s="54">
        <v>0</v>
      </c>
      <c r="AT255" s="54">
        <v>0</v>
      </c>
      <c r="AU255" s="54">
        <v>0</v>
      </c>
      <c r="AV255" s="54">
        <v>0</v>
      </c>
      <c r="AW255" s="54">
        <v>0</v>
      </c>
      <c r="AX255" s="54">
        <v>0</v>
      </c>
      <c r="AY255" s="54">
        <v>0</v>
      </c>
      <c r="AZ255" s="54">
        <v>0</v>
      </c>
      <c r="BA255" s="54">
        <v>0</v>
      </c>
      <c r="BB255" s="54">
        <v>0</v>
      </c>
      <c r="BC255" s="54">
        <v>0</v>
      </c>
      <c r="BD255" s="54">
        <v>0</v>
      </c>
      <c r="BE255" s="54">
        <v>0</v>
      </c>
      <c r="BF255" s="54">
        <v>0</v>
      </c>
      <c r="BG255" s="54">
        <v>0</v>
      </c>
      <c r="BH255" s="54">
        <v>0</v>
      </c>
      <c r="BK255" s="104" t="str">
        <f>$V$55</f>
        <v>Óscar</v>
      </c>
      <c r="BL255" s="108">
        <v>0</v>
      </c>
      <c r="BM255" s="108">
        <v>0</v>
      </c>
      <c r="BN255" s="108">
        <v>0</v>
      </c>
      <c r="BO255" s="108">
        <v>0</v>
      </c>
      <c r="BP255" s="108">
        <v>0</v>
      </c>
      <c r="BQ255" s="108">
        <v>0</v>
      </c>
      <c r="BR255" s="108">
        <v>0</v>
      </c>
      <c r="BS255" s="108">
        <v>0</v>
      </c>
      <c r="BT255" s="108">
        <v>0</v>
      </c>
      <c r="BU255" s="108">
        <v>0</v>
      </c>
      <c r="BV255" s="108">
        <v>0</v>
      </c>
      <c r="BW255" s="108">
        <v>0</v>
      </c>
      <c r="BX255" s="108">
        <v>0</v>
      </c>
      <c r="BY255" s="108">
        <v>0</v>
      </c>
      <c r="BZ255" s="108">
        <v>0</v>
      </c>
      <c r="CA255" s="108">
        <v>0</v>
      </c>
      <c r="CB255" s="108">
        <v>0</v>
      </c>
    </row>
    <row r="256" spans="4:80" x14ac:dyDescent="0.55000000000000004">
      <c r="D256" s="104" t="str">
        <f>$V$83</f>
        <v>-</v>
      </c>
      <c r="E256" s="104">
        <f t="shared" si="90"/>
        <v>0</v>
      </c>
      <c r="F256" s="104">
        <f t="shared" si="91"/>
        <v>0</v>
      </c>
      <c r="G256" s="104">
        <f t="shared" si="92"/>
        <v>0</v>
      </c>
      <c r="H256" s="104">
        <f t="shared" si="93"/>
        <v>0</v>
      </c>
      <c r="I256" s="104">
        <f t="shared" si="94"/>
        <v>0</v>
      </c>
      <c r="J256" s="104">
        <f t="shared" si="95"/>
        <v>0</v>
      </c>
      <c r="K256" s="104">
        <f t="shared" si="96"/>
        <v>0</v>
      </c>
      <c r="L256" s="104">
        <f t="shared" si="97"/>
        <v>0</v>
      </c>
      <c r="M256" s="104">
        <f t="shared" si="98"/>
        <v>0</v>
      </c>
      <c r="N256" s="104">
        <f t="shared" si="99"/>
        <v>0</v>
      </c>
      <c r="O256" s="104">
        <f t="shared" si="100"/>
        <v>0</v>
      </c>
      <c r="P256" s="104">
        <f t="shared" si="101"/>
        <v>-2</v>
      </c>
      <c r="Q256" s="104">
        <f t="shared" si="102"/>
        <v>0</v>
      </c>
      <c r="R256" s="104">
        <f t="shared" si="103"/>
        <v>0</v>
      </c>
      <c r="S256" s="104">
        <f t="shared" si="104"/>
        <v>0</v>
      </c>
      <c r="T256" s="28" t="s">
        <v>18</v>
      </c>
      <c r="V256" s="104" t="str">
        <f>$V$83</f>
        <v>-</v>
      </c>
      <c r="W256" s="104">
        <f t="shared" ref="W256:AK256" si="135">W128*$AN83</f>
        <v>0</v>
      </c>
      <c r="X256" s="104">
        <f t="shared" si="135"/>
        <v>0</v>
      </c>
      <c r="Y256" s="104">
        <f t="shared" si="135"/>
        <v>0</v>
      </c>
      <c r="Z256" s="104">
        <f t="shared" si="135"/>
        <v>0</v>
      </c>
      <c r="AA256" s="104">
        <f t="shared" si="135"/>
        <v>0</v>
      </c>
      <c r="AB256" s="104">
        <f t="shared" si="135"/>
        <v>0</v>
      </c>
      <c r="AC256" s="104">
        <f t="shared" si="135"/>
        <v>0</v>
      </c>
      <c r="AD256" s="104">
        <f t="shared" si="135"/>
        <v>0</v>
      </c>
      <c r="AE256" s="104">
        <f t="shared" si="135"/>
        <v>0</v>
      </c>
      <c r="AF256" s="104">
        <f t="shared" si="135"/>
        <v>0</v>
      </c>
      <c r="AG256" s="104">
        <f t="shared" si="135"/>
        <v>0</v>
      </c>
      <c r="AH256" s="104">
        <f t="shared" si="135"/>
        <v>0</v>
      </c>
      <c r="AI256" s="104">
        <f t="shared" si="135"/>
        <v>0</v>
      </c>
      <c r="AJ256" s="104">
        <f t="shared" si="135"/>
        <v>0</v>
      </c>
      <c r="AK256" s="104">
        <f t="shared" si="135"/>
        <v>0</v>
      </c>
      <c r="AQ256" s="104" t="str">
        <f>$V$75</f>
        <v>Yassin</v>
      </c>
      <c r="AR256" s="54">
        <v>0</v>
      </c>
      <c r="AS256" s="54">
        <v>0</v>
      </c>
      <c r="AT256" s="54">
        <v>0</v>
      </c>
      <c r="AU256" s="54">
        <v>0</v>
      </c>
      <c r="AV256" s="54">
        <v>0</v>
      </c>
      <c r="AW256" s="54">
        <v>0</v>
      </c>
      <c r="AX256" s="54">
        <v>0</v>
      </c>
      <c r="AY256" s="54">
        <v>0</v>
      </c>
      <c r="AZ256" s="54">
        <v>0</v>
      </c>
      <c r="BA256" s="54">
        <v>0</v>
      </c>
      <c r="BB256" s="54">
        <v>0</v>
      </c>
      <c r="BC256" s="54">
        <v>0</v>
      </c>
      <c r="BD256" s="54">
        <v>0</v>
      </c>
      <c r="BE256" s="54">
        <v>0</v>
      </c>
      <c r="BF256" s="54">
        <v>0</v>
      </c>
      <c r="BG256" s="54">
        <v>0</v>
      </c>
      <c r="BH256" s="54">
        <v>0</v>
      </c>
      <c r="BK256" s="104" t="str">
        <f>$V$56</f>
        <v>Sebastián</v>
      </c>
      <c r="BL256" s="108">
        <v>0</v>
      </c>
      <c r="BM256" s="108">
        <v>0</v>
      </c>
      <c r="BN256" s="108">
        <v>0</v>
      </c>
      <c r="BO256" s="108">
        <v>0</v>
      </c>
      <c r="BP256" s="108">
        <v>0</v>
      </c>
      <c r="BQ256" s="108">
        <v>0</v>
      </c>
      <c r="BR256" s="108">
        <v>0</v>
      </c>
      <c r="BS256" s="108">
        <v>0</v>
      </c>
      <c r="BT256" s="108">
        <v>0</v>
      </c>
      <c r="BU256" s="108">
        <v>0</v>
      </c>
      <c r="BV256" s="108">
        <v>0</v>
      </c>
      <c r="BW256" s="108">
        <v>0</v>
      </c>
      <c r="BX256" s="108">
        <v>0</v>
      </c>
      <c r="BY256" s="108">
        <v>0</v>
      </c>
      <c r="BZ256" s="108">
        <v>0</v>
      </c>
      <c r="CA256" s="108">
        <v>0</v>
      </c>
      <c r="CB256" s="108">
        <v>0</v>
      </c>
    </row>
    <row r="257" spans="4:80" x14ac:dyDescent="0.55000000000000004">
      <c r="D257" s="104" t="str">
        <f>$V$84</f>
        <v>-</v>
      </c>
      <c r="E257" s="104">
        <f t="shared" si="90"/>
        <v>0</v>
      </c>
      <c r="F257" s="104">
        <f t="shared" si="91"/>
        <v>0</v>
      </c>
      <c r="G257" s="104">
        <f t="shared" si="92"/>
        <v>0</v>
      </c>
      <c r="H257" s="104">
        <f t="shared" si="93"/>
        <v>0</v>
      </c>
      <c r="I257" s="104">
        <f t="shared" si="94"/>
        <v>0</v>
      </c>
      <c r="J257" s="104">
        <f t="shared" si="95"/>
        <v>0</v>
      </c>
      <c r="K257" s="104">
        <f t="shared" si="96"/>
        <v>0</v>
      </c>
      <c r="L257" s="104">
        <f t="shared" si="97"/>
        <v>0</v>
      </c>
      <c r="M257" s="104">
        <f t="shared" si="98"/>
        <v>0</v>
      </c>
      <c r="N257" s="104">
        <f t="shared" si="99"/>
        <v>0</v>
      </c>
      <c r="O257" s="104">
        <f t="shared" si="100"/>
        <v>0</v>
      </c>
      <c r="P257" s="104">
        <f t="shared" si="101"/>
        <v>0</v>
      </c>
      <c r="Q257" s="104">
        <f t="shared" si="102"/>
        <v>0</v>
      </c>
      <c r="R257" s="104">
        <f t="shared" si="103"/>
        <v>0</v>
      </c>
      <c r="S257" s="104">
        <f t="shared" si="104"/>
        <v>0</v>
      </c>
      <c r="T257" s="28" t="s">
        <v>18</v>
      </c>
      <c r="V257" s="104" t="str">
        <f>$V$84</f>
        <v>-</v>
      </c>
      <c r="W257" s="104">
        <f t="shared" ref="W257:AK257" si="136">W129*$AN84</f>
        <v>0</v>
      </c>
      <c r="X257" s="104">
        <f t="shared" si="136"/>
        <v>0</v>
      </c>
      <c r="Y257" s="104">
        <f t="shared" si="136"/>
        <v>0</v>
      </c>
      <c r="Z257" s="104">
        <f t="shared" si="136"/>
        <v>0</v>
      </c>
      <c r="AA257" s="104">
        <f t="shared" si="136"/>
        <v>0</v>
      </c>
      <c r="AB257" s="104">
        <f t="shared" si="136"/>
        <v>0</v>
      </c>
      <c r="AC257" s="104">
        <f t="shared" si="136"/>
        <v>0</v>
      </c>
      <c r="AD257" s="104">
        <f t="shared" si="136"/>
        <v>0</v>
      </c>
      <c r="AE257" s="104">
        <f t="shared" si="136"/>
        <v>0</v>
      </c>
      <c r="AF257" s="104">
        <f t="shared" si="136"/>
        <v>0</v>
      </c>
      <c r="AG257" s="104">
        <f t="shared" si="136"/>
        <v>0</v>
      </c>
      <c r="AH257" s="104">
        <f t="shared" si="136"/>
        <v>0</v>
      </c>
      <c r="AI257" s="104">
        <f t="shared" si="136"/>
        <v>0</v>
      </c>
      <c r="AJ257" s="104">
        <f t="shared" si="136"/>
        <v>0</v>
      </c>
      <c r="AK257" s="104">
        <f t="shared" si="136"/>
        <v>0</v>
      </c>
      <c r="AQ257" s="104" t="str">
        <f>$V$76</f>
        <v>Kamar</v>
      </c>
      <c r="AR257" s="54">
        <v>0</v>
      </c>
      <c r="AS257" s="54">
        <v>0</v>
      </c>
      <c r="AT257" s="54">
        <v>0</v>
      </c>
      <c r="AU257" s="54">
        <v>0</v>
      </c>
      <c r="AV257" s="54">
        <v>0</v>
      </c>
      <c r="AW257" s="54">
        <v>0</v>
      </c>
      <c r="AX257" s="54">
        <v>0</v>
      </c>
      <c r="AY257" s="54">
        <v>0</v>
      </c>
      <c r="AZ257" s="54">
        <v>0</v>
      </c>
      <c r="BA257" s="54">
        <v>0</v>
      </c>
      <c r="BB257" s="54">
        <v>0</v>
      </c>
      <c r="BC257" s="54">
        <v>0</v>
      </c>
      <c r="BD257" s="54">
        <v>0</v>
      </c>
      <c r="BE257" s="54">
        <v>0</v>
      </c>
      <c r="BF257" s="54">
        <v>0</v>
      </c>
      <c r="BG257" s="54">
        <v>0</v>
      </c>
      <c r="BH257" s="54">
        <v>0</v>
      </c>
      <c r="BK257" s="104" t="str">
        <f>$V$57</f>
        <v>Marcos</v>
      </c>
      <c r="BL257" s="108">
        <v>0</v>
      </c>
      <c r="BM257" s="108">
        <v>0</v>
      </c>
      <c r="BN257" s="108">
        <v>0</v>
      </c>
      <c r="BO257" s="108">
        <v>0</v>
      </c>
      <c r="BP257" s="108">
        <v>0</v>
      </c>
      <c r="BQ257" s="108">
        <v>0</v>
      </c>
      <c r="BR257" s="108">
        <v>0</v>
      </c>
      <c r="BS257" s="108">
        <v>0</v>
      </c>
      <c r="BT257" s="108">
        <v>0</v>
      </c>
      <c r="BU257" s="108">
        <v>0</v>
      </c>
      <c r="BV257" s="108">
        <v>0</v>
      </c>
      <c r="BW257" s="108">
        <v>0</v>
      </c>
      <c r="BX257" s="108">
        <v>0</v>
      </c>
      <c r="BY257" s="108">
        <v>0</v>
      </c>
      <c r="BZ257" s="108">
        <v>0</v>
      </c>
      <c r="CA257" s="108">
        <v>0</v>
      </c>
      <c r="CB257" s="108">
        <v>0</v>
      </c>
    </row>
    <row r="258" spans="4:80" x14ac:dyDescent="0.55000000000000004">
      <c r="D258" s="104" t="str">
        <f>$V$85</f>
        <v>-</v>
      </c>
      <c r="E258" s="104">
        <f t="shared" si="90"/>
        <v>0</v>
      </c>
      <c r="F258" s="104">
        <f t="shared" si="91"/>
        <v>0</v>
      </c>
      <c r="G258" s="104">
        <f t="shared" si="92"/>
        <v>0</v>
      </c>
      <c r="H258" s="104">
        <f t="shared" si="93"/>
        <v>0</v>
      </c>
      <c r="I258" s="104">
        <f t="shared" si="94"/>
        <v>0</v>
      </c>
      <c r="J258" s="104">
        <f t="shared" si="95"/>
        <v>0</v>
      </c>
      <c r="K258" s="104">
        <f t="shared" si="96"/>
        <v>0</v>
      </c>
      <c r="L258" s="104">
        <f t="shared" si="97"/>
        <v>0</v>
      </c>
      <c r="M258" s="104">
        <f t="shared" si="98"/>
        <v>0</v>
      </c>
      <c r="N258" s="104">
        <f t="shared" si="99"/>
        <v>0</v>
      </c>
      <c r="O258" s="104">
        <f t="shared" si="100"/>
        <v>0</v>
      </c>
      <c r="P258" s="104">
        <f t="shared" si="101"/>
        <v>0</v>
      </c>
      <c r="Q258" s="104">
        <f t="shared" si="102"/>
        <v>0</v>
      </c>
      <c r="R258" s="104">
        <f t="shared" si="103"/>
        <v>0</v>
      </c>
      <c r="S258" s="104">
        <f t="shared" si="104"/>
        <v>0</v>
      </c>
      <c r="T258" s="28" t="s">
        <v>18</v>
      </c>
      <c r="V258" s="104" t="str">
        <f>$V$85</f>
        <v>-</v>
      </c>
      <c r="W258" s="104">
        <f t="shared" ref="W258:AK258" si="137">W130*$AN85</f>
        <v>0</v>
      </c>
      <c r="X258" s="104">
        <f t="shared" si="137"/>
        <v>0</v>
      </c>
      <c r="Y258" s="104">
        <f t="shared" si="137"/>
        <v>0</v>
      </c>
      <c r="Z258" s="104">
        <f t="shared" si="137"/>
        <v>0</v>
      </c>
      <c r="AA258" s="104">
        <f t="shared" si="137"/>
        <v>0</v>
      </c>
      <c r="AB258" s="104">
        <f t="shared" si="137"/>
        <v>0</v>
      </c>
      <c r="AC258" s="104">
        <f t="shared" si="137"/>
        <v>0</v>
      </c>
      <c r="AD258" s="104">
        <f t="shared" si="137"/>
        <v>0</v>
      </c>
      <c r="AE258" s="104">
        <f t="shared" si="137"/>
        <v>0</v>
      </c>
      <c r="AF258" s="104">
        <f t="shared" si="137"/>
        <v>0</v>
      </c>
      <c r="AG258" s="104">
        <f t="shared" si="137"/>
        <v>0</v>
      </c>
      <c r="AH258" s="104">
        <f t="shared" si="137"/>
        <v>0</v>
      </c>
      <c r="AI258" s="104">
        <f t="shared" si="137"/>
        <v>0</v>
      </c>
      <c r="AJ258" s="104">
        <f t="shared" si="137"/>
        <v>0</v>
      </c>
      <c r="AK258" s="104">
        <f t="shared" si="137"/>
        <v>0</v>
      </c>
      <c r="AQ258" s="104" t="str">
        <f>$V$77</f>
        <v>-</v>
      </c>
      <c r="AR258" s="54">
        <v>0</v>
      </c>
      <c r="AS258" s="54">
        <v>0</v>
      </c>
      <c r="AT258" s="54">
        <v>0</v>
      </c>
      <c r="AU258" s="54">
        <v>0</v>
      </c>
      <c r="AV258" s="54">
        <v>0</v>
      </c>
      <c r="AW258" s="54">
        <v>0</v>
      </c>
      <c r="AX258" s="54">
        <v>0</v>
      </c>
      <c r="AY258" s="54">
        <v>0</v>
      </c>
      <c r="AZ258" s="54">
        <v>0</v>
      </c>
      <c r="BA258" s="54">
        <v>0</v>
      </c>
      <c r="BB258" s="54">
        <v>0</v>
      </c>
      <c r="BC258" s="54">
        <v>0</v>
      </c>
      <c r="BD258" s="54">
        <v>0</v>
      </c>
      <c r="BE258" s="54">
        <v>0</v>
      </c>
      <c r="BF258" s="54">
        <v>0</v>
      </c>
      <c r="BG258" s="54">
        <v>0</v>
      </c>
      <c r="BH258" s="54">
        <v>0</v>
      </c>
      <c r="BK258" s="104" t="str">
        <f>$V$58</f>
        <v>Weixin</v>
      </c>
      <c r="BL258" s="108">
        <v>0</v>
      </c>
      <c r="BM258" s="108">
        <v>0</v>
      </c>
      <c r="BN258" s="108">
        <v>0</v>
      </c>
      <c r="BO258" s="108">
        <v>0</v>
      </c>
      <c r="BP258" s="108">
        <v>0</v>
      </c>
      <c r="BQ258" s="108">
        <v>0</v>
      </c>
      <c r="BR258" s="108">
        <v>0</v>
      </c>
      <c r="BS258" s="108">
        <v>0</v>
      </c>
      <c r="BT258" s="108">
        <v>0</v>
      </c>
      <c r="BU258" s="108">
        <v>0</v>
      </c>
      <c r="BV258" s="108">
        <v>0</v>
      </c>
      <c r="BW258" s="108">
        <v>0</v>
      </c>
      <c r="BX258" s="108">
        <v>0</v>
      </c>
      <c r="BY258" s="108">
        <v>0</v>
      </c>
      <c r="BZ258" s="108">
        <v>0</v>
      </c>
      <c r="CA258" s="108">
        <v>0</v>
      </c>
      <c r="CB258" s="108">
        <v>0</v>
      </c>
    </row>
    <row r="259" spans="4:80" x14ac:dyDescent="0.55000000000000004">
      <c r="D259" s="104" t="str">
        <f>$V$86</f>
        <v>-</v>
      </c>
      <c r="E259" s="104">
        <f t="shared" si="90"/>
        <v>0</v>
      </c>
      <c r="F259" s="104">
        <f t="shared" si="91"/>
        <v>0</v>
      </c>
      <c r="G259" s="104">
        <f t="shared" si="92"/>
        <v>0</v>
      </c>
      <c r="H259" s="104">
        <f t="shared" si="93"/>
        <v>0</v>
      </c>
      <c r="I259" s="104">
        <f t="shared" si="94"/>
        <v>0</v>
      </c>
      <c r="J259" s="104">
        <f t="shared" si="95"/>
        <v>0</v>
      </c>
      <c r="K259" s="104">
        <f t="shared" si="96"/>
        <v>0</v>
      </c>
      <c r="L259" s="104">
        <f t="shared" si="97"/>
        <v>0</v>
      </c>
      <c r="M259" s="104">
        <f t="shared" si="98"/>
        <v>0</v>
      </c>
      <c r="N259" s="104">
        <f t="shared" si="99"/>
        <v>0</v>
      </c>
      <c r="O259" s="104">
        <f t="shared" si="100"/>
        <v>0</v>
      </c>
      <c r="P259" s="104">
        <f t="shared" si="101"/>
        <v>0</v>
      </c>
      <c r="Q259" s="104">
        <f t="shared" si="102"/>
        <v>0</v>
      </c>
      <c r="R259" s="104">
        <f t="shared" si="103"/>
        <v>0</v>
      </c>
      <c r="S259" s="104">
        <f t="shared" si="104"/>
        <v>0</v>
      </c>
      <c r="T259" s="28" t="s">
        <v>18</v>
      </c>
      <c r="V259" s="104" t="str">
        <f>$V$86</f>
        <v>-</v>
      </c>
      <c r="W259" s="104">
        <f t="shared" ref="W259:AK259" si="138">W131*$AN86</f>
        <v>0</v>
      </c>
      <c r="X259" s="104">
        <f t="shared" si="138"/>
        <v>0</v>
      </c>
      <c r="Y259" s="104">
        <f t="shared" si="138"/>
        <v>0</v>
      </c>
      <c r="Z259" s="104">
        <f t="shared" si="138"/>
        <v>0</v>
      </c>
      <c r="AA259" s="104">
        <f t="shared" si="138"/>
        <v>0</v>
      </c>
      <c r="AB259" s="104">
        <f t="shared" si="138"/>
        <v>0</v>
      </c>
      <c r="AC259" s="104">
        <f t="shared" si="138"/>
        <v>0</v>
      </c>
      <c r="AD259" s="104">
        <f t="shared" si="138"/>
        <v>0</v>
      </c>
      <c r="AE259" s="104">
        <f t="shared" si="138"/>
        <v>0</v>
      </c>
      <c r="AF259" s="104">
        <f t="shared" si="138"/>
        <v>0</v>
      </c>
      <c r="AG259" s="104">
        <f t="shared" si="138"/>
        <v>0</v>
      </c>
      <c r="AH259" s="104">
        <f t="shared" si="138"/>
        <v>0</v>
      </c>
      <c r="AI259" s="104">
        <f t="shared" si="138"/>
        <v>0</v>
      </c>
      <c r="AJ259" s="104">
        <f t="shared" si="138"/>
        <v>0</v>
      </c>
      <c r="AK259" s="104">
        <f t="shared" si="138"/>
        <v>0</v>
      </c>
      <c r="AQ259" s="104" t="str">
        <f>$V$78</f>
        <v>-</v>
      </c>
      <c r="AR259" s="54">
        <v>0</v>
      </c>
      <c r="AS259" s="54">
        <v>0</v>
      </c>
      <c r="AT259" s="54">
        <v>0</v>
      </c>
      <c r="AU259" s="54">
        <v>0</v>
      </c>
      <c r="AV259" s="54">
        <v>0</v>
      </c>
      <c r="AW259" s="54">
        <v>0</v>
      </c>
      <c r="AX259" s="54">
        <v>0</v>
      </c>
      <c r="AY259" s="54">
        <v>0</v>
      </c>
      <c r="AZ259" s="54">
        <v>0</v>
      </c>
      <c r="BA259" s="54">
        <v>0</v>
      </c>
      <c r="BB259" s="54">
        <v>0</v>
      </c>
      <c r="BC259" s="54">
        <v>0</v>
      </c>
      <c r="BD259" s="54">
        <v>0</v>
      </c>
      <c r="BE259" s="54">
        <v>0</v>
      </c>
      <c r="BF259" s="54">
        <v>0</v>
      </c>
      <c r="BG259" s="54">
        <v>0</v>
      </c>
      <c r="BH259" s="54">
        <v>0</v>
      </c>
      <c r="BK259" s="104" t="str">
        <f>$V$59</f>
        <v>Benjamin</v>
      </c>
      <c r="BL259" s="108">
        <v>0</v>
      </c>
      <c r="BM259" s="108">
        <v>0</v>
      </c>
      <c r="BN259" s="108">
        <v>0</v>
      </c>
      <c r="BO259" s="108">
        <v>0</v>
      </c>
      <c r="BP259" s="108">
        <v>0</v>
      </c>
      <c r="BQ259" s="108">
        <v>0</v>
      </c>
      <c r="BR259" s="108">
        <v>0</v>
      </c>
      <c r="BS259" s="108">
        <v>0</v>
      </c>
      <c r="BT259" s="108">
        <v>0</v>
      </c>
      <c r="BU259" s="108">
        <v>0</v>
      </c>
      <c r="BV259" s="108">
        <v>0</v>
      </c>
      <c r="BW259" s="108">
        <v>0</v>
      </c>
      <c r="BX259" s="108">
        <v>0</v>
      </c>
      <c r="BY259" s="108">
        <v>0</v>
      </c>
      <c r="BZ259" s="108">
        <v>0</v>
      </c>
      <c r="CA259" s="108">
        <v>0</v>
      </c>
      <c r="CB259" s="108">
        <v>0</v>
      </c>
    </row>
    <row r="260" spans="4:80" x14ac:dyDescent="0.55000000000000004">
      <c r="D260" s="104" t="str">
        <f>$V$87</f>
        <v>-</v>
      </c>
      <c r="E260" s="104">
        <f t="shared" si="90"/>
        <v>0</v>
      </c>
      <c r="F260" s="104">
        <f t="shared" si="91"/>
        <v>0</v>
      </c>
      <c r="G260" s="104">
        <f t="shared" si="92"/>
        <v>0</v>
      </c>
      <c r="H260" s="104">
        <f t="shared" si="93"/>
        <v>0</v>
      </c>
      <c r="I260" s="104">
        <f t="shared" si="94"/>
        <v>0</v>
      </c>
      <c r="J260" s="104">
        <f t="shared" si="95"/>
        <v>0</v>
      </c>
      <c r="K260" s="104">
        <f t="shared" si="96"/>
        <v>0</v>
      </c>
      <c r="L260" s="104">
        <f t="shared" si="97"/>
        <v>0</v>
      </c>
      <c r="M260" s="104">
        <f t="shared" si="98"/>
        <v>0</v>
      </c>
      <c r="N260" s="104">
        <f t="shared" si="99"/>
        <v>0</v>
      </c>
      <c r="O260" s="104">
        <f t="shared" si="100"/>
        <v>0</v>
      </c>
      <c r="P260" s="104">
        <f t="shared" si="101"/>
        <v>-2</v>
      </c>
      <c r="Q260" s="104">
        <f t="shared" si="102"/>
        <v>0</v>
      </c>
      <c r="R260" s="104">
        <f t="shared" si="103"/>
        <v>0</v>
      </c>
      <c r="S260" s="104">
        <f t="shared" si="104"/>
        <v>0</v>
      </c>
      <c r="T260" s="28" t="s">
        <v>18</v>
      </c>
      <c r="V260" s="104" t="str">
        <f>$V$87</f>
        <v>-</v>
      </c>
      <c r="W260" s="104">
        <f t="shared" ref="W260:AK260" si="139">W132*$AN87</f>
        <v>0</v>
      </c>
      <c r="X260" s="104">
        <f t="shared" si="139"/>
        <v>0</v>
      </c>
      <c r="Y260" s="104">
        <f t="shared" si="139"/>
        <v>0</v>
      </c>
      <c r="Z260" s="104">
        <f t="shared" si="139"/>
        <v>0</v>
      </c>
      <c r="AA260" s="104">
        <f t="shared" si="139"/>
        <v>0</v>
      </c>
      <c r="AB260" s="104">
        <f t="shared" si="139"/>
        <v>0</v>
      </c>
      <c r="AC260" s="104">
        <f t="shared" si="139"/>
        <v>0</v>
      </c>
      <c r="AD260" s="104">
        <f t="shared" si="139"/>
        <v>0</v>
      </c>
      <c r="AE260" s="104">
        <f t="shared" si="139"/>
        <v>0</v>
      </c>
      <c r="AF260" s="104">
        <f t="shared" si="139"/>
        <v>0</v>
      </c>
      <c r="AG260" s="104">
        <f t="shared" si="139"/>
        <v>0</v>
      </c>
      <c r="AH260" s="104">
        <f t="shared" si="139"/>
        <v>0</v>
      </c>
      <c r="AI260" s="104">
        <f t="shared" si="139"/>
        <v>0</v>
      </c>
      <c r="AJ260" s="104">
        <f t="shared" si="139"/>
        <v>0</v>
      </c>
      <c r="AK260" s="104">
        <f t="shared" si="139"/>
        <v>0</v>
      </c>
      <c r="AQ260" s="104" t="str">
        <f>$V$79</f>
        <v>-</v>
      </c>
      <c r="AR260" s="54">
        <v>0</v>
      </c>
      <c r="AS260" s="54">
        <v>0</v>
      </c>
      <c r="AT260" s="54">
        <v>0</v>
      </c>
      <c r="AU260" s="54">
        <v>0</v>
      </c>
      <c r="AV260" s="54">
        <v>0</v>
      </c>
      <c r="AW260" s="54">
        <v>0</v>
      </c>
      <c r="AX260" s="54">
        <v>0</v>
      </c>
      <c r="AY260" s="54">
        <v>0</v>
      </c>
      <c r="AZ260" s="54">
        <v>0</v>
      </c>
      <c r="BA260" s="54">
        <v>0</v>
      </c>
      <c r="BB260" s="54">
        <v>0</v>
      </c>
      <c r="BC260" s="54">
        <v>0</v>
      </c>
      <c r="BD260" s="54">
        <v>0</v>
      </c>
      <c r="BE260" s="54">
        <v>0</v>
      </c>
      <c r="BF260" s="54">
        <v>0</v>
      </c>
      <c r="BG260" s="54">
        <v>0</v>
      </c>
      <c r="BH260" s="54">
        <v>0</v>
      </c>
      <c r="BK260" s="104" t="str">
        <f>$V$60</f>
        <v>Joelle</v>
      </c>
      <c r="BL260" s="108">
        <v>0</v>
      </c>
      <c r="BM260" s="108">
        <v>0</v>
      </c>
      <c r="BN260" s="108">
        <v>0</v>
      </c>
      <c r="BO260" s="108">
        <v>0</v>
      </c>
      <c r="BP260" s="108">
        <v>0</v>
      </c>
      <c r="BQ260" s="108">
        <v>0</v>
      </c>
      <c r="BR260" s="108">
        <v>0</v>
      </c>
      <c r="BS260" s="108">
        <v>0</v>
      </c>
      <c r="BT260" s="108">
        <v>0</v>
      </c>
      <c r="BU260" s="108">
        <v>0</v>
      </c>
      <c r="BV260" s="108">
        <v>0</v>
      </c>
      <c r="BW260" s="108">
        <v>0</v>
      </c>
      <c r="BX260" s="108">
        <v>0</v>
      </c>
      <c r="BY260" s="108">
        <v>0</v>
      </c>
      <c r="BZ260" s="108">
        <v>0</v>
      </c>
      <c r="CA260" s="108">
        <v>0</v>
      </c>
      <c r="CB260" s="108">
        <v>0</v>
      </c>
    </row>
    <row r="261" spans="4:80" x14ac:dyDescent="0.55000000000000004">
      <c r="D261" s="104" t="str">
        <f>$V$88</f>
        <v>-</v>
      </c>
      <c r="E261" s="104">
        <f t="shared" si="90"/>
        <v>0</v>
      </c>
      <c r="F261" s="104">
        <f t="shared" si="91"/>
        <v>0</v>
      </c>
      <c r="G261" s="104">
        <f t="shared" si="92"/>
        <v>0</v>
      </c>
      <c r="H261" s="104">
        <f t="shared" si="93"/>
        <v>0</v>
      </c>
      <c r="I261" s="104">
        <f t="shared" si="94"/>
        <v>0</v>
      </c>
      <c r="J261" s="104">
        <f t="shared" si="95"/>
        <v>0</v>
      </c>
      <c r="K261" s="104">
        <f t="shared" si="96"/>
        <v>0</v>
      </c>
      <c r="L261" s="104">
        <f t="shared" si="97"/>
        <v>0</v>
      </c>
      <c r="M261" s="104">
        <f t="shared" si="98"/>
        <v>0</v>
      </c>
      <c r="N261" s="104">
        <f t="shared" si="99"/>
        <v>0</v>
      </c>
      <c r="O261" s="104">
        <f t="shared" si="100"/>
        <v>0</v>
      </c>
      <c r="P261" s="104">
        <f t="shared" si="101"/>
        <v>0</v>
      </c>
      <c r="Q261" s="104">
        <f t="shared" si="102"/>
        <v>0</v>
      </c>
      <c r="R261" s="104">
        <f t="shared" si="103"/>
        <v>0</v>
      </c>
      <c r="S261" s="104">
        <f t="shared" si="104"/>
        <v>0</v>
      </c>
      <c r="T261" s="28" t="s">
        <v>18</v>
      </c>
      <c r="V261" s="104" t="str">
        <f>$V$88</f>
        <v>-</v>
      </c>
      <c r="W261" s="104">
        <f t="shared" ref="W261:AK261" si="140">W133*$AN88</f>
        <v>0</v>
      </c>
      <c r="X261" s="104">
        <f t="shared" si="140"/>
        <v>0</v>
      </c>
      <c r="Y261" s="104">
        <f t="shared" si="140"/>
        <v>0</v>
      </c>
      <c r="Z261" s="104">
        <f t="shared" si="140"/>
        <v>0</v>
      </c>
      <c r="AA261" s="104">
        <f t="shared" si="140"/>
        <v>0</v>
      </c>
      <c r="AB261" s="104">
        <f t="shared" si="140"/>
        <v>0</v>
      </c>
      <c r="AC261" s="104">
        <f t="shared" si="140"/>
        <v>0</v>
      </c>
      <c r="AD261" s="104">
        <f t="shared" si="140"/>
        <v>0</v>
      </c>
      <c r="AE261" s="104">
        <f t="shared" si="140"/>
        <v>0</v>
      </c>
      <c r="AF261" s="104">
        <f t="shared" si="140"/>
        <v>0</v>
      </c>
      <c r="AG261" s="104">
        <f t="shared" si="140"/>
        <v>0</v>
      </c>
      <c r="AH261" s="104">
        <f t="shared" si="140"/>
        <v>0</v>
      </c>
      <c r="AI261" s="104">
        <f t="shared" si="140"/>
        <v>0</v>
      </c>
      <c r="AJ261" s="104">
        <f t="shared" si="140"/>
        <v>0</v>
      </c>
      <c r="AK261" s="104">
        <f t="shared" si="140"/>
        <v>0</v>
      </c>
      <c r="AQ261" s="104" t="str">
        <f>$V$80</f>
        <v>-</v>
      </c>
      <c r="AR261" s="54">
        <v>0</v>
      </c>
      <c r="AS261" s="54">
        <v>0</v>
      </c>
      <c r="AT261" s="54">
        <v>0</v>
      </c>
      <c r="AU261" s="54">
        <v>0</v>
      </c>
      <c r="AV261" s="54">
        <v>0</v>
      </c>
      <c r="AW261" s="54">
        <v>0</v>
      </c>
      <c r="AX261" s="54">
        <v>0</v>
      </c>
      <c r="AY261" s="54">
        <v>0</v>
      </c>
      <c r="AZ261" s="54">
        <v>0</v>
      </c>
      <c r="BA261" s="54">
        <v>0</v>
      </c>
      <c r="BB261" s="54">
        <v>0</v>
      </c>
      <c r="BC261" s="54">
        <v>0</v>
      </c>
      <c r="BD261" s="54">
        <v>0</v>
      </c>
      <c r="BE261" s="54">
        <v>0</v>
      </c>
      <c r="BF261" s="54">
        <v>0</v>
      </c>
      <c r="BG261" s="54">
        <v>0</v>
      </c>
      <c r="BH261" s="54">
        <v>0</v>
      </c>
      <c r="BK261" s="104" t="str">
        <f>$V$61</f>
        <v>Alexia</v>
      </c>
      <c r="BL261" s="108">
        <v>0</v>
      </c>
      <c r="BM261" s="108">
        <v>0</v>
      </c>
      <c r="BN261" s="108">
        <v>0</v>
      </c>
      <c r="BO261" s="108">
        <v>0</v>
      </c>
      <c r="BP261" s="108">
        <v>0</v>
      </c>
      <c r="BQ261" s="108">
        <v>0</v>
      </c>
      <c r="BR261" s="108">
        <v>0</v>
      </c>
      <c r="BS261" s="108">
        <v>0</v>
      </c>
      <c r="BT261" s="108">
        <v>0</v>
      </c>
      <c r="BU261" s="108">
        <v>0</v>
      </c>
      <c r="BV261" s="108">
        <v>0</v>
      </c>
      <c r="BW261" s="108">
        <v>0</v>
      </c>
      <c r="BX261" s="108">
        <v>0</v>
      </c>
      <c r="BY261" s="108">
        <v>0</v>
      </c>
      <c r="BZ261" s="108">
        <v>0</v>
      </c>
      <c r="CA261" s="108">
        <v>0</v>
      </c>
      <c r="CB261" s="108">
        <v>0</v>
      </c>
    </row>
    <row r="262" spans="4:80" x14ac:dyDescent="0.55000000000000004">
      <c r="D262" s="104" t="str">
        <f>$V$89</f>
        <v>-</v>
      </c>
      <c r="E262" s="104">
        <f t="shared" si="90"/>
        <v>0</v>
      </c>
      <c r="F262" s="104">
        <f t="shared" si="91"/>
        <v>0</v>
      </c>
      <c r="G262" s="104">
        <f t="shared" si="92"/>
        <v>0</v>
      </c>
      <c r="H262" s="104">
        <f t="shared" si="93"/>
        <v>0</v>
      </c>
      <c r="I262" s="104">
        <f t="shared" si="94"/>
        <v>0</v>
      </c>
      <c r="J262" s="104">
        <f t="shared" si="95"/>
        <v>0</v>
      </c>
      <c r="K262" s="104">
        <f t="shared" si="96"/>
        <v>0</v>
      </c>
      <c r="L262" s="104">
        <f t="shared" si="97"/>
        <v>0</v>
      </c>
      <c r="M262" s="104">
        <f t="shared" si="98"/>
        <v>0</v>
      </c>
      <c r="N262" s="104">
        <f t="shared" si="99"/>
        <v>0</v>
      </c>
      <c r="O262" s="104">
        <f t="shared" si="100"/>
        <v>0</v>
      </c>
      <c r="P262" s="104">
        <f t="shared" si="101"/>
        <v>0</v>
      </c>
      <c r="Q262" s="104">
        <f t="shared" si="102"/>
        <v>0</v>
      </c>
      <c r="R262" s="104">
        <f t="shared" si="103"/>
        <v>0</v>
      </c>
      <c r="S262" s="104">
        <f t="shared" si="104"/>
        <v>0</v>
      </c>
      <c r="T262" s="28" t="s">
        <v>18</v>
      </c>
      <c r="V262" s="104" t="str">
        <f>$V$89</f>
        <v>-</v>
      </c>
      <c r="W262" s="104">
        <f t="shared" ref="W262:AK262" si="141">W134*$AN89</f>
        <v>0</v>
      </c>
      <c r="X262" s="104">
        <f t="shared" si="141"/>
        <v>0</v>
      </c>
      <c r="Y262" s="104">
        <f t="shared" si="141"/>
        <v>0</v>
      </c>
      <c r="Z262" s="104">
        <f t="shared" si="141"/>
        <v>0</v>
      </c>
      <c r="AA262" s="104">
        <f t="shared" si="141"/>
        <v>0</v>
      </c>
      <c r="AB262" s="104">
        <f t="shared" si="141"/>
        <v>0</v>
      </c>
      <c r="AC262" s="104">
        <f t="shared" si="141"/>
        <v>0</v>
      </c>
      <c r="AD262" s="104">
        <f t="shared" si="141"/>
        <v>0</v>
      </c>
      <c r="AE262" s="104">
        <f t="shared" si="141"/>
        <v>0</v>
      </c>
      <c r="AF262" s="104">
        <f t="shared" si="141"/>
        <v>0</v>
      </c>
      <c r="AG262" s="104">
        <f t="shared" si="141"/>
        <v>0</v>
      </c>
      <c r="AH262" s="104">
        <f t="shared" si="141"/>
        <v>0</v>
      </c>
      <c r="AI262" s="104">
        <f t="shared" si="141"/>
        <v>0</v>
      </c>
      <c r="AJ262" s="104">
        <f t="shared" si="141"/>
        <v>0</v>
      </c>
      <c r="AK262" s="104">
        <f t="shared" si="141"/>
        <v>0</v>
      </c>
      <c r="AQ262" s="104" t="str">
        <f>$V$81</f>
        <v>-</v>
      </c>
      <c r="AR262" s="54">
        <v>0</v>
      </c>
      <c r="AS262" s="54">
        <v>0</v>
      </c>
      <c r="AT262" s="54">
        <v>0</v>
      </c>
      <c r="AU262" s="54">
        <v>0</v>
      </c>
      <c r="AV262" s="54">
        <v>0</v>
      </c>
      <c r="AW262" s="54">
        <v>0</v>
      </c>
      <c r="AX262" s="54">
        <v>0</v>
      </c>
      <c r="AY262" s="54">
        <v>0</v>
      </c>
      <c r="AZ262" s="54">
        <v>0</v>
      </c>
      <c r="BA262" s="54">
        <v>0</v>
      </c>
      <c r="BB262" s="54">
        <v>0</v>
      </c>
      <c r="BC262" s="54">
        <v>0</v>
      </c>
      <c r="BD262" s="54">
        <v>0</v>
      </c>
      <c r="BE262" s="54">
        <v>0</v>
      </c>
      <c r="BF262" s="54">
        <v>0</v>
      </c>
      <c r="BG262" s="54">
        <v>0</v>
      </c>
      <c r="BH262" s="54">
        <v>0</v>
      </c>
      <c r="BK262" s="104" t="str">
        <f>$V$62</f>
        <v>Joao</v>
      </c>
      <c r="BL262" s="108">
        <v>0</v>
      </c>
      <c r="BM262" s="108">
        <v>0</v>
      </c>
      <c r="BN262" s="108">
        <v>0</v>
      </c>
      <c r="BO262" s="108">
        <v>0</v>
      </c>
      <c r="BP262" s="108">
        <v>0</v>
      </c>
      <c r="BQ262" s="108">
        <v>0</v>
      </c>
      <c r="BR262" s="108">
        <v>0</v>
      </c>
      <c r="BS262" s="108">
        <v>0</v>
      </c>
      <c r="BT262" s="108">
        <v>0</v>
      </c>
      <c r="BU262" s="108">
        <v>0</v>
      </c>
      <c r="BV262" s="108">
        <v>0</v>
      </c>
      <c r="BW262" s="108">
        <v>0</v>
      </c>
      <c r="BX262" s="108">
        <v>0</v>
      </c>
      <c r="BY262" s="108">
        <v>0</v>
      </c>
      <c r="BZ262" s="108">
        <v>0</v>
      </c>
      <c r="CA262" s="108">
        <v>0</v>
      </c>
      <c r="CB262" s="108">
        <v>0</v>
      </c>
    </row>
    <row r="263" spans="4:80" x14ac:dyDescent="0.55000000000000004">
      <c r="D263" s="104" t="str">
        <f>$V$90</f>
        <v>-</v>
      </c>
      <c r="E263" s="104">
        <f t="shared" si="90"/>
        <v>0</v>
      </c>
      <c r="F263" s="104">
        <f t="shared" si="91"/>
        <v>0</v>
      </c>
      <c r="G263" s="104">
        <f t="shared" si="92"/>
        <v>0</v>
      </c>
      <c r="H263" s="104">
        <f t="shared" si="93"/>
        <v>0</v>
      </c>
      <c r="I263" s="104">
        <f t="shared" si="94"/>
        <v>0</v>
      </c>
      <c r="J263" s="104">
        <f t="shared" si="95"/>
        <v>0</v>
      </c>
      <c r="K263" s="104">
        <f t="shared" si="96"/>
        <v>0</v>
      </c>
      <c r="L263" s="104">
        <f t="shared" si="97"/>
        <v>0</v>
      </c>
      <c r="M263" s="104">
        <f t="shared" si="98"/>
        <v>0</v>
      </c>
      <c r="N263" s="104">
        <f t="shared" si="99"/>
        <v>0</v>
      </c>
      <c r="O263" s="104">
        <f t="shared" si="100"/>
        <v>0</v>
      </c>
      <c r="P263" s="104">
        <f t="shared" si="101"/>
        <v>0</v>
      </c>
      <c r="Q263" s="104">
        <f t="shared" si="102"/>
        <v>0</v>
      </c>
      <c r="R263" s="104">
        <f t="shared" si="103"/>
        <v>0</v>
      </c>
      <c r="S263" s="104">
        <f t="shared" si="104"/>
        <v>0</v>
      </c>
      <c r="T263" s="28" t="s">
        <v>18</v>
      </c>
      <c r="V263" s="104" t="str">
        <f>$V$90</f>
        <v>-</v>
      </c>
      <c r="W263" s="104">
        <f t="shared" ref="W263:AK263" si="142">W135*$AN90</f>
        <v>0</v>
      </c>
      <c r="X263" s="104">
        <f t="shared" si="142"/>
        <v>0</v>
      </c>
      <c r="Y263" s="104">
        <f t="shared" si="142"/>
        <v>0</v>
      </c>
      <c r="Z263" s="104">
        <f t="shared" si="142"/>
        <v>0</v>
      </c>
      <c r="AA263" s="104">
        <f t="shared" si="142"/>
        <v>0</v>
      </c>
      <c r="AB263" s="104">
        <f t="shared" si="142"/>
        <v>0</v>
      </c>
      <c r="AC263" s="104">
        <f t="shared" si="142"/>
        <v>0</v>
      </c>
      <c r="AD263" s="104">
        <f t="shared" si="142"/>
        <v>0</v>
      </c>
      <c r="AE263" s="104">
        <f t="shared" si="142"/>
        <v>0</v>
      </c>
      <c r="AF263" s="104">
        <f t="shared" si="142"/>
        <v>0</v>
      </c>
      <c r="AG263" s="104">
        <f t="shared" si="142"/>
        <v>0</v>
      </c>
      <c r="AH263" s="104">
        <f t="shared" si="142"/>
        <v>0</v>
      </c>
      <c r="AI263" s="104">
        <f t="shared" si="142"/>
        <v>0</v>
      </c>
      <c r="AJ263" s="104">
        <f t="shared" si="142"/>
        <v>0</v>
      </c>
      <c r="AK263" s="104">
        <f t="shared" si="142"/>
        <v>0</v>
      </c>
      <c r="AQ263" s="104" t="str">
        <f>$V$82</f>
        <v>-</v>
      </c>
      <c r="AR263" s="54">
        <v>0</v>
      </c>
      <c r="AS263" s="54">
        <v>0</v>
      </c>
      <c r="AT263" s="54">
        <v>0</v>
      </c>
      <c r="AU263" s="54">
        <v>0</v>
      </c>
      <c r="AV263" s="54">
        <v>0</v>
      </c>
      <c r="AW263" s="54">
        <v>0</v>
      </c>
      <c r="AX263" s="54">
        <v>0</v>
      </c>
      <c r="AY263" s="54">
        <v>0</v>
      </c>
      <c r="AZ263" s="54">
        <v>0</v>
      </c>
      <c r="BA263" s="54">
        <v>0</v>
      </c>
      <c r="BB263" s="54">
        <v>0</v>
      </c>
      <c r="BC263" s="54">
        <v>0</v>
      </c>
      <c r="BD263" s="54">
        <v>0</v>
      </c>
      <c r="BE263" s="54">
        <v>0</v>
      </c>
      <c r="BF263" s="54">
        <v>0</v>
      </c>
      <c r="BG263" s="54">
        <v>0</v>
      </c>
      <c r="BH263" s="54">
        <v>0</v>
      </c>
      <c r="BK263" s="104" t="str">
        <f>$V$63</f>
        <v>Maxime</v>
      </c>
      <c r="BL263" s="108">
        <v>0</v>
      </c>
      <c r="BM263" s="108">
        <v>0</v>
      </c>
      <c r="BN263" s="108">
        <v>0</v>
      </c>
      <c r="BO263" s="108">
        <v>0</v>
      </c>
      <c r="BP263" s="108">
        <v>0</v>
      </c>
      <c r="BQ263" s="108">
        <v>0</v>
      </c>
      <c r="BR263" s="108">
        <v>0</v>
      </c>
      <c r="BS263" s="108">
        <v>0</v>
      </c>
      <c r="BT263" s="108">
        <v>0</v>
      </c>
      <c r="BU263" s="108">
        <v>0</v>
      </c>
      <c r="BV263" s="108">
        <v>0</v>
      </c>
      <c r="BW263" s="108">
        <v>0</v>
      </c>
      <c r="BX263" s="108">
        <v>0</v>
      </c>
      <c r="BY263" s="108">
        <v>0</v>
      </c>
      <c r="BZ263" s="108">
        <v>0</v>
      </c>
      <c r="CA263" s="108">
        <v>0</v>
      </c>
      <c r="CB263" s="108">
        <v>0</v>
      </c>
    </row>
    <row r="264" spans="4:80" x14ac:dyDescent="0.55000000000000004">
      <c r="D264" s="104" t="str">
        <f>$V$91</f>
        <v>-</v>
      </c>
      <c r="E264" s="104">
        <f t="shared" si="90"/>
        <v>0</v>
      </c>
      <c r="F264" s="104">
        <f t="shared" si="91"/>
        <v>0</v>
      </c>
      <c r="G264" s="104">
        <f t="shared" si="92"/>
        <v>0</v>
      </c>
      <c r="H264" s="104">
        <f t="shared" si="93"/>
        <v>0</v>
      </c>
      <c r="I264" s="104">
        <f t="shared" si="94"/>
        <v>0</v>
      </c>
      <c r="J264" s="104">
        <f t="shared" si="95"/>
        <v>0</v>
      </c>
      <c r="K264" s="104">
        <f t="shared" si="96"/>
        <v>0</v>
      </c>
      <c r="L264" s="104">
        <f t="shared" si="97"/>
        <v>0</v>
      </c>
      <c r="M264" s="104">
        <f t="shared" si="98"/>
        <v>0</v>
      </c>
      <c r="N264" s="104">
        <f t="shared" si="99"/>
        <v>0</v>
      </c>
      <c r="O264" s="104">
        <f t="shared" si="100"/>
        <v>0</v>
      </c>
      <c r="P264" s="104">
        <f t="shared" si="101"/>
        <v>0</v>
      </c>
      <c r="Q264" s="104">
        <f t="shared" si="102"/>
        <v>0</v>
      </c>
      <c r="R264" s="104">
        <f t="shared" si="103"/>
        <v>0</v>
      </c>
      <c r="S264" s="104">
        <f t="shared" si="104"/>
        <v>0</v>
      </c>
      <c r="T264" s="28" t="s">
        <v>18</v>
      </c>
      <c r="V264" s="104" t="str">
        <f>$V$91</f>
        <v>-</v>
      </c>
      <c r="W264" s="104">
        <f t="shared" ref="W264:AK264" si="143">W136*$AN91</f>
        <v>0</v>
      </c>
      <c r="X264" s="104">
        <f t="shared" si="143"/>
        <v>0</v>
      </c>
      <c r="Y264" s="104">
        <f t="shared" si="143"/>
        <v>0</v>
      </c>
      <c r="Z264" s="104">
        <f t="shared" si="143"/>
        <v>0</v>
      </c>
      <c r="AA264" s="104">
        <f t="shared" si="143"/>
        <v>0</v>
      </c>
      <c r="AB264" s="104">
        <f t="shared" si="143"/>
        <v>0</v>
      </c>
      <c r="AC264" s="104">
        <f t="shared" si="143"/>
        <v>0</v>
      </c>
      <c r="AD264" s="104">
        <f t="shared" si="143"/>
        <v>0</v>
      </c>
      <c r="AE264" s="104">
        <f t="shared" si="143"/>
        <v>0</v>
      </c>
      <c r="AF264" s="104">
        <f t="shared" si="143"/>
        <v>0</v>
      </c>
      <c r="AG264" s="104">
        <f t="shared" si="143"/>
        <v>0</v>
      </c>
      <c r="AH264" s="104">
        <f t="shared" si="143"/>
        <v>0</v>
      </c>
      <c r="AI264" s="104">
        <f t="shared" si="143"/>
        <v>0</v>
      </c>
      <c r="AJ264" s="104">
        <f t="shared" si="143"/>
        <v>0</v>
      </c>
      <c r="AK264" s="104">
        <f t="shared" si="143"/>
        <v>0</v>
      </c>
      <c r="AQ264" s="104" t="str">
        <f>$V$83</f>
        <v>-</v>
      </c>
      <c r="AR264" s="54">
        <v>0</v>
      </c>
      <c r="AS264" s="54">
        <v>0</v>
      </c>
      <c r="AT264" s="54">
        <v>0</v>
      </c>
      <c r="AU264" s="54">
        <v>0</v>
      </c>
      <c r="AV264" s="54">
        <v>0</v>
      </c>
      <c r="AW264" s="54">
        <v>0</v>
      </c>
      <c r="AX264" s="54">
        <v>0</v>
      </c>
      <c r="AY264" s="54">
        <v>0</v>
      </c>
      <c r="AZ264" s="54">
        <v>0</v>
      </c>
      <c r="BA264" s="54">
        <v>0</v>
      </c>
      <c r="BB264" s="54">
        <v>0</v>
      </c>
      <c r="BC264" s="54">
        <v>0</v>
      </c>
      <c r="BD264" s="54">
        <v>0</v>
      </c>
      <c r="BE264" s="54">
        <v>0</v>
      </c>
      <c r="BF264" s="54">
        <v>0</v>
      </c>
      <c r="BG264" s="54">
        <v>0</v>
      </c>
      <c r="BH264" s="54">
        <v>0</v>
      </c>
      <c r="BK264" s="104" t="str">
        <f>$V$64</f>
        <v>Alex</v>
      </c>
      <c r="BL264" s="108">
        <v>0</v>
      </c>
      <c r="BM264" s="108">
        <v>0</v>
      </c>
      <c r="BN264" s="108">
        <v>0</v>
      </c>
      <c r="BO264" s="108">
        <v>0</v>
      </c>
      <c r="BP264" s="108">
        <v>0</v>
      </c>
      <c r="BQ264" s="108">
        <v>0</v>
      </c>
      <c r="BR264" s="108">
        <v>0</v>
      </c>
      <c r="BS264" s="108">
        <v>0</v>
      </c>
      <c r="BT264" s="108">
        <v>0</v>
      </c>
      <c r="BU264" s="108">
        <v>0</v>
      </c>
      <c r="BV264" s="108">
        <v>0</v>
      </c>
      <c r="BW264" s="108">
        <v>0</v>
      </c>
      <c r="BX264" s="108">
        <v>0</v>
      </c>
      <c r="BY264" s="108">
        <v>0</v>
      </c>
      <c r="BZ264" s="108">
        <v>0</v>
      </c>
      <c r="CA264" s="108">
        <v>0</v>
      </c>
      <c r="CB264" s="108">
        <v>0</v>
      </c>
    </row>
    <row r="265" spans="4:80" x14ac:dyDescent="0.55000000000000004">
      <c r="D265" s="104" t="str">
        <f>$V$92</f>
        <v>-</v>
      </c>
      <c r="E265" s="104">
        <f t="shared" si="90"/>
        <v>0</v>
      </c>
      <c r="F265" s="104">
        <f t="shared" si="91"/>
        <v>0</v>
      </c>
      <c r="G265" s="104">
        <f t="shared" si="92"/>
        <v>0</v>
      </c>
      <c r="H265" s="104">
        <f t="shared" si="93"/>
        <v>0</v>
      </c>
      <c r="I265" s="104">
        <f t="shared" si="94"/>
        <v>0</v>
      </c>
      <c r="J265" s="104">
        <f t="shared" si="95"/>
        <v>0</v>
      </c>
      <c r="K265" s="104">
        <f t="shared" si="96"/>
        <v>0</v>
      </c>
      <c r="L265" s="104">
        <f t="shared" si="97"/>
        <v>0</v>
      </c>
      <c r="M265" s="104">
        <f t="shared" si="98"/>
        <v>0</v>
      </c>
      <c r="N265" s="104">
        <f t="shared" si="99"/>
        <v>0</v>
      </c>
      <c r="O265" s="104">
        <f t="shared" si="100"/>
        <v>0</v>
      </c>
      <c r="P265" s="104">
        <f t="shared" si="101"/>
        <v>0</v>
      </c>
      <c r="Q265" s="104">
        <f t="shared" si="102"/>
        <v>0</v>
      </c>
      <c r="R265" s="104">
        <f t="shared" si="103"/>
        <v>0</v>
      </c>
      <c r="S265" s="104">
        <f t="shared" si="104"/>
        <v>0</v>
      </c>
      <c r="T265" s="28" t="s">
        <v>18</v>
      </c>
      <c r="V265" s="104" t="str">
        <f>$V$92</f>
        <v>-</v>
      </c>
      <c r="W265" s="104">
        <f t="shared" ref="W265:AK265" si="144">W137*$AN92</f>
        <v>0</v>
      </c>
      <c r="X265" s="104">
        <f t="shared" si="144"/>
        <v>0</v>
      </c>
      <c r="Y265" s="104">
        <f t="shared" si="144"/>
        <v>0</v>
      </c>
      <c r="Z265" s="104">
        <f t="shared" si="144"/>
        <v>0</v>
      </c>
      <c r="AA265" s="104">
        <f t="shared" si="144"/>
        <v>0</v>
      </c>
      <c r="AB265" s="104">
        <f t="shared" si="144"/>
        <v>0</v>
      </c>
      <c r="AC265" s="104">
        <f t="shared" si="144"/>
        <v>0</v>
      </c>
      <c r="AD265" s="104">
        <f t="shared" si="144"/>
        <v>0</v>
      </c>
      <c r="AE265" s="104">
        <f t="shared" si="144"/>
        <v>0</v>
      </c>
      <c r="AF265" s="104">
        <f t="shared" si="144"/>
        <v>0</v>
      </c>
      <c r="AG265" s="104">
        <f t="shared" si="144"/>
        <v>0</v>
      </c>
      <c r="AH265" s="104">
        <f t="shared" si="144"/>
        <v>0</v>
      </c>
      <c r="AI265" s="104">
        <f t="shared" si="144"/>
        <v>0</v>
      </c>
      <c r="AJ265" s="104">
        <f t="shared" si="144"/>
        <v>0</v>
      </c>
      <c r="AK265" s="104">
        <f t="shared" si="144"/>
        <v>0</v>
      </c>
      <c r="AQ265" s="104" t="str">
        <f>$V$84</f>
        <v>-</v>
      </c>
      <c r="AR265" s="54">
        <v>0</v>
      </c>
      <c r="AS265" s="54">
        <v>0</v>
      </c>
      <c r="AT265" s="54">
        <v>0</v>
      </c>
      <c r="AU265" s="54">
        <v>0</v>
      </c>
      <c r="AV265" s="54">
        <v>0</v>
      </c>
      <c r="AW265" s="54">
        <v>0</v>
      </c>
      <c r="AX265" s="54">
        <v>0</v>
      </c>
      <c r="AY265" s="54">
        <v>0</v>
      </c>
      <c r="AZ265" s="54">
        <v>0</v>
      </c>
      <c r="BA265" s="54">
        <v>0</v>
      </c>
      <c r="BB265" s="54">
        <v>0</v>
      </c>
      <c r="BC265" s="54">
        <v>0</v>
      </c>
      <c r="BD265" s="54">
        <v>0</v>
      </c>
      <c r="BE265" s="54">
        <v>0</v>
      </c>
      <c r="BF265" s="54">
        <v>0</v>
      </c>
      <c r="BG265" s="54">
        <v>0</v>
      </c>
      <c r="BH265" s="54">
        <v>0</v>
      </c>
      <c r="BK265" s="104" t="str">
        <f>$V$65</f>
        <v>Alyssa</v>
      </c>
      <c r="BL265" s="108">
        <v>0</v>
      </c>
      <c r="BM265" s="108">
        <v>0</v>
      </c>
      <c r="BN265" s="108">
        <v>0</v>
      </c>
      <c r="BO265" s="108">
        <v>0</v>
      </c>
      <c r="BP265" s="108">
        <v>0</v>
      </c>
      <c r="BQ265" s="108">
        <v>0</v>
      </c>
      <c r="BR265" s="108">
        <v>0</v>
      </c>
      <c r="BS265" s="108">
        <v>0</v>
      </c>
      <c r="BT265" s="108">
        <v>0</v>
      </c>
      <c r="BU265" s="108">
        <v>0</v>
      </c>
      <c r="BV265" s="108">
        <v>0</v>
      </c>
      <c r="BW265" s="108">
        <v>0</v>
      </c>
      <c r="BX265" s="108">
        <v>0</v>
      </c>
      <c r="BY265" s="108">
        <v>0</v>
      </c>
      <c r="BZ265" s="108">
        <v>0</v>
      </c>
      <c r="CA265" s="108">
        <v>0</v>
      </c>
      <c r="CB265" s="108">
        <v>0</v>
      </c>
    </row>
    <row r="266" spans="4:80" x14ac:dyDescent="0.55000000000000004">
      <c r="AQ266" s="104" t="str">
        <f>$V$85</f>
        <v>-</v>
      </c>
      <c r="AR266" s="54">
        <v>0</v>
      </c>
      <c r="AS266" s="54">
        <v>0</v>
      </c>
      <c r="AT266" s="54">
        <v>0</v>
      </c>
      <c r="AU266" s="54">
        <v>0</v>
      </c>
      <c r="AV266" s="54">
        <v>0</v>
      </c>
      <c r="AW266" s="54">
        <v>0</v>
      </c>
      <c r="AX266" s="54">
        <v>0</v>
      </c>
      <c r="AY266" s="54">
        <v>0</v>
      </c>
      <c r="AZ266" s="54">
        <v>0</v>
      </c>
      <c r="BA266" s="54">
        <v>0</v>
      </c>
      <c r="BB266" s="54">
        <v>0</v>
      </c>
      <c r="BC266" s="54">
        <v>0</v>
      </c>
      <c r="BD266" s="54">
        <v>0</v>
      </c>
      <c r="BE266" s="54">
        <v>0</v>
      </c>
      <c r="BF266" s="54">
        <v>0</v>
      </c>
      <c r="BG266" s="54">
        <v>0</v>
      </c>
      <c r="BH266" s="54">
        <v>0</v>
      </c>
      <c r="BK266" s="104" t="str">
        <f>$V$66</f>
        <v>Amanda</v>
      </c>
      <c r="BL266" s="108">
        <v>0</v>
      </c>
      <c r="BM266" s="108">
        <v>0</v>
      </c>
      <c r="BN266" s="108">
        <v>0</v>
      </c>
      <c r="BO266" s="108">
        <v>0</v>
      </c>
      <c r="BP266" s="108">
        <v>0</v>
      </c>
      <c r="BQ266" s="108">
        <v>0</v>
      </c>
      <c r="BR266" s="108">
        <v>0</v>
      </c>
      <c r="BS266" s="108">
        <v>0</v>
      </c>
      <c r="BT266" s="108">
        <v>0</v>
      </c>
      <c r="BU266" s="108">
        <v>0</v>
      </c>
      <c r="BV266" s="108">
        <v>0</v>
      </c>
      <c r="BW266" s="108">
        <v>0</v>
      </c>
      <c r="BX266" s="108">
        <v>0</v>
      </c>
      <c r="BY266" s="108">
        <v>0</v>
      </c>
      <c r="BZ266" s="108">
        <v>0</v>
      </c>
      <c r="CA266" s="108">
        <v>0</v>
      </c>
      <c r="CB266" s="108">
        <v>0</v>
      </c>
    </row>
    <row r="267" spans="4:80" x14ac:dyDescent="0.55000000000000004">
      <c r="AQ267" s="104" t="str">
        <f>$V$86</f>
        <v>-</v>
      </c>
      <c r="AR267" s="54">
        <v>0</v>
      </c>
      <c r="AS267" s="54">
        <v>0</v>
      </c>
      <c r="AT267" s="54">
        <v>0</v>
      </c>
      <c r="AU267" s="54">
        <v>0</v>
      </c>
      <c r="AV267" s="54">
        <v>0</v>
      </c>
      <c r="AW267" s="54">
        <v>0</v>
      </c>
      <c r="AX267" s="54">
        <v>0</v>
      </c>
      <c r="AY267" s="54">
        <v>0</v>
      </c>
      <c r="AZ267" s="54">
        <v>0</v>
      </c>
      <c r="BA267" s="54">
        <v>0</v>
      </c>
      <c r="BB267" s="54">
        <v>0</v>
      </c>
      <c r="BC267" s="54">
        <v>0</v>
      </c>
      <c r="BD267" s="54">
        <v>0</v>
      </c>
      <c r="BE267" s="54">
        <v>0</v>
      </c>
      <c r="BF267" s="54">
        <v>0</v>
      </c>
      <c r="BG267" s="54">
        <v>0</v>
      </c>
      <c r="BH267" s="54">
        <v>0</v>
      </c>
      <c r="BK267" s="104" t="str">
        <f>$V$67</f>
        <v>Antoine</v>
      </c>
      <c r="BL267" s="108">
        <v>0</v>
      </c>
      <c r="BM267" s="108">
        <v>0</v>
      </c>
      <c r="BN267" s="108">
        <v>0</v>
      </c>
      <c r="BO267" s="108">
        <v>0</v>
      </c>
      <c r="BP267" s="108">
        <v>0</v>
      </c>
      <c r="BQ267" s="108">
        <v>0</v>
      </c>
      <c r="BR267" s="108">
        <v>0</v>
      </c>
      <c r="BS267" s="108">
        <v>0</v>
      </c>
      <c r="BT267" s="108">
        <v>0</v>
      </c>
      <c r="BU267" s="108">
        <v>0</v>
      </c>
      <c r="BV267" s="108">
        <v>0</v>
      </c>
      <c r="BW267" s="108">
        <v>0</v>
      </c>
      <c r="BX267" s="108">
        <v>0</v>
      </c>
      <c r="BY267" s="108">
        <v>0</v>
      </c>
      <c r="BZ267" s="108">
        <v>0</v>
      </c>
      <c r="CA267" s="108">
        <v>0</v>
      </c>
      <c r="CB267" s="108">
        <v>0</v>
      </c>
    </row>
    <row r="268" spans="4:80" x14ac:dyDescent="0.55000000000000004">
      <c r="AQ268" s="104" t="str">
        <f>$V$87</f>
        <v>-</v>
      </c>
      <c r="AR268" s="54">
        <v>0</v>
      </c>
      <c r="AS268" s="54">
        <v>0</v>
      </c>
      <c r="AT268" s="54">
        <v>0</v>
      </c>
      <c r="AU268" s="54">
        <v>0</v>
      </c>
      <c r="AV268" s="54">
        <v>0</v>
      </c>
      <c r="AW268" s="54">
        <v>0</v>
      </c>
      <c r="AX268" s="54">
        <v>0</v>
      </c>
      <c r="AY268" s="54">
        <v>0</v>
      </c>
      <c r="AZ268" s="54">
        <v>0</v>
      </c>
      <c r="BA268" s="54">
        <v>0</v>
      </c>
      <c r="BB268" s="54">
        <v>0</v>
      </c>
      <c r="BC268" s="54">
        <v>0</v>
      </c>
      <c r="BD268" s="54">
        <v>0</v>
      </c>
      <c r="BE268" s="54">
        <v>0</v>
      </c>
      <c r="BF268" s="54">
        <v>0</v>
      </c>
      <c r="BG268" s="54">
        <v>0</v>
      </c>
      <c r="BH268" s="54">
        <v>0</v>
      </c>
      <c r="BK268" s="104" t="str">
        <f>$V$68</f>
        <v>Beatriz</v>
      </c>
      <c r="BL268" s="108">
        <v>0</v>
      </c>
      <c r="BM268" s="108">
        <v>0</v>
      </c>
      <c r="BN268" s="108">
        <v>0</v>
      </c>
      <c r="BO268" s="108">
        <v>0</v>
      </c>
      <c r="BP268" s="108">
        <v>0</v>
      </c>
      <c r="BQ268" s="108">
        <v>0</v>
      </c>
      <c r="BR268" s="108">
        <v>0</v>
      </c>
      <c r="BS268" s="108">
        <v>0</v>
      </c>
      <c r="BT268" s="108">
        <v>0</v>
      </c>
      <c r="BU268" s="108">
        <v>0</v>
      </c>
      <c r="BV268" s="108">
        <v>0</v>
      </c>
      <c r="BW268" s="108">
        <v>0</v>
      </c>
      <c r="BX268" s="108">
        <v>0</v>
      </c>
      <c r="BY268" s="108">
        <v>0</v>
      </c>
      <c r="BZ268" s="108">
        <v>0</v>
      </c>
      <c r="CA268" s="108">
        <v>0</v>
      </c>
      <c r="CB268" s="108">
        <v>0</v>
      </c>
    </row>
    <row r="269" spans="4:80" x14ac:dyDescent="0.55000000000000004">
      <c r="R269" s="104" t="str">
        <f>$V$53</f>
        <v>Jennifer</v>
      </c>
      <c r="S269" s="104">
        <f t="shared" ref="S269:S308" si="145">SUM(AR34:BH34)+SUM(AR74:BH74)+SUM(AR114:BH114)+SUM(AR154:BH154)+SUM(AR194:BH194)+SUM(AR234:BH234)+SUM(AR274:BH274)+SUM(AR314:BH314)+SUM(AR354:BH354)+SUM(AR394:BH394)+SUM(AR434:BH434)+SUM(AR474:BH474)+SUM(AR514:BH514)+SUM(AR554:BH554)+SUM(AR594:BH594)</f>
        <v>12</v>
      </c>
      <c r="T269" s="28" t="s">
        <v>18</v>
      </c>
      <c r="V269" s="104" t="str">
        <f>$V$53</f>
        <v>Jennifer</v>
      </c>
      <c r="W269" s="104">
        <f>$S$34</f>
        <v>12</v>
      </c>
      <c r="AQ269" s="104" t="str">
        <f>$V$88</f>
        <v>-</v>
      </c>
      <c r="AR269" s="54">
        <v>0</v>
      </c>
      <c r="AS269" s="54">
        <v>0</v>
      </c>
      <c r="AT269" s="54">
        <v>0</v>
      </c>
      <c r="AU269" s="54">
        <v>0</v>
      </c>
      <c r="AV269" s="54">
        <v>0</v>
      </c>
      <c r="AW269" s="54">
        <v>0</v>
      </c>
      <c r="AX269" s="54">
        <v>0</v>
      </c>
      <c r="AY269" s="54">
        <v>0</v>
      </c>
      <c r="AZ269" s="54">
        <v>0</v>
      </c>
      <c r="BA269" s="54">
        <v>0</v>
      </c>
      <c r="BB269" s="54">
        <v>0</v>
      </c>
      <c r="BC269" s="54">
        <v>0</v>
      </c>
      <c r="BD269" s="54">
        <v>0</v>
      </c>
      <c r="BE269" s="54">
        <v>0</v>
      </c>
      <c r="BF269" s="54">
        <v>0</v>
      </c>
      <c r="BG269" s="54">
        <v>0</v>
      </c>
      <c r="BH269" s="54">
        <v>0</v>
      </c>
      <c r="BK269" s="104" t="str">
        <f>$V$69</f>
        <v>Charelle</v>
      </c>
      <c r="BL269" s="108">
        <v>0</v>
      </c>
      <c r="BM269" s="108">
        <v>0</v>
      </c>
      <c r="BN269" s="108">
        <v>0</v>
      </c>
      <c r="BO269" s="108">
        <v>0</v>
      </c>
      <c r="BP269" s="108">
        <v>0</v>
      </c>
      <c r="BQ269" s="108">
        <v>0</v>
      </c>
      <c r="BR269" s="108">
        <v>0</v>
      </c>
      <c r="BS269" s="108">
        <v>0</v>
      </c>
      <c r="BT269" s="108">
        <v>0</v>
      </c>
      <c r="BU269" s="108">
        <v>0</v>
      </c>
      <c r="BV269" s="108">
        <v>0</v>
      </c>
      <c r="BW269" s="108">
        <v>0</v>
      </c>
      <c r="BX269" s="108">
        <v>0</v>
      </c>
      <c r="BY269" s="108">
        <v>0</v>
      </c>
      <c r="BZ269" s="108">
        <v>0</v>
      </c>
      <c r="CA269" s="108">
        <v>0</v>
      </c>
      <c r="CB269" s="108">
        <v>0</v>
      </c>
    </row>
    <row r="270" spans="4:80" x14ac:dyDescent="0.55000000000000004">
      <c r="R270" s="104" t="str">
        <f>$V$54</f>
        <v>Galileo</v>
      </c>
      <c r="S270" s="104">
        <f t="shared" si="145"/>
        <v>12</v>
      </c>
      <c r="T270" s="28" t="s">
        <v>18</v>
      </c>
      <c r="V270" s="104" t="str">
        <f>$V$54</f>
        <v>Galileo</v>
      </c>
      <c r="W270" s="104">
        <f t="shared" ref="W270:W308" si="146">$S$34</f>
        <v>12</v>
      </c>
      <c r="AQ270" s="104" t="str">
        <f>$V$89</f>
        <v>-</v>
      </c>
      <c r="AR270" s="54">
        <v>0</v>
      </c>
      <c r="AS270" s="54">
        <v>0</v>
      </c>
      <c r="AT270" s="54">
        <v>0</v>
      </c>
      <c r="AU270" s="54">
        <v>0</v>
      </c>
      <c r="AV270" s="54">
        <v>0</v>
      </c>
      <c r="AW270" s="54">
        <v>0</v>
      </c>
      <c r="AX270" s="54">
        <v>0</v>
      </c>
      <c r="AY270" s="54">
        <v>0</v>
      </c>
      <c r="AZ270" s="54">
        <v>0</v>
      </c>
      <c r="BA270" s="54">
        <v>0</v>
      </c>
      <c r="BB270" s="54">
        <v>0</v>
      </c>
      <c r="BC270" s="54">
        <v>0</v>
      </c>
      <c r="BD270" s="54">
        <v>0</v>
      </c>
      <c r="BE270" s="54">
        <v>0</v>
      </c>
      <c r="BF270" s="54">
        <v>0</v>
      </c>
      <c r="BG270" s="54">
        <v>0</v>
      </c>
      <c r="BH270" s="54">
        <v>0</v>
      </c>
      <c r="BK270" s="104" t="str">
        <f>$V$70</f>
        <v>Dimitri</v>
      </c>
      <c r="BL270" s="108">
        <v>0</v>
      </c>
      <c r="BM270" s="108">
        <v>0</v>
      </c>
      <c r="BN270" s="108">
        <v>0</v>
      </c>
      <c r="BO270" s="108">
        <v>0</v>
      </c>
      <c r="BP270" s="108">
        <v>0</v>
      </c>
      <c r="BQ270" s="108">
        <v>0</v>
      </c>
      <c r="BR270" s="108">
        <v>0</v>
      </c>
      <c r="BS270" s="108">
        <v>0</v>
      </c>
      <c r="BT270" s="108">
        <v>0</v>
      </c>
      <c r="BU270" s="108">
        <v>0</v>
      </c>
      <c r="BV270" s="108">
        <v>0</v>
      </c>
      <c r="BW270" s="108">
        <v>0</v>
      </c>
      <c r="BX270" s="108">
        <v>0</v>
      </c>
      <c r="BY270" s="108">
        <v>0</v>
      </c>
      <c r="BZ270" s="108">
        <v>0</v>
      </c>
      <c r="CA270" s="108">
        <v>0</v>
      </c>
      <c r="CB270" s="108">
        <v>0</v>
      </c>
    </row>
    <row r="271" spans="4:80" x14ac:dyDescent="0.55000000000000004">
      <c r="R271" s="104" t="str">
        <f>$V$55</f>
        <v>Óscar</v>
      </c>
      <c r="S271" s="104">
        <f t="shared" si="145"/>
        <v>12</v>
      </c>
      <c r="T271" s="28" t="s">
        <v>18</v>
      </c>
      <c r="V271" s="104" t="str">
        <f>$V$55</f>
        <v>Óscar</v>
      </c>
      <c r="W271" s="104">
        <f t="shared" si="146"/>
        <v>12</v>
      </c>
      <c r="AQ271" s="104" t="str">
        <f>$V$90</f>
        <v>-</v>
      </c>
      <c r="AR271" s="54">
        <v>0</v>
      </c>
      <c r="AS271" s="54">
        <v>0</v>
      </c>
      <c r="AT271" s="54">
        <v>0</v>
      </c>
      <c r="AU271" s="54">
        <v>0</v>
      </c>
      <c r="AV271" s="54">
        <v>0</v>
      </c>
      <c r="AW271" s="54">
        <v>0</v>
      </c>
      <c r="AX271" s="54">
        <v>0</v>
      </c>
      <c r="AY271" s="54">
        <v>0</v>
      </c>
      <c r="AZ271" s="54">
        <v>0</v>
      </c>
      <c r="BA271" s="54">
        <v>0</v>
      </c>
      <c r="BB271" s="54">
        <v>0</v>
      </c>
      <c r="BC271" s="54">
        <v>0</v>
      </c>
      <c r="BD271" s="54">
        <v>0</v>
      </c>
      <c r="BE271" s="54">
        <v>0</v>
      </c>
      <c r="BF271" s="54">
        <v>0</v>
      </c>
      <c r="BG271" s="54">
        <v>0</v>
      </c>
      <c r="BH271" s="54">
        <v>0</v>
      </c>
      <c r="BK271" s="104" t="str">
        <f>$V$71</f>
        <v>Marina</v>
      </c>
      <c r="BL271" s="108">
        <v>0</v>
      </c>
      <c r="BM271" s="108">
        <v>0</v>
      </c>
      <c r="BN271" s="108">
        <v>0</v>
      </c>
      <c r="BO271" s="108">
        <v>0</v>
      </c>
      <c r="BP271" s="108">
        <v>0</v>
      </c>
      <c r="BQ271" s="108">
        <v>0</v>
      </c>
      <c r="BR271" s="108">
        <v>0</v>
      </c>
      <c r="BS271" s="108">
        <v>0</v>
      </c>
      <c r="BT271" s="108">
        <v>0</v>
      </c>
      <c r="BU271" s="108">
        <v>0</v>
      </c>
      <c r="BV271" s="108">
        <v>0</v>
      </c>
      <c r="BW271" s="108">
        <v>0</v>
      </c>
      <c r="BX271" s="108">
        <v>0</v>
      </c>
      <c r="BY271" s="108">
        <v>0</v>
      </c>
      <c r="BZ271" s="108">
        <v>0</v>
      </c>
      <c r="CA271" s="108">
        <v>0</v>
      </c>
      <c r="CB271" s="108">
        <v>0</v>
      </c>
    </row>
    <row r="272" spans="4:80" x14ac:dyDescent="0.55000000000000004">
      <c r="R272" s="104" t="str">
        <f>$V$56</f>
        <v>Sebastián</v>
      </c>
      <c r="S272" s="104">
        <f t="shared" si="145"/>
        <v>12</v>
      </c>
      <c r="T272" s="28" t="s">
        <v>18</v>
      </c>
      <c r="V272" s="104" t="str">
        <f>$V$56</f>
        <v>Sebastián</v>
      </c>
      <c r="W272" s="104">
        <f t="shared" si="146"/>
        <v>12</v>
      </c>
      <c r="AQ272" s="104" t="str">
        <f>$V$91</f>
        <v>-</v>
      </c>
      <c r="AR272" s="54">
        <v>0</v>
      </c>
      <c r="AS272" s="54">
        <v>0</v>
      </c>
      <c r="AT272" s="54">
        <v>0</v>
      </c>
      <c r="AU272" s="54">
        <v>0</v>
      </c>
      <c r="AV272" s="54">
        <v>0</v>
      </c>
      <c r="AW272" s="54">
        <v>0</v>
      </c>
      <c r="AX272" s="54">
        <v>0</v>
      </c>
      <c r="AY272" s="54">
        <v>0</v>
      </c>
      <c r="AZ272" s="54">
        <v>0</v>
      </c>
      <c r="BA272" s="54">
        <v>0</v>
      </c>
      <c r="BB272" s="54">
        <v>0</v>
      </c>
      <c r="BC272" s="54">
        <v>0</v>
      </c>
      <c r="BD272" s="54">
        <v>0</v>
      </c>
      <c r="BE272" s="54">
        <v>0</v>
      </c>
      <c r="BF272" s="54">
        <v>0</v>
      </c>
      <c r="BG272" s="54">
        <v>0</v>
      </c>
      <c r="BH272" s="54">
        <v>0</v>
      </c>
      <c r="BK272" s="104" t="str">
        <f>$V$72</f>
        <v>Michel</v>
      </c>
      <c r="BL272" s="108">
        <v>0</v>
      </c>
      <c r="BM272" s="108">
        <v>0</v>
      </c>
      <c r="BN272" s="108">
        <v>0</v>
      </c>
      <c r="BO272" s="108">
        <v>0</v>
      </c>
      <c r="BP272" s="108">
        <v>0</v>
      </c>
      <c r="BQ272" s="108">
        <v>0</v>
      </c>
      <c r="BR272" s="108">
        <v>0</v>
      </c>
      <c r="BS272" s="108">
        <v>0</v>
      </c>
      <c r="BT272" s="108">
        <v>0</v>
      </c>
      <c r="BU272" s="108">
        <v>0</v>
      </c>
      <c r="BV272" s="108">
        <v>0</v>
      </c>
      <c r="BW272" s="108">
        <v>0</v>
      </c>
      <c r="BX272" s="108">
        <v>0</v>
      </c>
      <c r="BY272" s="108">
        <v>0</v>
      </c>
      <c r="BZ272" s="108">
        <v>0</v>
      </c>
      <c r="CA272" s="108">
        <v>0</v>
      </c>
      <c r="CB272" s="108">
        <v>0</v>
      </c>
    </row>
    <row r="273" spans="18:80" x14ac:dyDescent="0.55000000000000004">
      <c r="R273" s="104" t="str">
        <f>$V$57</f>
        <v>Marcos</v>
      </c>
      <c r="S273" s="104">
        <f t="shared" si="145"/>
        <v>12</v>
      </c>
      <c r="T273" s="28" t="s">
        <v>18</v>
      </c>
      <c r="V273" s="104" t="str">
        <f>$V$57</f>
        <v>Marcos</v>
      </c>
      <c r="W273" s="104">
        <f t="shared" si="146"/>
        <v>12</v>
      </c>
      <c r="AQ273" s="104" t="str">
        <f>$V$92</f>
        <v>-</v>
      </c>
      <c r="AR273" s="54">
        <v>0</v>
      </c>
      <c r="AS273" s="54">
        <v>0</v>
      </c>
      <c r="AT273" s="54">
        <v>0</v>
      </c>
      <c r="AU273" s="54">
        <v>0</v>
      </c>
      <c r="AV273" s="54">
        <v>0</v>
      </c>
      <c r="AW273" s="54">
        <v>0</v>
      </c>
      <c r="AX273" s="54">
        <v>0</v>
      </c>
      <c r="AY273" s="54">
        <v>0</v>
      </c>
      <c r="AZ273" s="54">
        <v>0</v>
      </c>
      <c r="BA273" s="54">
        <v>0</v>
      </c>
      <c r="BB273" s="54">
        <v>0</v>
      </c>
      <c r="BC273" s="54">
        <v>0</v>
      </c>
      <c r="BD273" s="54">
        <v>0</v>
      </c>
      <c r="BE273" s="54">
        <v>0</v>
      </c>
      <c r="BF273" s="54">
        <v>0</v>
      </c>
      <c r="BG273" s="54">
        <v>0</v>
      </c>
      <c r="BH273" s="54">
        <v>0</v>
      </c>
      <c r="BK273" s="104" t="str">
        <f>$V$73</f>
        <v>Nour</v>
      </c>
      <c r="BL273" s="108">
        <v>0</v>
      </c>
      <c r="BM273" s="108">
        <v>0</v>
      </c>
      <c r="BN273" s="108">
        <v>0</v>
      </c>
      <c r="BO273" s="108">
        <v>0</v>
      </c>
      <c r="BP273" s="108">
        <v>0</v>
      </c>
      <c r="BQ273" s="108">
        <v>0</v>
      </c>
      <c r="BR273" s="108">
        <v>0</v>
      </c>
      <c r="BS273" s="108">
        <v>0</v>
      </c>
      <c r="BT273" s="108">
        <v>0</v>
      </c>
      <c r="BU273" s="108">
        <v>0</v>
      </c>
      <c r="BV273" s="108">
        <v>0</v>
      </c>
      <c r="BW273" s="108">
        <v>0</v>
      </c>
      <c r="BX273" s="108">
        <v>0</v>
      </c>
      <c r="BY273" s="108">
        <v>0</v>
      </c>
      <c r="BZ273" s="108">
        <v>0</v>
      </c>
      <c r="CA273" s="108">
        <v>0</v>
      </c>
      <c r="CB273" s="108">
        <v>0</v>
      </c>
    </row>
    <row r="274" spans="18:80" x14ac:dyDescent="0.55000000000000004">
      <c r="R274" s="104" t="str">
        <f>$V$58</f>
        <v>Weixin</v>
      </c>
      <c r="S274" s="104">
        <f t="shared" si="145"/>
        <v>12</v>
      </c>
      <c r="T274" s="28" t="s">
        <v>18</v>
      </c>
      <c r="V274" s="104" t="str">
        <f>$V$58</f>
        <v>Weixin</v>
      </c>
      <c r="W274" s="104">
        <f t="shared" si="146"/>
        <v>12</v>
      </c>
      <c r="AP274" t="str">
        <f>$V$40</f>
        <v>Toilets</v>
      </c>
      <c r="AQ274" s="104" t="str">
        <f>$V$53</f>
        <v>Jennifer</v>
      </c>
      <c r="AR274" s="54">
        <v>0</v>
      </c>
      <c r="AS274" s="54">
        <v>0</v>
      </c>
      <c r="AT274" s="54">
        <v>0</v>
      </c>
      <c r="AU274" s="54">
        <v>0</v>
      </c>
      <c r="AV274" s="54">
        <v>0</v>
      </c>
      <c r="AW274" s="54">
        <v>0</v>
      </c>
      <c r="AX274" s="54">
        <v>0</v>
      </c>
      <c r="AY274" s="54">
        <v>0</v>
      </c>
      <c r="AZ274" s="54">
        <v>0</v>
      </c>
      <c r="BA274" s="54">
        <v>0</v>
      </c>
      <c r="BB274" s="54">
        <v>0</v>
      </c>
      <c r="BC274" s="54">
        <v>0</v>
      </c>
      <c r="BD274" s="54">
        <v>0</v>
      </c>
      <c r="BE274" s="54">
        <v>0</v>
      </c>
      <c r="BF274" s="54">
        <v>0</v>
      </c>
      <c r="BG274" s="54">
        <v>0</v>
      </c>
      <c r="BH274" s="54">
        <v>0</v>
      </c>
      <c r="BK274" s="104" t="str">
        <f>$V$74</f>
        <v>Samuel</v>
      </c>
      <c r="BL274" s="108">
        <v>0</v>
      </c>
      <c r="BM274" s="108">
        <v>0</v>
      </c>
      <c r="BN274" s="108">
        <v>0</v>
      </c>
      <c r="BO274" s="108">
        <v>0</v>
      </c>
      <c r="BP274" s="108">
        <v>0</v>
      </c>
      <c r="BQ274" s="108">
        <v>0</v>
      </c>
      <c r="BR274" s="108">
        <v>0</v>
      </c>
      <c r="BS274" s="108">
        <v>0</v>
      </c>
      <c r="BT274" s="108">
        <v>0</v>
      </c>
      <c r="BU274" s="108">
        <v>0</v>
      </c>
      <c r="BV274" s="108">
        <v>0</v>
      </c>
      <c r="BW274" s="108">
        <v>0</v>
      </c>
      <c r="BX274" s="108">
        <v>0</v>
      </c>
      <c r="BY274" s="108">
        <v>0</v>
      </c>
      <c r="BZ274" s="108">
        <v>0</v>
      </c>
      <c r="CA274" s="108">
        <v>0</v>
      </c>
      <c r="CB274" s="108">
        <v>0</v>
      </c>
    </row>
    <row r="275" spans="18:80" x14ac:dyDescent="0.55000000000000004">
      <c r="R275" s="104" t="str">
        <f>$V$59</f>
        <v>Benjamin</v>
      </c>
      <c r="S275" s="104">
        <f t="shared" si="145"/>
        <v>12</v>
      </c>
      <c r="T275" s="28" t="s">
        <v>18</v>
      </c>
      <c r="V275" s="104" t="str">
        <f>$V$59</f>
        <v>Benjamin</v>
      </c>
      <c r="W275" s="104">
        <f t="shared" si="146"/>
        <v>12</v>
      </c>
      <c r="AQ275" s="104" t="str">
        <f>$V$54</f>
        <v>Galileo</v>
      </c>
      <c r="AR275" s="54">
        <v>0</v>
      </c>
      <c r="AS275" s="54">
        <v>0</v>
      </c>
      <c r="AT275" s="54">
        <v>0</v>
      </c>
      <c r="AU275" s="54">
        <v>0</v>
      </c>
      <c r="AV275" s="54">
        <v>0</v>
      </c>
      <c r="AW275" s="54">
        <v>0</v>
      </c>
      <c r="AX275" s="54">
        <v>0</v>
      </c>
      <c r="AY275" s="54">
        <v>0</v>
      </c>
      <c r="AZ275" s="54">
        <v>0</v>
      </c>
      <c r="BA275" s="54">
        <v>0</v>
      </c>
      <c r="BB275" s="54">
        <v>0</v>
      </c>
      <c r="BC275" s="54">
        <v>0</v>
      </c>
      <c r="BD275" s="54">
        <v>0</v>
      </c>
      <c r="BE275" s="54">
        <v>0</v>
      </c>
      <c r="BF275" s="54">
        <v>0</v>
      </c>
      <c r="BG275" s="54">
        <v>0</v>
      </c>
      <c r="BH275" s="54">
        <v>0</v>
      </c>
      <c r="BK275" s="104" t="str">
        <f>$V$75</f>
        <v>Yassin</v>
      </c>
      <c r="BL275" s="108">
        <v>0</v>
      </c>
      <c r="BM275" s="108">
        <v>0</v>
      </c>
      <c r="BN275" s="108">
        <v>0</v>
      </c>
      <c r="BO275" s="108">
        <v>0</v>
      </c>
      <c r="BP275" s="108">
        <v>0</v>
      </c>
      <c r="BQ275" s="108">
        <v>0</v>
      </c>
      <c r="BR275" s="108">
        <v>0</v>
      </c>
      <c r="BS275" s="108">
        <v>0</v>
      </c>
      <c r="BT275" s="108">
        <v>0</v>
      </c>
      <c r="BU275" s="108">
        <v>0</v>
      </c>
      <c r="BV275" s="108">
        <v>0</v>
      </c>
      <c r="BW275" s="108">
        <v>0</v>
      </c>
      <c r="BX275" s="108">
        <v>0</v>
      </c>
      <c r="BY275" s="108">
        <v>0</v>
      </c>
      <c r="BZ275" s="108">
        <v>0</v>
      </c>
      <c r="CA275" s="108">
        <v>0</v>
      </c>
      <c r="CB275" s="108">
        <v>0</v>
      </c>
    </row>
    <row r="276" spans="18:80" x14ac:dyDescent="0.55000000000000004">
      <c r="R276" s="104" t="str">
        <f>$V$60</f>
        <v>Joelle</v>
      </c>
      <c r="S276" s="104">
        <f t="shared" si="145"/>
        <v>0</v>
      </c>
      <c r="T276" s="28" t="s">
        <v>18</v>
      </c>
      <c r="V276" s="104" t="str">
        <f>$V$60</f>
        <v>Joelle</v>
      </c>
      <c r="W276" s="104">
        <f t="shared" si="146"/>
        <v>12</v>
      </c>
      <c r="AQ276" s="104" t="str">
        <f>$V$55</f>
        <v>Óscar</v>
      </c>
      <c r="AR276" s="54">
        <v>0</v>
      </c>
      <c r="AS276" s="54">
        <v>0</v>
      </c>
      <c r="AT276" s="54">
        <v>0</v>
      </c>
      <c r="AU276" s="54">
        <v>0</v>
      </c>
      <c r="AV276" s="54">
        <v>0</v>
      </c>
      <c r="AW276" s="54">
        <v>0</v>
      </c>
      <c r="AX276" s="54">
        <v>0</v>
      </c>
      <c r="AY276" s="54">
        <v>0</v>
      </c>
      <c r="AZ276" s="54">
        <v>0</v>
      </c>
      <c r="BA276" s="54">
        <v>0</v>
      </c>
      <c r="BB276" s="54">
        <v>0</v>
      </c>
      <c r="BC276" s="54">
        <v>0</v>
      </c>
      <c r="BD276" s="54">
        <v>0</v>
      </c>
      <c r="BE276" s="54">
        <v>0</v>
      </c>
      <c r="BF276" s="54">
        <v>0</v>
      </c>
      <c r="BG276" s="54">
        <v>0</v>
      </c>
      <c r="BH276" s="54">
        <v>0</v>
      </c>
      <c r="BK276" s="104" t="str">
        <f>$V$76</f>
        <v>Kamar</v>
      </c>
      <c r="BL276" s="108">
        <v>0</v>
      </c>
      <c r="BM276" s="108">
        <v>0</v>
      </c>
      <c r="BN276" s="108">
        <v>0</v>
      </c>
      <c r="BO276" s="108">
        <v>0</v>
      </c>
      <c r="BP276" s="108">
        <v>0</v>
      </c>
      <c r="BQ276" s="108">
        <v>0</v>
      </c>
      <c r="BR276" s="108">
        <v>0</v>
      </c>
      <c r="BS276" s="108">
        <v>0</v>
      </c>
      <c r="BT276" s="108">
        <v>0</v>
      </c>
      <c r="BU276" s="108">
        <v>0</v>
      </c>
      <c r="BV276" s="108">
        <v>0</v>
      </c>
      <c r="BW276" s="108">
        <v>0</v>
      </c>
      <c r="BX276" s="108">
        <v>0</v>
      </c>
      <c r="BY276" s="108">
        <v>0</v>
      </c>
      <c r="BZ276" s="108">
        <v>0</v>
      </c>
      <c r="CA276" s="108">
        <v>0</v>
      </c>
      <c r="CB276" s="108">
        <v>0</v>
      </c>
    </row>
    <row r="277" spans="18:80" x14ac:dyDescent="0.55000000000000004">
      <c r="R277" s="104" t="str">
        <f>$V$61</f>
        <v>Alexia</v>
      </c>
      <c r="S277" s="104">
        <f t="shared" si="145"/>
        <v>0</v>
      </c>
      <c r="T277" s="28" t="s">
        <v>18</v>
      </c>
      <c r="V277" s="104" t="str">
        <f>$V$61</f>
        <v>Alexia</v>
      </c>
      <c r="W277" s="104">
        <f t="shared" si="146"/>
        <v>12</v>
      </c>
      <c r="AQ277" s="104" t="str">
        <f>$V$56</f>
        <v>Sebastián</v>
      </c>
      <c r="AR277" s="54">
        <v>0</v>
      </c>
      <c r="AS277" s="54">
        <v>0</v>
      </c>
      <c r="AT277" s="54">
        <v>0</v>
      </c>
      <c r="AU277" s="54">
        <v>0</v>
      </c>
      <c r="AV277" s="54">
        <v>0</v>
      </c>
      <c r="AW277" s="54">
        <v>0</v>
      </c>
      <c r="AX277" s="54">
        <v>0</v>
      </c>
      <c r="AY277" s="54">
        <v>0</v>
      </c>
      <c r="AZ277" s="54">
        <v>0</v>
      </c>
      <c r="BA277" s="54">
        <v>0</v>
      </c>
      <c r="BB277" s="54">
        <v>0</v>
      </c>
      <c r="BC277" s="54">
        <v>0</v>
      </c>
      <c r="BD277" s="54">
        <v>0</v>
      </c>
      <c r="BE277" s="54">
        <v>0</v>
      </c>
      <c r="BF277" s="54">
        <v>0</v>
      </c>
      <c r="BG277" s="54">
        <v>0</v>
      </c>
      <c r="BH277" s="54">
        <v>0</v>
      </c>
      <c r="BK277" s="104" t="str">
        <f>$V$77</f>
        <v>-</v>
      </c>
      <c r="BL277" s="108">
        <v>0</v>
      </c>
      <c r="BM277" s="108">
        <v>0</v>
      </c>
      <c r="BN277" s="108">
        <v>0</v>
      </c>
      <c r="BO277" s="108">
        <v>0</v>
      </c>
      <c r="BP277" s="108">
        <v>0</v>
      </c>
      <c r="BQ277" s="108">
        <v>0</v>
      </c>
      <c r="BR277" s="108">
        <v>0</v>
      </c>
      <c r="BS277" s="108">
        <v>0</v>
      </c>
      <c r="BT277" s="108">
        <v>0</v>
      </c>
      <c r="BU277" s="108">
        <v>0</v>
      </c>
      <c r="BV277" s="108">
        <v>0</v>
      </c>
      <c r="BW277" s="108">
        <v>0</v>
      </c>
      <c r="BX277" s="108">
        <v>0</v>
      </c>
      <c r="BY277" s="108">
        <v>0</v>
      </c>
      <c r="BZ277" s="108">
        <v>0</v>
      </c>
      <c r="CA277" s="108">
        <v>0</v>
      </c>
      <c r="CB277" s="108">
        <v>0</v>
      </c>
    </row>
    <row r="278" spans="18:80" x14ac:dyDescent="0.55000000000000004">
      <c r="R278" s="104" t="str">
        <f>$V$62</f>
        <v>Joao</v>
      </c>
      <c r="S278" s="104">
        <f t="shared" si="145"/>
        <v>0</v>
      </c>
      <c r="T278" s="28" t="s">
        <v>18</v>
      </c>
      <c r="V278" s="104" t="str">
        <f>$V$62</f>
        <v>Joao</v>
      </c>
      <c r="W278" s="104">
        <f t="shared" si="146"/>
        <v>12</v>
      </c>
      <c r="AQ278" s="104" t="str">
        <f>$V$57</f>
        <v>Marcos</v>
      </c>
      <c r="AR278" s="54">
        <v>0</v>
      </c>
      <c r="AS278" s="54">
        <v>0</v>
      </c>
      <c r="AT278" s="54">
        <v>0</v>
      </c>
      <c r="AU278" s="54">
        <v>0</v>
      </c>
      <c r="AV278" s="54">
        <v>0</v>
      </c>
      <c r="AW278" s="54">
        <v>0</v>
      </c>
      <c r="AX278" s="54">
        <v>0</v>
      </c>
      <c r="AY278" s="54">
        <v>0</v>
      </c>
      <c r="AZ278" s="54">
        <v>0</v>
      </c>
      <c r="BA278" s="54">
        <v>0</v>
      </c>
      <c r="BB278" s="54">
        <v>0</v>
      </c>
      <c r="BC278" s="54">
        <v>0</v>
      </c>
      <c r="BD278" s="54">
        <v>0</v>
      </c>
      <c r="BE278" s="54">
        <v>0</v>
      </c>
      <c r="BF278" s="54">
        <v>0</v>
      </c>
      <c r="BG278" s="54">
        <v>0</v>
      </c>
      <c r="BH278" s="54">
        <v>0</v>
      </c>
      <c r="BK278" s="104" t="str">
        <f>$V$78</f>
        <v>-</v>
      </c>
      <c r="BL278" s="108">
        <v>0</v>
      </c>
      <c r="BM278" s="108">
        <v>0</v>
      </c>
      <c r="BN278" s="108">
        <v>0</v>
      </c>
      <c r="BO278" s="108">
        <v>0</v>
      </c>
      <c r="BP278" s="108">
        <v>0</v>
      </c>
      <c r="BQ278" s="108">
        <v>0</v>
      </c>
      <c r="BR278" s="108">
        <v>0</v>
      </c>
      <c r="BS278" s="108">
        <v>0</v>
      </c>
      <c r="BT278" s="108">
        <v>0</v>
      </c>
      <c r="BU278" s="108">
        <v>0</v>
      </c>
      <c r="BV278" s="108">
        <v>0</v>
      </c>
      <c r="BW278" s="108">
        <v>0</v>
      </c>
      <c r="BX278" s="108">
        <v>0</v>
      </c>
      <c r="BY278" s="108">
        <v>0</v>
      </c>
      <c r="BZ278" s="108">
        <v>0</v>
      </c>
      <c r="CA278" s="108">
        <v>0</v>
      </c>
      <c r="CB278" s="108">
        <v>0</v>
      </c>
    </row>
    <row r="279" spans="18:80" x14ac:dyDescent="0.55000000000000004">
      <c r="R279" s="104" t="str">
        <f>$V$63</f>
        <v>Maxime</v>
      </c>
      <c r="S279" s="104">
        <f t="shared" si="145"/>
        <v>0</v>
      </c>
      <c r="T279" s="28" t="s">
        <v>18</v>
      </c>
      <c r="V279" s="104" t="str">
        <f>$V$63</f>
        <v>Maxime</v>
      </c>
      <c r="W279" s="104">
        <f t="shared" si="146"/>
        <v>12</v>
      </c>
      <c r="AQ279" s="104" t="str">
        <f>$V$58</f>
        <v>Weixin</v>
      </c>
      <c r="AR279" s="54">
        <v>0</v>
      </c>
      <c r="AS279" s="54">
        <v>0</v>
      </c>
      <c r="AT279" s="54">
        <v>0</v>
      </c>
      <c r="AU279" s="54">
        <v>0</v>
      </c>
      <c r="AV279" s="54">
        <v>0</v>
      </c>
      <c r="AW279" s="54">
        <v>0</v>
      </c>
      <c r="AX279" s="54">
        <v>0</v>
      </c>
      <c r="AY279" s="54">
        <v>1</v>
      </c>
      <c r="AZ279" s="54">
        <v>0</v>
      </c>
      <c r="BA279" s="54">
        <v>0</v>
      </c>
      <c r="BB279" s="54">
        <v>0</v>
      </c>
      <c r="BC279" s="54">
        <v>0</v>
      </c>
      <c r="BD279" s="54">
        <v>0</v>
      </c>
      <c r="BE279" s="54">
        <v>0</v>
      </c>
      <c r="BF279" s="54">
        <v>0</v>
      </c>
      <c r="BG279" s="54">
        <v>0</v>
      </c>
      <c r="BH279" s="54">
        <v>0</v>
      </c>
      <c r="BK279" s="104" t="str">
        <f>$V$79</f>
        <v>-</v>
      </c>
      <c r="BL279" s="108">
        <v>0</v>
      </c>
      <c r="BM279" s="108">
        <v>0</v>
      </c>
      <c r="BN279" s="108">
        <v>0</v>
      </c>
      <c r="BO279" s="108">
        <v>0</v>
      </c>
      <c r="BP279" s="108">
        <v>0</v>
      </c>
      <c r="BQ279" s="108">
        <v>0</v>
      </c>
      <c r="BR279" s="108">
        <v>0</v>
      </c>
      <c r="BS279" s="108">
        <v>0</v>
      </c>
      <c r="BT279" s="108">
        <v>0</v>
      </c>
      <c r="BU279" s="108">
        <v>0</v>
      </c>
      <c r="BV279" s="108">
        <v>0</v>
      </c>
      <c r="BW279" s="108">
        <v>0</v>
      </c>
      <c r="BX279" s="108">
        <v>0</v>
      </c>
      <c r="BY279" s="108">
        <v>0</v>
      </c>
      <c r="BZ279" s="108">
        <v>0</v>
      </c>
      <c r="CA279" s="108">
        <v>0</v>
      </c>
      <c r="CB279" s="108">
        <v>0</v>
      </c>
    </row>
    <row r="280" spans="18:80" x14ac:dyDescent="0.55000000000000004">
      <c r="R280" s="104" t="str">
        <f>$V$64</f>
        <v>Alex</v>
      </c>
      <c r="S280" s="104">
        <f t="shared" si="145"/>
        <v>-2</v>
      </c>
      <c r="T280" s="28" t="s">
        <v>18</v>
      </c>
      <c r="V280" s="104" t="str">
        <f>$V$64</f>
        <v>Alex</v>
      </c>
      <c r="W280" s="104">
        <f t="shared" si="146"/>
        <v>12</v>
      </c>
      <c r="AM280" s="108"/>
      <c r="AQ280" s="104" t="str">
        <f>$V$59</f>
        <v>Benjamin</v>
      </c>
      <c r="AR280" s="54">
        <v>0</v>
      </c>
      <c r="AS280" s="54">
        <v>0</v>
      </c>
      <c r="AT280" s="54">
        <v>0</v>
      </c>
      <c r="AU280" s="54">
        <v>0</v>
      </c>
      <c r="AV280" s="54">
        <v>0</v>
      </c>
      <c r="AW280" s="54">
        <v>0</v>
      </c>
      <c r="AX280" s="54">
        <v>0</v>
      </c>
      <c r="AY280" s="54">
        <v>1</v>
      </c>
      <c r="AZ280" s="54">
        <v>0</v>
      </c>
      <c r="BA280" s="54">
        <v>0</v>
      </c>
      <c r="BB280" s="54">
        <v>0</v>
      </c>
      <c r="BC280" s="54">
        <v>0</v>
      </c>
      <c r="BD280" s="54">
        <v>0</v>
      </c>
      <c r="BE280" s="54">
        <v>0</v>
      </c>
      <c r="BF280" s="54">
        <v>0</v>
      </c>
      <c r="BG280" s="54">
        <v>0</v>
      </c>
      <c r="BH280" s="54">
        <v>0</v>
      </c>
      <c r="BK280" s="104" t="str">
        <f>$V$80</f>
        <v>-</v>
      </c>
      <c r="BL280" s="108">
        <v>0</v>
      </c>
      <c r="BM280" s="108">
        <v>0</v>
      </c>
      <c r="BN280" s="108">
        <v>0</v>
      </c>
      <c r="BO280" s="108">
        <v>0</v>
      </c>
      <c r="BP280" s="108">
        <v>0</v>
      </c>
      <c r="BQ280" s="108">
        <v>0</v>
      </c>
      <c r="BR280" s="108">
        <v>0</v>
      </c>
      <c r="BS280" s="108">
        <v>0</v>
      </c>
      <c r="BT280" s="108">
        <v>0</v>
      </c>
      <c r="BU280" s="108">
        <v>0</v>
      </c>
      <c r="BV280" s="108">
        <v>0</v>
      </c>
      <c r="BW280" s="108">
        <v>0</v>
      </c>
      <c r="BX280" s="108">
        <v>0</v>
      </c>
      <c r="BY280" s="108">
        <v>0</v>
      </c>
      <c r="BZ280" s="108">
        <v>0</v>
      </c>
      <c r="CA280" s="108">
        <v>0</v>
      </c>
      <c r="CB280" s="108">
        <v>0</v>
      </c>
    </row>
    <row r="281" spans="18:80" x14ac:dyDescent="0.55000000000000004">
      <c r="R281" s="104" t="str">
        <f>$V$65</f>
        <v>Alyssa</v>
      </c>
      <c r="S281" s="104">
        <f t="shared" si="145"/>
        <v>0</v>
      </c>
      <c r="T281" s="28" t="s">
        <v>18</v>
      </c>
      <c r="V281" s="104" t="str">
        <f>$V$65</f>
        <v>Alyssa</v>
      </c>
      <c r="W281" s="104">
        <f t="shared" si="146"/>
        <v>12</v>
      </c>
      <c r="AM281" s="108"/>
      <c r="AQ281" s="104" t="str">
        <f>$V$60</f>
        <v>Joelle</v>
      </c>
      <c r="AR281" s="54">
        <v>0</v>
      </c>
      <c r="AS281" s="54">
        <v>0</v>
      </c>
      <c r="AT281" s="54">
        <v>0</v>
      </c>
      <c r="AU281" s="54">
        <v>0</v>
      </c>
      <c r="AV281" s="54">
        <v>0</v>
      </c>
      <c r="AW281" s="54">
        <v>0</v>
      </c>
      <c r="AX281" s="54">
        <v>0</v>
      </c>
      <c r="AY281" s="54">
        <v>0</v>
      </c>
      <c r="AZ281" s="54">
        <v>0</v>
      </c>
      <c r="BA281" s="54">
        <v>0</v>
      </c>
      <c r="BB281" s="54">
        <v>0</v>
      </c>
      <c r="BC281" s="54">
        <v>0</v>
      </c>
      <c r="BD281" s="54">
        <v>0</v>
      </c>
      <c r="BE281" s="54">
        <v>0</v>
      </c>
      <c r="BF281" s="54">
        <v>0</v>
      </c>
      <c r="BG281" s="54">
        <v>0</v>
      </c>
      <c r="BH281" s="54">
        <v>0</v>
      </c>
      <c r="BK281" s="104" t="str">
        <f>$V$81</f>
        <v>-</v>
      </c>
      <c r="BL281" s="108">
        <v>0</v>
      </c>
      <c r="BM281" s="108">
        <v>0</v>
      </c>
      <c r="BN281" s="108">
        <v>0</v>
      </c>
      <c r="BO281" s="108">
        <v>0</v>
      </c>
      <c r="BP281" s="108">
        <v>0</v>
      </c>
      <c r="BQ281" s="108">
        <v>0</v>
      </c>
      <c r="BR281" s="108">
        <v>0</v>
      </c>
      <c r="BS281" s="108">
        <v>0</v>
      </c>
      <c r="BT281" s="108">
        <v>0</v>
      </c>
      <c r="BU281" s="108">
        <v>0</v>
      </c>
      <c r="BV281" s="108">
        <v>0</v>
      </c>
      <c r="BW281" s="108">
        <v>0</v>
      </c>
      <c r="BX281" s="108">
        <v>0</v>
      </c>
      <c r="BY281" s="108">
        <v>0</v>
      </c>
      <c r="BZ281" s="108">
        <v>0</v>
      </c>
      <c r="CA281" s="108">
        <v>0</v>
      </c>
      <c r="CB281" s="108">
        <v>0</v>
      </c>
    </row>
    <row r="282" spans="18:80" x14ac:dyDescent="0.55000000000000004">
      <c r="R282" s="104" t="str">
        <f>$V$66</f>
        <v>Amanda</v>
      </c>
      <c r="S282" s="104">
        <f t="shared" si="145"/>
        <v>0</v>
      </c>
      <c r="T282" s="28" t="s">
        <v>18</v>
      </c>
      <c r="V282" s="104" t="str">
        <f>$V$66</f>
        <v>Amanda</v>
      </c>
      <c r="W282" s="104">
        <f t="shared" si="146"/>
        <v>12</v>
      </c>
      <c r="AM282" s="108"/>
      <c r="AQ282" s="104" t="str">
        <f>$V$61</f>
        <v>Alexia</v>
      </c>
      <c r="AR282" s="54">
        <v>0</v>
      </c>
      <c r="AS282" s="54">
        <v>0</v>
      </c>
      <c r="AT282" s="54">
        <v>0</v>
      </c>
      <c r="AU282" s="54">
        <v>0</v>
      </c>
      <c r="AV282" s="54">
        <v>0</v>
      </c>
      <c r="AW282" s="54">
        <v>0</v>
      </c>
      <c r="AX282" s="54">
        <v>0</v>
      </c>
      <c r="AY282" s="54">
        <v>0</v>
      </c>
      <c r="AZ282" s="54">
        <v>0</v>
      </c>
      <c r="BA282" s="54">
        <v>0</v>
      </c>
      <c r="BB282" s="54">
        <v>0</v>
      </c>
      <c r="BC282" s="54">
        <v>0</v>
      </c>
      <c r="BD282" s="54">
        <v>0</v>
      </c>
      <c r="BE282" s="54">
        <v>0</v>
      </c>
      <c r="BF282" s="54">
        <v>0</v>
      </c>
      <c r="BG282" s="54">
        <v>0</v>
      </c>
      <c r="BH282" s="54">
        <v>0</v>
      </c>
      <c r="BK282" s="104" t="str">
        <f>$V$82</f>
        <v>-</v>
      </c>
      <c r="BL282" s="108">
        <v>0</v>
      </c>
      <c r="BM282" s="108">
        <v>0</v>
      </c>
      <c r="BN282" s="108">
        <v>0</v>
      </c>
      <c r="BO282" s="108">
        <v>0</v>
      </c>
      <c r="BP282" s="108">
        <v>0</v>
      </c>
      <c r="BQ282" s="108">
        <v>0</v>
      </c>
      <c r="BR282" s="108">
        <v>0</v>
      </c>
      <c r="BS282" s="108">
        <v>0</v>
      </c>
      <c r="BT282" s="108">
        <v>0</v>
      </c>
      <c r="BU282" s="108">
        <v>0</v>
      </c>
      <c r="BV282" s="108">
        <v>0</v>
      </c>
      <c r="BW282" s="108">
        <v>0</v>
      </c>
      <c r="BX282" s="108">
        <v>0</v>
      </c>
      <c r="BY282" s="108">
        <v>0</v>
      </c>
      <c r="BZ282" s="108">
        <v>0</v>
      </c>
      <c r="CA282" s="108">
        <v>0</v>
      </c>
      <c r="CB282" s="108">
        <v>0</v>
      </c>
    </row>
    <row r="283" spans="18:80" x14ac:dyDescent="0.55000000000000004">
      <c r="R283" s="104" t="str">
        <f>$V$67</f>
        <v>Antoine</v>
      </c>
      <c r="S283" s="104">
        <f t="shared" si="145"/>
        <v>0</v>
      </c>
      <c r="T283" s="28" t="s">
        <v>18</v>
      </c>
      <c r="V283" s="104" t="str">
        <f>$V$67</f>
        <v>Antoine</v>
      </c>
      <c r="W283" s="104">
        <f t="shared" si="146"/>
        <v>12</v>
      </c>
      <c r="AM283" s="108"/>
      <c r="AQ283" s="104" t="str">
        <f>$V$62</f>
        <v>Joao</v>
      </c>
      <c r="AR283" s="54">
        <v>0</v>
      </c>
      <c r="AS283" s="54">
        <v>0</v>
      </c>
      <c r="AT283" s="54">
        <v>0</v>
      </c>
      <c r="AU283" s="54">
        <v>0</v>
      </c>
      <c r="AV283" s="54">
        <v>0</v>
      </c>
      <c r="AW283" s="54">
        <v>0</v>
      </c>
      <c r="AX283" s="54">
        <v>0</v>
      </c>
      <c r="AY283" s="54">
        <v>0</v>
      </c>
      <c r="AZ283" s="54">
        <v>0</v>
      </c>
      <c r="BA283" s="54">
        <v>0</v>
      </c>
      <c r="BB283" s="54">
        <v>0</v>
      </c>
      <c r="BC283" s="54">
        <v>0</v>
      </c>
      <c r="BD283" s="54">
        <v>0</v>
      </c>
      <c r="BE283" s="54">
        <v>0</v>
      </c>
      <c r="BF283" s="54">
        <v>0</v>
      </c>
      <c r="BG283" s="54">
        <v>0</v>
      </c>
      <c r="BH283" s="54">
        <v>0</v>
      </c>
      <c r="BK283" s="104" t="str">
        <f>$V$83</f>
        <v>-</v>
      </c>
      <c r="BL283" s="108">
        <v>0</v>
      </c>
      <c r="BM283" s="108">
        <v>0</v>
      </c>
      <c r="BN283" s="108">
        <v>0</v>
      </c>
      <c r="BO283" s="108">
        <v>0</v>
      </c>
      <c r="BP283" s="108">
        <v>0</v>
      </c>
      <c r="BQ283" s="108">
        <v>0</v>
      </c>
      <c r="BR283" s="108">
        <v>0</v>
      </c>
      <c r="BS283" s="108">
        <v>0</v>
      </c>
      <c r="BT283" s="108">
        <v>0</v>
      </c>
      <c r="BU283" s="108">
        <v>0</v>
      </c>
      <c r="BV283" s="108">
        <v>0</v>
      </c>
      <c r="BW283" s="108">
        <v>0</v>
      </c>
      <c r="BX283" s="108">
        <v>0</v>
      </c>
      <c r="BY283" s="108">
        <v>0</v>
      </c>
      <c r="BZ283" s="108">
        <v>0</v>
      </c>
      <c r="CA283" s="108">
        <v>0</v>
      </c>
      <c r="CB283" s="108">
        <v>0</v>
      </c>
    </row>
    <row r="284" spans="18:80" x14ac:dyDescent="0.55000000000000004">
      <c r="R284" s="104" t="str">
        <f>$V$68</f>
        <v>Beatriz</v>
      </c>
      <c r="S284" s="104">
        <f t="shared" si="145"/>
        <v>0</v>
      </c>
      <c r="T284" s="28" t="s">
        <v>18</v>
      </c>
      <c r="V284" s="104" t="str">
        <f>$V$68</f>
        <v>Beatriz</v>
      </c>
      <c r="W284" s="104">
        <f t="shared" si="146"/>
        <v>12</v>
      </c>
      <c r="AM284" s="108"/>
      <c r="AQ284" s="104" t="str">
        <f>$V$63</f>
        <v>Maxime</v>
      </c>
      <c r="AR284" s="54">
        <v>0</v>
      </c>
      <c r="AS284" s="54">
        <v>0</v>
      </c>
      <c r="AT284" s="54">
        <v>0</v>
      </c>
      <c r="AU284" s="54">
        <v>0</v>
      </c>
      <c r="AV284" s="54">
        <v>0</v>
      </c>
      <c r="AW284" s="54">
        <v>0</v>
      </c>
      <c r="AX284" s="54">
        <v>0</v>
      </c>
      <c r="AY284" s="54">
        <v>0</v>
      </c>
      <c r="AZ284" s="54">
        <v>0</v>
      </c>
      <c r="BA284" s="54">
        <v>0</v>
      </c>
      <c r="BB284" s="54">
        <v>0</v>
      </c>
      <c r="BC284" s="54">
        <v>0</v>
      </c>
      <c r="BD284" s="54">
        <v>0</v>
      </c>
      <c r="BE284" s="54">
        <v>0</v>
      </c>
      <c r="BF284" s="54">
        <v>0</v>
      </c>
      <c r="BG284" s="54">
        <v>0</v>
      </c>
      <c r="BH284" s="54">
        <v>0</v>
      </c>
      <c r="BK284" s="104" t="str">
        <f>$V$84</f>
        <v>-</v>
      </c>
      <c r="BL284" s="108">
        <v>0</v>
      </c>
      <c r="BM284" s="108">
        <v>0</v>
      </c>
      <c r="BN284" s="108">
        <v>0</v>
      </c>
      <c r="BO284" s="108">
        <v>0</v>
      </c>
      <c r="BP284" s="108">
        <v>0</v>
      </c>
      <c r="BQ284" s="108">
        <v>0</v>
      </c>
      <c r="BR284" s="108">
        <v>0</v>
      </c>
      <c r="BS284" s="108">
        <v>0</v>
      </c>
      <c r="BT284" s="108">
        <v>0</v>
      </c>
      <c r="BU284" s="108">
        <v>0</v>
      </c>
      <c r="BV284" s="108">
        <v>0</v>
      </c>
      <c r="BW284" s="108">
        <v>0</v>
      </c>
      <c r="BX284" s="108">
        <v>0</v>
      </c>
      <c r="BY284" s="108">
        <v>0</v>
      </c>
      <c r="BZ284" s="108">
        <v>0</v>
      </c>
      <c r="CA284" s="108">
        <v>0</v>
      </c>
      <c r="CB284" s="108">
        <v>0</v>
      </c>
    </row>
    <row r="285" spans="18:80" x14ac:dyDescent="0.55000000000000004">
      <c r="R285" s="104" t="str">
        <f>$V$69</f>
        <v>Charelle</v>
      </c>
      <c r="S285" s="104">
        <f t="shared" si="145"/>
        <v>-2</v>
      </c>
      <c r="T285" s="28" t="s">
        <v>18</v>
      </c>
      <c r="V285" s="104" t="str">
        <f>$V$69</f>
        <v>Charelle</v>
      </c>
      <c r="W285" s="104">
        <f t="shared" si="146"/>
        <v>12</v>
      </c>
      <c r="AM285" s="108"/>
      <c r="AQ285" s="104" t="str">
        <f>$V$64</f>
        <v>Alex</v>
      </c>
      <c r="AR285" s="54">
        <v>0</v>
      </c>
      <c r="AS285" s="54">
        <v>0</v>
      </c>
      <c r="AT285" s="54">
        <v>0</v>
      </c>
      <c r="AU285" s="54">
        <v>0</v>
      </c>
      <c r="AV285" s="54">
        <v>0</v>
      </c>
      <c r="AW285" s="54">
        <v>0</v>
      </c>
      <c r="AX285" s="54">
        <v>0</v>
      </c>
      <c r="AY285" s="54">
        <v>0</v>
      </c>
      <c r="AZ285" s="54">
        <v>0</v>
      </c>
      <c r="BA285" s="54">
        <v>0</v>
      </c>
      <c r="BB285" s="54">
        <v>0</v>
      </c>
      <c r="BC285" s="54">
        <v>0</v>
      </c>
      <c r="BD285" s="54">
        <v>0</v>
      </c>
      <c r="BE285" s="54">
        <v>0</v>
      </c>
      <c r="BF285" s="54">
        <v>0</v>
      </c>
      <c r="BG285" s="54">
        <v>0</v>
      </c>
      <c r="BH285" s="54">
        <v>0</v>
      </c>
      <c r="BK285" s="104" t="str">
        <f>$V$85</f>
        <v>-</v>
      </c>
      <c r="BL285" s="108">
        <v>0</v>
      </c>
      <c r="BM285" s="108">
        <v>0</v>
      </c>
      <c r="BN285" s="108">
        <v>0</v>
      </c>
      <c r="BO285" s="108">
        <v>0</v>
      </c>
      <c r="BP285" s="108">
        <v>0</v>
      </c>
      <c r="BQ285" s="108">
        <v>0</v>
      </c>
      <c r="BR285" s="108">
        <v>0</v>
      </c>
      <c r="BS285" s="108">
        <v>0</v>
      </c>
      <c r="BT285" s="108">
        <v>0</v>
      </c>
      <c r="BU285" s="108">
        <v>0</v>
      </c>
      <c r="BV285" s="108">
        <v>0</v>
      </c>
      <c r="BW285" s="108">
        <v>0</v>
      </c>
      <c r="BX285" s="108">
        <v>0</v>
      </c>
      <c r="BY285" s="108">
        <v>0</v>
      </c>
      <c r="BZ285" s="108">
        <v>0</v>
      </c>
      <c r="CA285" s="108">
        <v>0</v>
      </c>
      <c r="CB285" s="108">
        <v>0</v>
      </c>
    </row>
    <row r="286" spans="18:80" x14ac:dyDescent="0.55000000000000004">
      <c r="R286" s="104" t="str">
        <f>$V$70</f>
        <v>Dimitri</v>
      </c>
      <c r="S286" s="104">
        <f t="shared" si="145"/>
        <v>-2</v>
      </c>
      <c r="T286" s="28" t="s">
        <v>18</v>
      </c>
      <c r="V286" s="104" t="str">
        <f>$V$70</f>
        <v>Dimitri</v>
      </c>
      <c r="W286" s="104">
        <f t="shared" si="146"/>
        <v>12</v>
      </c>
      <c r="AM286" s="108"/>
      <c r="AQ286" s="104" t="str">
        <f>$V$65</f>
        <v>Alyssa</v>
      </c>
      <c r="AR286" s="54">
        <v>0</v>
      </c>
      <c r="AS286" s="54">
        <v>0</v>
      </c>
      <c r="AT286" s="54">
        <v>0</v>
      </c>
      <c r="AU286" s="54">
        <v>0</v>
      </c>
      <c r="AV286" s="54">
        <v>0</v>
      </c>
      <c r="AW286" s="54">
        <v>0</v>
      </c>
      <c r="AX286" s="54">
        <v>0</v>
      </c>
      <c r="AY286" s="54">
        <v>0</v>
      </c>
      <c r="AZ286" s="54">
        <v>0</v>
      </c>
      <c r="BA286" s="54">
        <v>0</v>
      </c>
      <c r="BB286" s="54">
        <v>0</v>
      </c>
      <c r="BC286" s="54">
        <v>0</v>
      </c>
      <c r="BD286" s="54">
        <v>0</v>
      </c>
      <c r="BE286" s="54">
        <v>0</v>
      </c>
      <c r="BF286" s="54">
        <v>0</v>
      </c>
      <c r="BG286" s="54">
        <v>0</v>
      </c>
      <c r="BH286" s="54">
        <v>0</v>
      </c>
      <c r="BK286" s="104" t="str">
        <f>$V$86</f>
        <v>-</v>
      </c>
      <c r="BL286" s="108">
        <v>0</v>
      </c>
      <c r="BM286" s="108">
        <v>0</v>
      </c>
      <c r="BN286" s="108">
        <v>0</v>
      </c>
      <c r="BO286" s="108">
        <v>0</v>
      </c>
      <c r="BP286" s="108">
        <v>0</v>
      </c>
      <c r="BQ286" s="108">
        <v>0</v>
      </c>
      <c r="BR286" s="108">
        <v>0</v>
      </c>
      <c r="BS286" s="108">
        <v>0</v>
      </c>
      <c r="BT286" s="108">
        <v>0</v>
      </c>
      <c r="BU286" s="108">
        <v>0</v>
      </c>
      <c r="BV286" s="108">
        <v>0</v>
      </c>
      <c r="BW286" s="108">
        <v>0</v>
      </c>
      <c r="BX286" s="108">
        <v>0</v>
      </c>
      <c r="BY286" s="108">
        <v>0</v>
      </c>
      <c r="BZ286" s="108">
        <v>0</v>
      </c>
      <c r="CA286" s="108">
        <v>0</v>
      </c>
      <c r="CB286" s="108">
        <v>0</v>
      </c>
    </row>
    <row r="287" spans="18:80" x14ac:dyDescent="0.55000000000000004">
      <c r="R287" s="104" t="str">
        <f>$V$71</f>
        <v>Marina</v>
      </c>
      <c r="S287" s="104">
        <f t="shared" si="145"/>
        <v>0</v>
      </c>
      <c r="T287" s="28" t="s">
        <v>18</v>
      </c>
      <c r="V287" s="104" t="str">
        <f>$V$71</f>
        <v>Marina</v>
      </c>
      <c r="W287" s="104">
        <f t="shared" si="146"/>
        <v>12</v>
      </c>
      <c r="AM287" s="108"/>
      <c r="AQ287" s="104" t="str">
        <f>$V$66</f>
        <v>Amanda</v>
      </c>
      <c r="AR287" s="54">
        <v>0</v>
      </c>
      <c r="AS287" s="54">
        <v>0</v>
      </c>
      <c r="AT287" s="54">
        <v>0</v>
      </c>
      <c r="AU287" s="54">
        <v>0</v>
      </c>
      <c r="AV287" s="54">
        <v>0</v>
      </c>
      <c r="AW287" s="54">
        <v>0</v>
      </c>
      <c r="AX287" s="54">
        <v>0</v>
      </c>
      <c r="AY287" s="54">
        <v>0</v>
      </c>
      <c r="AZ287" s="54">
        <v>0</v>
      </c>
      <c r="BA287" s="54">
        <v>0</v>
      </c>
      <c r="BB287" s="54">
        <v>0</v>
      </c>
      <c r="BC287" s="54">
        <v>0</v>
      </c>
      <c r="BD287" s="54">
        <v>0</v>
      </c>
      <c r="BE287" s="54">
        <v>0</v>
      </c>
      <c r="BF287" s="54">
        <v>0</v>
      </c>
      <c r="BG287" s="54">
        <v>0</v>
      </c>
      <c r="BH287" s="54">
        <v>0</v>
      </c>
      <c r="BK287" s="104" t="str">
        <f>$V$87</f>
        <v>-</v>
      </c>
      <c r="BL287" s="108">
        <v>0</v>
      </c>
      <c r="BM287" s="108">
        <v>0</v>
      </c>
      <c r="BN287" s="108">
        <v>0</v>
      </c>
      <c r="BO287" s="108">
        <v>0</v>
      </c>
      <c r="BP287" s="108">
        <v>0</v>
      </c>
      <c r="BQ287" s="108">
        <v>0</v>
      </c>
      <c r="BR287" s="108">
        <v>0</v>
      </c>
      <c r="BS287" s="108">
        <v>0</v>
      </c>
      <c r="BT287" s="108">
        <v>0</v>
      </c>
      <c r="BU287" s="108">
        <v>0</v>
      </c>
      <c r="BV287" s="108">
        <v>0</v>
      </c>
      <c r="BW287" s="108">
        <v>0</v>
      </c>
      <c r="BX287" s="108">
        <v>0</v>
      </c>
      <c r="BY287" s="108">
        <v>0</v>
      </c>
      <c r="BZ287" s="108">
        <v>0</v>
      </c>
      <c r="CA287" s="108">
        <v>0</v>
      </c>
      <c r="CB287" s="108">
        <v>0</v>
      </c>
    </row>
    <row r="288" spans="18:80" x14ac:dyDescent="0.55000000000000004">
      <c r="R288" s="104" t="str">
        <f>$V$72</f>
        <v>Michel</v>
      </c>
      <c r="S288" s="104">
        <f t="shared" si="145"/>
        <v>0</v>
      </c>
      <c r="T288" s="28" t="s">
        <v>18</v>
      </c>
      <c r="V288" s="104" t="str">
        <f>$V$72</f>
        <v>Michel</v>
      </c>
      <c r="W288" s="104">
        <f t="shared" si="146"/>
        <v>12</v>
      </c>
      <c r="AM288" s="108"/>
      <c r="AQ288" s="104" t="str">
        <f>$V$67</f>
        <v>Antoine</v>
      </c>
      <c r="AR288" s="54">
        <v>0</v>
      </c>
      <c r="AS288" s="54">
        <v>0</v>
      </c>
      <c r="AT288" s="54">
        <v>0</v>
      </c>
      <c r="AU288" s="54">
        <v>0</v>
      </c>
      <c r="AV288" s="54">
        <v>0</v>
      </c>
      <c r="AW288" s="54">
        <v>0</v>
      </c>
      <c r="AX288" s="54">
        <v>0</v>
      </c>
      <c r="AY288" s="54">
        <v>0</v>
      </c>
      <c r="AZ288" s="54">
        <v>0</v>
      </c>
      <c r="BA288" s="54">
        <v>0</v>
      </c>
      <c r="BB288" s="54">
        <v>0</v>
      </c>
      <c r="BC288" s="54">
        <v>0</v>
      </c>
      <c r="BD288" s="54">
        <v>0</v>
      </c>
      <c r="BE288" s="54">
        <v>0</v>
      </c>
      <c r="BF288" s="54">
        <v>0</v>
      </c>
      <c r="BG288" s="54">
        <v>0</v>
      </c>
      <c r="BH288" s="54">
        <v>0</v>
      </c>
      <c r="BK288" s="104" t="str">
        <f>$V$88</f>
        <v>-</v>
      </c>
      <c r="BL288" s="108">
        <v>0</v>
      </c>
      <c r="BM288" s="108">
        <v>0</v>
      </c>
      <c r="BN288" s="108">
        <v>0</v>
      </c>
      <c r="BO288" s="108">
        <v>0</v>
      </c>
      <c r="BP288" s="108">
        <v>0</v>
      </c>
      <c r="BQ288" s="108">
        <v>0</v>
      </c>
      <c r="BR288" s="108">
        <v>0</v>
      </c>
      <c r="BS288" s="108">
        <v>0</v>
      </c>
      <c r="BT288" s="108">
        <v>0</v>
      </c>
      <c r="BU288" s="108">
        <v>0</v>
      </c>
      <c r="BV288" s="108">
        <v>0</v>
      </c>
      <c r="BW288" s="108">
        <v>0</v>
      </c>
      <c r="BX288" s="108">
        <v>0</v>
      </c>
      <c r="BY288" s="108">
        <v>0</v>
      </c>
      <c r="BZ288" s="108">
        <v>0</v>
      </c>
      <c r="CA288" s="108">
        <v>0</v>
      </c>
      <c r="CB288" s="108">
        <v>0</v>
      </c>
    </row>
    <row r="289" spans="18:80" x14ac:dyDescent="0.55000000000000004">
      <c r="R289" s="104" t="str">
        <f>$V$73</f>
        <v>Nour</v>
      </c>
      <c r="S289" s="104">
        <f t="shared" si="145"/>
        <v>-2</v>
      </c>
      <c r="T289" s="28" t="s">
        <v>18</v>
      </c>
      <c r="V289" s="104" t="str">
        <f>$V$73</f>
        <v>Nour</v>
      </c>
      <c r="W289" s="104">
        <f t="shared" si="146"/>
        <v>12</v>
      </c>
      <c r="AM289" s="108"/>
      <c r="AQ289" s="104" t="str">
        <f>$V$68</f>
        <v>Beatriz</v>
      </c>
      <c r="AR289" s="54">
        <v>0</v>
      </c>
      <c r="AS289" s="54">
        <v>0</v>
      </c>
      <c r="AT289" s="54">
        <v>0</v>
      </c>
      <c r="AU289" s="54">
        <v>0</v>
      </c>
      <c r="AV289" s="54">
        <v>0</v>
      </c>
      <c r="AW289" s="54">
        <v>0</v>
      </c>
      <c r="AX289" s="54">
        <v>0</v>
      </c>
      <c r="AY289" s="54">
        <v>0</v>
      </c>
      <c r="AZ289" s="54">
        <v>0</v>
      </c>
      <c r="BA289" s="54">
        <v>0</v>
      </c>
      <c r="BB289" s="54">
        <v>0</v>
      </c>
      <c r="BC289" s="54">
        <v>0</v>
      </c>
      <c r="BD289" s="54">
        <v>0</v>
      </c>
      <c r="BE289" s="54">
        <v>0</v>
      </c>
      <c r="BF289" s="54">
        <v>0</v>
      </c>
      <c r="BG289" s="54">
        <v>0</v>
      </c>
      <c r="BH289" s="54">
        <v>0</v>
      </c>
      <c r="BK289" s="104" t="str">
        <f>$V$89</f>
        <v>-</v>
      </c>
      <c r="BL289" s="108">
        <v>0</v>
      </c>
      <c r="BM289" s="108">
        <v>0</v>
      </c>
      <c r="BN289" s="108">
        <v>0</v>
      </c>
      <c r="BO289" s="108">
        <v>0</v>
      </c>
      <c r="BP289" s="108">
        <v>0</v>
      </c>
      <c r="BQ289" s="108">
        <v>0</v>
      </c>
      <c r="BR289" s="108">
        <v>0</v>
      </c>
      <c r="BS289" s="108">
        <v>0</v>
      </c>
      <c r="BT289" s="108">
        <v>0</v>
      </c>
      <c r="BU289" s="108">
        <v>0</v>
      </c>
      <c r="BV289" s="108">
        <v>0</v>
      </c>
      <c r="BW289" s="108">
        <v>0</v>
      </c>
      <c r="BX289" s="108">
        <v>0</v>
      </c>
      <c r="BY289" s="108">
        <v>0</v>
      </c>
      <c r="BZ289" s="108">
        <v>0</v>
      </c>
      <c r="CA289" s="108">
        <v>0</v>
      </c>
      <c r="CB289" s="108">
        <v>0</v>
      </c>
    </row>
    <row r="290" spans="18:80" x14ac:dyDescent="0.55000000000000004">
      <c r="R290" s="104" t="str">
        <f>$V$74</f>
        <v>Samuel</v>
      </c>
      <c r="S290" s="104">
        <f t="shared" si="145"/>
        <v>0</v>
      </c>
      <c r="T290" s="28" t="s">
        <v>18</v>
      </c>
      <c r="V290" s="104" t="str">
        <f>$V$74</f>
        <v>Samuel</v>
      </c>
      <c r="W290" s="104">
        <f t="shared" si="146"/>
        <v>12</v>
      </c>
      <c r="AM290" s="108"/>
      <c r="AQ290" s="104" t="str">
        <f>$V$69</f>
        <v>Charelle</v>
      </c>
      <c r="AR290" s="54">
        <v>0</v>
      </c>
      <c r="AS290" s="54">
        <v>0</v>
      </c>
      <c r="AT290" s="54">
        <v>0</v>
      </c>
      <c r="AU290" s="54">
        <v>0</v>
      </c>
      <c r="AV290" s="54">
        <v>0</v>
      </c>
      <c r="AW290" s="54">
        <v>0</v>
      </c>
      <c r="AX290" s="54">
        <v>0</v>
      </c>
      <c r="AY290" s="54">
        <v>0</v>
      </c>
      <c r="AZ290" s="54">
        <v>0</v>
      </c>
      <c r="BA290" s="54">
        <v>0</v>
      </c>
      <c r="BB290" s="54">
        <v>0</v>
      </c>
      <c r="BC290" s="54">
        <v>0</v>
      </c>
      <c r="BD290" s="54">
        <v>0</v>
      </c>
      <c r="BE290" s="54">
        <v>0</v>
      </c>
      <c r="BF290" s="54">
        <v>0</v>
      </c>
      <c r="BG290" s="54">
        <v>0</v>
      </c>
      <c r="BH290" s="54">
        <v>0</v>
      </c>
      <c r="BK290" s="104" t="str">
        <f>$V$90</f>
        <v>-</v>
      </c>
      <c r="BL290" s="108">
        <v>0</v>
      </c>
      <c r="BM290" s="108">
        <v>0</v>
      </c>
      <c r="BN290" s="108">
        <v>0</v>
      </c>
      <c r="BO290" s="108">
        <v>0</v>
      </c>
      <c r="BP290" s="108">
        <v>0</v>
      </c>
      <c r="BQ290" s="108">
        <v>0</v>
      </c>
      <c r="BR290" s="108">
        <v>0</v>
      </c>
      <c r="BS290" s="108">
        <v>0</v>
      </c>
      <c r="BT290" s="108">
        <v>0</v>
      </c>
      <c r="BU290" s="108">
        <v>0</v>
      </c>
      <c r="BV290" s="108">
        <v>0</v>
      </c>
      <c r="BW290" s="108">
        <v>0</v>
      </c>
      <c r="BX290" s="108">
        <v>0</v>
      </c>
      <c r="BY290" s="108">
        <v>0</v>
      </c>
      <c r="BZ290" s="108">
        <v>0</v>
      </c>
      <c r="CA290" s="108">
        <v>0</v>
      </c>
      <c r="CB290" s="108">
        <v>0</v>
      </c>
    </row>
    <row r="291" spans="18:80" x14ac:dyDescent="0.55000000000000004">
      <c r="R291" s="104" t="str">
        <f>$V$75</f>
        <v>Yassin</v>
      </c>
      <c r="S291" s="104">
        <f t="shared" si="145"/>
        <v>0</v>
      </c>
      <c r="T291" s="28" t="s">
        <v>18</v>
      </c>
      <c r="V291" s="104" t="str">
        <f>$V$75</f>
        <v>Yassin</v>
      </c>
      <c r="W291" s="104">
        <f t="shared" si="146"/>
        <v>12</v>
      </c>
      <c r="AM291" s="108"/>
      <c r="AQ291" s="104" t="str">
        <f>$V$70</f>
        <v>Dimitri</v>
      </c>
      <c r="AR291" s="54">
        <v>0</v>
      </c>
      <c r="AS291" s="54">
        <v>0</v>
      </c>
      <c r="AT291" s="54">
        <v>0</v>
      </c>
      <c r="AU291" s="54">
        <v>0</v>
      </c>
      <c r="AV291" s="54">
        <v>0</v>
      </c>
      <c r="AW291" s="54">
        <v>0</v>
      </c>
      <c r="AX291" s="54">
        <v>0</v>
      </c>
      <c r="AY291" s="54">
        <v>0</v>
      </c>
      <c r="AZ291" s="54">
        <v>0</v>
      </c>
      <c r="BA291" s="54">
        <v>0</v>
      </c>
      <c r="BB291" s="54">
        <v>0</v>
      </c>
      <c r="BC291" s="54">
        <v>0</v>
      </c>
      <c r="BD291" s="54">
        <v>0</v>
      </c>
      <c r="BE291" s="54">
        <v>0</v>
      </c>
      <c r="BF291" s="54">
        <v>0</v>
      </c>
      <c r="BG291" s="54">
        <v>0</v>
      </c>
      <c r="BH291" s="54">
        <v>0</v>
      </c>
      <c r="BK291" s="104" t="str">
        <f>$V$91</f>
        <v>-</v>
      </c>
      <c r="BL291" s="108">
        <v>0</v>
      </c>
      <c r="BM291" s="108">
        <v>0</v>
      </c>
      <c r="BN291" s="108">
        <v>0</v>
      </c>
      <c r="BO291" s="108">
        <v>0</v>
      </c>
      <c r="BP291" s="108">
        <v>0</v>
      </c>
      <c r="BQ291" s="108">
        <v>0</v>
      </c>
      <c r="BR291" s="108">
        <v>0</v>
      </c>
      <c r="BS291" s="108">
        <v>0</v>
      </c>
      <c r="BT291" s="108">
        <v>0</v>
      </c>
      <c r="BU291" s="108">
        <v>0</v>
      </c>
      <c r="BV291" s="108">
        <v>0</v>
      </c>
      <c r="BW291" s="108">
        <v>0</v>
      </c>
      <c r="BX291" s="108">
        <v>0</v>
      </c>
      <c r="BY291" s="108">
        <v>0</v>
      </c>
      <c r="BZ291" s="108">
        <v>0</v>
      </c>
      <c r="CA291" s="108">
        <v>0</v>
      </c>
      <c r="CB291" s="108">
        <v>0</v>
      </c>
    </row>
    <row r="292" spans="18:80" x14ac:dyDescent="0.55000000000000004">
      <c r="R292" s="104" t="str">
        <f>$V$76</f>
        <v>Kamar</v>
      </c>
      <c r="S292" s="104">
        <f t="shared" si="145"/>
        <v>0</v>
      </c>
      <c r="T292" s="28" t="s">
        <v>18</v>
      </c>
      <c r="V292" s="104" t="str">
        <f>$V$76</f>
        <v>Kamar</v>
      </c>
      <c r="W292" s="104">
        <f t="shared" si="146"/>
        <v>12</v>
      </c>
      <c r="AM292" s="108"/>
      <c r="AQ292" s="104" t="str">
        <f>$V$71</f>
        <v>Marina</v>
      </c>
      <c r="AR292" s="54">
        <v>0</v>
      </c>
      <c r="AS292" s="54">
        <v>0</v>
      </c>
      <c r="AT292" s="54">
        <v>0</v>
      </c>
      <c r="AU292" s="54">
        <v>0</v>
      </c>
      <c r="AV292" s="54">
        <v>0</v>
      </c>
      <c r="AW292" s="54">
        <v>0</v>
      </c>
      <c r="AX292" s="54">
        <v>0</v>
      </c>
      <c r="AY292" s="54">
        <v>0</v>
      </c>
      <c r="AZ292" s="54">
        <v>0</v>
      </c>
      <c r="BA292" s="54">
        <v>0</v>
      </c>
      <c r="BB292" s="54">
        <v>0</v>
      </c>
      <c r="BC292" s="54">
        <v>0</v>
      </c>
      <c r="BD292" s="54">
        <v>0</v>
      </c>
      <c r="BE292" s="54">
        <v>0</v>
      </c>
      <c r="BF292" s="54">
        <v>0</v>
      </c>
      <c r="BG292" s="54">
        <v>0</v>
      </c>
      <c r="BH292" s="54">
        <v>0</v>
      </c>
      <c r="BK292" s="104" t="str">
        <f>$V$92</f>
        <v>-</v>
      </c>
      <c r="BL292" s="108">
        <v>0</v>
      </c>
      <c r="BM292" s="108">
        <v>0</v>
      </c>
      <c r="BN292" s="108">
        <v>0</v>
      </c>
      <c r="BO292" s="108">
        <v>0</v>
      </c>
      <c r="BP292" s="108">
        <v>0</v>
      </c>
      <c r="BQ292" s="108">
        <v>0</v>
      </c>
      <c r="BR292" s="108">
        <v>0</v>
      </c>
      <c r="BS292" s="108">
        <v>0</v>
      </c>
      <c r="BT292" s="108">
        <v>0</v>
      </c>
      <c r="BU292" s="108">
        <v>0</v>
      </c>
      <c r="BV292" s="108">
        <v>0</v>
      </c>
      <c r="BW292" s="108">
        <v>0</v>
      </c>
      <c r="BX292" s="108">
        <v>0</v>
      </c>
      <c r="BY292" s="108">
        <v>0</v>
      </c>
      <c r="BZ292" s="108">
        <v>0</v>
      </c>
      <c r="CA292" s="108">
        <v>0</v>
      </c>
      <c r="CB292" s="108">
        <v>0</v>
      </c>
    </row>
    <row r="293" spans="18:80" x14ac:dyDescent="0.55000000000000004">
      <c r="R293" s="104" t="str">
        <f>$V$77</f>
        <v>-</v>
      </c>
      <c r="S293" s="104">
        <f t="shared" si="145"/>
        <v>0</v>
      </c>
      <c r="T293" s="28" t="s">
        <v>18</v>
      </c>
      <c r="V293" s="104" t="str">
        <f>$V$77</f>
        <v>-</v>
      </c>
      <c r="W293" s="104">
        <f t="shared" si="146"/>
        <v>12</v>
      </c>
      <c r="AM293" s="108"/>
      <c r="AQ293" s="104" t="str">
        <f>$V$72</f>
        <v>Michel</v>
      </c>
      <c r="AR293" s="54">
        <v>0</v>
      </c>
      <c r="AS293" s="54">
        <v>0</v>
      </c>
      <c r="AT293" s="54">
        <v>0</v>
      </c>
      <c r="AU293" s="54">
        <v>0</v>
      </c>
      <c r="AV293" s="54">
        <v>0</v>
      </c>
      <c r="AW293" s="54">
        <v>0</v>
      </c>
      <c r="AX293" s="54">
        <v>0</v>
      </c>
      <c r="AY293" s="54">
        <v>0</v>
      </c>
      <c r="AZ293" s="54">
        <v>0</v>
      </c>
      <c r="BA293" s="54">
        <v>0</v>
      </c>
      <c r="BB293" s="54">
        <v>0</v>
      </c>
      <c r="BC293" s="54">
        <v>0</v>
      </c>
      <c r="BD293" s="54">
        <v>0</v>
      </c>
      <c r="BE293" s="54">
        <v>0</v>
      </c>
      <c r="BF293" s="54">
        <v>0</v>
      </c>
      <c r="BG293" s="54">
        <v>0</v>
      </c>
      <c r="BH293" s="54">
        <v>0</v>
      </c>
    </row>
    <row r="294" spans="18:80" x14ac:dyDescent="0.55000000000000004">
      <c r="R294" s="104" t="str">
        <f>$V$78</f>
        <v>-</v>
      </c>
      <c r="S294" s="104">
        <f t="shared" si="145"/>
        <v>-2</v>
      </c>
      <c r="T294" s="28" t="s">
        <v>18</v>
      </c>
      <c r="V294" s="104" t="str">
        <f>$V$78</f>
        <v>-</v>
      </c>
      <c r="W294" s="104">
        <f t="shared" si="146"/>
        <v>12</v>
      </c>
      <c r="AM294" s="108"/>
      <c r="AQ294" s="104" t="str">
        <f>$V$73</f>
        <v>Nour</v>
      </c>
      <c r="AR294" s="54">
        <v>0</v>
      </c>
      <c r="AS294" s="54">
        <v>0</v>
      </c>
      <c r="AT294" s="54">
        <v>0</v>
      </c>
      <c r="AU294" s="54">
        <v>0</v>
      </c>
      <c r="AV294" s="54">
        <v>0</v>
      </c>
      <c r="AW294" s="54">
        <v>0</v>
      </c>
      <c r="AX294" s="54">
        <v>0</v>
      </c>
      <c r="AY294" s="54">
        <v>0</v>
      </c>
      <c r="AZ294" s="54">
        <v>0</v>
      </c>
      <c r="BA294" s="54">
        <v>0</v>
      </c>
      <c r="BB294" s="54">
        <v>0</v>
      </c>
      <c r="BC294" s="54">
        <v>0</v>
      </c>
      <c r="BD294" s="54">
        <v>0</v>
      </c>
      <c r="BE294" s="54">
        <v>0</v>
      </c>
      <c r="BF294" s="54">
        <v>0</v>
      </c>
      <c r="BG294" s="54">
        <v>0</v>
      </c>
      <c r="BH294" s="54">
        <v>0</v>
      </c>
    </row>
    <row r="295" spans="18:80" x14ac:dyDescent="0.55000000000000004">
      <c r="R295" s="104" t="str">
        <f>$V$79</f>
        <v>-</v>
      </c>
      <c r="S295" s="104">
        <f t="shared" si="145"/>
        <v>-2</v>
      </c>
      <c r="T295" s="28" t="s">
        <v>18</v>
      </c>
      <c r="V295" s="104" t="str">
        <f>$V$79</f>
        <v>-</v>
      </c>
      <c r="W295" s="104">
        <f t="shared" si="146"/>
        <v>12</v>
      </c>
      <c r="AM295" s="108"/>
      <c r="AQ295" s="104" t="str">
        <f>$V$74</f>
        <v>Samuel</v>
      </c>
      <c r="AR295" s="54">
        <v>0</v>
      </c>
      <c r="AS295" s="54">
        <v>0</v>
      </c>
      <c r="AT295" s="54">
        <v>0</v>
      </c>
      <c r="AU295" s="54">
        <v>0</v>
      </c>
      <c r="AV295" s="54">
        <v>0</v>
      </c>
      <c r="AW295" s="54">
        <v>0</v>
      </c>
      <c r="AX295" s="54">
        <v>0</v>
      </c>
      <c r="AY295" s="54">
        <v>0</v>
      </c>
      <c r="AZ295" s="54">
        <v>0</v>
      </c>
      <c r="BA295" s="54">
        <v>0</v>
      </c>
      <c r="BB295" s="54">
        <v>0</v>
      </c>
      <c r="BC295" s="54">
        <v>0</v>
      </c>
      <c r="BD295" s="54">
        <v>0</v>
      </c>
      <c r="BE295" s="54">
        <v>0</v>
      </c>
      <c r="BF295" s="54">
        <v>0</v>
      </c>
      <c r="BG295" s="54">
        <v>0</v>
      </c>
      <c r="BH295" s="54">
        <v>0</v>
      </c>
      <c r="BK295" s="104" t="str">
        <f>CONCATENATE("OBLIGATORIEDAD DE (",BK296,")")</f>
        <v>OBLIGATORIEDAD DE (Toilets)</v>
      </c>
    </row>
    <row r="296" spans="18:80" x14ac:dyDescent="0.55000000000000004">
      <c r="R296" s="104" t="str">
        <f>$V$80</f>
        <v>-</v>
      </c>
      <c r="S296" s="104">
        <f t="shared" si="145"/>
        <v>-8</v>
      </c>
      <c r="T296" s="28" t="s">
        <v>18</v>
      </c>
      <c r="V296" s="104" t="str">
        <f>$V$80</f>
        <v>-</v>
      </c>
      <c r="W296" s="104">
        <f t="shared" si="146"/>
        <v>12</v>
      </c>
      <c r="AM296" s="108"/>
      <c r="AQ296" s="104" t="str">
        <f>$V$75</f>
        <v>Yassin</v>
      </c>
      <c r="AR296" s="54">
        <v>0</v>
      </c>
      <c r="AS296" s="54">
        <v>0</v>
      </c>
      <c r="AT296" s="54">
        <v>0</v>
      </c>
      <c r="AU296" s="54">
        <v>0</v>
      </c>
      <c r="AV296" s="54">
        <v>0</v>
      </c>
      <c r="AW296" s="54">
        <v>0</v>
      </c>
      <c r="AX296" s="54">
        <v>0</v>
      </c>
      <c r="AY296" s="54">
        <v>0</v>
      </c>
      <c r="AZ296" s="54">
        <v>0</v>
      </c>
      <c r="BA296" s="54">
        <v>0</v>
      </c>
      <c r="BB296" s="54">
        <v>0</v>
      </c>
      <c r="BC296" s="54">
        <v>0</v>
      </c>
      <c r="BD296" s="54">
        <v>0</v>
      </c>
      <c r="BE296" s="54">
        <v>0</v>
      </c>
      <c r="BF296" s="54">
        <v>0</v>
      </c>
      <c r="BG296" s="54">
        <v>0</v>
      </c>
      <c r="BH296" s="54">
        <v>0</v>
      </c>
      <c r="BK296" s="104" t="str">
        <f>V40</f>
        <v>Toilets</v>
      </c>
      <c r="BL296" s="104" t="str">
        <f>$W$33</f>
        <v>16h</v>
      </c>
      <c r="BM296" s="104" t="str">
        <f>$X$33</f>
        <v>17h</v>
      </c>
      <c r="BN296" s="104" t="str">
        <f>$Y$33</f>
        <v>18h</v>
      </c>
      <c r="BO296" s="104" t="str">
        <f>$Z$33</f>
        <v>19h</v>
      </c>
      <c r="BP296" s="104" t="str">
        <f>$AA$33</f>
        <v>20h</v>
      </c>
      <c r="BQ296" s="104" t="str">
        <f>$AB$33</f>
        <v>21h</v>
      </c>
      <c r="BR296" s="104" t="str">
        <f>$AC$33</f>
        <v>22h</v>
      </c>
      <c r="BS296" s="104" t="str">
        <f>$AD$33</f>
        <v>23h</v>
      </c>
      <c r="BT296" s="104" t="str">
        <f>$AE$33</f>
        <v>00h</v>
      </c>
      <c r="BU296" s="104" t="str">
        <f>$AF$33</f>
        <v>01h</v>
      </c>
      <c r="BV296" s="104" t="str">
        <f>$AG$33</f>
        <v>02h</v>
      </c>
      <c r="BW296" s="104" t="str">
        <f>$AH$33</f>
        <v>03h</v>
      </c>
      <c r="BX296" s="104" t="str">
        <f>$AI$33</f>
        <v>04h</v>
      </c>
      <c r="BY296" s="104" t="str">
        <f>$AJ$33</f>
        <v>05h</v>
      </c>
      <c r="BZ296" s="104" t="str">
        <f>$AK$33</f>
        <v>06h</v>
      </c>
      <c r="CA296" s="104" t="str">
        <f>$AL$33</f>
        <v>07h</v>
      </c>
      <c r="CB296" s="104" t="str">
        <f>$AM$33</f>
        <v>08h</v>
      </c>
    </row>
    <row r="297" spans="18:80" x14ac:dyDescent="0.55000000000000004">
      <c r="R297" s="104" t="str">
        <f>$V$81</f>
        <v>-</v>
      </c>
      <c r="S297" s="104">
        <f t="shared" si="145"/>
        <v>0</v>
      </c>
      <c r="T297" s="28" t="s">
        <v>18</v>
      </c>
      <c r="V297" s="104" t="str">
        <f>$V$81</f>
        <v>-</v>
      </c>
      <c r="W297" s="104">
        <f t="shared" si="146"/>
        <v>12</v>
      </c>
      <c r="AM297" s="108"/>
      <c r="AQ297" s="104" t="str">
        <f>$V$76</f>
        <v>Kamar</v>
      </c>
      <c r="AR297" s="54">
        <v>0</v>
      </c>
      <c r="AS297" s="54">
        <v>0</v>
      </c>
      <c r="AT297" s="54">
        <v>0</v>
      </c>
      <c r="AU297" s="54">
        <v>0</v>
      </c>
      <c r="AV297" s="54">
        <v>0</v>
      </c>
      <c r="AW297" s="54">
        <v>0</v>
      </c>
      <c r="AX297" s="54">
        <v>0</v>
      </c>
      <c r="AY297" s="54">
        <v>0</v>
      </c>
      <c r="AZ297" s="54">
        <v>0</v>
      </c>
      <c r="BA297" s="54">
        <v>0</v>
      </c>
      <c r="BB297" s="54">
        <v>0</v>
      </c>
      <c r="BC297" s="54">
        <v>0</v>
      </c>
      <c r="BD297" s="54">
        <v>0</v>
      </c>
      <c r="BE297" s="54">
        <v>0</v>
      </c>
      <c r="BF297" s="54">
        <v>0</v>
      </c>
      <c r="BG297" s="54">
        <v>0</v>
      </c>
      <c r="BH297" s="54">
        <v>0</v>
      </c>
      <c r="BK297" s="104" t="str">
        <f>$V$53</f>
        <v>Jennifer</v>
      </c>
      <c r="BL297" s="108">
        <v>0</v>
      </c>
      <c r="BM297" s="108">
        <v>0</v>
      </c>
      <c r="BN297" s="108">
        <v>0</v>
      </c>
      <c r="BO297" s="108">
        <v>0</v>
      </c>
      <c r="BP297" s="108">
        <v>0</v>
      </c>
      <c r="BQ297" s="108">
        <v>0</v>
      </c>
      <c r="BR297" s="108">
        <v>0</v>
      </c>
      <c r="BS297" s="108">
        <v>0</v>
      </c>
      <c r="BT297" s="108">
        <v>0</v>
      </c>
      <c r="BU297" s="108">
        <v>0</v>
      </c>
      <c r="BV297" s="108">
        <v>0</v>
      </c>
      <c r="BW297" s="108">
        <v>0</v>
      </c>
      <c r="BX297" s="108">
        <v>0</v>
      </c>
      <c r="BY297" s="108">
        <v>0</v>
      </c>
      <c r="BZ297" s="108">
        <v>0</v>
      </c>
      <c r="CA297" s="108">
        <v>0</v>
      </c>
      <c r="CB297" s="108">
        <v>0</v>
      </c>
    </row>
    <row r="298" spans="18:80" x14ac:dyDescent="0.55000000000000004">
      <c r="R298" s="104" t="str">
        <f>$V$82</f>
        <v>-</v>
      </c>
      <c r="S298" s="104">
        <f t="shared" si="145"/>
        <v>0</v>
      </c>
      <c r="T298" s="28" t="s">
        <v>18</v>
      </c>
      <c r="V298" s="104" t="str">
        <f>$V$82</f>
        <v>-</v>
      </c>
      <c r="W298" s="104">
        <f t="shared" si="146"/>
        <v>12</v>
      </c>
      <c r="AM298" s="108"/>
      <c r="AQ298" s="104" t="str">
        <f>$V$77</f>
        <v>-</v>
      </c>
      <c r="AR298" s="54">
        <v>0</v>
      </c>
      <c r="AS298" s="54">
        <v>0</v>
      </c>
      <c r="AT298" s="54">
        <v>0</v>
      </c>
      <c r="AU298" s="54">
        <v>0</v>
      </c>
      <c r="AV298" s="54">
        <v>0</v>
      </c>
      <c r="AW298" s="54">
        <v>0</v>
      </c>
      <c r="AX298" s="54">
        <v>0</v>
      </c>
      <c r="AY298" s="54">
        <v>0</v>
      </c>
      <c r="AZ298" s="54">
        <v>0</v>
      </c>
      <c r="BA298" s="54">
        <v>0</v>
      </c>
      <c r="BB298" s="54">
        <v>0</v>
      </c>
      <c r="BC298" s="54">
        <v>0</v>
      </c>
      <c r="BD298" s="54">
        <v>0</v>
      </c>
      <c r="BE298" s="54">
        <v>0</v>
      </c>
      <c r="BF298" s="54">
        <v>0</v>
      </c>
      <c r="BG298" s="54">
        <v>0</v>
      </c>
      <c r="BH298" s="54">
        <v>0</v>
      </c>
      <c r="BK298" s="104" t="str">
        <f>$V$54</f>
        <v>Galileo</v>
      </c>
      <c r="BL298" s="108">
        <v>0</v>
      </c>
      <c r="BM298" s="108">
        <v>0</v>
      </c>
      <c r="BN298" s="108">
        <v>0</v>
      </c>
      <c r="BO298" s="108">
        <v>0</v>
      </c>
      <c r="BP298" s="108">
        <v>0</v>
      </c>
      <c r="BQ298" s="108">
        <v>0</v>
      </c>
      <c r="BR298" s="108">
        <v>0</v>
      </c>
      <c r="BS298" s="108">
        <v>0</v>
      </c>
      <c r="BT298" s="108">
        <v>0</v>
      </c>
      <c r="BU298" s="108">
        <v>0</v>
      </c>
      <c r="BV298" s="108">
        <v>0</v>
      </c>
      <c r="BW298" s="108">
        <v>0</v>
      </c>
      <c r="BX298" s="108">
        <v>0</v>
      </c>
      <c r="BY298" s="108">
        <v>0</v>
      </c>
      <c r="BZ298" s="108">
        <v>0</v>
      </c>
      <c r="CA298" s="108">
        <v>0</v>
      </c>
      <c r="CB298" s="108">
        <v>0</v>
      </c>
    </row>
    <row r="299" spans="18:80" x14ac:dyDescent="0.55000000000000004">
      <c r="R299" s="104" t="str">
        <f>$V$83</f>
        <v>-</v>
      </c>
      <c r="S299" s="104">
        <f t="shared" si="145"/>
        <v>-2</v>
      </c>
      <c r="T299" s="28" t="s">
        <v>18</v>
      </c>
      <c r="V299" s="104" t="str">
        <f>$V$83</f>
        <v>-</v>
      </c>
      <c r="W299" s="104">
        <f t="shared" si="146"/>
        <v>12</v>
      </c>
      <c r="AM299" s="108"/>
      <c r="AQ299" s="104" t="str">
        <f>$V$78</f>
        <v>-</v>
      </c>
      <c r="AR299" s="54">
        <v>0</v>
      </c>
      <c r="AS299" s="54">
        <v>0</v>
      </c>
      <c r="AT299" s="54">
        <v>0</v>
      </c>
      <c r="AU299" s="54">
        <v>0</v>
      </c>
      <c r="AV299" s="54">
        <v>0</v>
      </c>
      <c r="AW299" s="54">
        <v>0</v>
      </c>
      <c r="AX299" s="54">
        <v>0</v>
      </c>
      <c r="AY299" s="54">
        <v>0</v>
      </c>
      <c r="AZ299" s="54">
        <v>0</v>
      </c>
      <c r="BA299" s="54">
        <v>0</v>
      </c>
      <c r="BB299" s="54">
        <v>0</v>
      </c>
      <c r="BC299" s="54">
        <v>0</v>
      </c>
      <c r="BD299" s="54">
        <v>0</v>
      </c>
      <c r="BE299" s="54">
        <v>0</v>
      </c>
      <c r="BF299" s="54">
        <v>0</v>
      </c>
      <c r="BG299" s="54">
        <v>0</v>
      </c>
      <c r="BH299" s="54">
        <v>0</v>
      </c>
      <c r="BK299" s="104" t="str">
        <f>$V$55</f>
        <v>Óscar</v>
      </c>
      <c r="BL299" s="108">
        <v>0</v>
      </c>
      <c r="BM299" s="108">
        <v>0</v>
      </c>
      <c r="BN299" s="108">
        <v>0</v>
      </c>
      <c r="BO299" s="108">
        <v>0</v>
      </c>
      <c r="BP299" s="108">
        <v>0</v>
      </c>
      <c r="BQ299" s="108">
        <v>0</v>
      </c>
      <c r="BR299" s="108">
        <v>0</v>
      </c>
      <c r="BS299" s="108">
        <v>0</v>
      </c>
      <c r="BT299" s="108">
        <v>0</v>
      </c>
      <c r="BU299" s="108">
        <v>0</v>
      </c>
      <c r="BV299" s="108">
        <v>0</v>
      </c>
      <c r="BW299" s="108">
        <v>0</v>
      </c>
      <c r="BX299" s="108">
        <v>0</v>
      </c>
      <c r="BY299" s="108">
        <v>0</v>
      </c>
      <c r="BZ299" s="108">
        <v>0</v>
      </c>
      <c r="CA299" s="108">
        <v>0</v>
      </c>
      <c r="CB299" s="108">
        <v>0</v>
      </c>
    </row>
    <row r="300" spans="18:80" x14ac:dyDescent="0.55000000000000004">
      <c r="R300" s="104" t="str">
        <f>$V$84</f>
        <v>-</v>
      </c>
      <c r="S300" s="104">
        <f t="shared" si="145"/>
        <v>0</v>
      </c>
      <c r="T300" s="28" t="s">
        <v>18</v>
      </c>
      <c r="V300" s="104" t="str">
        <f>$V$84</f>
        <v>-</v>
      </c>
      <c r="W300" s="104">
        <f t="shared" si="146"/>
        <v>12</v>
      </c>
      <c r="AM300" s="108"/>
      <c r="AQ300" s="104" t="str">
        <f>$V$79</f>
        <v>-</v>
      </c>
      <c r="AR300" s="54">
        <v>0</v>
      </c>
      <c r="AS300" s="54">
        <v>0</v>
      </c>
      <c r="AT300" s="54">
        <v>0</v>
      </c>
      <c r="AU300" s="54">
        <v>0</v>
      </c>
      <c r="AV300" s="54">
        <v>0</v>
      </c>
      <c r="AW300" s="54">
        <v>0</v>
      </c>
      <c r="AX300" s="54">
        <v>0</v>
      </c>
      <c r="AY300" s="54">
        <v>0</v>
      </c>
      <c r="AZ300" s="54">
        <v>0</v>
      </c>
      <c r="BA300" s="54">
        <v>0</v>
      </c>
      <c r="BB300" s="54">
        <v>0</v>
      </c>
      <c r="BC300" s="54">
        <v>0</v>
      </c>
      <c r="BD300" s="54">
        <v>0</v>
      </c>
      <c r="BE300" s="54">
        <v>0</v>
      </c>
      <c r="BF300" s="54">
        <v>0</v>
      </c>
      <c r="BG300" s="54">
        <v>0</v>
      </c>
      <c r="BH300" s="54">
        <v>0</v>
      </c>
      <c r="BK300" s="104" t="str">
        <f>$V$56</f>
        <v>Sebastián</v>
      </c>
      <c r="BL300" s="108">
        <v>0</v>
      </c>
      <c r="BM300" s="108">
        <v>0</v>
      </c>
      <c r="BN300" s="108">
        <v>0</v>
      </c>
      <c r="BO300" s="108">
        <v>0</v>
      </c>
      <c r="BP300" s="108">
        <v>0</v>
      </c>
      <c r="BQ300" s="108">
        <v>0</v>
      </c>
      <c r="BR300" s="108">
        <v>0</v>
      </c>
      <c r="BS300" s="108">
        <v>0</v>
      </c>
      <c r="BT300" s="108">
        <v>0</v>
      </c>
      <c r="BU300" s="108">
        <v>0</v>
      </c>
      <c r="BV300" s="108">
        <v>0</v>
      </c>
      <c r="BW300" s="108">
        <v>0</v>
      </c>
      <c r="BX300" s="108">
        <v>0</v>
      </c>
      <c r="BY300" s="108">
        <v>0</v>
      </c>
      <c r="BZ300" s="108">
        <v>0</v>
      </c>
      <c r="CA300" s="108">
        <v>0</v>
      </c>
      <c r="CB300" s="108">
        <v>0</v>
      </c>
    </row>
    <row r="301" spans="18:80" x14ac:dyDescent="0.55000000000000004">
      <c r="R301" s="104" t="str">
        <f>$V$85</f>
        <v>-</v>
      </c>
      <c r="S301" s="104">
        <f t="shared" si="145"/>
        <v>0</v>
      </c>
      <c r="T301" s="28" t="s">
        <v>18</v>
      </c>
      <c r="V301" s="104" t="str">
        <f>$V$85</f>
        <v>-</v>
      </c>
      <c r="W301" s="104">
        <f t="shared" si="146"/>
        <v>12</v>
      </c>
      <c r="AM301" s="108"/>
      <c r="AQ301" s="104" t="str">
        <f>$V$80</f>
        <v>-</v>
      </c>
      <c r="AR301" s="54">
        <v>0</v>
      </c>
      <c r="AS301" s="54">
        <v>0</v>
      </c>
      <c r="AT301" s="54">
        <v>0</v>
      </c>
      <c r="AU301" s="54">
        <v>0</v>
      </c>
      <c r="AV301" s="54">
        <v>0</v>
      </c>
      <c r="AW301" s="54">
        <v>0</v>
      </c>
      <c r="AX301" s="54">
        <v>0</v>
      </c>
      <c r="AY301" s="54">
        <v>-2</v>
      </c>
      <c r="AZ301" s="54">
        <v>0</v>
      </c>
      <c r="BA301" s="54">
        <v>0</v>
      </c>
      <c r="BB301" s="54">
        <v>0</v>
      </c>
      <c r="BC301" s="54">
        <v>0</v>
      </c>
      <c r="BD301" s="54">
        <v>0</v>
      </c>
      <c r="BE301" s="54">
        <v>0</v>
      </c>
      <c r="BF301" s="54">
        <v>0</v>
      </c>
      <c r="BG301" s="54">
        <v>0</v>
      </c>
      <c r="BH301" s="54">
        <v>0</v>
      </c>
      <c r="BK301" s="104" t="str">
        <f>$V$57</f>
        <v>Marcos</v>
      </c>
      <c r="BL301" s="108">
        <v>0</v>
      </c>
      <c r="BM301" s="108">
        <v>0</v>
      </c>
      <c r="BN301" s="108">
        <v>0</v>
      </c>
      <c r="BO301" s="108">
        <v>0</v>
      </c>
      <c r="BP301" s="108">
        <v>0</v>
      </c>
      <c r="BQ301" s="108">
        <v>0</v>
      </c>
      <c r="BR301" s="108">
        <v>0</v>
      </c>
      <c r="BS301" s="108">
        <v>0</v>
      </c>
      <c r="BT301" s="108">
        <v>0</v>
      </c>
      <c r="BU301" s="108">
        <v>0</v>
      </c>
      <c r="BV301" s="108">
        <v>0</v>
      </c>
      <c r="BW301" s="108">
        <v>0</v>
      </c>
      <c r="BX301" s="108">
        <v>0</v>
      </c>
      <c r="BY301" s="108">
        <v>0</v>
      </c>
      <c r="BZ301" s="108">
        <v>0</v>
      </c>
      <c r="CA301" s="108">
        <v>0</v>
      </c>
      <c r="CB301" s="108">
        <v>0</v>
      </c>
    </row>
    <row r="302" spans="18:80" x14ac:dyDescent="0.55000000000000004">
      <c r="R302" s="104" t="str">
        <f>$V$86</f>
        <v>-</v>
      </c>
      <c r="S302" s="104">
        <f t="shared" si="145"/>
        <v>0</v>
      </c>
      <c r="T302" s="28" t="s">
        <v>18</v>
      </c>
      <c r="V302" s="104" t="str">
        <f>$V$86</f>
        <v>-</v>
      </c>
      <c r="W302" s="104">
        <f t="shared" si="146"/>
        <v>12</v>
      </c>
      <c r="AM302" s="108"/>
      <c r="AQ302" s="104" t="str">
        <f>$V$81</f>
        <v>-</v>
      </c>
      <c r="AR302" s="54">
        <v>0</v>
      </c>
      <c r="AS302" s="54">
        <v>0</v>
      </c>
      <c r="AT302" s="54">
        <v>0</v>
      </c>
      <c r="AU302" s="54">
        <v>0</v>
      </c>
      <c r="AV302" s="54">
        <v>0</v>
      </c>
      <c r="AW302" s="54">
        <v>0</v>
      </c>
      <c r="AX302" s="54">
        <v>0</v>
      </c>
      <c r="AY302" s="54">
        <v>0</v>
      </c>
      <c r="AZ302" s="54">
        <v>0</v>
      </c>
      <c r="BA302" s="54">
        <v>0</v>
      </c>
      <c r="BB302" s="54">
        <v>0</v>
      </c>
      <c r="BC302" s="54">
        <v>0</v>
      </c>
      <c r="BD302" s="54">
        <v>0</v>
      </c>
      <c r="BE302" s="54">
        <v>0</v>
      </c>
      <c r="BF302" s="54">
        <v>0</v>
      </c>
      <c r="BG302" s="54">
        <v>0</v>
      </c>
      <c r="BH302" s="54">
        <v>0</v>
      </c>
      <c r="BK302" s="104" t="str">
        <f>$V$58</f>
        <v>Weixin</v>
      </c>
      <c r="BL302" s="108">
        <v>0</v>
      </c>
      <c r="BM302" s="108">
        <v>0</v>
      </c>
      <c r="BN302" s="108">
        <v>0</v>
      </c>
      <c r="BO302" s="108">
        <v>0</v>
      </c>
      <c r="BP302" s="108">
        <v>0</v>
      </c>
      <c r="BQ302" s="108">
        <v>0</v>
      </c>
      <c r="BR302" s="108">
        <v>0</v>
      </c>
      <c r="BS302" s="108">
        <v>0</v>
      </c>
      <c r="BT302" s="108">
        <v>0</v>
      </c>
      <c r="BU302" s="108">
        <v>0</v>
      </c>
      <c r="BV302" s="108">
        <v>0</v>
      </c>
      <c r="BW302" s="108">
        <v>0</v>
      </c>
      <c r="BX302" s="108">
        <v>0</v>
      </c>
      <c r="BY302" s="108">
        <v>0</v>
      </c>
      <c r="BZ302" s="108">
        <v>0</v>
      </c>
      <c r="CA302" s="108">
        <v>0</v>
      </c>
      <c r="CB302" s="108">
        <v>0</v>
      </c>
    </row>
    <row r="303" spans="18:80" x14ac:dyDescent="0.55000000000000004">
      <c r="R303" s="104" t="str">
        <f>$V$87</f>
        <v>-</v>
      </c>
      <c r="S303" s="104">
        <f t="shared" si="145"/>
        <v>-2</v>
      </c>
      <c r="T303" s="28" t="s">
        <v>18</v>
      </c>
      <c r="V303" s="104" t="str">
        <f>$V$87</f>
        <v>-</v>
      </c>
      <c r="W303" s="104">
        <f t="shared" si="146"/>
        <v>12</v>
      </c>
      <c r="AM303" s="108"/>
      <c r="AQ303" s="104" t="str">
        <f>$V$82</f>
        <v>-</v>
      </c>
      <c r="AR303" s="54">
        <v>0</v>
      </c>
      <c r="AS303" s="54">
        <v>0</v>
      </c>
      <c r="AT303" s="54">
        <v>0</v>
      </c>
      <c r="AU303" s="54">
        <v>0</v>
      </c>
      <c r="AV303" s="54">
        <v>0</v>
      </c>
      <c r="AW303" s="54">
        <v>0</v>
      </c>
      <c r="AX303" s="54">
        <v>0</v>
      </c>
      <c r="AY303" s="54">
        <v>0</v>
      </c>
      <c r="AZ303" s="54">
        <v>0</v>
      </c>
      <c r="BA303" s="54">
        <v>0</v>
      </c>
      <c r="BB303" s="54">
        <v>0</v>
      </c>
      <c r="BC303" s="54">
        <v>0</v>
      </c>
      <c r="BD303" s="54">
        <v>0</v>
      </c>
      <c r="BE303" s="54">
        <v>0</v>
      </c>
      <c r="BF303" s="54">
        <v>0</v>
      </c>
      <c r="BG303" s="54">
        <v>0</v>
      </c>
      <c r="BH303" s="54">
        <v>0</v>
      </c>
      <c r="BK303" s="104" t="str">
        <f>$V$59</f>
        <v>Benjamin</v>
      </c>
      <c r="BL303" s="108">
        <v>0</v>
      </c>
      <c r="BM303" s="108">
        <v>0</v>
      </c>
      <c r="BN303" s="108">
        <v>0</v>
      </c>
      <c r="BO303" s="108">
        <v>0</v>
      </c>
      <c r="BP303" s="108">
        <v>0</v>
      </c>
      <c r="BQ303" s="108">
        <v>0</v>
      </c>
      <c r="BR303" s="108">
        <v>0</v>
      </c>
      <c r="BS303" s="108">
        <v>0</v>
      </c>
      <c r="BT303" s="108">
        <v>0</v>
      </c>
      <c r="BU303" s="108">
        <v>0</v>
      </c>
      <c r="BV303" s="108">
        <v>0</v>
      </c>
      <c r="BW303" s="108">
        <v>0</v>
      </c>
      <c r="BX303" s="108">
        <v>0</v>
      </c>
      <c r="BY303" s="108">
        <v>0</v>
      </c>
      <c r="BZ303" s="108">
        <v>0</v>
      </c>
      <c r="CA303" s="108">
        <v>0</v>
      </c>
      <c r="CB303" s="108">
        <v>0</v>
      </c>
    </row>
    <row r="304" spans="18:80" x14ac:dyDescent="0.55000000000000004">
      <c r="R304" s="104" t="str">
        <f>$V$88</f>
        <v>-</v>
      </c>
      <c r="S304" s="104">
        <f t="shared" si="145"/>
        <v>0</v>
      </c>
      <c r="T304" s="28" t="s">
        <v>18</v>
      </c>
      <c r="V304" s="104" t="str">
        <f>$V$88</f>
        <v>-</v>
      </c>
      <c r="W304" s="104">
        <f t="shared" si="146"/>
        <v>12</v>
      </c>
      <c r="AM304" s="108"/>
      <c r="AQ304" s="104" t="str">
        <f>$V$83</f>
        <v>-</v>
      </c>
      <c r="AR304" s="54">
        <v>0</v>
      </c>
      <c r="AS304" s="54">
        <v>0</v>
      </c>
      <c r="AT304" s="54">
        <v>0</v>
      </c>
      <c r="AU304" s="54">
        <v>0</v>
      </c>
      <c r="AV304" s="54">
        <v>0</v>
      </c>
      <c r="AW304" s="54">
        <v>0</v>
      </c>
      <c r="AX304" s="54">
        <v>0</v>
      </c>
      <c r="AY304" s="54">
        <v>0</v>
      </c>
      <c r="AZ304" s="54">
        <v>0</v>
      </c>
      <c r="BA304" s="54">
        <v>0</v>
      </c>
      <c r="BB304" s="54">
        <v>0</v>
      </c>
      <c r="BC304" s="54">
        <v>0</v>
      </c>
      <c r="BD304" s="54">
        <v>0</v>
      </c>
      <c r="BE304" s="54">
        <v>0</v>
      </c>
      <c r="BF304" s="54">
        <v>0</v>
      </c>
      <c r="BG304" s="54">
        <v>0</v>
      </c>
      <c r="BH304" s="54">
        <v>0</v>
      </c>
      <c r="BK304" s="104" t="str">
        <f>$V$60</f>
        <v>Joelle</v>
      </c>
      <c r="BL304" s="108">
        <v>0</v>
      </c>
      <c r="BM304" s="108">
        <v>0</v>
      </c>
      <c r="BN304" s="108">
        <v>0</v>
      </c>
      <c r="BO304" s="108">
        <v>0</v>
      </c>
      <c r="BP304" s="108">
        <v>0</v>
      </c>
      <c r="BQ304" s="108">
        <v>0</v>
      </c>
      <c r="BR304" s="108">
        <v>0</v>
      </c>
      <c r="BS304" s="108">
        <v>0</v>
      </c>
      <c r="BT304" s="108">
        <v>0</v>
      </c>
      <c r="BU304" s="108">
        <v>0</v>
      </c>
      <c r="BV304" s="108">
        <v>0</v>
      </c>
      <c r="BW304" s="108">
        <v>0</v>
      </c>
      <c r="BX304" s="108">
        <v>0</v>
      </c>
      <c r="BY304" s="108">
        <v>0</v>
      </c>
      <c r="BZ304" s="108">
        <v>0</v>
      </c>
      <c r="CA304" s="108">
        <v>0</v>
      </c>
      <c r="CB304" s="108">
        <v>0</v>
      </c>
    </row>
    <row r="305" spans="18:80" x14ac:dyDescent="0.55000000000000004">
      <c r="R305" s="104" t="str">
        <f>$V$89</f>
        <v>-</v>
      </c>
      <c r="S305" s="104">
        <f t="shared" si="145"/>
        <v>0</v>
      </c>
      <c r="T305" s="28" t="s">
        <v>18</v>
      </c>
      <c r="V305" s="104" t="str">
        <f>$V$89</f>
        <v>-</v>
      </c>
      <c r="W305" s="104">
        <f t="shared" si="146"/>
        <v>12</v>
      </c>
      <c r="AM305" s="108"/>
      <c r="AQ305" s="104" t="str">
        <f>$V$84</f>
        <v>-</v>
      </c>
      <c r="AR305" s="54">
        <v>0</v>
      </c>
      <c r="AS305" s="54">
        <v>0</v>
      </c>
      <c r="AT305" s="54">
        <v>0</v>
      </c>
      <c r="AU305" s="54">
        <v>0</v>
      </c>
      <c r="AV305" s="54">
        <v>0</v>
      </c>
      <c r="AW305" s="54">
        <v>0</v>
      </c>
      <c r="AX305" s="54">
        <v>0</v>
      </c>
      <c r="AY305" s="54">
        <v>0</v>
      </c>
      <c r="AZ305" s="54">
        <v>0</v>
      </c>
      <c r="BA305" s="54">
        <v>0</v>
      </c>
      <c r="BB305" s="54">
        <v>0</v>
      </c>
      <c r="BC305" s="54">
        <v>0</v>
      </c>
      <c r="BD305" s="54">
        <v>0</v>
      </c>
      <c r="BE305" s="54">
        <v>0</v>
      </c>
      <c r="BF305" s="54">
        <v>0</v>
      </c>
      <c r="BG305" s="54">
        <v>0</v>
      </c>
      <c r="BH305" s="54">
        <v>0</v>
      </c>
      <c r="BK305" s="104" t="str">
        <f>$V$61</f>
        <v>Alexia</v>
      </c>
      <c r="BL305" s="108">
        <v>0</v>
      </c>
      <c r="BM305" s="108">
        <v>0</v>
      </c>
      <c r="BN305" s="108">
        <v>0</v>
      </c>
      <c r="BO305" s="108">
        <v>0</v>
      </c>
      <c r="BP305" s="108">
        <v>0</v>
      </c>
      <c r="BQ305" s="108">
        <v>0</v>
      </c>
      <c r="BR305" s="108">
        <v>0</v>
      </c>
      <c r="BS305" s="108">
        <v>0</v>
      </c>
      <c r="BT305" s="108">
        <v>0</v>
      </c>
      <c r="BU305" s="108">
        <v>0</v>
      </c>
      <c r="BV305" s="108">
        <v>0</v>
      </c>
      <c r="BW305" s="108">
        <v>0</v>
      </c>
      <c r="BX305" s="108">
        <v>0</v>
      </c>
      <c r="BY305" s="108">
        <v>0</v>
      </c>
      <c r="BZ305" s="108">
        <v>0</v>
      </c>
      <c r="CA305" s="108">
        <v>0</v>
      </c>
      <c r="CB305" s="108">
        <v>0</v>
      </c>
    </row>
    <row r="306" spans="18:80" x14ac:dyDescent="0.55000000000000004">
      <c r="R306" s="104" t="str">
        <f>$V$90</f>
        <v>-</v>
      </c>
      <c r="S306" s="104">
        <f t="shared" si="145"/>
        <v>0</v>
      </c>
      <c r="T306" s="28" t="s">
        <v>18</v>
      </c>
      <c r="V306" s="104" t="str">
        <f>$V$90</f>
        <v>-</v>
      </c>
      <c r="W306" s="104">
        <f t="shared" si="146"/>
        <v>12</v>
      </c>
      <c r="AM306" s="108"/>
      <c r="AQ306" s="104" t="str">
        <f>$V$85</f>
        <v>-</v>
      </c>
      <c r="AR306" s="54">
        <v>0</v>
      </c>
      <c r="AS306" s="54">
        <v>0</v>
      </c>
      <c r="AT306" s="54">
        <v>0</v>
      </c>
      <c r="AU306" s="54">
        <v>0</v>
      </c>
      <c r="AV306" s="54">
        <v>0</v>
      </c>
      <c r="AW306" s="54">
        <v>0</v>
      </c>
      <c r="AX306" s="54">
        <v>0</v>
      </c>
      <c r="AY306" s="54">
        <v>0</v>
      </c>
      <c r="AZ306" s="54">
        <v>0</v>
      </c>
      <c r="BA306" s="54">
        <v>0</v>
      </c>
      <c r="BB306" s="54">
        <v>0</v>
      </c>
      <c r="BC306" s="54">
        <v>0</v>
      </c>
      <c r="BD306" s="54">
        <v>0</v>
      </c>
      <c r="BE306" s="54">
        <v>0</v>
      </c>
      <c r="BF306" s="54">
        <v>0</v>
      </c>
      <c r="BG306" s="54">
        <v>0</v>
      </c>
      <c r="BH306" s="54">
        <v>0</v>
      </c>
      <c r="BK306" s="104" t="str">
        <f>$V$62</f>
        <v>Joao</v>
      </c>
      <c r="BL306" s="108">
        <v>0</v>
      </c>
      <c r="BM306" s="108">
        <v>0</v>
      </c>
      <c r="BN306" s="108">
        <v>0</v>
      </c>
      <c r="BO306" s="108">
        <v>0</v>
      </c>
      <c r="BP306" s="108">
        <v>0</v>
      </c>
      <c r="BQ306" s="108">
        <v>0</v>
      </c>
      <c r="BR306" s="108">
        <v>0</v>
      </c>
      <c r="BS306" s="108">
        <v>0</v>
      </c>
      <c r="BT306" s="108">
        <v>0</v>
      </c>
      <c r="BU306" s="108">
        <v>0</v>
      </c>
      <c r="BV306" s="108">
        <v>0</v>
      </c>
      <c r="BW306" s="108">
        <v>0</v>
      </c>
      <c r="BX306" s="108">
        <v>0</v>
      </c>
      <c r="BY306" s="108">
        <v>0</v>
      </c>
      <c r="BZ306" s="108">
        <v>0</v>
      </c>
      <c r="CA306" s="108">
        <v>0</v>
      </c>
      <c r="CB306" s="108">
        <v>0</v>
      </c>
    </row>
    <row r="307" spans="18:80" x14ac:dyDescent="0.55000000000000004">
      <c r="R307" s="104" t="str">
        <f>$V$91</f>
        <v>-</v>
      </c>
      <c r="S307" s="104">
        <f t="shared" si="145"/>
        <v>0</v>
      </c>
      <c r="T307" s="28" t="s">
        <v>18</v>
      </c>
      <c r="V307" s="104" t="str">
        <f>$V$91</f>
        <v>-</v>
      </c>
      <c r="W307" s="104">
        <f t="shared" si="146"/>
        <v>12</v>
      </c>
      <c r="AM307" s="108"/>
      <c r="AQ307" s="104" t="str">
        <f>$V$86</f>
        <v>-</v>
      </c>
      <c r="AR307" s="54">
        <v>0</v>
      </c>
      <c r="AS307" s="54">
        <v>0</v>
      </c>
      <c r="AT307" s="54">
        <v>0</v>
      </c>
      <c r="AU307" s="54">
        <v>0</v>
      </c>
      <c r="AV307" s="54">
        <v>0</v>
      </c>
      <c r="AW307" s="54">
        <v>0</v>
      </c>
      <c r="AX307" s="54">
        <v>0</v>
      </c>
      <c r="AY307" s="54">
        <v>0</v>
      </c>
      <c r="AZ307" s="54">
        <v>0</v>
      </c>
      <c r="BA307" s="54">
        <v>0</v>
      </c>
      <c r="BB307" s="54">
        <v>0</v>
      </c>
      <c r="BC307" s="54">
        <v>0</v>
      </c>
      <c r="BD307" s="54">
        <v>0</v>
      </c>
      <c r="BE307" s="54">
        <v>0</v>
      </c>
      <c r="BF307" s="54">
        <v>0</v>
      </c>
      <c r="BG307" s="54">
        <v>0</v>
      </c>
      <c r="BH307" s="54">
        <v>0</v>
      </c>
      <c r="BK307" s="104" t="str">
        <f>$V$63</f>
        <v>Maxime</v>
      </c>
      <c r="BL307" s="108">
        <v>0</v>
      </c>
      <c r="BM307" s="108">
        <v>0</v>
      </c>
      <c r="BN307" s="108">
        <v>0</v>
      </c>
      <c r="BO307" s="108">
        <v>0</v>
      </c>
      <c r="BP307" s="108">
        <v>0</v>
      </c>
      <c r="BQ307" s="108">
        <v>0</v>
      </c>
      <c r="BR307" s="108">
        <v>0</v>
      </c>
      <c r="BS307" s="108">
        <v>0</v>
      </c>
      <c r="BT307" s="108">
        <v>0</v>
      </c>
      <c r="BU307" s="108">
        <v>0</v>
      </c>
      <c r="BV307" s="108">
        <v>0</v>
      </c>
      <c r="BW307" s="108">
        <v>0</v>
      </c>
      <c r="BX307" s="108">
        <v>0</v>
      </c>
      <c r="BY307" s="108">
        <v>0</v>
      </c>
      <c r="BZ307" s="108">
        <v>0</v>
      </c>
      <c r="CA307" s="108">
        <v>0</v>
      </c>
      <c r="CB307" s="108">
        <v>0</v>
      </c>
    </row>
    <row r="308" spans="18:80" x14ac:dyDescent="0.55000000000000004">
      <c r="R308" s="104" t="str">
        <f>$V$92</f>
        <v>-</v>
      </c>
      <c r="S308" s="104">
        <f t="shared" si="145"/>
        <v>0</v>
      </c>
      <c r="T308" s="28" t="s">
        <v>18</v>
      </c>
      <c r="V308" s="104" t="str">
        <f>$V$92</f>
        <v>-</v>
      </c>
      <c r="W308" s="104">
        <f t="shared" si="146"/>
        <v>12</v>
      </c>
      <c r="AM308" s="108"/>
      <c r="AQ308" s="104" t="str">
        <f>$V$87</f>
        <v>-</v>
      </c>
      <c r="AR308" s="54">
        <v>0</v>
      </c>
      <c r="AS308" s="54">
        <v>0</v>
      </c>
      <c r="AT308" s="54">
        <v>0</v>
      </c>
      <c r="AU308" s="54">
        <v>0</v>
      </c>
      <c r="AV308" s="54">
        <v>0</v>
      </c>
      <c r="AW308" s="54">
        <v>0</v>
      </c>
      <c r="AX308" s="54">
        <v>0</v>
      </c>
      <c r="AY308" s="54">
        <v>0</v>
      </c>
      <c r="AZ308" s="54">
        <v>0</v>
      </c>
      <c r="BA308" s="54">
        <v>0</v>
      </c>
      <c r="BB308" s="54">
        <v>0</v>
      </c>
      <c r="BC308" s="54">
        <v>0</v>
      </c>
      <c r="BD308" s="54">
        <v>0</v>
      </c>
      <c r="BE308" s="54">
        <v>0</v>
      </c>
      <c r="BF308" s="54">
        <v>0</v>
      </c>
      <c r="BG308" s="54">
        <v>0</v>
      </c>
      <c r="BH308" s="54">
        <v>0</v>
      </c>
      <c r="BK308" s="104" t="str">
        <f>$V$64</f>
        <v>Alex</v>
      </c>
      <c r="BL308" s="108">
        <v>0</v>
      </c>
      <c r="BM308" s="108">
        <v>0</v>
      </c>
      <c r="BN308" s="108">
        <v>0</v>
      </c>
      <c r="BO308" s="108">
        <v>0</v>
      </c>
      <c r="BP308" s="108">
        <v>0</v>
      </c>
      <c r="BQ308" s="108">
        <v>0</v>
      </c>
      <c r="BR308" s="108">
        <v>0</v>
      </c>
      <c r="BS308" s="108">
        <v>0</v>
      </c>
      <c r="BT308" s="108">
        <v>0</v>
      </c>
      <c r="BU308" s="108">
        <v>0</v>
      </c>
      <c r="BV308" s="108">
        <v>0</v>
      </c>
      <c r="BW308" s="108">
        <v>0</v>
      </c>
      <c r="BX308" s="108">
        <v>0</v>
      </c>
      <c r="BY308" s="108">
        <v>0</v>
      </c>
      <c r="BZ308" s="108">
        <v>0</v>
      </c>
      <c r="CA308" s="108">
        <v>0</v>
      </c>
      <c r="CB308" s="108">
        <v>0</v>
      </c>
    </row>
    <row r="309" spans="18:80" x14ac:dyDescent="0.55000000000000004">
      <c r="AM309" s="108"/>
      <c r="AQ309" s="104" t="str">
        <f>$V$88</f>
        <v>-</v>
      </c>
      <c r="AR309" s="54">
        <v>0</v>
      </c>
      <c r="AS309" s="54">
        <v>0</v>
      </c>
      <c r="AT309" s="54">
        <v>0</v>
      </c>
      <c r="AU309" s="54">
        <v>0</v>
      </c>
      <c r="AV309" s="54">
        <v>0</v>
      </c>
      <c r="AW309" s="54">
        <v>0</v>
      </c>
      <c r="AX309" s="54">
        <v>0</v>
      </c>
      <c r="AY309" s="54">
        <v>0</v>
      </c>
      <c r="AZ309" s="54">
        <v>0</v>
      </c>
      <c r="BA309" s="54">
        <v>0</v>
      </c>
      <c r="BB309" s="54">
        <v>0</v>
      </c>
      <c r="BC309" s="54">
        <v>0</v>
      </c>
      <c r="BD309" s="54">
        <v>0</v>
      </c>
      <c r="BE309" s="54">
        <v>0</v>
      </c>
      <c r="BF309" s="54">
        <v>0</v>
      </c>
      <c r="BG309" s="54">
        <v>0</v>
      </c>
      <c r="BH309" s="54">
        <v>0</v>
      </c>
      <c r="BK309" s="104" t="str">
        <f>$V$65</f>
        <v>Alyssa</v>
      </c>
      <c r="BL309" s="108">
        <v>0</v>
      </c>
      <c r="BM309" s="108">
        <v>0</v>
      </c>
      <c r="BN309" s="108">
        <v>0</v>
      </c>
      <c r="BO309" s="108">
        <v>0</v>
      </c>
      <c r="BP309" s="108">
        <v>0</v>
      </c>
      <c r="BQ309" s="108">
        <v>0</v>
      </c>
      <c r="BR309" s="108">
        <v>0</v>
      </c>
      <c r="BS309" s="108">
        <v>0</v>
      </c>
      <c r="BT309" s="108">
        <v>0</v>
      </c>
      <c r="BU309" s="108">
        <v>0</v>
      </c>
      <c r="BV309" s="108">
        <v>0</v>
      </c>
      <c r="BW309" s="108">
        <v>0</v>
      </c>
      <c r="BX309" s="108">
        <v>0</v>
      </c>
      <c r="BY309" s="108">
        <v>0</v>
      </c>
      <c r="BZ309" s="108">
        <v>0</v>
      </c>
      <c r="CA309" s="108">
        <v>0</v>
      </c>
      <c r="CB309" s="108">
        <v>0</v>
      </c>
    </row>
    <row r="310" spans="18:80" x14ac:dyDescent="0.55000000000000004">
      <c r="AQ310" s="104" t="str">
        <f>$V$89</f>
        <v>-</v>
      </c>
      <c r="AR310" s="54">
        <v>0</v>
      </c>
      <c r="AS310" s="54">
        <v>0</v>
      </c>
      <c r="AT310" s="54">
        <v>0</v>
      </c>
      <c r="AU310" s="54">
        <v>0</v>
      </c>
      <c r="AV310" s="54">
        <v>0</v>
      </c>
      <c r="AW310" s="54">
        <v>0</v>
      </c>
      <c r="AX310" s="54">
        <v>0</v>
      </c>
      <c r="AY310" s="54">
        <v>0</v>
      </c>
      <c r="AZ310" s="54">
        <v>0</v>
      </c>
      <c r="BA310" s="54">
        <v>0</v>
      </c>
      <c r="BB310" s="54">
        <v>0</v>
      </c>
      <c r="BC310" s="54">
        <v>0</v>
      </c>
      <c r="BD310" s="54">
        <v>0</v>
      </c>
      <c r="BE310" s="54">
        <v>0</v>
      </c>
      <c r="BF310" s="54">
        <v>0</v>
      </c>
      <c r="BG310" s="54">
        <v>0</v>
      </c>
      <c r="BH310" s="54">
        <v>0</v>
      </c>
      <c r="BK310" s="104" t="str">
        <f>$V$66</f>
        <v>Amanda</v>
      </c>
      <c r="BL310" s="108">
        <v>0</v>
      </c>
      <c r="BM310" s="108">
        <v>0</v>
      </c>
      <c r="BN310" s="108">
        <v>0</v>
      </c>
      <c r="BO310" s="108">
        <v>0</v>
      </c>
      <c r="BP310" s="108">
        <v>0</v>
      </c>
      <c r="BQ310" s="108">
        <v>0</v>
      </c>
      <c r="BR310" s="108">
        <v>0</v>
      </c>
      <c r="BS310" s="108">
        <v>0</v>
      </c>
      <c r="BT310" s="108">
        <v>0</v>
      </c>
      <c r="BU310" s="108">
        <v>0</v>
      </c>
      <c r="BV310" s="108">
        <v>0</v>
      </c>
      <c r="BW310" s="108">
        <v>0</v>
      </c>
      <c r="BX310" s="108">
        <v>0</v>
      </c>
      <c r="BY310" s="108">
        <v>0</v>
      </c>
      <c r="BZ310" s="108">
        <v>0</v>
      </c>
      <c r="CA310" s="108">
        <v>0</v>
      </c>
      <c r="CB310" s="108">
        <v>0</v>
      </c>
    </row>
    <row r="311" spans="18:80" x14ac:dyDescent="0.55000000000000004">
      <c r="AQ311" s="104" t="str">
        <f>$V$90</f>
        <v>-</v>
      </c>
      <c r="AR311" s="54">
        <v>0</v>
      </c>
      <c r="AS311" s="54">
        <v>0</v>
      </c>
      <c r="AT311" s="54">
        <v>0</v>
      </c>
      <c r="AU311" s="54">
        <v>0</v>
      </c>
      <c r="AV311" s="54">
        <v>0</v>
      </c>
      <c r="AW311" s="54">
        <v>0</v>
      </c>
      <c r="AX311" s="54">
        <v>0</v>
      </c>
      <c r="AY311" s="54">
        <v>0</v>
      </c>
      <c r="AZ311" s="54">
        <v>0</v>
      </c>
      <c r="BA311" s="54">
        <v>0</v>
      </c>
      <c r="BB311" s="54">
        <v>0</v>
      </c>
      <c r="BC311" s="54">
        <v>0</v>
      </c>
      <c r="BD311" s="54">
        <v>0</v>
      </c>
      <c r="BE311" s="54">
        <v>0</v>
      </c>
      <c r="BF311" s="54">
        <v>0</v>
      </c>
      <c r="BG311" s="54">
        <v>0</v>
      </c>
      <c r="BH311" s="54">
        <v>0</v>
      </c>
      <c r="BK311" s="104" t="str">
        <f>$V$67</f>
        <v>Antoine</v>
      </c>
      <c r="BL311" s="108">
        <v>0</v>
      </c>
      <c r="BM311" s="108">
        <v>0</v>
      </c>
      <c r="BN311" s="108">
        <v>0</v>
      </c>
      <c r="BO311" s="108">
        <v>0</v>
      </c>
      <c r="BP311" s="108">
        <v>0</v>
      </c>
      <c r="BQ311" s="108">
        <v>0</v>
      </c>
      <c r="BR311" s="108">
        <v>0</v>
      </c>
      <c r="BS311" s="108">
        <v>0</v>
      </c>
      <c r="BT311" s="108">
        <v>0</v>
      </c>
      <c r="BU311" s="108">
        <v>0</v>
      </c>
      <c r="BV311" s="108">
        <v>0</v>
      </c>
      <c r="BW311" s="108">
        <v>0</v>
      </c>
      <c r="BX311" s="108">
        <v>0</v>
      </c>
      <c r="BY311" s="108">
        <v>0</v>
      </c>
      <c r="BZ311" s="108">
        <v>0</v>
      </c>
      <c r="CA311" s="108">
        <v>0</v>
      </c>
      <c r="CB311" s="108">
        <v>0</v>
      </c>
    </row>
    <row r="312" spans="18:80" x14ac:dyDescent="0.55000000000000004">
      <c r="R312" s="104" t="str">
        <f>$V$53</f>
        <v>Jennifer</v>
      </c>
      <c r="S312" s="104">
        <f t="shared" ref="S312:S351" si="147">SUM(AR34:BH34)+SUM(AR74:BH74)+SUM(AR114:BH114)+SUM(AR154:BH154)+SUM(AR194:BH194)+SUM(AR234:BH234)+SUM(AR274:BH274)+SUM(AR314:BH314)+SUM(AR354:BH354)+SUM(AR394:BH394)+SUM(AR434:BH434)+SUM(AR474:BH474)+SUM(AR514:BH514)+SUM(AR554:BH554)+SUM(AR594:BH594)</f>
        <v>12</v>
      </c>
      <c r="T312" s="28" t="s">
        <v>26</v>
      </c>
      <c r="V312" s="104" t="str">
        <f>$V$53</f>
        <v>Jennifer</v>
      </c>
      <c r="W312" s="104">
        <f>$S$35</f>
        <v>-8</v>
      </c>
      <c r="AQ312" s="104" t="str">
        <f>$V$91</f>
        <v>-</v>
      </c>
      <c r="AR312" s="54">
        <v>0</v>
      </c>
      <c r="AS312" s="54">
        <v>0</v>
      </c>
      <c r="AT312" s="54">
        <v>0</v>
      </c>
      <c r="AU312" s="54">
        <v>0</v>
      </c>
      <c r="AV312" s="54">
        <v>0</v>
      </c>
      <c r="AW312" s="54">
        <v>0</v>
      </c>
      <c r="AX312" s="54">
        <v>0</v>
      </c>
      <c r="AY312" s="54">
        <v>0</v>
      </c>
      <c r="AZ312" s="54">
        <v>0</v>
      </c>
      <c r="BA312" s="54">
        <v>0</v>
      </c>
      <c r="BB312" s="54">
        <v>0</v>
      </c>
      <c r="BC312" s="54">
        <v>0</v>
      </c>
      <c r="BD312" s="54">
        <v>0</v>
      </c>
      <c r="BE312" s="54">
        <v>0</v>
      </c>
      <c r="BF312" s="54">
        <v>0</v>
      </c>
      <c r="BG312" s="54">
        <v>0</v>
      </c>
      <c r="BH312" s="54">
        <v>0</v>
      </c>
      <c r="BK312" s="104" t="str">
        <f>$V$68</f>
        <v>Beatriz</v>
      </c>
      <c r="BL312" s="108">
        <v>0</v>
      </c>
      <c r="BM312" s="108">
        <v>0</v>
      </c>
      <c r="BN312" s="108">
        <v>0</v>
      </c>
      <c r="BO312" s="108">
        <v>0</v>
      </c>
      <c r="BP312" s="108">
        <v>0</v>
      </c>
      <c r="BQ312" s="108">
        <v>0</v>
      </c>
      <c r="BR312" s="108">
        <v>0</v>
      </c>
      <c r="BS312" s="108">
        <v>0</v>
      </c>
      <c r="BT312" s="108">
        <v>0</v>
      </c>
      <c r="BU312" s="108">
        <v>0</v>
      </c>
      <c r="BV312" s="108">
        <v>0</v>
      </c>
      <c r="BW312" s="108">
        <v>0</v>
      </c>
      <c r="BX312" s="108">
        <v>0</v>
      </c>
      <c r="BY312" s="108">
        <v>0</v>
      </c>
      <c r="BZ312" s="108">
        <v>0</v>
      </c>
      <c r="CA312" s="108">
        <v>0</v>
      </c>
      <c r="CB312" s="108">
        <v>0</v>
      </c>
    </row>
    <row r="313" spans="18:80" x14ac:dyDescent="0.55000000000000004">
      <c r="R313" s="104" t="str">
        <f>$V$54</f>
        <v>Galileo</v>
      </c>
      <c r="S313" s="104">
        <f t="shared" si="147"/>
        <v>12</v>
      </c>
      <c r="T313" s="28" t="s">
        <v>26</v>
      </c>
      <c r="V313" s="104" t="str">
        <f>$V$54</f>
        <v>Galileo</v>
      </c>
      <c r="W313" s="104">
        <f t="shared" ref="W313:W351" si="148">$S$35</f>
        <v>-8</v>
      </c>
      <c r="AQ313" s="104" t="str">
        <f>$V$92</f>
        <v>-</v>
      </c>
      <c r="AR313" s="54">
        <v>0</v>
      </c>
      <c r="AS313" s="54">
        <v>0</v>
      </c>
      <c r="AT313" s="54">
        <v>0</v>
      </c>
      <c r="AU313" s="54">
        <v>0</v>
      </c>
      <c r="AV313" s="54">
        <v>0</v>
      </c>
      <c r="AW313" s="54">
        <v>0</v>
      </c>
      <c r="AX313" s="54">
        <v>0</v>
      </c>
      <c r="AY313" s="54">
        <v>0</v>
      </c>
      <c r="AZ313" s="54">
        <v>0</v>
      </c>
      <c r="BA313" s="54">
        <v>0</v>
      </c>
      <c r="BB313" s="54">
        <v>0</v>
      </c>
      <c r="BC313" s="54">
        <v>0</v>
      </c>
      <c r="BD313" s="54">
        <v>0</v>
      </c>
      <c r="BE313" s="54">
        <v>0</v>
      </c>
      <c r="BF313" s="54">
        <v>0</v>
      </c>
      <c r="BG313" s="54">
        <v>0</v>
      </c>
      <c r="BH313" s="54">
        <v>0</v>
      </c>
      <c r="BK313" s="104" t="str">
        <f>$V$69</f>
        <v>Charelle</v>
      </c>
      <c r="BL313" s="108">
        <v>0</v>
      </c>
      <c r="BM313" s="108">
        <v>0</v>
      </c>
      <c r="BN313" s="108">
        <v>0</v>
      </c>
      <c r="BO313" s="108">
        <v>0</v>
      </c>
      <c r="BP313" s="108">
        <v>0</v>
      </c>
      <c r="BQ313" s="108">
        <v>0</v>
      </c>
      <c r="BR313" s="108">
        <v>0</v>
      </c>
      <c r="BS313" s="108">
        <v>0</v>
      </c>
      <c r="BT313" s="108">
        <v>0</v>
      </c>
      <c r="BU313" s="108">
        <v>0</v>
      </c>
      <c r="BV313" s="108">
        <v>0</v>
      </c>
      <c r="BW313" s="108">
        <v>0</v>
      </c>
      <c r="BX313" s="108">
        <v>0</v>
      </c>
      <c r="BY313" s="108">
        <v>0</v>
      </c>
      <c r="BZ313" s="108">
        <v>0</v>
      </c>
      <c r="CA313" s="108">
        <v>0</v>
      </c>
      <c r="CB313" s="108">
        <v>0</v>
      </c>
    </row>
    <row r="314" spans="18:80" x14ac:dyDescent="0.55000000000000004">
      <c r="R314" s="104" t="str">
        <f>$V$55</f>
        <v>Óscar</v>
      </c>
      <c r="S314" s="104">
        <f t="shared" si="147"/>
        <v>12</v>
      </c>
      <c r="T314" s="28" t="s">
        <v>26</v>
      </c>
      <c r="V314" s="104" t="str">
        <f>$V$55</f>
        <v>Óscar</v>
      </c>
      <c r="W314" s="104">
        <f t="shared" si="148"/>
        <v>-8</v>
      </c>
      <c r="AM314" s="108"/>
      <c r="AP314" t="str">
        <f>$V$41</f>
        <v>Level</v>
      </c>
      <c r="AQ314" s="104" t="str">
        <f>$V$53</f>
        <v>Jennifer</v>
      </c>
      <c r="AR314" s="54">
        <v>0</v>
      </c>
      <c r="AS314" s="54">
        <v>0</v>
      </c>
      <c r="AT314" s="54">
        <v>0</v>
      </c>
      <c r="AU314" s="54">
        <v>0</v>
      </c>
      <c r="AV314" s="54">
        <v>0</v>
      </c>
      <c r="AW314" s="54">
        <v>0</v>
      </c>
      <c r="AX314" s="54">
        <v>0</v>
      </c>
      <c r="AY314" s="54">
        <v>0</v>
      </c>
      <c r="AZ314" s="54">
        <v>0</v>
      </c>
      <c r="BA314" s="54">
        <v>0</v>
      </c>
      <c r="BB314" s="54">
        <v>0</v>
      </c>
      <c r="BC314" s="54">
        <v>0</v>
      </c>
      <c r="BD314" s="54">
        <v>0</v>
      </c>
      <c r="BE314" s="54">
        <v>0</v>
      </c>
      <c r="BF314" s="54">
        <v>0</v>
      </c>
      <c r="BG314" s="54">
        <v>0</v>
      </c>
      <c r="BH314" s="54">
        <v>0</v>
      </c>
      <c r="BK314" s="104" t="str">
        <f>$V$70</f>
        <v>Dimitri</v>
      </c>
      <c r="BL314" s="108">
        <v>0</v>
      </c>
      <c r="BM314" s="108">
        <v>0</v>
      </c>
      <c r="BN314" s="108">
        <v>0</v>
      </c>
      <c r="BO314" s="108">
        <v>0</v>
      </c>
      <c r="BP314" s="108">
        <v>0</v>
      </c>
      <c r="BQ314" s="108">
        <v>0</v>
      </c>
      <c r="BR314" s="108">
        <v>0</v>
      </c>
      <c r="BS314" s="108">
        <v>0</v>
      </c>
      <c r="BT314" s="108">
        <v>0</v>
      </c>
      <c r="BU314" s="108">
        <v>0</v>
      </c>
      <c r="BV314" s="108">
        <v>0</v>
      </c>
      <c r="BW314" s="108">
        <v>0</v>
      </c>
      <c r="BX314" s="108">
        <v>0</v>
      </c>
      <c r="BY314" s="108">
        <v>0</v>
      </c>
      <c r="BZ314" s="108">
        <v>0</v>
      </c>
      <c r="CA314" s="108">
        <v>0</v>
      </c>
      <c r="CB314" s="108">
        <v>0</v>
      </c>
    </row>
    <row r="315" spans="18:80" x14ac:dyDescent="0.55000000000000004">
      <c r="R315" s="104" t="str">
        <f>$V$56</f>
        <v>Sebastián</v>
      </c>
      <c r="S315" s="104">
        <f t="shared" si="147"/>
        <v>12</v>
      </c>
      <c r="T315" s="28" t="s">
        <v>26</v>
      </c>
      <c r="V315" s="104" t="str">
        <f>$V$56</f>
        <v>Sebastián</v>
      </c>
      <c r="W315" s="104">
        <f t="shared" si="148"/>
        <v>-8</v>
      </c>
      <c r="AM315" s="108"/>
      <c r="AQ315" s="104" t="str">
        <f>$V$54</f>
        <v>Galileo</v>
      </c>
      <c r="AR315" s="54">
        <v>0</v>
      </c>
      <c r="AS315" s="54">
        <v>0</v>
      </c>
      <c r="AT315" s="54">
        <v>0</v>
      </c>
      <c r="AU315" s="54">
        <v>0</v>
      </c>
      <c r="AV315" s="54">
        <v>1</v>
      </c>
      <c r="AW315" s="54">
        <v>0</v>
      </c>
      <c r="AX315" s="54">
        <v>0</v>
      </c>
      <c r="AY315" s="54">
        <v>0</v>
      </c>
      <c r="AZ315" s="54">
        <v>0</v>
      </c>
      <c r="BA315" s="54">
        <v>0</v>
      </c>
      <c r="BB315" s="54">
        <v>0</v>
      </c>
      <c r="BC315" s="54">
        <v>0</v>
      </c>
      <c r="BD315" s="54">
        <v>0</v>
      </c>
      <c r="BE315" s="54">
        <v>0</v>
      </c>
      <c r="BF315" s="54">
        <v>0</v>
      </c>
      <c r="BG315" s="54">
        <v>0</v>
      </c>
      <c r="BH315" s="54">
        <v>0</v>
      </c>
      <c r="BK315" s="104" t="str">
        <f>$V$71</f>
        <v>Marina</v>
      </c>
      <c r="BL315" s="108">
        <v>0</v>
      </c>
      <c r="BM315" s="108">
        <v>0</v>
      </c>
      <c r="BN315" s="108">
        <v>0</v>
      </c>
      <c r="BO315" s="108">
        <v>0</v>
      </c>
      <c r="BP315" s="108">
        <v>0</v>
      </c>
      <c r="BQ315" s="108">
        <v>0</v>
      </c>
      <c r="BR315" s="108">
        <v>0</v>
      </c>
      <c r="BS315" s="108">
        <v>0</v>
      </c>
      <c r="BT315" s="108">
        <v>0</v>
      </c>
      <c r="BU315" s="108">
        <v>0</v>
      </c>
      <c r="BV315" s="108">
        <v>0</v>
      </c>
      <c r="BW315" s="108">
        <v>0</v>
      </c>
      <c r="BX315" s="108">
        <v>0</v>
      </c>
      <c r="BY315" s="108">
        <v>0</v>
      </c>
      <c r="BZ315" s="108">
        <v>0</v>
      </c>
      <c r="CA315" s="108">
        <v>0</v>
      </c>
      <c r="CB315" s="108">
        <v>0</v>
      </c>
    </row>
    <row r="316" spans="18:80" x14ac:dyDescent="0.55000000000000004">
      <c r="R316" s="104" t="str">
        <f>$V$57</f>
        <v>Marcos</v>
      </c>
      <c r="S316" s="104">
        <f t="shared" si="147"/>
        <v>12</v>
      </c>
      <c r="T316" s="28" t="s">
        <v>26</v>
      </c>
      <c r="V316" s="104" t="str">
        <f>$V$57</f>
        <v>Marcos</v>
      </c>
      <c r="W316" s="104">
        <f t="shared" si="148"/>
        <v>-8</v>
      </c>
      <c r="AM316" s="108"/>
      <c r="AQ316" s="104" t="str">
        <f>$V$55</f>
        <v>Óscar</v>
      </c>
      <c r="AR316" s="54">
        <v>0</v>
      </c>
      <c r="AS316" s="54">
        <v>0</v>
      </c>
      <c r="AT316" s="54">
        <v>0</v>
      </c>
      <c r="AU316" s="54">
        <v>0</v>
      </c>
      <c r="AV316" s="54">
        <v>0</v>
      </c>
      <c r="AW316" s="54">
        <v>1</v>
      </c>
      <c r="AX316" s="54">
        <v>0</v>
      </c>
      <c r="AY316" s="54">
        <v>0</v>
      </c>
      <c r="AZ316" s="54">
        <v>0</v>
      </c>
      <c r="BA316" s="54">
        <v>0</v>
      </c>
      <c r="BB316" s="54">
        <v>0</v>
      </c>
      <c r="BC316" s="54">
        <v>0</v>
      </c>
      <c r="BD316" s="54">
        <v>0</v>
      </c>
      <c r="BE316" s="54">
        <v>0</v>
      </c>
      <c r="BF316" s="54">
        <v>0</v>
      </c>
      <c r="BG316" s="54">
        <v>0</v>
      </c>
      <c r="BH316" s="54">
        <v>0</v>
      </c>
      <c r="BK316" s="104" t="str">
        <f>$V$72</f>
        <v>Michel</v>
      </c>
      <c r="BL316" s="108">
        <v>0</v>
      </c>
      <c r="BM316" s="108">
        <v>0</v>
      </c>
      <c r="BN316" s="108">
        <v>0</v>
      </c>
      <c r="BO316" s="108">
        <v>0</v>
      </c>
      <c r="BP316" s="108">
        <v>0</v>
      </c>
      <c r="BQ316" s="108">
        <v>0</v>
      </c>
      <c r="BR316" s="108">
        <v>0</v>
      </c>
      <c r="BS316" s="108">
        <v>0</v>
      </c>
      <c r="BT316" s="108">
        <v>0</v>
      </c>
      <c r="BU316" s="108">
        <v>0</v>
      </c>
      <c r="BV316" s="108">
        <v>0</v>
      </c>
      <c r="BW316" s="108">
        <v>0</v>
      </c>
      <c r="BX316" s="108">
        <v>0</v>
      </c>
      <c r="BY316" s="108">
        <v>0</v>
      </c>
      <c r="BZ316" s="108">
        <v>0</v>
      </c>
      <c r="CA316" s="108">
        <v>0</v>
      </c>
      <c r="CB316" s="108">
        <v>0</v>
      </c>
    </row>
    <row r="317" spans="18:80" x14ac:dyDescent="0.55000000000000004">
      <c r="R317" s="104" t="str">
        <f>$V$58</f>
        <v>Weixin</v>
      </c>
      <c r="S317" s="104">
        <f t="shared" si="147"/>
        <v>12</v>
      </c>
      <c r="T317" s="28" t="s">
        <v>26</v>
      </c>
      <c r="V317" s="104" t="str">
        <f>$V$58</f>
        <v>Weixin</v>
      </c>
      <c r="W317" s="104">
        <f t="shared" si="148"/>
        <v>-8</v>
      </c>
      <c r="AM317" s="108"/>
      <c r="AQ317" s="104" t="str">
        <f>$V$56</f>
        <v>Sebastián</v>
      </c>
      <c r="AR317" s="54">
        <v>0</v>
      </c>
      <c r="AS317" s="54">
        <v>0</v>
      </c>
      <c r="AT317" s="54">
        <v>0</v>
      </c>
      <c r="AU317" s="54">
        <v>0</v>
      </c>
      <c r="AV317" s="54">
        <v>1</v>
      </c>
      <c r="AW317" s="54">
        <v>0</v>
      </c>
      <c r="AX317" s="54">
        <v>0</v>
      </c>
      <c r="AY317" s="54">
        <v>0</v>
      </c>
      <c r="AZ317" s="54">
        <v>0</v>
      </c>
      <c r="BA317" s="54">
        <v>0</v>
      </c>
      <c r="BB317" s="54">
        <v>0</v>
      </c>
      <c r="BC317" s="54">
        <v>0</v>
      </c>
      <c r="BD317" s="54">
        <v>0</v>
      </c>
      <c r="BE317" s="54">
        <v>0</v>
      </c>
      <c r="BF317" s="54">
        <v>0</v>
      </c>
      <c r="BG317" s="54">
        <v>0</v>
      </c>
      <c r="BH317" s="54">
        <v>0</v>
      </c>
      <c r="BK317" s="104" t="str">
        <f>$V$73</f>
        <v>Nour</v>
      </c>
      <c r="BL317" s="108">
        <v>0</v>
      </c>
      <c r="BM317" s="108">
        <v>0</v>
      </c>
      <c r="BN317" s="108">
        <v>0</v>
      </c>
      <c r="BO317" s="108">
        <v>0</v>
      </c>
      <c r="BP317" s="108">
        <v>0</v>
      </c>
      <c r="BQ317" s="108">
        <v>0</v>
      </c>
      <c r="BR317" s="108">
        <v>0</v>
      </c>
      <c r="BS317" s="108">
        <v>0</v>
      </c>
      <c r="BT317" s="108">
        <v>0</v>
      </c>
      <c r="BU317" s="108">
        <v>0</v>
      </c>
      <c r="BV317" s="108">
        <v>0</v>
      </c>
      <c r="BW317" s="108">
        <v>0</v>
      </c>
      <c r="BX317" s="108">
        <v>0</v>
      </c>
      <c r="BY317" s="108">
        <v>0</v>
      </c>
      <c r="BZ317" s="108">
        <v>0</v>
      </c>
      <c r="CA317" s="108">
        <v>0</v>
      </c>
      <c r="CB317" s="108">
        <v>0</v>
      </c>
    </row>
    <row r="318" spans="18:80" x14ac:dyDescent="0.55000000000000004">
      <c r="R318" s="104" t="str">
        <f>$V$59</f>
        <v>Benjamin</v>
      </c>
      <c r="S318" s="104">
        <f t="shared" si="147"/>
        <v>12</v>
      </c>
      <c r="T318" s="28" t="s">
        <v>26</v>
      </c>
      <c r="V318" s="104" t="str">
        <f>$V$59</f>
        <v>Benjamin</v>
      </c>
      <c r="W318" s="104">
        <f t="shared" si="148"/>
        <v>-8</v>
      </c>
      <c r="AM318" s="108"/>
      <c r="AQ318" s="104" t="str">
        <f>$V$57</f>
        <v>Marcos</v>
      </c>
      <c r="AR318" s="54">
        <v>0</v>
      </c>
      <c r="AS318" s="54">
        <v>0</v>
      </c>
      <c r="AT318" s="54">
        <v>0</v>
      </c>
      <c r="AU318" s="54">
        <v>0</v>
      </c>
      <c r="AV318" s="54">
        <v>0</v>
      </c>
      <c r="AW318" s="54">
        <v>0</v>
      </c>
      <c r="AX318" s="54">
        <v>0</v>
      </c>
      <c r="AY318" s="54">
        <v>0</v>
      </c>
      <c r="AZ318" s="54">
        <v>0</v>
      </c>
      <c r="BA318" s="54">
        <v>0</v>
      </c>
      <c r="BB318" s="54">
        <v>0</v>
      </c>
      <c r="BC318" s="54">
        <v>0</v>
      </c>
      <c r="BD318" s="54">
        <v>0</v>
      </c>
      <c r="BE318" s="54">
        <v>0</v>
      </c>
      <c r="BF318" s="54">
        <v>0</v>
      </c>
      <c r="BG318" s="54">
        <v>0</v>
      </c>
      <c r="BH318" s="54">
        <v>0</v>
      </c>
      <c r="BK318" s="104" t="str">
        <f>$V$74</f>
        <v>Samuel</v>
      </c>
      <c r="BL318" s="108">
        <v>0</v>
      </c>
      <c r="BM318" s="108">
        <v>0</v>
      </c>
      <c r="BN318" s="108">
        <v>0</v>
      </c>
      <c r="BO318" s="108">
        <v>0</v>
      </c>
      <c r="BP318" s="108">
        <v>0</v>
      </c>
      <c r="BQ318" s="108">
        <v>0</v>
      </c>
      <c r="BR318" s="108">
        <v>0</v>
      </c>
      <c r="BS318" s="108">
        <v>0</v>
      </c>
      <c r="BT318" s="108">
        <v>0</v>
      </c>
      <c r="BU318" s="108">
        <v>0</v>
      </c>
      <c r="BV318" s="108">
        <v>0</v>
      </c>
      <c r="BW318" s="108">
        <v>0</v>
      </c>
      <c r="BX318" s="108">
        <v>0</v>
      </c>
      <c r="BY318" s="108">
        <v>0</v>
      </c>
      <c r="BZ318" s="108">
        <v>0</v>
      </c>
      <c r="CA318" s="108">
        <v>0</v>
      </c>
      <c r="CB318" s="108">
        <v>0</v>
      </c>
    </row>
    <row r="319" spans="18:80" x14ac:dyDescent="0.55000000000000004">
      <c r="R319" s="104" t="str">
        <f>$V$60</f>
        <v>Joelle</v>
      </c>
      <c r="S319" s="104">
        <f t="shared" si="147"/>
        <v>0</v>
      </c>
      <c r="T319" s="28" t="s">
        <v>26</v>
      </c>
      <c r="V319" s="104" t="str">
        <f>$V$60</f>
        <v>Joelle</v>
      </c>
      <c r="W319" s="104">
        <f t="shared" si="148"/>
        <v>-8</v>
      </c>
      <c r="AM319" s="108"/>
      <c r="AQ319" s="104" t="str">
        <f>$V$58</f>
        <v>Weixin</v>
      </c>
      <c r="AR319" s="54">
        <v>0</v>
      </c>
      <c r="AS319" s="54">
        <v>0</v>
      </c>
      <c r="AT319" s="54">
        <v>0</v>
      </c>
      <c r="AU319" s="54">
        <v>0</v>
      </c>
      <c r="AV319" s="54">
        <v>0</v>
      </c>
      <c r="AW319" s="54">
        <v>1</v>
      </c>
      <c r="AX319" s="54">
        <v>0</v>
      </c>
      <c r="AY319" s="54">
        <v>0</v>
      </c>
      <c r="AZ319" s="54">
        <v>0</v>
      </c>
      <c r="BA319" s="54">
        <v>0</v>
      </c>
      <c r="BB319" s="54">
        <v>0</v>
      </c>
      <c r="BC319" s="54">
        <v>0</v>
      </c>
      <c r="BD319" s="54">
        <v>0</v>
      </c>
      <c r="BE319" s="54">
        <v>0</v>
      </c>
      <c r="BF319" s="54">
        <v>0</v>
      </c>
      <c r="BG319" s="54">
        <v>0</v>
      </c>
      <c r="BH319" s="54">
        <v>0</v>
      </c>
      <c r="BK319" s="104" t="str">
        <f>$V$75</f>
        <v>Yassin</v>
      </c>
      <c r="BL319" s="108">
        <v>0</v>
      </c>
      <c r="BM319" s="108">
        <v>0</v>
      </c>
      <c r="BN319" s="108">
        <v>0</v>
      </c>
      <c r="BO319" s="108">
        <v>0</v>
      </c>
      <c r="BP319" s="108">
        <v>0</v>
      </c>
      <c r="BQ319" s="108">
        <v>0</v>
      </c>
      <c r="BR319" s="108">
        <v>0</v>
      </c>
      <c r="BS319" s="108">
        <v>0</v>
      </c>
      <c r="BT319" s="108">
        <v>0</v>
      </c>
      <c r="BU319" s="108">
        <v>0</v>
      </c>
      <c r="BV319" s="108">
        <v>0</v>
      </c>
      <c r="BW319" s="108">
        <v>0</v>
      </c>
      <c r="BX319" s="108">
        <v>0</v>
      </c>
      <c r="BY319" s="108">
        <v>0</v>
      </c>
      <c r="BZ319" s="108">
        <v>0</v>
      </c>
      <c r="CA319" s="108">
        <v>0</v>
      </c>
      <c r="CB319" s="108">
        <v>0</v>
      </c>
    </row>
    <row r="320" spans="18:80" x14ac:dyDescent="0.55000000000000004">
      <c r="R320" s="104" t="str">
        <f>$V$61</f>
        <v>Alexia</v>
      </c>
      <c r="S320" s="104">
        <f t="shared" si="147"/>
        <v>0</v>
      </c>
      <c r="T320" s="28" t="s">
        <v>26</v>
      </c>
      <c r="V320" s="104" t="str">
        <f>$V$61</f>
        <v>Alexia</v>
      </c>
      <c r="W320" s="104">
        <f t="shared" si="148"/>
        <v>-8</v>
      </c>
      <c r="AM320" s="108"/>
      <c r="AQ320" s="104" t="str">
        <f>$V$59</f>
        <v>Benjamin</v>
      </c>
      <c r="AR320" s="54">
        <v>0</v>
      </c>
      <c r="AS320" s="54">
        <v>0</v>
      </c>
      <c r="AT320" s="54">
        <v>0</v>
      </c>
      <c r="AU320" s="54">
        <v>0</v>
      </c>
      <c r="AV320" s="54">
        <v>0</v>
      </c>
      <c r="AW320" s="54">
        <v>0</v>
      </c>
      <c r="AX320" s="54">
        <v>0</v>
      </c>
      <c r="AY320" s="54">
        <v>0</v>
      </c>
      <c r="AZ320" s="54">
        <v>0</v>
      </c>
      <c r="BA320" s="54">
        <v>0</v>
      </c>
      <c r="BB320" s="54">
        <v>0</v>
      </c>
      <c r="BC320" s="54">
        <v>0</v>
      </c>
      <c r="BD320" s="54">
        <v>0</v>
      </c>
      <c r="BE320" s="54">
        <v>0</v>
      </c>
      <c r="BF320" s="54">
        <v>0</v>
      </c>
      <c r="BG320" s="54">
        <v>0</v>
      </c>
      <c r="BH320" s="54">
        <v>0</v>
      </c>
      <c r="BK320" s="104" t="str">
        <f>$V$76</f>
        <v>Kamar</v>
      </c>
      <c r="BL320" s="108">
        <v>0</v>
      </c>
      <c r="BM320" s="108">
        <v>0</v>
      </c>
      <c r="BN320" s="108">
        <v>0</v>
      </c>
      <c r="BO320" s="108">
        <v>0</v>
      </c>
      <c r="BP320" s="108">
        <v>0</v>
      </c>
      <c r="BQ320" s="108">
        <v>0</v>
      </c>
      <c r="BR320" s="108">
        <v>0</v>
      </c>
      <c r="BS320" s="108">
        <v>0</v>
      </c>
      <c r="BT320" s="108">
        <v>0</v>
      </c>
      <c r="BU320" s="108">
        <v>0</v>
      </c>
      <c r="BV320" s="108">
        <v>0</v>
      </c>
      <c r="BW320" s="108">
        <v>0</v>
      </c>
      <c r="BX320" s="108">
        <v>0</v>
      </c>
      <c r="BY320" s="108">
        <v>0</v>
      </c>
      <c r="BZ320" s="108">
        <v>0</v>
      </c>
      <c r="CA320" s="108">
        <v>0</v>
      </c>
      <c r="CB320" s="108">
        <v>0</v>
      </c>
    </row>
    <row r="321" spans="18:80" x14ac:dyDescent="0.55000000000000004">
      <c r="R321" s="104" t="str">
        <f>$V$62</f>
        <v>Joao</v>
      </c>
      <c r="S321" s="104">
        <f t="shared" si="147"/>
        <v>0</v>
      </c>
      <c r="T321" s="28" t="s">
        <v>26</v>
      </c>
      <c r="V321" s="104" t="str">
        <f>$V$62</f>
        <v>Joao</v>
      </c>
      <c r="W321" s="104">
        <f t="shared" si="148"/>
        <v>-8</v>
      </c>
      <c r="AM321" s="108"/>
      <c r="AQ321" s="104" t="str">
        <f>$V$60</f>
        <v>Joelle</v>
      </c>
      <c r="AR321" s="54">
        <v>0</v>
      </c>
      <c r="AS321" s="54">
        <v>0</v>
      </c>
      <c r="AT321" s="54">
        <v>0</v>
      </c>
      <c r="AU321" s="54">
        <v>0</v>
      </c>
      <c r="AV321" s="54">
        <v>0</v>
      </c>
      <c r="AW321" s="54">
        <v>0</v>
      </c>
      <c r="AX321" s="54">
        <v>0</v>
      </c>
      <c r="AY321" s="54">
        <v>0</v>
      </c>
      <c r="AZ321" s="54">
        <v>0</v>
      </c>
      <c r="BA321" s="54">
        <v>0</v>
      </c>
      <c r="BB321" s="54">
        <v>0</v>
      </c>
      <c r="BC321" s="54">
        <v>0</v>
      </c>
      <c r="BD321" s="54">
        <v>0</v>
      </c>
      <c r="BE321" s="54">
        <v>0</v>
      </c>
      <c r="BF321" s="54">
        <v>0</v>
      </c>
      <c r="BG321" s="54">
        <v>0</v>
      </c>
      <c r="BH321" s="54">
        <v>0</v>
      </c>
      <c r="BK321" s="104" t="str">
        <f>$V$77</f>
        <v>-</v>
      </c>
      <c r="BL321" s="108">
        <v>0</v>
      </c>
      <c r="BM321" s="108">
        <v>0</v>
      </c>
      <c r="BN321" s="108">
        <v>0</v>
      </c>
      <c r="BO321" s="108">
        <v>0</v>
      </c>
      <c r="BP321" s="108">
        <v>0</v>
      </c>
      <c r="BQ321" s="108">
        <v>0</v>
      </c>
      <c r="BR321" s="108">
        <v>0</v>
      </c>
      <c r="BS321" s="108">
        <v>0</v>
      </c>
      <c r="BT321" s="108">
        <v>0</v>
      </c>
      <c r="BU321" s="108">
        <v>0</v>
      </c>
      <c r="BV321" s="108">
        <v>0</v>
      </c>
      <c r="BW321" s="108">
        <v>0</v>
      </c>
      <c r="BX321" s="108">
        <v>0</v>
      </c>
      <c r="BY321" s="108">
        <v>0</v>
      </c>
      <c r="BZ321" s="108">
        <v>0</v>
      </c>
      <c r="CA321" s="108">
        <v>0</v>
      </c>
      <c r="CB321" s="108">
        <v>0</v>
      </c>
    </row>
    <row r="322" spans="18:80" x14ac:dyDescent="0.55000000000000004">
      <c r="R322" s="104" t="str">
        <f>$V$63</f>
        <v>Maxime</v>
      </c>
      <c r="S322" s="104">
        <f t="shared" si="147"/>
        <v>0</v>
      </c>
      <c r="T322" s="28" t="s">
        <v>26</v>
      </c>
      <c r="V322" s="104" t="str">
        <f>$V$63</f>
        <v>Maxime</v>
      </c>
      <c r="W322" s="104">
        <f t="shared" si="148"/>
        <v>-8</v>
      </c>
      <c r="AM322" s="108"/>
      <c r="AQ322" s="104" t="str">
        <f>$V$61</f>
        <v>Alexia</v>
      </c>
      <c r="AR322" s="54">
        <v>0</v>
      </c>
      <c r="AS322" s="54">
        <v>0</v>
      </c>
      <c r="AT322" s="54">
        <v>0</v>
      </c>
      <c r="AU322" s="54">
        <v>0</v>
      </c>
      <c r="AV322" s="54">
        <v>0</v>
      </c>
      <c r="AW322" s="54">
        <v>0</v>
      </c>
      <c r="AX322" s="54">
        <v>0</v>
      </c>
      <c r="AY322" s="54">
        <v>0</v>
      </c>
      <c r="AZ322" s="54">
        <v>0</v>
      </c>
      <c r="BA322" s="54">
        <v>0</v>
      </c>
      <c r="BB322" s="54">
        <v>0</v>
      </c>
      <c r="BC322" s="54">
        <v>0</v>
      </c>
      <c r="BD322" s="54">
        <v>0</v>
      </c>
      <c r="BE322" s="54">
        <v>0</v>
      </c>
      <c r="BF322" s="54">
        <v>0</v>
      </c>
      <c r="BG322" s="54">
        <v>0</v>
      </c>
      <c r="BH322" s="54">
        <v>0</v>
      </c>
      <c r="BK322" s="104" t="str">
        <f>$V$78</f>
        <v>-</v>
      </c>
      <c r="BL322" s="108">
        <v>0</v>
      </c>
      <c r="BM322" s="108">
        <v>0</v>
      </c>
      <c r="BN322" s="108">
        <v>0</v>
      </c>
      <c r="BO322" s="108">
        <v>0</v>
      </c>
      <c r="BP322" s="108">
        <v>0</v>
      </c>
      <c r="BQ322" s="108">
        <v>0</v>
      </c>
      <c r="BR322" s="108">
        <v>0</v>
      </c>
      <c r="BS322" s="108">
        <v>0</v>
      </c>
      <c r="BT322" s="108">
        <v>0</v>
      </c>
      <c r="BU322" s="108">
        <v>0</v>
      </c>
      <c r="BV322" s="108">
        <v>0</v>
      </c>
      <c r="BW322" s="108">
        <v>0</v>
      </c>
      <c r="BX322" s="108">
        <v>0</v>
      </c>
      <c r="BY322" s="108">
        <v>0</v>
      </c>
      <c r="BZ322" s="108">
        <v>0</v>
      </c>
      <c r="CA322" s="108">
        <v>0</v>
      </c>
      <c r="CB322" s="108">
        <v>0</v>
      </c>
    </row>
    <row r="323" spans="18:80" x14ac:dyDescent="0.55000000000000004">
      <c r="R323" s="104" t="str">
        <f>$V$64</f>
        <v>Alex</v>
      </c>
      <c r="S323" s="104">
        <f t="shared" si="147"/>
        <v>-2</v>
      </c>
      <c r="T323" s="28" t="s">
        <v>26</v>
      </c>
      <c r="V323" s="104" t="str">
        <f>$V$64</f>
        <v>Alex</v>
      </c>
      <c r="W323" s="104">
        <f t="shared" si="148"/>
        <v>-8</v>
      </c>
      <c r="AM323" s="108"/>
      <c r="AQ323" s="104" t="str">
        <f>$V$62</f>
        <v>Joao</v>
      </c>
      <c r="AR323" s="54">
        <v>0</v>
      </c>
      <c r="AS323" s="54">
        <v>0</v>
      </c>
      <c r="AT323" s="54">
        <v>0</v>
      </c>
      <c r="AU323" s="54">
        <v>0</v>
      </c>
      <c r="AV323" s="54">
        <v>0</v>
      </c>
      <c r="AW323" s="54">
        <v>0</v>
      </c>
      <c r="AX323" s="54">
        <v>0</v>
      </c>
      <c r="AY323" s="54">
        <v>0</v>
      </c>
      <c r="AZ323" s="54">
        <v>0</v>
      </c>
      <c r="BA323" s="54">
        <v>0</v>
      </c>
      <c r="BB323" s="54">
        <v>0</v>
      </c>
      <c r="BC323" s="54">
        <v>0</v>
      </c>
      <c r="BD323" s="54">
        <v>0</v>
      </c>
      <c r="BE323" s="54">
        <v>0</v>
      </c>
      <c r="BF323" s="54">
        <v>0</v>
      </c>
      <c r="BG323" s="54">
        <v>0</v>
      </c>
      <c r="BH323" s="54">
        <v>0</v>
      </c>
      <c r="BK323" s="104" t="str">
        <f>$V$79</f>
        <v>-</v>
      </c>
      <c r="BL323" s="108">
        <v>0</v>
      </c>
      <c r="BM323" s="108">
        <v>0</v>
      </c>
      <c r="BN323" s="108">
        <v>0</v>
      </c>
      <c r="BO323" s="108">
        <v>0</v>
      </c>
      <c r="BP323" s="108">
        <v>0</v>
      </c>
      <c r="BQ323" s="108">
        <v>0</v>
      </c>
      <c r="BR323" s="108">
        <v>0</v>
      </c>
      <c r="BS323" s="108">
        <v>0</v>
      </c>
      <c r="BT323" s="108">
        <v>0</v>
      </c>
      <c r="BU323" s="108">
        <v>0</v>
      </c>
      <c r="BV323" s="108">
        <v>0</v>
      </c>
      <c r="BW323" s="108">
        <v>0</v>
      </c>
      <c r="BX323" s="108">
        <v>0</v>
      </c>
      <c r="BY323" s="108">
        <v>0</v>
      </c>
      <c r="BZ323" s="108">
        <v>0</v>
      </c>
      <c r="CA323" s="108">
        <v>0</v>
      </c>
      <c r="CB323" s="108">
        <v>0</v>
      </c>
    </row>
    <row r="324" spans="18:80" x14ac:dyDescent="0.55000000000000004">
      <c r="R324" s="104" t="str">
        <f>$V$65</f>
        <v>Alyssa</v>
      </c>
      <c r="S324" s="104">
        <f t="shared" si="147"/>
        <v>0</v>
      </c>
      <c r="T324" s="28" t="s">
        <v>26</v>
      </c>
      <c r="V324" s="104" t="str">
        <f>$V$65</f>
        <v>Alyssa</v>
      </c>
      <c r="W324" s="104">
        <f t="shared" si="148"/>
        <v>-8</v>
      </c>
      <c r="AM324" s="108"/>
      <c r="AQ324" s="104" t="str">
        <f>$V$63</f>
        <v>Maxime</v>
      </c>
      <c r="AR324" s="54">
        <v>0</v>
      </c>
      <c r="AS324" s="54">
        <v>0</v>
      </c>
      <c r="AT324" s="54">
        <v>0</v>
      </c>
      <c r="AU324" s="54">
        <v>0</v>
      </c>
      <c r="AV324" s="54">
        <v>0</v>
      </c>
      <c r="AW324" s="54">
        <v>0</v>
      </c>
      <c r="AX324" s="54">
        <v>0</v>
      </c>
      <c r="AY324" s="54">
        <v>0</v>
      </c>
      <c r="AZ324" s="54">
        <v>0</v>
      </c>
      <c r="BA324" s="54">
        <v>0</v>
      </c>
      <c r="BB324" s="54">
        <v>0</v>
      </c>
      <c r="BC324" s="54">
        <v>0</v>
      </c>
      <c r="BD324" s="54">
        <v>0</v>
      </c>
      <c r="BE324" s="54">
        <v>0</v>
      </c>
      <c r="BF324" s="54">
        <v>0</v>
      </c>
      <c r="BG324" s="54">
        <v>0</v>
      </c>
      <c r="BH324" s="54">
        <v>0</v>
      </c>
      <c r="BK324" s="104" t="str">
        <f>$V$80</f>
        <v>-</v>
      </c>
      <c r="BL324" s="108">
        <v>0</v>
      </c>
      <c r="BM324" s="108">
        <v>0</v>
      </c>
      <c r="BN324" s="108">
        <v>0</v>
      </c>
      <c r="BO324" s="108">
        <v>0</v>
      </c>
      <c r="BP324" s="108">
        <v>0</v>
      </c>
      <c r="BQ324" s="108">
        <v>0</v>
      </c>
      <c r="BR324" s="108">
        <v>0</v>
      </c>
      <c r="BS324" s="108">
        <v>0</v>
      </c>
      <c r="BT324" s="108">
        <v>0</v>
      </c>
      <c r="BU324" s="108">
        <v>0</v>
      </c>
      <c r="BV324" s="108">
        <v>0</v>
      </c>
      <c r="BW324" s="108">
        <v>0</v>
      </c>
      <c r="BX324" s="108">
        <v>0</v>
      </c>
      <c r="BY324" s="108">
        <v>0</v>
      </c>
      <c r="BZ324" s="108">
        <v>0</v>
      </c>
      <c r="CA324" s="108">
        <v>0</v>
      </c>
      <c r="CB324" s="108">
        <v>0</v>
      </c>
    </row>
    <row r="325" spans="18:80" x14ac:dyDescent="0.55000000000000004">
      <c r="R325" s="104" t="str">
        <f>$V$66</f>
        <v>Amanda</v>
      </c>
      <c r="S325" s="104">
        <f t="shared" si="147"/>
        <v>0</v>
      </c>
      <c r="T325" s="28" t="s">
        <v>26</v>
      </c>
      <c r="V325" s="104" t="str">
        <f>$V$66</f>
        <v>Amanda</v>
      </c>
      <c r="W325" s="104">
        <f t="shared" si="148"/>
        <v>-8</v>
      </c>
      <c r="AM325" s="108"/>
      <c r="AQ325" s="104" t="str">
        <f>$V$64</f>
        <v>Alex</v>
      </c>
      <c r="AR325" s="54">
        <v>0</v>
      </c>
      <c r="AS325" s="54">
        <v>0</v>
      </c>
      <c r="AT325" s="54">
        <v>0</v>
      </c>
      <c r="AU325" s="54">
        <v>0</v>
      </c>
      <c r="AV325" s="54">
        <v>0</v>
      </c>
      <c r="AW325" s="54">
        <v>0</v>
      </c>
      <c r="AX325" s="54">
        <v>0</v>
      </c>
      <c r="AY325" s="54">
        <v>0</v>
      </c>
      <c r="AZ325" s="54">
        <v>0</v>
      </c>
      <c r="BA325" s="54">
        <v>0</v>
      </c>
      <c r="BB325" s="54">
        <v>0</v>
      </c>
      <c r="BC325" s="54">
        <v>0</v>
      </c>
      <c r="BD325" s="54">
        <v>0</v>
      </c>
      <c r="BE325" s="54">
        <v>0</v>
      </c>
      <c r="BF325" s="54">
        <v>0</v>
      </c>
      <c r="BG325" s="54">
        <v>0</v>
      </c>
      <c r="BH325" s="54">
        <v>0</v>
      </c>
      <c r="BK325" s="104" t="str">
        <f>$V$81</f>
        <v>-</v>
      </c>
      <c r="BL325" s="108">
        <v>0</v>
      </c>
      <c r="BM325" s="108">
        <v>0</v>
      </c>
      <c r="BN325" s="108">
        <v>0</v>
      </c>
      <c r="BO325" s="108">
        <v>0</v>
      </c>
      <c r="BP325" s="108">
        <v>0</v>
      </c>
      <c r="BQ325" s="108">
        <v>0</v>
      </c>
      <c r="BR325" s="108">
        <v>0</v>
      </c>
      <c r="BS325" s="108">
        <v>0</v>
      </c>
      <c r="BT325" s="108">
        <v>0</v>
      </c>
      <c r="BU325" s="108">
        <v>0</v>
      </c>
      <c r="BV325" s="108">
        <v>0</v>
      </c>
      <c r="BW325" s="108">
        <v>0</v>
      </c>
      <c r="BX325" s="108">
        <v>0</v>
      </c>
      <c r="BY325" s="108">
        <v>0</v>
      </c>
      <c r="BZ325" s="108">
        <v>0</v>
      </c>
      <c r="CA325" s="108">
        <v>0</v>
      </c>
      <c r="CB325" s="108">
        <v>0</v>
      </c>
    </row>
    <row r="326" spans="18:80" x14ac:dyDescent="0.55000000000000004">
      <c r="R326" s="104" t="str">
        <f>$V$67</f>
        <v>Antoine</v>
      </c>
      <c r="S326" s="104">
        <f t="shared" si="147"/>
        <v>0</v>
      </c>
      <c r="T326" s="28" t="s">
        <v>26</v>
      </c>
      <c r="V326" s="104" t="str">
        <f>$V$67</f>
        <v>Antoine</v>
      </c>
      <c r="W326" s="104">
        <f t="shared" si="148"/>
        <v>-8</v>
      </c>
      <c r="AM326" s="108"/>
      <c r="AQ326" s="104" t="str">
        <f>$V$65</f>
        <v>Alyssa</v>
      </c>
      <c r="AR326" s="54">
        <v>0</v>
      </c>
      <c r="AS326" s="54">
        <v>0</v>
      </c>
      <c r="AT326" s="54">
        <v>0</v>
      </c>
      <c r="AU326" s="54">
        <v>0</v>
      </c>
      <c r="AV326" s="54">
        <v>0</v>
      </c>
      <c r="AW326" s="54">
        <v>0</v>
      </c>
      <c r="AX326" s="54">
        <v>0</v>
      </c>
      <c r="AY326" s="54">
        <v>0</v>
      </c>
      <c r="AZ326" s="54">
        <v>0</v>
      </c>
      <c r="BA326" s="54">
        <v>0</v>
      </c>
      <c r="BB326" s="54">
        <v>0</v>
      </c>
      <c r="BC326" s="54">
        <v>0</v>
      </c>
      <c r="BD326" s="54">
        <v>0</v>
      </c>
      <c r="BE326" s="54">
        <v>0</v>
      </c>
      <c r="BF326" s="54">
        <v>0</v>
      </c>
      <c r="BG326" s="54">
        <v>0</v>
      </c>
      <c r="BH326" s="54">
        <v>0</v>
      </c>
      <c r="BK326" s="104" t="str">
        <f>$V$82</f>
        <v>-</v>
      </c>
      <c r="BL326" s="108">
        <v>0</v>
      </c>
      <c r="BM326" s="108">
        <v>0</v>
      </c>
      <c r="BN326" s="108">
        <v>0</v>
      </c>
      <c r="BO326" s="108">
        <v>0</v>
      </c>
      <c r="BP326" s="108">
        <v>0</v>
      </c>
      <c r="BQ326" s="108">
        <v>0</v>
      </c>
      <c r="BR326" s="108">
        <v>0</v>
      </c>
      <c r="BS326" s="108">
        <v>0</v>
      </c>
      <c r="BT326" s="108">
        <v>0</v>
      </c>
      <c r="BU326" s="108">
        <v>0</v>
      </c>
      <c r="BV326" s="108">
        <v>0</v>
      </c>
      <c r="BW326" s="108">
        <v>0</v>
      </c>
      <c r="BX326" s="108">
        <v>0</v>
      </c>
      <c r="BY326" s="108">
        <v>0</v>
      </c>
      <c r="BZ326" s="108">
        <v>0</v>
      </c>
      <c r="CA326" s="108">
        <v>0</v>
      </c>
      <c r="CB326" s="108">
        <v>0</v>
      </c>
    </row>
    <row r="327" spans="18:80" x14ac:dyDescent="0.55000000000000004">
      <c r="R327" s="104" t="str">
        <f>$V$68</f>
        <v>Beatriz</v>
      </c>
      <c r="S327" s="104">
        <f t="shared" si="147"/>
        <v>0</v>
      </c>
      <c r="T327" s="28" t="s">
        <v>26</v>
      </c>
      <c r="V327" s="104" t="str">
        <f>$V$68</f>
        <v>Beatriz</v>
      </c>
      <c r="W327" s="104">
        <f t="shared" si="148"/>
        <v>-8</v>
      </c>
      <c r="AM327" s="108"/>
      <c r="AQ327" s="104" t="str">
        <f>$V$66</f>
        <v>Amanda</v>
      </c>
      <c r="AR327" s="54">
        <v>0</v>
      </c>
      <c r="AS327" s="54">
        <v>0</v>
      </c>
      <c r="AT327" s="54">
        <v>0</v>
      </c>
      <c r="AU327" s="54">
        <v>0</v>
      </c>
      <c r="AV327" s="54">
        <v>0</v>
      </c>
      <c r="AW327" s="54">
        <v>0</v>
      </c>
      <c r="AX327" s="54">
        <v>0</v>
      </c>
      <c r="AY327" s="54">
        <v>0</v>
      </c>
      <c r="AZ327" s="54">
        <v>0</v>
      </c>
      <c r="BA327" s="54">
        <v>0</v>
      </c>
      <c r="BB327" s="54">
        <v>0</v>
      </c>
      <c r="BC327" s="54">
        <v>0</v>
      </c>
      <c r="BD327" s="54">
        <v>0</v>
      </c>
      <c r="BE327" s="54">
        <v>0</v>
      </c>
      <c r="BF327" s="54">
        <v>0</v>
      </c>
      <c r="BG327" s="54">
        <v>0</v>
      </c>
      <c r="BH327" s="54">
        <v>0</v>
      </c>
      <c r="BK327" s="104" t="str">
        <f>$V$83</f>
        <v>-</v>
      </c>
      <c r="BL327" s="108">
        <v>0</v>
      </c>
      <c r="BM327" s="108">
        <v>0</v>
      </c>
      <c r="BN327" s="108">
        <v>0</v>
      </c>
      <c r="BO327" s="108">
        <v>0</v>
      </c>
      <c r="BP327" s="108">
        <v>0</v>
      </c>
      <c r="BQ327" s="108">
        <v>0</v>
      </c>
      <c r="BR327" s="108">
        <v>0</v>
      </c>
      <c r="BS327" s="108">
        <v>0</v>
      </c>
      <c r="BT327" s="108">
        <v>0</v>
      </c>
      <c r="BU327" s="108">
        <v>0</v>
      </c>
      <c r="BV327" s="108">
        <v>0</v>
      </c>
      <c r="BW327" s="108">
        <v>0</v>
      </c>
      <c r="BX327" s="108">
        <v>0</v>
      </c>
      <c r="BY327" s="108">
        <v>0</v>
      </c>
      <c r="BZ327" s="108">
        <v>0</v>
      </c>
      <c r="CA327" s="108">
        <v>0</v>
      </c>
      <c r="CB327" s="108">
        <v>0</v>
      </c>
    </row>
    <row r="328" spans="18:80" x14ac:dyDescent="0.55000000000000004">
      <c r="R328" s="104" t="str">
        <f>$V$69</f>
        <v>Charelle</v>
      </c>
      <c r="S328" s="104">
        <f t="shared" si="147"/>
        <v>-2</v>
      </c>
      <c r="T328" s="28" t="s">
        <v>26</v>
      </c>
      <c r="V328" s="104" t="str">
        <f>$V$69</f>
        <v>Charelle</v>
      </c>
      <c r="W328" s="104">
        <f t="shared" si="148"/>
        <v>-8</v>
      </c>
      <c r="AM328" s="108"/>
      <c r="AQ328" s="104" t="str">
        <f>$V$67</f>
        <v>Antoine</v>
      </c>
      <c r="AR328" s="54">
        <v>0</v>
      </c>
      <c r="AS328" s="54">
        <v>0</v>
      </c>
      <c r="AT328" s="54">
        <v>0</v>
      </c>
      <c r="AU328" s="54">
        <v>0</v>
      </c>
      <c r="AV328" s="54">
        <v>0</v>
      </c>
      <c r="AW328" s="54">
        <v>0</v>
      </c>
      <c r="AX328" s="54">
        <v>0</v>
      </c>
      <c r="AY328" s="54">
        <v>0</v>
      </c>
      <c r="AZ328" s="54">
        <v>0</v>
      </c>
      <c r="BA328" s="54">
        <v>0</v>
      </c>
      <c r="BB328" s="54">
        <v>0</v>
      </c>
      <c r="BC328" s="54">
        <v>0</v>
      </c>
      <c r="BD328" s="54">
        <v>0</v>
      </c>
      <c r="BE328" s="54">
        <v>0</v>
      </c>
      <c r="BF328" s="54">
        <v>0</v>
      </c>
      <c r="BG328" s="54">
        <v>0</v>
      </c>
      <c r="BH328" s="54">
        <v>0</v>
      </c>
      <c r="BK328" s="104" t="str">
        <f>$V$84</f>
        <v>-</v>
      </c>
      <c r="BL328" s="108">
        <v>0</v>
      </c>
      <c r="BM328" s="108">
        <v>0</v>
      </c>
      <c r="BN328" s="108">
        <v>0</v>
      </c>
      <c r="BO328" s="108">
        <v>0</v>
      </c>
      <c r="BP328" s="108">
        <v>0</v>
      </c>
      <c r="BQ328" s="108">
        <v>0</v>
      </c>
      <c r="BR328" s="108">
        <v>0</v>
      </c>
      <c r="BS328" s="108">
        <v>0</v>
      </c>
      <c r="BT328" s="108">
        <v>0</v>
      </c>
      <c r="BU328" s="108">
        <v>0</v>
      </c>
      <c r="BV328" s="108">
        <v>0</v>
      </c>
      <c r="BW328" s="108">
        <v>0</v>
      </c>
      <c r="BX328" s="108">
        <v>0</v>
      </c>
      <c r="BY328" s="108">
        <v>0</v>
      </c>
      <c r="BZ328" s="108">
        <v>0</v>
      </c>
      <c r="CA328" s="108">
        <v>0</v>
      </c>
      <c r="CB328" s="108">
        <v>0</v>
      </c>
    </row>
    <row r="329" spans="18:80" x14ac:dyDescent="0.55000000000000004">
      <c r="R329" s="104" t="str">
        <f>$V$70</f>
        <v>Dimitri</v>
      </c>
      <c r="S329" s="104">
        <f t="shared" si="147"/>
        <v>-2</v>
      </c>
      <c r="T329" s="28" t="s">
        <v>26</v>
      </c>
      <c r="V329" s="104" t="str">
        <f>$V$70</f>
        <v>Dimitri</v>
      </c>
      <c r="W329" s="104">
        <f t="shared" si="148"/>
        <v>-8</v>
      </c>
      <c r="AM329" s="108"/>
      <c r="AQ329" s="104" t="str">
        <f>$V$68</f>
        <v>Beatriz</v>
      </c>
      <c r="AR329" s="54">
        <v>0</v>
      </c>
      <c r="AS329" s="54">
        <v>0</v>
      </c>
      <c r="AT329" s="54">
        <v>0</v>
      </c>
      <c r="AU329" s="54">
        <v>0</v>
      </c>
      <c r="AV329" s="54">
        <v>0</v>
      </c>
      <c r="AW329" s="54">
        <v>0</v>
      </c>
      <c r="AX329" s="54">
        <v>0</v>
      </c>
      <c r="AY329" s="54">
        <v>0</v>
      </c>
      <c r="AZ329" s="54">
        <v>0</v>
      </c>
      <c r="BA329" s="54">
        <v>0</v>
      </c>
      <c r="BB329" s="54">
        <v>0</v>
      </c>
      <c r="BC329" s="54">
        <v>0</v>
      </c>
      <c r="BD329" s="54">
        <v>0</v>
      </c>
      <c r="BE329" s="54">
        <v>0</v>
      </c>
      <c r="BF329" s="54">
        <v>0</v>
      </c>
      <c r="BG329" s="54">
        <v>0</v>
      </c>
      <c r="BH329" s="54">
        <v>0</v>
      </c>
      <c r="BK329" s="104" t="str">
        <f>$V$85</f>
        <v>-</v>
      </c>
      <c r="BL329" s="108">
        <v>0</v>
      </c>
      <c r="BM329" s="108">
        <v>0</v>
      </c>
      <c r="BN329" s="108">
        <v>0</v>
      </c>
      <c r="BO329" s="108">
        <v>0</v>
      </c>
      <c r="BP329" s="108">
        <v>0</v>
      </c>
      <c r="BQ329" s="108">
        <v>0</v>
      </c>
      <c r="BR329" s="108">
        <v>0</v>
      </c>
      <c r="BS329" s="108">
        <v>0</v>
      </c>
      <c r="BT329" s="108">
        <v>0</v>
      </c>
      <c r="BU329" s="108">
        <v>0</v>
      </c>
      <c r="BV329" s="108">
        <v>0</v>
      </c>
      <c r="BW329" s="108">
        <v>0</v>
      </c>
      <c r="BX329" s="108">
        <v>0</v>
      </c>
      <c r="BY329" s="108">
        <v>0</v>
      </c>
      <c r="BZ329" s="108">
        <v>0</v>
      </c>
      <c r="CA329" s="108">
        <v>0</v>
      </c>
      <c r="CB329" s="108">
        <v>0</v>
      </c>
    </row>
    <row r="330" spans="18:80" x14ac:dyDescent="0.55000000000000004">
      <c r="R330" s="104" t="str">
        <f>$V$71</f>
        <v>Marina</v>
      </c>
      <c r="S330" s="104">
        <f t="shared" si="147"/>
        <v>0</v>
      </c>
      <c r="T330" s="28" t="s">
        <v>26</v>
      </c>
      <c r="V330" s="104" t="str">
        <f>$V$71</f>
        <v>Marina</v>
      </c>
      <c r="W330" s="104">
        <f t="shared" si="148"/>
        <v>-8</v>
      </c>
      <c r="AM330" s="108"/>
      <c r="AQ330" s="104" t="str">
        <f>$V$69</f>
        <v>Charelle</v>
      </c>
      <c r="AR330" s="54">
        <v>0</v>
      </c>
      <c r="AS330" s="54">
        <v>0</v>
      </c>
      <c r="AT330" s="54">
        <v>0</v>
      </c>
      <c r="AU330" s="54">
        <v>0</v>
      </c>
      <c r="AV330" s="54">
        <v>-2</v>
      </c>
      <c r="AW330" s="54">
        <v>0</v>
      </c>
      <c r="AX330" s="54">
        <v>0</v>
      </c>
      <c r="AY330" s="54">
        <v>0</v>
      </c>
      <c r="AZ330" s="54">
        <v>0</v>
      </c>
      <c r="BA330" s="54">
        <v>0</v>
      </c>
      <c r="BB330" s="54">
        <v>0</v>
      </c>
      <c r="BC330" s="54">
        <v>0</v>
      </c>
      <c r="BD330" s="54">
        <v>0</v>
      </c>
      <c r="BE330" s="54">
        <v>0</v>
      </c>
      <c r="BF330" s="54">
        <v>0</v>
      </c>
      <c r="BG330" s="54">
        <v>0</v>
      </c>
      <c r="BH330" s="54">
        <v>0</v>
      </c>
      <c r="BK330" s="104" t="str">
        <f>$V$86</f>
        <v>-</v>
      </c>
      <c r="BL330" s="108">
        <v>0</v>
      </c>
      <c r="BM330" s="108">
        <v>0</v>
      </c>
      <c r="BN330" s="108">
        <v>0</v>
      </c>
      <c r="BO330" s="108">
        <v>0</v>
      </c>
      <c r="BP330" s="108">
        <v>0</v>
      </c>
      <c r="BQ330" s="108">
        <v>0</v>
      </c>
      <c r="BR330" s="108">
        <v>0</v>
      </c>
      <c r="BS330" s="108">
        <v>0</v>
      </c>
      <c r="BT330" s="108">
        <v>0</v>
      </c>
      <c r="BU330" s="108">
        <v>0</v>
      </c>
      <c r="BV330" s="108">
        <v>0</v>
      </c>
      <c r="BW330" s="108">
        <v>0</v>
      </c>
      <c r="BX330" s="108">
        <v>0</v>
      </c>
      <c r="BY330" s="108">
        <v>0</v>
      </c>
      <c r="BZ330" s="108">
        <v>0</v>
      </c>
      <c r="CA330" s="108">
        <v>0</v>
      </c>
      <c r="CB330" s="108">
        <v>0</v>
      </c>
    </row>
    <row r="331" spans="18:80" x14ac:dyDescent="0.55000000000000004">
      <c r="R331" s="104" t="str">
        <f>$V$72</f>
        <v>Michel</v>
      </c>
      <c r="S331" s="104">
        <f t="shared" si="147"/>
        <v>0</v>
      </c>
      <c r="T331" s="28" t="s">
        <v>26</v>
      </c>
      <c r="V331" s="104" t="str">
        <f>$V$72</f>
        <v>Michel</v>
      </c>
      <c r="W331" s="104">
        <f t="shared" si="148"/>
        <v>-8</v>
      </c>
      <c r="AM331" s="108"/>
      <c r="AQ331" s="104" t="str">
        <f>$V$70</f>
        <v>Dimitri</v>
      </c>
      <c r="AR331" s="54">
        <v>0</v>
      </c>
      <c r="AS331" s="54">
        <v>0</v>
      </c>
      <c r="AT331" s="54">
        <v>0</v>
      </c>
      <c r="AU331" s="54">
        <v>0</v>
      </c>
      <c r="AV331" s="54">
        <v>0</v>
      </c>
      <c r="AW331" s="54">
        <v>0</v>
      </c>
      <c r="AX331" s="54">
        <v>0</v>
      </c>
      <c r="AY331" s="54">
        <v>0</v>
      </c>
      <c r="AZ331" s="54">
        <v>0</v>
      </c>
      <c r="BA331" s="54">
        <v>0</v>
      </c>
      <c r="BB331" s="54">
        <v>0</v>
      </c>
      <c r="BC331" s="54">
        <v>0</v>
      </c>
      <c r="BD331" s="54">
        <v>0</v>
      </c>
      <c r="BE331" s="54">
        <v>0</v>
      </c>
      <c r="BF331" s="54">
        <v>0</v>
      </c>
      <c r="BG331" s="54">
        <v>0</v>
      </c>
      <c r="BH331" s="54">
        <v>0</v>
      </c>
      <c r="BK331" s="104" t="str">
        <f>$V$87</f>
        <v>-</v>
      </c>
      <c r="BL331" s="108">
        <v>0</v>
      </c>
      <c r="BM331" s="108">
        <v>0</v>
      </c>
      <c r="BN331" s="108">
        <v>0</v>
      </c>
      <c r="BO331" s="108">
        <v>0</v>
      </c>
      <c r="BP331" s="108">
        <v>0</v>
      </c>
      <c r="BQ331" s="108">
        <v>0</v>
      </c>
      <c r="BR331" s="108">
        <v>0</v>
      </c>
      <c r="BS331" s="108">
        <v>0</v>
      </c>
      <c r="BT331" s="108">
        <v>0</v>
      </c>
      <c r="BU331" s="108">
        <v>0</v>
      </c>
      <c r="BV331" s="108">
        <v>0</v>
      </c>
      <c r="BW331" s="108">
        <v>0</v>
      </c>
      <c r="BX331" s="108">
        <v>0</v>
      </c>
      <c r="BY331" s="108">
        <v>0</v>
      </c>
      <c r="BZ331" s="108">
        <v>0</v>
      </c>
      <c r="CA331" s="108">
        <v>0</v>
      </c>
      <c r="CB331" s="108">
        <v>0</v>
      </c>
    </row>
    <row r="332" spans="18:80" x14ac:dyDescent="0.55000000000000004">
      <c r="R332" s="104" t="str">
        <f>$V$73</f>
        <v>Nour</v>
      </c>
      <c r="S332" s="104">
        <f t="shared" si="147"/>
        <v>-2</v>
      </c>
      <c r="T332" s="28" t="s">
        <v>26</v>
      </c>
      <c r="V332" s="104" t="str">
        <f>$V$73</f>
        <v>Nour</v>
      </c>
      <c r="W332" s="104">
        <f t="shared" si="148"/>
        <v>-8</v>
      </c>
      <c r="AM332" s="108"/>
      <c r="AQ332" s="104" t="str">
        <f>$V$71</f>
        <v>Marina</v>
      </c>
      <c r="AR332" s="54">
        <v>0</v>
      </c>
      <c r="AS332" s="54">
        <v>0</v>
      </c>
      <c r="AT332" s="54">
        <v>0</v>
      </c>
      <c r="AU332" s="54">
        <v>0</v>
      </c>
      <c r="AV332" s="54">
        <v>0</v>
      </c>
      <c r="AW332" s="54">
        <v>0</v>
      </c>
      <c r="AX332" s="54">
        <v>0</v>
      </c>
      <c r="AY332" s="54">
        <v>0</v>
      </c>
      <c r="AZ332" s="54">
        <v>0</v>
      </c>
      <c r="BA332" s="54">
        <v>0</v>
      </c>
      <c r="BB332" s="54">
        <v>0</v>
      </c>
      <c r="BC332" s="54">
        <v>0</v>
      </c>
      <c r="BD332" s="54">
        <v>0</v>
      </c>
      <c r="BE332" s="54">
        <v>0</v>
      </c>
      <c r="BF332" s="54">
        <v>0</v>
      </c>
      <c r="BG332" s="54">
        <v>0</v>
      </c>
      <c r="BH332" s="54">
        <v>0</v>
      </c>
      <c r="BK332" s="104" t="str">
        <f>$V$88</f>
        <v>-</v>
      </c>
      <c r="BL332" s="108">
        <v>0</v>
      </c>
      <c r="BM332" s="108">
        <v>0</v>
      </c>
      <c r="BN332" s="108">
        <v>0</v>
      </c>
      <c r="BO332" s="108">
        <v>0</v>
      </c>
      <c r="BP332" s="108">
        <v>0</v>
      </c>
      <c r="BQ332" s="108">
        <v>0</v>
      </c>
      <c r="BR332" s="108">
        <v>0</v>
      </c>
      <c r="BS332" s="108">
        <v>0</v>
      </c>
      <c r="BT332" s="108">
        <v>0</v>
      </c>
      <c r="BU332" s="108">
        <v>0</v>
      </c>
      <c r="BV332" s="108">
        <v>0</v>
      </c>
      <c r="BW332" s="108">
        <v>0</v>
      </c>
      <c r="BX332" s="108">
        <v>0</v>
      </c>
      <c r="BY332" s="108">
        <v>0</v>
      </c>
      <c r="BZ332" s="108">
        <v>0</v>
      </c>
      <c r="CA332" s="108">
        <v>0</v>
      </c>
      <c r="CB332" s="108">
        <v>0</v>
      </c>
    </row>
    <row r="333" spans="18:80" x14ac:dyDescent="0.55000000000000004">
      <c r="R333" s="104" t="str">
        <f>$V$74</f>
        <v>Samuel</v>
      </c>
      <c r="S333" s="104">
        <f t="shared" si="147"/>
        <v>0</v>
      </c>
      <c r="T333" s="28" t="s">
        <v>26</v>
      </c>
      <c r="V333" s="104" t="str">
        <f>$V$74</f>
        <v>Samuel</v>
      </c>
      <c r="W333" s="104">
        <f t="shared" si="148"/>
        <v>-8</v>
      </c>
      <c r="AM333" s="108"/>
      <c r="AQ333" s="104" t="str">
        <f>$V$72</f>
        <v>Michel</v>
      </c>
      <c r="AR333" s="54">
        <v>0</v>
      </c>
      <c r="AS333" s="54">
        <v>0</v>
      </c>
      <c r="AT333" s="54">
        <v>0</v>
      </c>
      <c r="AU333" s="54">
        <v>0</v>
      </c>
      <c r="AV333" s="54">
        <v>0</v>
      </c>
      <c r="AW333" s="54">
        <v>0</v>
      </c>
      <c r="AX333" s="54">
        <v>0</v>
      </c>
      <c r="AY333" s="54">
        <v>0</v>
      </c>
      <c r="AZ333" s="54">
        <v>0</v>
      </c>
      <c r="BA333" s="54">
        <v>0</v>
      </c>
      <c r="BB333" s="54">
        <v>0</v>
      </c>
      <c r="BC333" s="54">
        <v>0</v>
      </c>
      <c r="BD333" s="54">
        <v>0</v>
      </c>
      <c r="BE333" s="54">
        <v>0</v>
      </c>
      <c r="BF333" s="54">
        <v>0</v>
      </c>
      <c r="BG333" s="54">
        <v>0</v>
      </c>
      <c r="BH333" s="54">
        <v>0</v>
      </c>
      <c r="BK333" s="104" t="str">
        <f>$V$89</f>
        <v>-</v>
      </c>
      <c r="BL333" s="108">
        <v>0</v>
      </c>
      <c r="BM333" s="108">
        <v>0</v>
      </c>
      <c r="BN333" s="108">
        <v>0</v>
      </c>
      <c r="BO333" s="108">
        <v>0</v>
      </c>
      <c r="BP333" s="108">
        <v>0</v>
      </c>
      <c r="BQ333" s="108">
        <v>0</v>
      </c>
      <c r="BR333" s="108">
        <v>0</v>
      </c>
      <c r="BS333" s="108">
        <v>0</v>
      </c>
      <c r="BT333" s="108">
        <v>0</v>
      </c>
      <c r="BU333" s="108">
        <v>0</v>
      </c>
      <c r="BV333" s="108">
        <v>0</v>
      </c>
      <c r="BW333" s="108">
        <v>0</v>
      </c>
      <c r="BX333" s="108">
        <v>0</v>
      </c>
      <c r="BY333" s="108">
        <v>0</v>
      </c>
      <c r="BZ333" s="108">
        <v>0</v>
      </c>
      <c r="CA333" s="108">
        <v>0</v>
      </c>
      <c r="CB333" s="108">
        <v>0</v>
      </c>
    </row>
    <row r="334" spans="18:80" x14ac:dyDescent="0.55000000000000004">
      <c r="R334" s="104" t="str">
        <f>$V$75</f>
        <v>Yassin</v>
      </c>
      <c r="S334" s="104">
        <f t="shared" si="147"/>
        <v>0</v>
      </c>
      <c r="T334" s="28" t="s">
        <v>26</v>
      </c>
      <c r="V334" s="104" t="str">
        <f>$V$75</f>
        <v>Yassin</v>
      </c>
      <c r="W334" s="104">
        <f t="shared" si="148"/>
        <v>-8</v>
      </c>
      <c r="AM334" s="108"/>
      <c r="AQ334" s="104" t="str">
        <f>$V$73</f>
        <v>Nour</v>
      </c>
      <c r="AR334" s="54">
        <v>0</v>
      </c>
      <c r="AS334" s="54">
        <v>0</v>
      </c>
      <c r="AT334" s="54">
        <v>0</v>
      </c>
      <c r="AU334" s="54">
        <v>0</v>
      </c>
      <c r="AV334" s="54">
        <v>0</v>
      </c>
      <c r="AW334" s="54">
        <v>0</v>
      </c>
      <c r="AX334" s="54">
        <v>0</v>
      </c>
      <c r="AY334" s="54">
        <v>0</v>
      </c>
      <c r="AZ334" s="54">
        <v>0</v>
      </c>
      <c r="BA334" s="54">
        <v>0</v>
      </c>
      <c r="BB334" s="54">
        <v>0</v>
      </c>
      <c r="BC334" s="54">
        <v>0</v>
      </c>
      <c r="BD334" s="54">
        <v>0</v>
      </c>
      <c r="BE334" s="54">
        <v>0</v>
      </c>
      <c r="BF334" s="54">
        <v>0</v>
      </c>
      <c r="BG334" s="54">
        <v>0</v>
      </c>
      <c r="BH334" s="54">
        <v>0</v>
      </c>
      <c r="BK334" s="104" t="str">
        <f>$V$90</f>
        <v>-</v>
      </c>
      <c r="BL334" s="108">
        <v>0</v>
      </c>
      <c r="BM334" s="108">
        <v>0</v>
      </c>
      <c r="BN334" s="108">
        <v>0</v>
      </c>
      <c r="BO334" s="108">
        <v>0</v>
      </c>
      <c r="BP334" s="108">
        <v>0</v>
      </c>
      <c r="BQ334" s="108">
        <v>0</v>
      </c>
      <c r="BR334" s="108">
        <v>0</v>
      </c>
      <c r="BS334" s="108">
        <v>0</v>
      </c>
      <c r="BT334" s="108">
        <v>0</v>
      </c>
      <c r="BU334" s="108">
        <v>0</v>
      </c>
      <c r="BV334" s="108">
        <v>0</v>
      </c>
      <c r="BW334" s="108">
        <v>0</v>
      </c>
      <c r="BX334" s="108">
        <v>0</v>
      </c>
      <c r="BY334" s="108">
        <v>0</v>
      </c>
      <c r="BZ334" s="108">
        <v>0</v>
      </c>
      <c r="CA334" s="108">
        <v>0</v>
      </c>
      <c r="CB334" s="108">
        <v>0</v>
      </c>
    </row>
    <row r="335" spans="18:80" x14ac:dyDescent="0.55000000000000004">
      <c r="R335" s="104" t="str">
        <f>$V$76</f>
        <v>Kamar</v>
      </c>
      <c r="S335" s="104">
        <f t="shared" si="147"/>
        <v>0</v>
      </c>
      <c r="T335" s="28" t="s">
        <v>26</v>
      </c>
      <c r="V335" s="104" t="str">
        <f>$V$76</f>
        <v>Kamar</v>
      </c>
      <c r="W335" s="104">
        <f t="shared" si="148"/>
        <v>-8</v>
      </c>
      <c r="AM335" s="108"/>
      <c r="AQ335" s="104" t="str">
        <f>$V$74</f>
        <v>Samuel</v>
      </c>
      <c r="AR335" s="54">
        <v>0</v>
      </c>
      <c r="AS335" s="54">
        <v>0</v>
      </c>
      <c r="AT335" s="54">
        <v>0</v>
      </c>
      <c r="AU335" s="54">
        <v>0</v>
      </c>
      <c r="AV335" s="54">
        <v>0</v>
      </c>
      <c r="AW335" s="54">
        <v>0</v>
      </c>
      <c r="AX335" s="54">
        <v>0</v>
      </c>
      <c r="AY335" s="54">
        <v>0</v>
      </c>
      <c r="AZ335" s="54">
        <v>0</v>
      </c>
      <c r="BA335" s="54">
        <v>0</v>
      </c>
      <c r="BB335" s="54">
        <v>0</v>
      </c>
      <c r="BC335" s="54">
        <v>0</v>
      </c>
      <c r="BD335" s="54">
        <v>0</v>
      </c>
      <c r="BE335" s="54">
        <v>0</v>
      </c>
      <c r="BF335" s="54">
        <v>0</v>
      </c>
      <c r="BG335" s="54">
        <v>0</v>
      </c>
      <c r="BH335" s="54">
        <v>0</v>
      </c>
      <c r="BK335" s="104" t="str">
        <f>$V$91</f>
        <v>-</v>
      </c>
      <c r="BL335" s="108">
        <v>0</v>
      </c>
      <c r="BM335" s="108">
        <v>0</v>
      </c>
      <c r="BN335" s="108">
        <v>0</v>
      </c>
      <c r="BO335" s="108">
        <v>0</v>
      </c>
      <c r="BP335" s="108">
        <v>0</v>
      </c>
      <c r="BQ335" s="108">
        <v>0</v>
      </c>
      <c r="BR335" s="108">
        <v>0</v>
      </c>
      <c r="BS335" s="108">
        <v>0</v>
      </c>
      <c r="BT335" s="108">
        <v>0</v>
      </c>
      <c r="BU335" s="108">
        <v>0</v>
      </c>
      <c r="BV335" s="108">
        <v>0</v>
      </c>
      <c r="BW335" s="108">
        <v>0</v>
      </c>
      <c r="BX335" s="108">
        <v>0</v>
      </c>
      <c r="BY335" s="108">
        <v>0</v>
      </c>
      <c r="BZ335" s="108">
        <v>0</v>
      </c>
      <c r="CA335" s="108">
        <v>0</v>
      </c>
      <c r="CB335" s="108">
        <v>0</v>
      </c>
    </row>
    <row r="336" spans="18:80" x14ac:dyDescent="0.55000000000000004">
      <c r="R336" s="104" t="str">
        <f>$V$77</f>
        <v>-</v>
      </c>
      <c r="S336" s="104">
        <f t="shared" si="147"/>
        <v>0</v>
      </c>
      <c r="T336" s="28" t="s">
        <v>26</v>
      </c>
      <c r="V336" s="104" t="str">
        <f>$V$77</f>
        <v>-</v>
      </c>
      <c r="W336" s="104">
        <f t="shared" si="148"/>
        <v>-8</v>
      </c>
      <c r="AM336" s="108"/>
      <c r="AQ336" s="104" t="str">
        <f>$V$75</f>
        <v>Yassin</v>
      </c>
      <c r="AR336" s="54">
        <v>0</v>
      </c>
      <c r="AS336" s="54">
        <v>0</v>
      </c>
      <c r="AT336" s="54">
        <v>0</v>
      </c>
      <c r="AU336" s="54">
        <v>0</v>
      </c>
      <c r="AV336" s="54">
        <v>0</v>
      </c>
      <c r="AW336" s="54">
        <v>0</v>
      </c>
      <c r="AX336" s="54">
        <v>0</v>
      </c>
      <c r="AY336" s="54">
        <v>0</v>
      </c>
      <c r="AZ336" s="54">
        <v>0</v>
      </c>
      <c r="BA336" s="54">
        <v>0</v>
      </c>
      <c r="BB336" s="54">
        <v>0</v>
      </c>
      <c r="BC336" s="54">
        <v>0</v>
      </c>
      <c r="BD336" s="54">
        <v>0</v>
      </c>
      <c r="BE336" s="54">
        <v>0</v>
      </c>
      <c r="BF336" s="54">
        <v>0</v>
      </c>
      <c r="BG336" s="54">
        <v>0</v>
      </c>
      <c r="BH336" s="54">
        <v>0</v>
      </c>
      <c r="BK336" s="104" t="str">
        <f>$V$92</f>
        <v>-</v>
      </c>
      <c r="BL336" s="108">
        <v>0</v>
      </c>
      <c r="BM336" s="108">
        <v>0</v>
      </c>
      <c r="BN336" s="108">
        <v>0</v>
      </c>
      <c r="BO336" s="108">
        <v>0</v>
      </c>
      <c r="BP336" s="108">
        <v>0</v>
      </c>
      <c r="BQ336" s="108">
        <v>0</v>
      </c>
      <c r="BR336" s="108">
        <v>0</v>
      </c>
      <c r="BS336" s="108">
        <v>0</v>
      </c>
      <c r="BT336" s="108">
        <v>0</v>
      </c>
      <c r="BU336" s="108">
        <v>0</v>
      </c>
      <c r="BV336" s="108">
        <v>0</v>
      </c>
      <c r="BW336" s="108">
        <v>0</v>
      </c>
      <c r="BX336" s="108">
        <v>0</v>
      </c>
      <c r="BY336" s="108">
        <v>0</v>
      </c>
      <c r="BZ336" s="108">
        <v>0</v>
      </c>
      <c r="CA336" s="108">
        <v>0</v>
      </c>
      <c r="CB336" s="108">
        <v>0</v>
      </c>
    </row>
    <row r="337" spans="18:80" x14ac:dyDescent="0.55000000000000004">
      <c r="R337" s="104" t="str">
        <f>$V$78</f>
        <v>-</v>
      </c>
      <c r="S337" s="104">
        <f t="shared" si="147"/>
        <v>-2</v>
      </c>
      <c r="T337" s="28" t="s">
        <v>26</v>
      </c>
      <c r="V337" s="104" t="str">
        <f>$V$78</f>
        <v>-</v>
      </c>
      <c r="W337" s="104">
        <f t="shared" si="148"/>
        <v>-8</v>
      </c>
      <c r="AM337" s="108"/>
      <c r="AQ337" s="104" t="str">
        <f>$V$76</f>
        <v>Kamar</v>
      </c>
      <c r="AR337" s="54">
        <v>0</v>
      </c>
      <c r="AS337" s="54">
        <v>0</v>
      </c>
      <c r="AT337" s="54">
        <v>0</v>
      </c>
      <c r="AU337" s="54">
        <v>0</v>
      </c>
      <c r="AV337" s="54">
        <v>0</v>
      </c>
      <c r="AW337" s="54">
        <v>0</v>
      </c>
      <c r="AX337" s="54">
        <v>0</v>
      </c>
      <c r="AY337" s="54">
        <v>0</v>
      </c>
      <c r="AZ337" s="54">
        <v>0</v>
      </c>
      <c r="BA337" s="54">
        <v>0</v>
      </c>
      <c r="BB337" s="54">
        <v>0</v>
      </c>
      <c r="BC337" s="54">
        <v>0</v>
      </c>
      <c r="BD337" s="54">
        <v>0</v>
      </c>
      <c r="BE337" s="54">
        <v>0</v>
      </c>
      <c r="BF337" s="54">
        <v>0</v>
      </c>
      <c r="BG337" s="54">
        <v>0</v>
      </c>
      <c r="BH337" s="54">
        <v>0</v>
      </c>
    </row>
    <row r="338" spans="18:80" x14ac:dyDescent="0.55000000000000004">
      <c r="R338" s="104" t="str">
        <f>$V$79</f>
        <v>-</v>
      </c>
      <c r="S338" s="104">
        <f t="shared" si="147"/>
        <v>-2</v>
      </c>
      <c r="T338" s="28" t="s">
        <v>26</v>
      </c>
      <c r="V338" s="104" t="str">
        <f>$V$79</f>
        <v>-</v>
      </c>
      <c r="W338" s="104">
        <f t="shared" si="148"/>
        <v>-8</v>
      </c>
      <c r="AM338" s="108"/>
      <c r="AQ338" s="104" t="str">
        <f>$V$77</f>
        <v>-</v>
      </c>
      <c r="AR338" s="54">
        <v>0</v>
      </c>
      <c r="AS338" s="54">
        <v>0</v>
      </c>
      <c r="AT338" s="54">
        <v>0</v>
      </c>
      <c r="AU338" s="54">
        <v>0</v>
      </c>
      <c r="AV338" s="54">
        <v>0</v>
      </c>
      <c r="AW338" s="54">
        <v>0</v>
      </c>
      <c r="AX338" s="54">
        <v>0</v>
      </c>
      <c r="AY338" s="54">
        <v>0</v>
      </c>
      <c r="AZ338" s="54">
        <v>0</v>
      </c>
      <c r="BA338" s="54">
        <v>0</v>
      </c>
      <c r="BB338" s="54">
        <v>0</v>
      </c>
      <c r="BC338" s="54">
        <v>0</v>
      </c>
      <c r="BD338" s="54">
        <v>0</v>
      </c>
      <c r="BE338" s="54">
        <v>0</v>
      </c>
      <c r="BF338" s="54">
        <v>0</v>
      </c>
      <c r="BG338" s="54">
        <v>0</v>
      </c>
      <c r="BH338" s="54">
        <v>0</v>
      </c>
    </row>
    <row r="339" spans="18:80" x14ac:dyDescent="0.55000000000000004">
      <c r="R339" s="104" t="str">
        <f>$V$80</f>
        <v>-</v>
      </c>
      <c r="S339" s="104">
        <f t="shared" si="147"/>
        <v>-8</v>
      </c>
      <c r="T339" s="28" t="s">
        <v>26</v>
      </c>
      <c r="V339" s="104" t="str">
        <f>$V$80</f>
        <v>-</v>
      </c>
      <c r="W339" s="104">
        <f t="shared" si="148"/>
        <v>-8</v>
      </c>
      <c r="AM339" s="108"/>
      <c r="AQ339" s="104" t="str">
        <f>$V$78</f>
        <v>-</v>
      </c>
      <c r="AR339" s="54">
        <v>0</v>
      </c>
      <c r="AS339" s="54">
        <v>0</v>
      </c>
      <c r="AT339" s="54">
        <v>0</v>
      </c>
      <c r="AU339" s="54">
        <v>0</v>
      </c>
      <c r="AV339" s="54">
        <v>0</v>
      </c>
      <c r="AW339" s="54">
        <v>0</v>
      </c>
      <c r="AX339" s="54">
        <v>0</v>
      </c>
      <c r="AY339" s="54">
        <v>0</v>
      </c>
      <c r="AZ339" s="54">
        <v>0</v>
      </c>
      <c r="BA339" s="54">
        <v>0</v>
      </c>
      <c r="BB339" s="54">
        <v>0</v>
      </c>
      <c r="BC339" s="54">
        <v>0</v>
      </c>
      <c r="BD339" s="54">
        <v>0</v>
      </c>
      <c r="BE339" s="54">
        <v>0</v>
      </c>
      <c r="BF339" s="54">
        <v>0</v>
      </c>
      <c r="BG339" s="54">
        <v>0</v>
      </c>
      <c r="BH339" s="54">
        <v>0</v>
      </c>
      <c r="BK339" s="104" t="str">
        <f>CONCATENATE("OBLIGATORIEDAD DE (",BK340,")")</f>
        <v>OBLIGATORIEDAD DE (Level)</v>
      </c>
    </row>
    <row r="340" spans="18:80" x14ac:dyDescent="0.55000000000000004">
      <c r="R340" s="104" t="str">
        <f>$V$81</f>
        <v>-</v>
      </c>
      <c r="S340" s="104">
        <f t="shared" si="147"/>
        <v>0</v>
      </c>
      <c r="T340" s="28" t="s">
        <v>26</v>
      </c>
      <c r="V340" s="104" t="str">
        <f>$V$81</f>
        <v>-</v>
      </c>
      <c r="W340" s="104">
        <f t="shared" si="148"/>
        <v>-8</v>
      </c>
      <c r="AM340" s="108"/>
      <c r="AQ340" s="104" t="str">
        <f>$V$79</f>
        <v>-</v>
      </c>
      <c r="AR340" s="54">
        <v>0</v>
      </c>
      <c r="AS340" s="54">
        <v>0</v>
      </c>
      <c r="AT340" s="54">
        <v>0</v>
      </c>
      <c r="AU340" s="54">
        <v>0</v>
      </c>
      <c r="AV340" s="54">
        <v>0</v>
      </c>
      <c r="AW340" s="54">
        <v>0</v>
      </c>
      <c r="AX340" s="54">
        <v>0</v>
      </c>
      <c r="AY340" s="54">
        <v>0</v>
      </c>
      <c r="AZ340" s="54">
        <v>0</v>
      </c>
      <c r="BA340" s="54">
        <v>0</v>
      </c>
      <c r="BB340" s="54">
        <v>0</v>
      </c>
      <c r="BC340" s="54">
        <v>0</v>
      </c>
      <c r="BD340" s="54">
        <v>0</v>
      </c>
      <c r="BE340" s="54">
        <v>0</v>
      </c>
      <c r="BF340" s="54">
        <v>0</v>
      </c>
      <c r="BG340" s="54">
        <v>0</v>
      </c>
      <c r="BH340" s="54">
        <v>0</v>
      </c>
      <c r="BK340" s="104" t="str">
        <f>V41</f>
        <v>Level</v>
      </c>
      <c r="BL340" s="104" t="str">
        <f>$W$33</f>
        <v>16h</v>
      </c>
      <c r="BM340" s="104" t="str">
        <f>$X$33</f>
        <v>17h</v>
      </c>
      <c r="BN340" s="104" t="str">
        <f>$Y$33</f>
        <v>18h</v>
      </c>
      <c r="BO340" s="104" t="str">
        <f>$Z$33</f>
        <v>19h</v>
      </c>
      <c r="BP340" s="104" t="str">
        <f>$AA$33</f>
        <v>20h</v>
      </c>
      <c r="BQ340" s="104" t="str">
        <f>$AB$33</f>
        <v>21h</v>
      </c>
      <c r="BR340" s="104" t="str">
        <f>$AC$33</f>
        <v>22h</v>
      </c>
      <c r="BS340" s="104" t="str">
        <f>$AD$33</f>
        <v>23h</v>
      </c>
      <c r="BT340" s="104" t="str">
        <f>$AE$33</f>
        <v>00h</v>
      </c>
      <c r="BU340" s="104" t="str">
        <f>$AF$33</f>
        <v>01h</v>
      </c>
      <c r="BV340" s="104" t="str">
        <f>$AG$33</f>
        <v>02h</v>
      </c>
      <c r="BW340" s="104" t="str">
        <f>$AH$33</f>
        <v>03h</v>
      </c>
      <c r="BX340" s="104" t="str">
        <f>$AI$33</f>
        <v>04h</v>
      </c>
      <c r="BY340" s="104" t="str">
        <f>$AJ$33</f>
        <v>05h</v>
      </c>
      <c r="BZ340" s="104" t="str">
        <f>$AK$33</f>
        <v>06h</v>
      </c>
      <c r="CA340" s="104" t="str">
        <f>$AL$33</f>
        <v>07h</v>
      </c>
      <c r="CB340" s="104" t="str">
        <f>$AM$33</f>
        <v>08h</v>
      </c>
    </row>
    <row r="341" spans="18:80" x14ac:dyDescent="0.55000000000000004">
      <c r="R341" s="104" t="str">
        <f>$V$82</f>
        <v>-</v>
      </c>
      <c r="S341" s="104">
        <f t="shared" si="147"/>
        <v>0</v>
      </c>
      <c r="T341" s="28" t="s">
        <v>26</v>
      </c>
      <c r="V341" s="104" t="str">
        <f>$V$82</f>
        <v>-</v>
      </c>
      <c r="W341" s="104">
        <f t="shared" si="148"/>
        <v>-8</v>
      </c>
      <c r="AM341" s="108"/>
      <c r="AQ341" s="104" t="str">
        <f>$V$80</f>
        <v>-</v>
      </c>
      <c r="AR341" s="54">
        <v>0</v>
      </c>
      <c r="AS341" s="54">
        <v>0</v>
      </c>
      <c r="AT341" s="54">
        <v>0</v>
      </c>
      <c r="AU341" s="54">
        <v>0</v>
      </c>
      <c r="AV341" s="54">
        <v>0</v>
      </c>
      <c r="AW341" s="54">
        <v>-2</v>
      </c>
      <c r="AX341" s="54">
        <v>0</v>
      </c>
      <c r="AY341" s="54">
        <v>0</v>
      </c>
      <c r="AZ341" s="54">
        <v>0</v>
      </c>
      <c r="BA341" s="54">
        <v>0</v>
      </c>
      <c r="BB341" s="54">
        <v>0</v>
      </c>
      <c r="BC341" s="54">
        <v>0</v>
      </c>
      <c r="BD341" s="54">
        <v>0</v>
      </c>
      <c r="BE341" s="54">
        <v>0</v>
      </c>
      <c r="BF341" s="54">
        <v>0</v>
      </c>
      <c r="BG341" s="54">
        <v>0</v>
      </c>
      <c r="BH341" s="54">
        <v>0</v>
      </c>
      <c r="BK341" s="104" t="str">
        <f>$V$53</f>
        <v>Jennifer</v>
      </c>
      <c r="BL341" s="108">
        <v>0</v>
      </c>
      <c r="BM341" s="108">
        <v>0</v>
      </c>
      <c r="BN341" s="108">
        <v>0</v>
      </c>
      <c r="BO341" s="108">
        <v>0</v>
      </c>
      <c r="BP341" s="108">
        <v>0</v>
      </c>
      <c r="BQ341" s="108">
        <v>0</v>
      </c>
      <c r="BR341" s="108">
        <v>0</v>
      </c>
      <c r="BS341" s="108">
        <v>0</v>
      </c>
      <c r="BT341" s="108">
        <v>0</v>
      </c>
      <c r="BU341" s="108">
        <v>0</v>
      </c>
      <c r="BV341" s="108">
        <v>0</v>
      </c>
      <c r="BW341" s="108">
        <v>0</v>
      </c>
      <c r="BX341" s="108">
        <v>0</v>
      </c>
      <c r="BY341" s="108">
        <v>0</v>
      </c>
      <c r="BZ341" s="108">
        <v>0</v>
      </c>
      <c r="CA341" s="108">
        <v>0</v>
      </c>
      <c r="CB341" s="108">
        <v>0</v>
      </c>
    </row>
    <row r="342" spans="18:80" x14ac:dyDescent="0.55000000000000004">
      <c r="R342" s="104" t="str">
        <f>$V$83</f>
        <v>-</v>
      </c>
      <c r="S342" s="104">
        <f t="shared" si="147"/>
        <v>-2</v>
      </c>
      <c r="T342" s="28" t="s">
        <v>26</v>
      </c>
      <c r="V342" s="104" t="str">
        <f>$V$83</f>
        <v>-</v>
      </c>
      <c r="W342" s="104">
        <f t="shared" si="148"/>
        <v>-8</v>
      </c>
      <c r="AM342" s="108"/>
      <c r="AQ342" s="104" t="str">
        <f>$V$81</f>
        <v>-</v>
      </c>
      <c r="AR342" s="54">
        <v>0</v>
      </c>
      <c r="AS342" s="54">
        <v>0</v>
      </c>
      <c r="AT342" s="54">
        <v>0</v>
      </c>
      <c r="AU342" s="54">
        <v>0</v>
      </c>
      <c r="AV342" s="54">
        <v>0</v>
      </c>
      <c r="AW342" s="54">
        <v>0</v>
      </c>
      <c r="AX342" s="54">
        <v>0</v>
      </c>
      <c r="AY342" s="54">
        <v>0</v>
      </c>
      <c r="AZ342" s="54">
        <v>0</v>
      </c>
      <c r="BA342" s="54">
        <v>0</v>
      </c>
      <c r="BB342" s="54">
        <v>0</v>
      </c>
      <c r="BC342" s="54">
        <v>0</v>
      </c>
      <c r="BD342" s="54">
        <v>0</v>
      </c>
      <c r="BE342" s="54">
        <v>0</v>
      </c>
      <c r="BF342" s="54">
        <v>0</v>
      </c>
      <c r="BG342" s="54">
        <v>0</v>
      </c>
      <c r="BH342" s="54">
        <v>0</v>
      </c>
      <c r="BK342" s="104" t="str">
        <f>$V$54</f>
        <v>Galileo</v>
      </c>
      <c r="BL342" s="108">
        <v>0</v>
      </c>
      <c r="BM342" s="108">
        <v>0</v>
      </c>
      <c r="BN342" s="108">
        <v>0</v>
      </c>
      <c r="BO342" s="108">
        <v>0</v>
      </c>
      <c r="BP342" s="108">
        <v>0</v>
      </c>
      <c r="BQ342" s="108">
        <v>0</v>
      </c>
      <c r="BR342" s="108">
        <v>0</v>
      </c>
      <c r="BS342" s="108">
        <v>0</v>
      </c>
      <c r="BT342" s="108">
        <v>0</v>
      </c>
      <c r="BU342" s="108">
        <v>0</v>
      </c>
      <c r="BV342" s="108">
        <v>0</v>
      </c>
      <c r="BW342" s="108">
        <v>0</v>
      </c>
      <c r="BX342" s="108">
        <v>0</v>
      </c>
      <c r="BY342" s="108">
        <v>0</v>
      </c>
      <c r="BZ342" s="108">
        <v>0</v>
      </c>
      <c r="CA342" s="108">
        <v>0</v>
      </c>
      <c r="CB342" s="108">
        <v>0</v>
      </c>
    </row>
    <row r="343" spans="18:80" x14ac:dyDescent="0.55000000000000004">
      <c r="R343" s="104" t="str">
        <f>$V$84</f>
        <v>-</v>
      </c>
      <c r="S343" s="104">
        <f t="shared" si="147"/>
        <v>0</v>
      </c>
      <c r="T343" s="28" t="s">
        <v>26</v>
      </c>
      <c r="V343" s="104" t="str">
        <f>$V$84</f>
        <v>-</v>
      </c>
      <c r="W343" s="104">
        <f t="shared" si="148"/>
        <v>-8</v>
      </c>
      <c r="AM343" s="108"/>
      <c r="AQ343" s="104" t="str">
        <f>$V$82</f>
        <v>-</v>
      </c>
      <c r="AR343" s="54">
        <v>0</v>
      </c>
      <c r="AS343" s="54">
        <v>0</v>
      </c>
      <c r="AT343" s="54">
        <v>0</v>
      </c>
      <c r="AU343" s="54">
        <v>0</v>
      </c>
      <c r="AV343" s="54">
        <v>0</v>
      </c>
      <c r="AW343" s="54">
        <v>0</v>
      </c>
      <c r="AX343" s="54">
        <v>0</v>
      </c>
      <c r="AY343" s="54">
        <v>0</v>
      </c>
      <c r="AZ343" s="54">
        <v>0</v>
      </c>
      <c r="BA343" s="54">
        <v>0</v>
      </c>
      <c r="BB343" s="54">
        <v>0</v>
      </c>
      <c r="BC343" s="54">
        <v>0</v>
      </c>
      <c r="BD343" s="54">
        <v>0</v>
      </c>
      <c r="BE343" s="54">
        <v>0</v>
      </c>
      <c r="BF343" s="54">
        <v>0</v>
      </c>
      <c r="BG343" s="54">
        <v>0</v>
      </c>
      <c r="BH343" s="54">
        <v>0</v>
      </c>
      <c r="BK343" s="104" t="str">
        <f>$V$55</f>
        <v>Óscar</v>
      </c>
      <c r="BL343" s="108">
        <v>0</v>
      </c>
      <c r="BM343" s="108">
        <v>0</v>
      </c>
      <c r="BN343" s="108">
        <v>0</v>
      </c>
      <c r="BO343" s="108">
        <v>0</v>
      </c>
      <c r="BP343" s="108">
        <v>0</v>
      </c>
      <c r="BQ343" s="108">
        <v>0</v>
      </c>
      <c r="BR343" s="108">
        <v>0</v>
      </c>
      <c r="BS343" s="108">
        <v>0</v>
      </c>
      <c r="BT343" s="108">
        <v>0</v>
      </c>
      <c r="BU343" s="108">
        <v>0</v>
      </c>
      <c r="BV343" s="108">
        <v>0</v>
      </c>
      <c r="BW343" s="108">
        <v>0</v>
      </c>
      <c r="BX343" s="108">
        <v>0</v>
      </c>
      <c r="BY343" s="108">
        <v>0</v>
      </c>
      <c r="BZ343" s="108">
        <v>0</v>
      </c>
      <c r="CA343" s="108">
        <v>0</v>
      </c>
      <c r="CB343" s="108">
        <v>0</v>
      </c>
    </row>
    <row r="344" spans="18:80" x14ac:dyDescent="0.55000000000000004">
      <c r="R344" s="104" t="str">
        <f>$V$85</f>
        <v>-</v>
      </c>
      <c r="S344" s="104">
        <f t="shared" si="147"/>
        <v>0</v>
      </c>
      <c r="T344" s="28" t="s">
        <v>26</v>
      </c>
      <c r="V344" s="104" t="str">
        <f>$V$85</f>
        <v>-</v>
      </c>
      <c r="W344" s="104">
        <f t="shared" si="148"/>
        <v>-8</v>
      </c>
      <c r="AM344" s="108"/>
      <c r="AQ344" s="104" t="str">
        <f>$V$83</f>
        <v>-</v>
      </c>
      <c r="AR344" s="54">
        <v>0</v>
      </c>
      <c r="AS344" s="54">
        <v>0</v>
      </c>
      <c r="AT344" s="54">
        <v>0</v>
      </c>
      <c r="AU344" s="54">
        <v>0</v>
      </c>
      <c r="AV344" s="54">
        <v>0</v>
      </c>
      <c r="AW344" s="54">
        <v>0</v>
      </c>
      <c r="AX344" s="54">
        <v>0</v>
      </c>
      <c r="AY344" s="54">
        <v>0</v>
      </c>
      <c r="AZ344" s="54">
        <v>0</v>
      </c>
      <c r="BA344" s="54">
        <v>0</v>
      </c>
      <c r="BB344" s="54">
        <v>0</v>
      </c>
      <c r="BC344" s="54">
        <v>0</v>
      </c>
      <c r="BD344" s="54">
        <v>0</v>
      </c>
      <c r="BE344" s="54">
        <v>0</v>
      </c>
      <c r="BF344" s="54">
        <v>0</v>
      </c>
      <c r="BG344" s="54">
        <v>0</v>
      </c>
      <c r="BH344" s="54">
        <v>0</v>
      </c>
      <c r="BK344" s="104" t="str">
        <f>$V$56</f>
        <v>Sebastián</v>
      </c>
      <c r="BL344" s="108">
        <v>0</v>
      </c>
      <c r="BM344" s="108">
        <v>0</v>
      </c>
      <c r="BN344" s="108">
        <v>0</v>
      </c>
      <c r="BO344" s="108">
        <v>0</v>
      </c>
      <c r="BP344" s="108">
        <v>0</v>
      </c>
      <c r="BQ344" s="108">
        <v>0</v>
      </c>
      <c r="BR344" s="108">
        <v>0</v>
      </c>
      <c r="BS344" s="108">
        <v>0</v>
      </c>
      <c r="BT344" s="108">
        <v>0</v>
      </c>
      <c r="BU344" s="108">
        <v>0</v>
      </c>
      <c r="BV344" s="108">
        <v>0</v>
      </c>
      <c r="BW344" s="108">
        <v>0</v>
      </c>
      <c r="BX344" s="108">
        <v>0</v>
      </c>
      <c r="BY344" s="108">
        <v>0</v>
      </c>
      <c r="BZ344" s="108">
        <v>0</v>
      </c>
      <c r="CA344" s="108">
        <v>0</v>
      </c>
      <c r="CB344" s="108">
        <v>0</v>
      </c>
    </row>
    <row r="345" spans="18:80" x14ac:dyDescent="0.55000000000000004">
      <c r="R345" s="104" t="str">
        <f>$V$86</f>
        <v>-</v>
      </c>
      <c r="S345" s="104">
        <f t="shared" si="147"/>
        <v>0</v>
      </c>
      <c r="T345" s="28" t="s">
        <v>26</v>
      </c>
      <c r="V345" s="104" t="str">
        <f>$V$86</f>
        <v>-</v>
      </c>
      <c r="W345" s="104">
        <f t="shared" si="148"/>
        <v>-8</v>
      </c>
      <c r="AM345" s="108"/>
      <c r="AQ345" s="104" t="str">
        <f>$V$84</f>
        <v>-</v>
      </c>
      <c r="AR345" s="54">
        <v>0</v>
      </c>
      <c r="AS345" s="54">
        <v>0</v>
      </c>
      <c r="AT345" s="54">
        <v>0</v>
      </c>
      <c r="AU345" s="54">
        <v>0</v>
      </c>
      <c r="AV345" s="54">
        <v>0</v>
      </c>
      <c r="AW345" s="54">
        <v>0</v>
      </c>
      <c r="AX345" s="54">
        <v>0</v>
      </c>
      <c r="AY345" s="54">
        <v>0</v>
      </c>
      <c r="AZ345" s="54">
        <v>0</v>
      </c>
      <c r="BA345" s="54">
        <v>0</v>
      </c>
      <c r="BB345" s="54">
        <v>0</v>
      </c>
      <c r="BC345" s="54">
        <v>0</v>
      </c>
      <c r="BD345" s="54">
        <v>0</v>
      </c>
      <c r="BE345" s="54">
        <v>0</v>
      </c>
      <c r="BF345" s="54">
        <v>0</v>
      </c>
      <c r="BG345" s="54">
        <v>0</v>
      </c>
      <c r="BH345" s="54">
        <v>0</v>
      </c>
      <c r="BK345" s="104" t="str">
        <f>$V$57</f>
        <v>Marcos</v>
      </c>
      <c r="BL345" s="108">
        <v>0</v>
      </c>
      <c r="BM345" s="108">
        <v>0</v>
      </c>
      <c r="BN345" s="108">
        <v>0</v>
      </c>
      <c r="BO345" s="108">
        <v>0</v>
      </c>
      <c r="BP345" s="108">
        <v>0</v>
      </c>
      <c r="BQ345" s="108">
        <v>0</v>
      </c>
      <c r="BR345" s="108">
        <v>0</v>
      </c>
      <c r="BS345" s="108">
        <v>0</v>
      </c>
      <c r="BT345" s="108">
        <v>0</v>
      </c>
      <c r="BU345" s="108">
        <v>0</v>
      </c>
      <c r="BV345" s="108">
        <v>0</v>
      </c>
      <c r="BW345" s="108">
        <v>0</v>
      </c>
      <c r="BX345" s="108">
        <v>0</v>
      </c>
      <c r="BY345" s="108">
        <v>0</v>
      </c>
      <c r="BZ345" s="108">
        <v>0</v>
      </c>
      <c r="CA345" s="108">
        <v>0</v>
      </c>
      <c r="CB345" s="108">
        <v>0</v>
      </c>
    </row>
    <row r="346" spans="18:80" x14ac:dyDescent="0.55000000000000004">
      <c r="R346" s="104" t="str">
        <f>$V$87</f>
        <v>-</v>
      </c>
      <c r="S346" s="104">
        <f t="shared" si="147"/>
        <v>-2</v>
      </c>
      <c r="T346" s="28" t="s">
        <v>26</v>
      </c>
      <c r="V346" s="104" t="str">
        <f>$V$87</f>
        <v>-</v>
      </c>
      <c r="W346" s="104">
        <f t="shared" si="148"/>
        <v>-8</v>
      </c>
      <c r="AM346" s="108"/>
      <c r="AQ346" s="104" t="str">
        <f>$V$85</f>
        <v>-</v>
      </c>
      <c r="AR346" s="54">
        <v>0</v>
      </c>
      <c r="AS346" s="54">
        <v>0</v>
      </c>
      <c r="AT346" s="54">
        <v>0</v>
      </c>
      <c r="AU346" s="54">
        <v>0</v>
      </c>
      <c r="AV346" s="54">
        <v>0</v>
      </c>
      <c r="AW346" s="54">
        <v>0</v>
      </c>
      <c r="AX346" s="54">
        <v>0</v>
      </c>
      <c r="AY346" s="54">
        <v>0</v>
      </c>
      <c r="AZ346" s="54">
        <v>0</v>
      </c>
      <c r="BA346" s="54">
        <v>0</v>
      </c>
      <c r="BB346" s="54">
        <v>0</v>
      </c>
      <c r="BC346" s="54">
        <v>0</v>
      </c>
      <c r="BD346" s="54">
        <v>0</v>
      </c>
      <c r="BE346" s="54">
        <v>0</v>
      </c>
      <c r="BF346" s="54">
        <v>0</v>
      </c>
      <c r="BG346" s="54">
        <v>0</v>
      </c>
      <c r="BH346" s="54">
        <v>0</v>
      </c>
      <c r="BK346" s="104" t="str">
        <f>$V$58</f>
        <v>Weixin</v>
      </c>
      <c r="BL346" s="108">
        <v>0</v>
      </c>
      <c r="BM346" s="108">
        <v>0</v>
      </c>
      <c r="BN346" s="108">
        <v>0</v>
      </c>
      <c r="BO346" s="108">
        <v>0</v>
      </c>
      <c r="BP346" s="108">
        <v>0</v>
      </c>
      <c r="BQ346" s="108">
        <v>0</v>
      </c>
      <c r="BR346" s="108">
        <v>0</v>
      </c>
      <c r="BS346" s="108">
        <v>0</v>
      </c>
      <c r="BT346" s="108">
        <v>0</v>
      </c>
      <c r="BU346" s="108">
        <v>0</v>
      </c>
      <c r="BV346" s="108">
        <v>0</v>
      </c>
      <c r="BW346" s="108">
        <v>0</v>
      </c>
      <c r="BX346" s="108">
        <v>0</v>
      </c>
      <c r="BY346" s="108">
        <v>0</v>
      </c>
      <c r="BZ346" s="108">
        <v>0</v>
      </c>
      <c r="CA346" s="108">
        <v>0</v>
      </c>
      <c r="CB346" s="108">
        <v>0</v>
      </c>
    </row>
    <row r="347" spans="18:80" x14ac:dyDescent="0.55000000000000004">
      <c r="R347" s="104" t="str">
        <f>$V$88</f>
        <v>-</v>
      </c>
      <c r="S347" s="104">
        <f t="shared" si="147"/>
        <v>0</v>
      </c>
      <c r="T347" s="28" t="s">
        <v>26</v>
      </c>
      <c r="V347" s="104" t="str">
        <f>$V$88</f>
        <v>-</v>
      </c>
      <c r="W347" s="104">
        <f t="shared" si="148"/>
        <v>-8</v>
      </c>
      <c r="AM347" s="108"/>
      <c r="AQ347" s="104" t="str">
        <f>$V$86</f>
        <v>-</v>
      </c>
      <c r="AR347" s="54">
        <v>0</v>
      </c>
      <c r="AS347" s="54">
        <v>0</v>
      </c>
      <c r="AT347" s="54">
        <v>0</v>
      </c>
      <c r="AU347" s="54">
        <v>0</v>
      </c>
      <c r="AV347" s="54">
        <v>0</v>
      </c>
      <c r="AW347" s="54">
        <v>0</v>
      </c>
      <c r="AX347" s="54">
        <v>0</v>
      </c>
      <c r="AY347" s="54">
        <v>0</v>
      </c>
      <c r="AZ347" s="54">
        <v>0</v>
      </c>
      <c r="BA347" s="54">
        <v>0</v>
      </c>
      <c r="BB347" s="54">
        <v>0</v>
      </c>
      <c r="BC347" s="54">
        <v>0</v>
      </c>
      <c r="BD347" s="54">
        <v>0</v>
      </c>
      <c r="BE347" s="54">
        <v>0</v>
      </c>
      <c r="BF347" s="54">
        <v>0</v>
      </c>
      <c r="BG347" s="54">
        <v>0</v>
      </c>
      <c r="BH347" s="54">
        <v>0</v>
      </c>
      <c r="BK347" s="104" t="str">
        <f>$V$59</f>
        <v>Benjamin</v>
      </c>
      <c r="BL347" s="108">
        <v>0</v>
      </c>
      <c r="BM347" s="108">
        <v>0</v>
      </c>
      <c r="BN347" s="108">
        <v>0</v>
      </c>
      <c r="BO347" s="108">
        <v>0</v>
      </c>
      <c r="BP347" s="108">
        <v>0</v>
      </c>
      <c r="BQ347" s="108">
        <v>0</v>
      </c>
      <c r="BR347" s="108">
        <v>0</v>
      </c>
      <c r="BS347" s="108">
        <v>0</v>
      </c>
      <c r="BT347" s="108">
        <v>0</v>
      </c>
      <c r="BU347" s="108">
        <v>0</v>
      </c>
      <c r="BV347" s="108">
        <v>0</v>
      </c>
      <c r="BW347" s="108">
        <v>0</v>
      </c>
      <c r="BX347" s="108">
        <v>0</v>
      </c>
      <c r="BY347" s="108">
        <v>0</v>
      </c>
      <c r="BZ347" s="108">
        <v>0</v>
      </c>
      <c r="CA347" s="108">
        <v>0</v>
      </c>
      <c r="CB347" s="108">
        <v>0</v>
      </c>
    </row>
    <row r="348" spans="18:80" x14ac:dyDescent="0.55000000000000004">
      <c r="R348" s="104" t="str">
        <f>$V$89</f>
        <v>-</v>
      </c>
      <c r="S348" s="104">
        <f t="shared" si="147"/>
        <v>0</v>
      </c>
      <c r="T348" s="28" t="s">
        <v>26</v>
      </c>
      <c r="V348" s="104" t="str">
        <f>$V$89</f>
        <v>-</v>
      </c>
      <c r="W348" s="104">
        <f t="shared" si="148"/>
        <v>-8</v>
      </c>
      <c r="AM348" s="108"/>
      <c r="AQ348" s="104" t="str">
        <f>$V$87</f>
        <v>-</v>
      </c>
      <c r="AR348" s="54">
        <v>0</v>
      </c>
      <c r="AS348" s="54">
        <v>0</v>
      </c>
      <c r="AT348" s="54">
        <v>0</v>
      </c>
      <c r="AU348" s="54">
        <v>0</v>
      </c>
      <c r="AV348" s="54">
        <v>0</v>
      </c>
      <c r="AW348" s="54">
        <v>0</v>
      </c>
      <c r="AX348" s="54">
        <v>0</v>
      </c>
      <c r="AY348" s="54">
        <v>0</v>
      </c>
      <c r="AZ348" s="54">
        <v>0</v>
      </c>
      <c r="BA348" s="54">
        <v>0</v>
      </c>
      <c r="BB348" s="54">
        <v>0</v>
      </c>
      <c r="BC348" s="54">
        <v>0</v>
      </c>
      <c r="BD348" s="54">
        <v>0</v>
      </c>
      <c r="BE348" s="54">
        <v>0</v>
      </c>
      <c r="BF348" s="54">
        <v>0</v>
      </c>
      <c r="BG348" s="54">
        <v>0</v>
      </c>
      <c r="BH348" s="54">
        <v>0</v>
      </c>
      <c r="BK348" s="104" t="str">
        <f>$V$60</f>
        <v>Joelle</v>
      </c>
      <c r="BL348" s="108">
        <v>0</v>
      </c>
      <c r="BM348" s="108">
        <v>0</v>
      </c>
      <c r="BN348" s="108">
        <v>0</v>
      </c>
      <c r="BO348" s="108">
        <v>0</v>
      </c>
      <c r="BP348" s="108">
        <v>0</v>
      </c>
      <c r="BQ348" s="108">
        <v>0</v>
      </c>
      <c r="BR348" s="108">
        <v>0</v>
      </c>
      <c r="BS348" s="108">
        <v>0</v>
      </c>
      <c r="BT348" s="108">
        <v>0</v>
      </c>
      <c r="BU348" s="108">
        <v>0</v>
      </c>
      <c r="BV348" s="108">
        <v>0</v>
      </c>
      <c r="BW348" s="108">
        <v>0</v>
      </c>
      <c r="BX348" s="108">
        <v>0</v>
      </c>
      <c r="BY348" s="108">
        <v>0</v>
      </c>
      <c r="BZ348" s="108">
        <v>0</v>
      </c>
      <c r="CA348" s="108">
        <v>0</v>
      </c>
      <c r="CB348" s="108">
        <v>0</v>
      </c>
    </row>
    <row r="349" spans="18:80" x14ac:dyDescent="0.55000000000000004">
      <c r="R349" s="104" t="str">
        <f>$V$90</f>
        <v>-</v>
      </c>
      <c r="S349" s="104">
        <f t="shared" si="147"/>
        <v>0</v>
      </c>
      <c r="T349" s="28" t="s">
        <v>26</v>
      </c>
      <c r="V349" s="104" t="str">
        <f>$V$90</f>
        <v>-</v>
      </c>
      <c r="W349" s="104">
        <f t="shared" si="148"/>
        <v>-8</v>
      </c>
      <c r="AM349" s="108"/>
      <c r="AQ349" s="104" t="str">
        <f>$V$88</f>
        <v>-</v>
      </c>
      <c r="AR349" s="54">
        <v>0</v>
      </c>
      <c r="AS349" s="54">
        <v>0</v>
      </c>
      <c r="AT349" s="54">
        <v>0</v>
      </c>
      <c r="AU349" s="54">
        <v>0</v>
      </c>
      <c r="AV349" s="54">
        <v>0</v>
      </c>
      <c r="AW349" s="54">
        <v>0</v>
      </c>
      <c r="AX349" s="54">
        <v>0</v>
      </c>
      <c r="AY349" s="54">
        <v>0</v>
      </c>
      <c r="AZ349" s="54">
        <v>0</v>
      </c>
      <c r="BA349" s="54">
        <v>0</v>
      </c>
      <c r="BB349" s="54">
        <v>0</v>
      </c>
      <c r="BC349" s="54">
        <v>0</v>
      </c>
      <c r="BD349" s="54">
        <v>0</v>
      </c>
      <c r="BE349" s="54">
        <v>0</v>
      </c>
      <c r="BF349" s="54">
        <v>0</v>
      </c>
      <c r="BG349" s="54">
        <v>0</v>
      </c>
      <c r="BH349" s="54">
        <v>0</v>
      </c>
      <c r="BK349" s="104" t="str">
        <f>$V$61</f>
        <v>Alexia</v>
      </c>
      <c r="BL349" s="108">
        <v>0</v>
      </c>
      <c r="BM349" s="108">
        <v>0</v>
      </c>
      <c r="BN349" s="108">
        <v>0</v>
      </c>
      <c r="BO349" s="108">
        <v>0</v>
      </c>
      <c r="BP349" s="108">
        <v>0</v>
      </c>
      <c r="BQ349" s="108">
        <v>0</v>
      </c>
      <c r="BR349" s="108">
        <v>0</v>
      </c>
      <c r="BS349" s="108">
        <v>0</v>
      </c>
      <c r="BT349" s="108">
        <v>0</v>
      </c>
      <c r="BU349" s="108">
        <v>0</v>
      </c>
      <c r="BV349" s="108">
        <v>0</v>
      </c>
      <c r="BW349" s="108">
        <v>0</v>
      </c>
      <c r="BX349" s="108">
        <v>0</v>
      </c>
      <c r="BY349" s="108">
        <v>0</v>
      </c>
      <c r="BZ349" s="108">
        <v>0</v>
      </c>
      <c r="CA349" s="108">
        <v>0</v>
      </c>
      <c r="CB349" s="108">
        <v>0</v>
      </c>
    </row>
    <row r="350" spans="18:80" x14ac:dyDescent="0.55000000000000004">
      <c r="R350" s="104" t="str">
        <f>$V$91</f>
        <v>-</v>
      </c>
      <c r="S350" s="104">
        <f t="shared" si="147"/>
        <v>0</v>
      </c>
      <c r="T350" s="28" t="s">
        <v>26</v>
      </c>
      <c r="V350" s="104" t="str">
        <f>$V$91</f>
        <v>-</v>
      </c>
      <c r="W350" s="104">
        <f t="shared" si="148"/>
        <v>-8</v>
      </c>
      <c r="AM350" s="108"/>
      <c r="AQ350" s="104" t="str">
        <f>$V$89</f>
        <v>-</v>
      </c>
      <c r="AR350" s="54">
        <v>0</v>
      </c>
      <c r="AS350" s="54">
        <v>0</v>
      </c>
      <c r="AT350" s="54">
        <v>0</v>
      </c>
      <c r="AU350" s="54">
        <v>0</v>
      </c>
      <c r="AV350" s="54">
        <v>0</v>
      </c>
      <c r="AW350" s="54">
        <v>0</v>
      </c>
      <c r="AX350" s="54">
        <v>0</v>
      </c>
      <c r="AY350" s="54">
        <v>0</v>
      </c>
      <c r="AZ350" s="54">
        <v>0</v>
      </c>
      <c r="BA350" s="54">
        <v>0</v>
      </c>
      <c r="BB350" s="54">
        <v>0</v>
      </c>
      <c r="BC350" s="54">
        <v>0</v>
      </c>
      <c r="BD350" s="54">
        <v>0</v>
      </c>
      <c r="BE350" s="54">
        <v>0</v>
      </c>
      <c r="BF350" s="54">
        <v>0</v>
      </c>
      <c r="BG350" s="54">
        <v>0</v>
      </c>
      <c r="BH350" s="54">
        <v>0</v>
      </c>
      <c r="BK350" s="104" t="str">
        <f>$V$62</f>
        <v>Joao</v>
      </c>
      <c r="BL350" s="108">
        <v>0</v>
      </c>
      <c r="BM350" s="108">
        <v>0</v>
      </c>
      <c r="BN350" s="108">
        <v>0</v>
      </c>
      <c r="BO350" s="108">
        <v>0</v>
      </c>
      <c r="BP350" s="108">
        <v>0</v>
      </c>
      <c r="BQ350" s="108">
        <v>0</v>
      </c>
      <c r="BR350" s="108">
        <v>0</v>
      </c>
      <c r="BS350" s="108">
        <v>0</v>
      </c>
      <c r="BT350" s="108">
        <v>0</v>
      </c>
      <c r="BU350" s="108">
        <v>0</v>
      </c>
      <c r="BV350" s="108">
        <v>0</v>
      </c>
      <c r="BW350" s="108">
        <v>0</v>
      </c>
      <c r="BX350" s="108">
        <v>0</v>
      </c>
      <c r="BY350" s="108">
        <v>0</v>
      </c>
      <c r="BZ350" s="108">
        <v>0</v>
      </c>
      <c r="CA350" s="108">
        <v>0</v>
      </c>
      <c r="CB350" s="108">
        <v>0</v>
      </c>
    </row>
    <row r="351" spans="18:80" x14ac:dyDescent="0.55000000000000004">
      <c r="R351" s="104" t="str">
        <f>$V$92</f>
        <v>-</v>
      </c>
      <c r="S351" s="104">
        <f t="shared" si="147"/>
        <v>0</v>
      </c>
      <c r="T351" s="28" t="s">
        <v>26</v>
      </c>
      <c r="V351" s="104" t="str">
        <f>$V$92</f>
        <v>-</v>
      </c>
      <c r="W351" s="104">
        <f t="shared" si="148"/>
        <v>-8</v>
      </c>
      <c r="AM351" s="108"/>
      <c r="AQ351" s="104" t="str">
        <f>$V$90</f>
        <v>-</v>
      </c>
      <c r="AR351" s="54">
        <v>0</v>
      </c>
      <c r="AS351" s="54">
        <v>0</v>
      </c>
      <c r="AT351" s="54">
        <v>0</v>
      </c>
      <c r="AU351" s="54">
        <v>0</v>
      </c>
      <c r="AV351" s="54">
        <v>0</v>
      </c>
      <c r="AW351" s="54">
        <v>0</v>
      </c>
      <c r="AX351" s="54">
        <v>0</v>
      </c>
      <c r="AY351" s="54">
        <v>0</v>
      </c>
      <c r="AZ351" s="54">
        <v>0</v>
      </c>
      <c r="BA351" s="54">
        <v>0</v>
      </c>
      <c r="BB351" s="54">
        <v>0</v>
      </c>
      <c r="BC351" s="54">
        <v>0</v>
      </c>
      <c r="BD351" s="54">
        <v>0</v>
      </c>
      <c r="BE351" s="54">
        <v>0</v>
      </c>
      <c r="BF351" s="54">
        <v>0</v>
      </c>
      <c r="BG351" s="54">
        <v>0</v>
      </c>
      <c r="BH351" s="54">
        <v>0</v>
      </c>
      <c r="BK351" s="104" t="str">
        <f>$V$63</f>
        <v>Maxime</v>
      </c>
      <c r="BL351" s="108">
        <v>0</v>
      </c>
      <c r="BM351" s="108">
        <v>0</v>
      </c>
      <c r="BN351" s="108">
        <v>0</v>
      </c>
      <c r="BO351" s="108">
        <v>0</v>
      </c>
      <c r="BP351" s="108">
        <v>0</v>
      </c>
      <c r="BQ351" s="108">
        <v>0</v>
      </c>
      <c r="BR351" s="108">
        <v>0</v>
      </c>
      <c r="BS351" s="108">
        <v>0</v>
      </c>
      <c r="BT351" s="108">
        <v>0</v>
      </c>
      <c r="BU351" s="108">
        <v>0</v>
      </c>
      <c r="BV351" s="108">
        <v>0</v>
      </c>
      <c r="BW351" s="108">
        <v>0</v>
      </c>
      <c r="BX351" s="108">
        <v>0</v>
      </c>
      <c r="BY351" s="108">
        <v>0</v>
      </c>
      <c r="BZ351" s="108">
        <v>0</v>
      </c>
      <c r="CA351" s="108">
        <v>0</v>
      </c>
      <c r="CB351" s="108">
        <v>0</v>
      </c>
    </row>
    <row r="352" spans="18:80" x14ac:dyDescent="0.55000000000000004">
      <c r="AM352" s="108"/>
      <c r="AQ352" s="104" t="str">
        <f>$V$91</f>
        <v>-</v>
      </c>
      <c r="AR352" s="54">
        <v>0</v>
      </c>
      <c r="AS352" s="54">
        <v>0</v>
      </c>
      <c r="AT352" s="54">
        <v>0</v>
      </c>
      <c r="AU352" s="54">
        <v>0</v>
      </c>
      <c r="AV352" s="54">
        <v>0</v>
      </c>
      <c r="AW352" s="54">
        <v>0</v>
      </c>
      <c r="AX352" s="54">
        <v>0</v>
      </c>
      <c r="AY352" s="54">
        <v>0</v>
      </c>
      <c r="AZ352" s="54">
        <v>0</v>
      </c>
      <c r="BA352" s="54">
        <v>0</v>
      </c>
      <c r="BB352" s="54">
        <v>0</v>
      </c>
      <c r="BC352" s="54">
        <v>0</v>
      </c>
      <c r="BD352" s="54">
        <v>0</v>
      </c>
      <c r="BE352" s="54">
        <v>0</v>
      </c>
      <c r="BF352" s="54">
        <v>0</v>
      </c>
      <c r="BG352" s="54">
        <v>0</v>
      </c>
      <c r="BH352" s="54">
        <v>0</v>
      </c>
      <c r="BK352" s="104" t="str">
        <f>$V$64</f>
        <v>Alex</v>
      </c>
      <c r="BL352" s="108">
        <v>0</v>
      </c>
      <c r="BM352" s="108">
        <v>0</v>
      </c>
      <c r="BN352" s="108">
        <v>0</v>
      </c>
      <c r="BO352" s="108">
        <v>0</v>
      </c>
      <c r="BP352" s="108">
        <v>0</v>
      </c>
      <c r="BQ352" s="108">
        <v>0</v>
      </c>
      <c r="BR352" s="108">
        <v>0</v>
      </c>
      <c r="BS352" s="108">
        <v>0</v>
      </c>
      <c r="BT352" s="108">
        <v>0</v>
      </c>
      <c r="BU352" s="108">
        <v>0</v>
      </c>
      <c r="BV352" s="108">
        <v>0</v>
      </c>
      <c r="BW352" s="108">
        <v>0</v>
      </c>
      <c r="BX352" s="108">
        <v>0</v>
      </c>
      <c r="BY352" s="108">
        <v>0</v>
      </c>
      <c r="BZ352" s="108">
        <v>0</v>
      </c>
      <c r="CA352" s="108">
        <v>0</v>
      </c>
      <c r="CB352" s="108">
        <v>0</v>
      </c>
    </row>
    <row r="353" spans="2:80" x14ac:dyDescent="0.55000000000000004">
      <c r="AM353" s="108"/>
      <c r="AQ353" s="104" t="str">
        <f>$V$92</f>
        <v>-</v>
      </c>
      <c r="AR353" s="54">
        <v>0</v>
      </c>
      <c r="AS353" s="54">
        <v>0</v>
      </c>
      <c r="AT353" s="54">
        <v>0</v>
      </c>
      <c r="AU353" s="54">
        <v>0</v>
      </c>
      <c r="AV353" s="54">
        <v>0</v>
      </c>
      <c r="AW353" s="54">
        <v>0</v>
      </c>
      <c r="AX353" s="54">
        <v>0</v>
      </c>
      <c r="AY353" s="54">
        <v>0</v>
      </c>
      <c r="AZ353" s="54">
        <v>0</v>
      </c>
      <c r="BA353" s="54">
        <v>0</v>
      </c>
      <c r="BB353" s="54">
        <v>0</v>
      </c>
      <c r="BC353" s="54">
        <v>0</v>
      </c>
      <c r="BD353" s="54">
        <v>0</v>
      </c>
      <c r="BE353" s="54">
        <v>0</v>
      </c>
      <c r="BF353" s="54">
        <v>0</v>
      </c>
      <c r="BG353" s="54">
        <v>0</v>
      </c>
      <c r="BH353" s="54">
        <v>0</v>
      </c>
      <c r="BK353" s="104" t="str">
        <f>$V$65</f>
        <v>Alyssa</v>
      </c>
      <c r="BL353" s="108">
        <v>0</v>
      </c>
      <c r="BM353" s="108">
        <v>0</v>
      </c>
      <c r="BN353" s="108">
        <v>0</v>
      </c>
      <c r="BO353" s="108">
        <v>0</v>
      </c>
      <c r="BP353" s="108">
        <v>0</v>
      </c>
      <c r="BQ353" s="108">
        <v>0</v>
      </c>
      <c r="BR353" s="108">
        <v>0</v>
      </c>
      <c r="BS353" s="108">
        <v>0</v>
      </c>
      <c r="BT353" s="108">
        <v>0</v>
      </c>
      <c r="BU353" s="108">
        <v>0</v>
      </c>
      <c r="BV353" s="108">
        <v>0</v>
      </c>
      <c r="BW353" s="108">
        <v>0</v>
      </c>
      <c r="BX353" s="108">
        <v>0</v>
      </c>
      <c r="BY353" s="108">
        <v>0</v>
      </c>
      <c r="BZ353" s="108">
        <v>0</v>
      </c>
      <c r="CA353" s="108">
        <v>0</v>
      </c>
      <c r="CB353" s="108">
        <v>0</v>
      </c>
    </row>
    <row r="354" spans="2:80" x14ac:dyDescent="0.55000000000000004">
      <c r="AM354" s="108"/>
      <c r="AP354" t="str">
        <f>$V$42</f>
        <v>Çapèse</v>
      </c>
      <c r="AQ354" s="104" t="str">
        <f>$V$53</f>
        <v>Jennifer</v>
      </c>
      <c r="AR354" s="54">
        <v>0</v>
      </c>
      <c r="AS354" s="54">
        <v>0</v>
      </c>
      <c r="AT354" s="54">
        <v>0</v>
      </c>
      <c r="AU354" s="54">
        <v>0</v>
      </c>
      <c r="AV354" s="54">
        <v>0</v>
      </c>
      <c r="AW354" s="54">
        <v>0</v>
      </c>
      <c r="AX354" s="54">
        <v>0</v>
      </c>
      <c r="AY354" s="54">
        <v>0</v>
      </c>
      <c r="AZ354" s="54">
        <v>0</v>
      </c>
      <c r="BA354" s="54">
        <v>0</v>
      </c>
      <c r="BB354" s="54">
        <v>0</v>
      </c>
      <c r="BC354" s="54">
        <v>0</v>
      </c>
      <c r="BD354" s="54">
        <v>0</v>
      </c>
      <c r="BE354" s="54">
        <v>0</v>
      </c>
      <c r="BF354" s="54">
        <v>0</v>
      </c>
      <c r="BG354" s="54">
        <v>0</v>
      </c>
      <c r="BH354" s="54">
        <v>0</v>
      </c>
      <c r="BK354" s="104" t="str">
        <f>$V$66</f>
        <v>Amanda</v>
      </c>
      <c r="BL354" s="108">
        <v>0</v>
      </c>
      <c r="BM354" s="108">
        <v>0</v>
      </c>
      <c r="BN354" s="108">
        <v>0</v>
      </c>
      <c r="BO354" s="108">
        <v>0</v>
      </c>
      <c r="BP354" s="108">
        <v>0</v>
      </c>
      <c r="BQ354" s="108">
        <v>0</v>
      </c>
      <c r="BR354" s="108">
        <v>0</v>
      </c>
      <c r="BS354" s="108">
        <v>0</v>
      </c>
      <c r="BT354" s="108">
        <v>0</v>
      </c>
      <c r="BU354" s="108">
        <v>0</v>
      </c>
      <c r="BV354" s="108">
        <v>0</v>
      </c>
      <c r="BW354" s="108">
        <v>0</v>
      </c>
      <c r="BX354" s="108">
        <v>0</v>
      </c>
      <c r="BY354" s="108">
        <v>0</v>
      </c>
      <c r="BZ354" s="108">
        <v>0</v>
      </c>
      <c r="CA354" s="108">
        <v>0</v>
      </c>
      <c r="CB354" s="108">
        <v>0</v>
      </c>
    </row>
    <row r="355" spans="2:80" x14ac:dyDescent="0.55000000000000004">
      <c r="AM355" s="108"/>
      <c r="AQ355" s="104" t="str">
        <f>$V$54</f>
        <v>Galileo</v>
      </c>
      <c r="AR355" s="54">
        <v>0</v>
      </c>
      <c r="AS355" s="54">
        <v>0</v>
      </c>
      <c r="AT355" s="54">
        <v>0</v>
      </c>
      <c r="AU355" s="54">
        <v>0</v>
      </c>
      <c r="AV355" s="54">
        <v>0</v>
      </c>
      <c r="AW355" s="54">
        <v>0</v>
      </c>
      <c r="AX355" s="54">
        <v>0</v>
      </c>
      <c r="AY355" s="54">
        <v>0</v>
      </c>
      <c r="AZ355" s="54">
        <v>0</v>
      </c>
      <c r="BA355" s="54">
        <v>0</v>
      </c>
      <c r="BB355" s="54">
        <v>0</v>
      </c>
      <c r="BC355" s="54">
        <v>0</v>
      </c>
      <c r="BD355" s="54">
        <v>0</v>
      </c>
      <c r="BE355" s="54">
        <v>0</v>
      </c>
      <c r="BF355" s="54">
        <v>0</v>
      </c>
      <c r="BG355" s="54">
        <v>0</v>
      </c>
      <c r="BH355" s="54">
        <v>0</v>
      </c>
      <c r="BK355" s="104" t="str">
        <f>$V$67</f>
        <v>Antoine</v>
      </c>
      <c r="BL355" s="108">
        <v>0</v>
      </c>
      <c r="BM355" s="108">
        <v>0</v>
      </c>
      <c r="BN355" s="108">
        <v>0</v>
      </c>
      <c r="BO355" s="108">
        <v>0</v>
      </c>
      <c r="BP355" s="108">
        <v>0</v>
      </c>
      <c r="BQ355" s="108">
        <v>0</v>
      </c>
      <c r="BR355" s="108">
        <v>0</v>
      </c>
      <c r="BS355" s="108">
        <v>0</v>
      </c>
      <c r="BT355" s="108">
        <v>0</v>
      </c>
      <c r="BU355" s="108">
        <v>0</v>
      </c>
      <c r="BV355" s="108">
        <v>0</v>
      </c>
      <c r="BW355" s="108">
        <v>0</v>
      </c>
      <c r="BX355" s="108">
        <v>0</v>
      </c>
      <c r="BY355" s="108">
        <v>0</v>
      </c>
      <c r="BZ355" s="108">
        <v>0</v>
      </c>
      <c r="CA355" s="108">
        <v>0</v>
      </c>
      <c r="CB355" s="108">
        <v>0</v>
      </c>
    </row>
    <row r="356" spans="2:80" x14ac:dyDescent="0.55000000000000004">
      <c r="AM356" s="108"/>
      <c r="AQ356" s="104" t="str">
        <f>$V$55</f>
        <v>Óscar</v>
      </c>
      <c r="AR356" s="54">
        <v>1</v>
      </c>
      <c r="AS356" s="54">
        <v>0</v>
      </c>
      <c r="AT356" s="54">
        <v>0</v>
      </c>
      <c r="AU356" s="54">
        <v>0</v>
      </c>
      <c r="AV356" s="54">
        <v>0</v>
      </c>
      <c r="AW356" s="54">
        <v>0</v>
      </c>
      <c r="AX356" s="54">
        <v>0</v>
      </c>
      <c r="AY356" s="54">
        <v>0</v>
      </c>
      <c r="AZ356" s="54">
        <v>0</v>
      </c>
      <c r="BA356" s="54">
        <v>0</v>
      </c>
      <c r="BB356" s="54">
        <v>0</v>
      </c>
      <c r="BC356" s="54">
        <v>0</v>
      </c>
      <c r="BD356" s="54">
        <v>0</v>
      </c>
      <c r="BE356" s="54">
        <v>0</v>
      </c>
      <c r="BF356" s="54">
        <v>0</v>
      </c>
      <c r="BG356" s="54">
        <v>0</v>
      </c>
      <c r="BH356" s="54">
        <v>0</v>
      </c>
      <c r="BK356" s="104" t="str">
        <f>$V$68</f>
        <v>Beatriz</v>
      </c>
      <c r="BL356" s="108">
        <v>0</v>
      </c>
      <c r="BM356" s="108">
        <v>0</v>
      </c>
      <c r="BN356" s="108">
        <v>0</v>
      </c>
      <c r="BO356" s="108">
        <v>0</v>
      </c>
      <c r="BP356" s="108">
        <v>0</v>
      </c>
      <c r="BQ356" s="108">
        <v>0</v>
      </c>
      <c r="BR356" s="108">
        <v>0</v>
      </c>
      <c r="BS356" s="108">
        <v>0</v>
      </c>
      <c r="BT356" s="108">
        <v>0</v>
      </c>
      <c r="BU356" s="108">
        <v>0</v>
      </c>
      <c r="BV356" s="108">
        <v>0</v>
      </c>
      <c r="BW356" s="108">
        <v>0</v>
      </c>
      <c r="BX356" s="108">
        <v>0</v>
      </c>
      <c r="BY356" s="108">
        <v>0</v>
      </c>
      <c r="BZ356" s="108">
        <v>0</v>
      </c>
      <c r="CA356" s="108">
        <v>0</v>
      </c>
      <c r="CB356" s="108">
        <v>0</v>
      </c>
    </row>
    <row r="357" spans="2:80" x14ac:dyDescent="0.55000000000000004">
      <c r="AM357" s="108"/>
      <c r="AQ357" s="104" t="str">
        <f>$V$56</f>
        <v>Sebastián</v>
      </c>
      <c r="AR357" s="54">
        <v>0</v>
      </c>
      <c r="AS357" s="54">
        <v>0</v>
      </c>
      <c r="AT357" s="54">
        <v>0</v>
      </c>
      <c r="AU357" s="54">
        <v>0</v>
      </c>
      <c r="AV357" s="54">
        <v>0</v>
      </c>
      <c r="AW357" s="54">
        <v>0</v>
      </c>
      <c r="AX357" s="54">
        <v>0</v>
      </c>
      <c r="AY357" s="54">
        <v>0</v>
      </c>
      <c r="AZ357" s="54">
        <v>0</v>
      </c>
      <c r="BA357" s="54">
        <v>0</v>
      </c>
      <c r="BB357" s="54">
        <v>0</v>
      </c>
      <c r="BC357" s="54">
        <v>0</v>
      </c>
      <c r="BD357" s="54">
        <v>0</v>
      </c>
      <c r="BE357" s="54">
        <v>0</v>
      </c>
      <c r="BF357" s="54">
        <v>0</v>
      </c>
      <c r="BG357" s="54">
        <v>0</v>
      </c>
      <c r="BH357" s="54">
        <v>0</v>
      </c>
      <c r="BK357" s="104" t="str">
        <f>$V$69</f>
        <v>Charelle</v>
      </c>
      <c r="BL357" s="108">
        <v>0</v>
      </c>
      <c r="BM357" s="108">
        <v>0</v>
      </c>
      <c r="BN357" s="108">
        <v>0</v>
      </c>
      <c r="BO357" s="108">
        <v>0</v>
      </c>
      <c r="BP357" s="108">
        <v>0</v>
      </c>
      <c r="BQ357" s="108">
        <v>0</v>
      </c>
      <c r="BR357" s="108">
        <v>0</v>
      </c>
      <c r="BS357" s="108">
        <v>0</v>
      </c>
      <c r="BT357" s="108">
        <v>0</v>
      </c>
      <c r="BU357" s="108">
        <v>0</v>
      </c>
      <c r="BV357" s="108">
        <v>0</v>
      </c>
      <c r="BW357" s="108">
        <v>0</v>
      </c>
      <c r="BX357" s="108">
        <v>0</v>
      </c>
      <c r="BY357" s="108">
        <v>0</v>
      </c>
      <c r="BZ357" s="108">
        <v>0</v>
      </c>
      <c r="CA357" s="108">
        <v>0</v>
      </c>
      <c r="CB357" s="108">
        <v>0</v>
      </c>
    </row>
    <row r="358" spans="2:80" x14ac:dyDescent="0.55000000000000004">
      <c r="B358" s="104" t="str">
        <f>$BK$252</f>
        <v>Homing</v>
      </c>
      <c r="C358" s="104" t="str">
        <f>$W$33</f>
        <v>16h</v>
      </c>
      <c r="D358" s="104" t="str">
        <f>$X$33</f>
        <v>17h</v>
      </c>
      <c r="E358" s="104" t="str">
        <f>$Y$33</f>
        <v>18h</v>
      </c>
      <c r="F358" s="104" t="str">
        <f>$Z$33</f>
        <v>19h</v>
      </c>
      <c r="G358" s="104" t="str">
        <f>$AA$33</f>
        <v>20h</v>
      </c>
      <c r="H358" s="104" t="str">
        <f>$AB$33</f>
        <v>21h</v>
      </c>
      <c r="I358" s="104" t="str">
        <f>$AC$33</f>
        <v>22h</v>
      </c>
      <c r="J358" s="104" t="str">
        <f>$AD$33</f>
        <v>23h</v>
      </c>
      <c r="K358" s="104" t="str">
        <f>$AE$33</f>
        <v>00h</v>
      </c>
      <c r="L358" s="104" t="str">
        <f>$AF$33</f>
        <v>01h</v>
      </c>
      <c r="M358" s="104" t="str">
        <f>$AG$33</f>
        <v>02h</v>
      </c>
      <c r="N358" s="104" t="str">
        <f>$AH$33</f>
        <v>03h</v>
      </c>
      <c r="O358" s="104" t="str">
        <f>$AI$33</f>
        <v>04h</v>
      </c>
      <c r="P358" s="104" t="str">
        <f>$AJ$33</f>
        <v>05h</v>
      </c>
      <c r="Q358" s="104" t="str">
        <f>$AK$33</f>
        <v>06h</v>
      </c>
      <c r="R358" s="104" t="str">
        <f>$AL$33</f>
        <v>07h</v>
      </c>
      <c r="S358" s="104" t="str">
        <f>$AM$33</f>
        <v>08h</v>
      </c>
      <c r="V358" s="104" t="str">
        <f>$BK$252</f>
        <v>Homing</v>
      </c>
      <c r="W358" s="104" t="str">
        <f>$W$33</f>
        <v>16h</v>
      </c>
      <c r="X358" s="104" t="str">
        <f>$X$33</f>
        <v>17h</v>
      </c>
      <c r="Y358" s="104" t="str">
        <f>$Y$33</f>
        <v>18h</v>
      </c>
      <c r="Z358" s="104" t="str">
        <f>$Z$33</f>
        <v>19h</v>
      </c>
      <c r="AA358" s="104" t="str">
        <f>$AA$33</f>
        <v>20h</v>
      </c>
      <c r="AB358" s="104" t="str">
        <f>$AB$33</f>
        <v>21h</v>
      </c>
      <c r="AC358" s="104" t="str">
        <f>$AC$33</f>
        <v>22h</v>
      </c>
      <c r="AD358" s="104" t="str">
        <f>$AD$33</f>
        <v>23h</v>
      </c>
      <c r="AE358" s="104" t="str">
        <f>$AE$33</f>
        <v>00h</v>
      </c>
      <c r="AF358" s="104" t="str">
        <f>$AF$33</f>
        <v>01h</v>
      </c>
      <c r="AG358" s="104" t="str">
        <f>$AG$33</f>
        <v>02h</v>
      </c>
      <c r="AH358" s="104" t="str">
        <f>$AH$33</f>
        <v>03h</v>
      </c>
      <c r="AI358" s="104" t="str">
        <f>$AI$33</f>
        <v>04h</v>
      </c>
      <c r="AJ358" s="104" t="str">
        <f>$AJ$33</f>
        <v>05h</v>
      </c>
      <c r="AK358" s="104" t="str">
        <f>$AK$33</f>
        <v>06h</v>
      </c>
      <c r="AL358" s="104" t="str">
        <f>$AL$33</f>
        <v>07h</v>
      </c>
      <c r="AM358" s="104" t="str">
        <f>$AM$33</f>
        <v>08h</v>
      </c>
      <c r="AQ358" s="104" t="str">
        <f>$V$57</f>
        <v>Marcos</v>
      </c>
      <c r="AR358" s="54">
        <v>0</v>
      </c>
      <c r="AS358" s="54">
        <v>0</v>
      </c>
      <c r="AT358" s="54">
        <v>0</v>
      </c>
      <c r="AU358" s="54">
        <v>0</v>
      </c>
      <c r="AV358" s="54">
        <v>0</v>
      </c>
      <c r="AW358" s="54">
        <v>0</v>
      </c>
      <c r="AX358" s="54">
        <v>0</v>
      </c>
      <c r="AY358" s="54">
        <v>0</v>
      </c>
      <c r="AZ358" s="54">
        <v>0</v>
      </c>
      <c r="BA358" s="54">
        <v>0</v>
      </c>
      <c r="BB358" s="54">
        <v>0</v>
      </c>
      <c r="BC358" s="54">
        <v>0</v>
      </c>
      <c r="BD358" s="54">
        <v>0</v>
      </c>
      <c r="BE358" s="54">
        <v>0</v>
      </c>
      <c r="BF358" s="54">
        <v>0</v>
      </c>
      <c r="BG358" s="54">
        <v>0</v>
      </c>
      <c r="BH358" s="54">
        <v>0</v>
      </c>
      <c r="BK358" s="104" t="str">
        <f>$V$70</f>
        <v>Dimitri</v>
      </c>
      <c r="BL358" s="108">
        <v>0</v>
      </c>
      <c r="BM358" s="108">
        <v>0</v>
      </c>
      <c r="BN358" s="108">
        <v>0</v>
      </c>
      <c r="BO358" s="108">
        <v>0</v>
      </c>
      <c r="BP358" s="108">
        <v>0</v>
      </c>
      <c r="BQ358" s="108">
        <v>0</v>
      </c>
      <c r="BR358" s="108">
        <v>0</v>
      </c>
      <c r="BS358" s="108">
        <v>0</v>
      </c>
      <c r="BT358" s="108">
        <v>0</v>
      </c>
      <c r="BU358" s="108">
        <v>0</v>
      </c>
      <c r="BV358" s="108">
        <v>0</v>
      </c>
      <c r="BW358" s="108">
        <v>0</v>
      </c>
      <c r="BX358" s="108">
        <v>0</v>
      </c>
      <c r="BY358" s="108">
        <v>0</v>
      </c>
      <c r="BZ358" s="108">
        <v>0</v>
      </c>
      <c r="CA358" s="108">
        <v>0</v>
      </c>
      <c r="CB358" s="108">
        <v>0</v>
      </c>
    </row>
    <row r="359" spans="2:80" x14ac:dyDescent="0.55000000000000004">
      <c r="B359" s="104" t="str">
        <f>$V$53</f>
        <v>Jennifer</v>
      </c>
      <c r="C359" s="108">
        <v>0</v>
      </c>
      <c r="D359" s="108">
        <v>0</v>
      </c>
      <c r="E359" s="108">
        <v>0</v>
      </c>
      <c r="F359" s="108">
        <v>0</v>
      </c>
      <c r="G359" s="108">
        <v>0</v>
      </c>
      <c r="H359" s="108">
        <v>0</v>
      </c>
      <c r="I359" s="108">
        <v>0</v>
      </c>
      <c r="J359" s="108">
        <v>0</v>
      </c>
      <c r="K359" s="108">
        <v>0</v>
      </c>
      <c r="L359" s="108">
        <v>0</v>
      </c>
      <c r="M359" s="108">
        <v>0</v>
      </c>
      <c r="N359" s="108">
        <v>0</v>
      </c>
      <c r="O359" s="108">
        <v>0</v>
      </c>
      <c r="P359" s="108">
        <v>0</v>
      </c>
      <c r="Q359" s="108">
        <v>0</v>
      </c>
      <c r="R359" s="108">
        <v>0</v>
      </c>
      <c r="S359" s="108">
        <v>0</v>
      </c>
      <c r="T359" s="28" t="s">
        <v>26</v>
      </c>
      <c r="V359" s="104" t="str">
        <f>$V$53</f>
        <v>Jennifer</v>
      </c>
      <c r="W359" s="108">
        <f t="shared" ref="W359:W398" si="149">W53*(AR34+AR74+AR114+AR154+AR194+AR234+AR274+AR314+AR354+AR394+AR434+AR474+AR514+AR554+AR594)</f>
        <v>1</v>
      </c>
      <c r="X359" s="108">
        <f t="shared" ref="X359:X398" si="150">X53*(AS34+AS74+AS114+AS154+AS194+AS234+AS274+AS314+AS354+AS394+AS434+AS474+AS514+AS554+AS594)-W53*(AR34+AR74+AR114+AR154+AR194+AR234+AR274+AR314+AR354+AR394+AR434+AR474+AR514+AR554+AR594)</f>
        <v>0</v>
      </c>
      <c r="Y359" s="108">
        <f t="shared" ref="Y359:Y398" si="151">Y53*(AT34+AT74+AT114+AT154+AT194+AT234+AT274+AT314+AT354+AT394+AT434+AT474+AT514+AT554+AT594)-X53*(AS34+AS74+AS114+AS154+AS194+AS234+AS274+AS314+AS354+AS394+AS434+AS474+AS514+AS554+AS594)</f>
        <v>0</v>
      </c>
      <c r="Z359" s="108">
        <f t="shared" ref="Z359:Z398" si="152">Z53*(AU34+AU74+AU114+AU154+AU194+AU234+AU274+AU314+AU354+AU394+AU434+AU474+AU514+AU554+AU594)-Y53*(AT34+AT74+AT114+AT154+AT194+AT234+AT274+AT314+AT354+AT394+AT434+AT474+AT514+AT554+AT594)</f>
        <v>0</v>
      </c>
      <c r="AA359" s="108">
        <f t="shared" ref="AA359:AA398" si="153">AA53*(AV34+AV74+AV114+AV154+AV194+AV234+AV274+AV314+AV354+AV394+AV434+AV474+AV514+AV554+AV594)-Z53*(AU34+AU74+AU114+AU154+AU194+AU234+AU274+AU314+AU354+AU394+AU434+AU474+AU514+AU554+AU594)</f>
        <v>0</v>
      </c>
      <c r="AB359" s="108">
        <f t="shared" ref="AB359:AB398" si="154">AB53*(AW34+AW74+AW114+AW154+AW194+AW234+AW274+AW314+AW354+AW394+AW434+AW474+AW514+AW554+AW594)-AA53*(AV34+AV74+AV114+AV154+AV194+AV234+AV274+AV314+AV354+AV394+AV434+AV474+AV514+AV554+AV594)</f>
        <v>0</v>
      </c>
      <c r="AC359" s="108">
        <f t="shared" ref="AC359:AC398" si="155">AC53*(AX34+AX74+AX114+AX154+AX194+AX234+AX274+AX314+AX354+AX394+AX434+AX474+AX514+AX554+AX594)-AB53*(AW34+AW74+AW114+AW154+AW194+AW234+AW274+AW314+AW354+AW394+AW434+AW474+AW514+AW554+AW594)</f>
        <v>0</v>
      </c>
      <c r="AD359" s="108">
        <f t="shared" ref="AD359:AD398" si="156">AD53*(AY34+AY74+AY114+AY154+AY194+AY234+AY274+AY314+AY354+AY394+AY434+AY474+AY514+AY554+AY594)-AC53*(AX34+AX74+AX114+AX154+AX194+AX234+AX274+AX314+AX354+AX394+AX434+AX474+AX514+AX554+AX594)</f>
        <v>0</v>
      </c>
      <c r="AE359" s="108">
        <f t="shared" ref="AE359:AE398" si="157">AE53*(AZ34+AZ74+AZ114+AZ154+AZ194+AZ234+AZ274+AZ314+AZ354+AZ394+AZ434+AZ474+AZ514+AZ554+AZ594)-AD53*(AY34+AY74+AY114+AY154+AY194+AY234+AY274+AY314+AY354+AY394+AY434+AY474+AY514+AY554+AY594)</f>
        <v>0</v>
      </c>
      <c r="AF359" s="108">
        <f t="shared" ref="AF359:AF398" si="158">AF53*(BA34+BA74+BA114+BA154+BA194+BA234+BA274+BA314+BA354+BA394+BA434+BA474+BA514+BA554+BA594)-AE53*(AZ34+AZ74+AZ114+AZ154+AZ194+AZ234+AZ274+AZ314+AZ354+AZ394+AZ434+AZ474+AZ514+AZ554+AZ594)</f>
        <v>0</v>
      </c>
      <c r="AG359" s="108">
        <f t="shared" ref="AG359:AG398" si="159">AG53*(BB34+BB74+BB114+BB154+BB194+BB234+BB274+BB314+BB354+BB394+BB434+BB474+BB514+BB554+BB594)-AF53*(BA34+BA74+BA114+BA154+BA194+BA234+BA274+BA314+BA354+BA394+BA434+BA474+BA514+BA554+BA594)</f>
        <v>0</v>
      </c>
      <c r="AH359" s="108">
        <f t="shared" ref="AH359:AH398" si="160">AH53*(BC34+BC74+BC114+BC154+BC194+BC234+BC274+BC314+BC354+BC394+BC434+BC474+BC514+BC554+BC594)-AG53*(BB34+BB74+BB114+BB154+BB194+BB234+BB274+BB314+BB354+BB394+BB434+BB474+BB514+BB554+BB594)</f>
        <v>0</v>
      </c>
      <c r="AI359" s="108">
        <f t="shared" ref="AI359:AI398" si="161">AI53*(BD34+BD74+BD114+BD154+BD194+BD234+BD274+BD314+BD354+BD394+BD434+BD474+BD514+BD554+BD594)-AH53*(BC34+BC74+BC114+BC154+BC194+BC234+BC274+BC314+BC354+BC394+BC434+BC474+BC514+BC554+BC594)</f>
        <v>-1</v>
      </c>
      <c r="AJ359" s="108">
        <f t="shared" ref="AJ359:AJ398" si="162">AJ53*(BE34+BE74+BE114+BE154+BE194+BE234+BE274+BE314+BE354+BE394+BE434+BE474+BE514+BE554+BE594)-AI53*(BD34+BD74+BD114+BD154+BD194+BD234+BD274+BD314+BD354+BD394+BD434+BD474+BD514+BD554+BD594)</f>
        <v>0</v>
      </c>
      <c r="AK359" s="108">
        <f t="shared" ref="AK359:AK398" si="163">AK53*(BF34+BF74+BF114+BF154+BF194+BF234+BF274+BF314+BF354+BF394+BF434+BF474+BF514+BF554+BF594)-AJ53*(BE34+BE74+BE114+BE154+BE194+BE234+BE274+BE314+BE354+BE394+BE434+BE474+BE514+BE554+BE594)</f>
        <v>0</v>
      </c>
      <c r="AL359" s="108">
        <f t="shared" ref="AL359:AL398" si="164">AL53*(BG34+BG74+BG114+BG154+BG194+BG234+BG274+BG314+BG354+BG394+BG434+BG474+BG514+BG554+BG594)-AK53*(BF34+BF74+BF114+BF154+BF194+BF234+BF274+BF314+BF354+BF394+BF434+BF474+BF514+BF554+BF594)</f>
        <v>0</v>
      </c>
      <c r="AM359" s="108">
        <f t="shared" ref="AM359:AM398" si="165">AM53*(BH34+BH74+BH114+BH154+BH194+BH234+BH274+BH314+BH354+BH394+BH434+BH474+BH514+BH554+BH594)-AL53*(BG34+BG74+BG114+BG154+BG194+BG234+BG274+BG314+BG354+BG394+BG434+BG474+BG514+BG554+BG594)</f>
        <v>0</v>
      </c>
      <c r="AQ359" s="104" t="str">
        <f>$V$58</f>
        <v>Weixin</v>
      </c>
      <c r="AR359" s="54">
        <v>1</v>
      </c>
      <c r="AS359" s="54">
        <v>0</v>
      </c>
      <c r="AT359" s="54">
        <v>0</v>
      </c>
      <c r="AU359" s="54">
        <v>0</v>
      </c>
      <c r="AV359" s="54">
        <v>0</v>
      </c>
      <c r="AW359" s="54">
        <v>0</v>
      </c>
      <c r="AX359" s="54">
        <v>0</v>
      </c>
      <c r="AY359" s="54">
        <v>0</v>
      </c>
      <c r="AZ359" s="54">
        <v>0</v>
      </c>
      <c r="BA359" s="54">
        <v>0</v>
      </c>
      <c r="BB359" s="54">
        <v>0</v>
      </c>
      <c r="BC359" s="54">
        <v>0</v>
      </c>
      <c r="BD359" s="54">
        <v>0</v>
      </c>
      <c r="BE359" s="54">
        <v>0</v>
      </c>
      <c r="BF359" s="54">
        <v>0</v>
      </c>
      <c r="BG359" s="54">
        <v>0</v>
      </c>
      <c r="BH359" s="54">
        <v>0</v>
      </c>
      <c r="BK359" s="104" t="str">
        <f>$V$71</f>
        <v>Marina</v>
      </c>
      <c r="BL359" s="108">
        <v>0</v>
      </c>
      <c r="BM359" s="108">
        <v>0</v>
      </c>
      <c r="BN359" s="108">
        <v>0</v>
      </c>
      <c r="BO359" s="108">
        <v>0</v>
      </c>
      <c r="BP359" s="108">
        <v>0</v>
      </c>
      <c r="BQ359" s="108">
        <v>0</v>
      </c>
      <c r="BR359" s="108">
        <v>0</v>
      </c>
      <c r="BS359" s="108">
        <v>0</v>
      </c>
      <c r="BT359" s="108">
        <v>0</v>
      </c>
      <c r="BU359" s="108">
        <v>0</v>
      </c>
      <c r="BV359" s="108">
        <v>0</v>
      </c>
      <c r="BW359" s="108">
        <v>0</v>
      </c>
      <c r="BX359" s="108">
        <v>0</v>
      </c>
      <c r="BY359" s="108">
        <v>0</v>
      </c>
      <c r="BZ359" s="108">
        <v>0</v>
      </c>
      <c r="CA359" s="108">
        <v>0</v>
      </c>
      <c r="CB359" s="108">
        <v>0</v>
      </c>
    </row>
    <row r="360" spans="2:80" x14ac:dyDescent="0.55000000000000004">
      <c r="B360" s="104" t="str">
        <f>$V$54</f>
        <v>Galileo</v>
      </c>
      <c r="C360" s="108">
        <v>0</v>
      </c>
      <c r="D360" s="108">
        <v>0</v>
      </c>
      <c r="E360" s="108">
        <v>0</v>
      </c>
      <c r="F360" s="108">
        <v>0</v>
      </c>
      <c r="G360" s="108">
        <v>0</v>
      </c>
      <c r="H360" s="108">
        <v>0</v>
      </c>
      <c r="I360" s="108">
        <v>0</v>
      </c>
      <c r="J360" s="108">
        <v>0</v>
      </c>
      <c r="K360" s="108">
        <v>0</v>
      </c>
      <c r="L360" s="108">
        <v>0</v>
      </c>
      <c r="M360" s="108">
        <v>0</v>
      </c>
      <c r="N360" s="108">
        <v>0</v>
      </c>
      <c r="O360" s="108">
        <v>0</v>
      </c>
      <c r="P360" s="108">
        <v>0</v>
      </c>
      <c r="Q360" s="108">
        <v>0</v>
      </c>
      <c r="R360" s="108">
        <v>0</v>
      </c>
      <c r="S360" s="108">
        <v>0</v>
      </c>
      <c r="T360" s="28" t="s">
        <v>26</v>
      </c>
      <c r="V360" s="104" t="str">
        <f>$V$54</f>
        <v>Galileo</v>
      </c>
      <c r="W360" s="108">
        <f t="shared" si="149"/>
        <v>1</v>
      </c>
      <c r="X360" s="108">
        <f t="shared" si="150"/>
        <v>0</v>
      </c>
      <c r="Y360" s="108">
        <f t="shared" si="151"/>
        <v>0</v>
      </c>
      <c r="Z360" s="108">
        <f t="shared" si="152"/>
        <v>0</v>
      </c>
      <c r="AA360" s="108">
        <f t="shared" si="153"/>
        <v>0</v>
      </c>
      <c r="AB360" s="108">
        <f t="shared" si="154"/>
        <v>0</v>
      </c>
      <c r="AC360" s="108">
        <f t="shared" si="155"/>
        <v>0</v>
      </c>
      <c r="AD360" s="108">
        <f t="shared" si="156"/>
        <v>0</v>
      </c>
      <c r="AE360" s="108">
        <f t="shared" si="157"/>
        <v>0</v>
      </c>
      <c r="AF360" s="108">
        <f t="shared" si="158"/>
        <v>0</v>
      </c>
      <c r="AG360" s="108">
        <f t="shared" si="159"/>
        <v>0</v>
      </c>
      <c r="AH360" s="108">
        <f t="shared" si="160"/>
        <v>0</v>
      </c>
      <c r="AI360" s="108">
        <f t="shared" si="161"/>
        <v>-1</v>
      </c>
      <c r="AJ360" s="108">
        <f t="shared" si="162"/>
        <v>0</v>
      </c>
      <c r="AK360" s="108">
        <f t="shared" si="163"/>
        <v>0</v>
      </c>
      <c r="AL360" s="108">
        <f t="shared" si="164"/>
        <v>0</v>
      </c>
      <c r="AM360" s="108">
        <f t="shared" si="165"/>
        <v>0</v>
      </c>
      <c r="AQ360" s="104" t="str">
        <f>$V$59</f>
        <v>Benjamin</v>
      </c>
      <c r="AR360" s="54">
        <v>0</v>
      </c>
      <c r="AS360" s="54">
        <v>0</v>
      </c>
      <c r="AT360" s="54">
        <v>0</v>
      </c>
      <c r="AU360" s="54">
        <v>0</v>
      </c>
      <c r="AV360" s="54">
        <v>0</v>
      </c>
      <c r="AW360" s="54">
        <v>0</v>
      </c>
      <c r="AX360" s="54">
        <v>0</v>
      </c>
      <c r="AY360" s="54">
        <v>0</v>
      </c>
      <c r="AZ360" s="54">
        <v>0</v>
      </c>
      <c r="BA360" s="54">
        <v>0</v>
      </c>
      <c r="BB360" s="54">
        <v>0</v>
      </c>
      <c r="BC360" s="54">
        <v>0</v>
      </c>
      <c r="BD360" s="54">
        <v>0</v>
      </c>
      <c r="BE360" s="54">
        <v>0</v>
      </c>
      <c r="BF360" s="54">
        <v>0</v>
      </c>
      <c r="BG360" s="54">
        <v>0</v>
      </c>
      <c r="BH360" s="54">
        <v>0</v>
      </c>
      <c r="BK360" s="104" t="str">
        <f>$V$72</f>
        <v>Michel</v>
      </c>
      <c r="BL360" s="108">
        <v>0</v>
      </c>
      <c r="BM360" s="108">
        <v>0</v>
      </c>
      <c r="BN360" s="108">
        <v>0</v>
      </c>
      <c r="BO360" s="108">
        <v>0</v>
      </c>
      <c r="BP360" s="108">
        <v>0</v>
      </c>
      <c r="BQ360" s="108">
        <v>0</v>
      </c>
      <c r="BR360" s="108">
        <v>0</v>
      </c>
      <c r="BS360" s="108">
        <v>0</v>
      </c>
      <c r="BT360" s="108">
        <v>0</v>
      </c>
      <c r="BU360" s="108">
        <v>0</v>
      </c>
      <c r="BV360" s="108">
        <v>0</v>
      </c>
      <c r="BW360" s="108">
        <v>0</v>
      </c>
      <c r="BX360" s="108">
        <v>0</v>
      </c>
      <c r="BY360" s="108">
        <v>0</v>
      </c>
      <c r="BZ360" s="108">
        <v>0</v>
      </c>
      <c r="CA360" s="108">
        <v>0</v>
      </c>
      <c r="CB360" s="108">
        <v>0</v>
      </c>
    </row>
    <row r="361" spans="2:80" x14ac:dyDescent="0.55000000000000004">
      <c r="B361" s="104" t="str">
        <f>$V$55</f>
        <v>Óscar</v>
      </c>
      <c r="C361" s="108">
        <v>0</v>
      </c>
      <c r="D361" s="108">
        <v>0</v>
      </c>
      <c r="E361" s="108">
        <v>0</v>
      </c>
      <c r="F361" s="108">
        <v>0</v>
      </c>
      <c r="G361" s="108">
        <v>0</v>
      </c>
      <c r="H361" s="108">
        <v>0</v>
      </c>
      <c r="I361" s="108">
        <v>0</v>
      </c>
      <c r="J361" s="108">
        <v>0</v>
      </c>
      <c r="K361" s="108">
        <v>0</v>
      </c>
      <c r="L361" s="108">
        <v>0</v>
      </c>
      <c r="M361" s="108">
        <v>0</v>
      </c>
      <c r="N361" s="108">
        <v>0</v>
      </c>
      <c r="O361" s="108">
        <v>0</v>
      </c>
      <c r="P361" s="108">
        <v>0</v>
      </c>
      <c r="Q361" s="108">
        <v>0</v>
      </c>
      <c r="R361" s="108">
        <v>0</v>
      </c>
      <c r="S361" s="108">
        <v>0</v>
      </c>
      <c r="T361" s="28" t="s">
        <v>26</v>
      </c>
      <c r="V361" s="104" t="str">
        <f>$V$55</f>
        <v>Óscar</v>
      </c>
      <c r="W361" s="108">
        <f t="shared" si="149"/>
        <v>1</v>
      </c>
      <c r="X361" s="108">
        <f t="shared" si="150"/>
        <v>0</v>
      </c>
      <c r="Y361" s="108">
        <f t="shared" si="151"/>
        <v>0</v>
      </c>
      <c r="Z361" s="108">
        <f t="shared" si="152"/>
        <v>0</v>
      </c>
      <c r="AA361" s="108">
        <f t="shared" si="153"/>
        <v>0</v>
      </c>
      <c r="AB361" s="108">
        <f t="shared" si="154"/>
        <v>0</v>
      </c>
      <c r="AC361" s="108">
        <f t="shared" si="155"/>
        <v>0</v>
      </c>
      <c r="AD361" s="108">
        <f t="shared" si="156"/>
        <v>0</v>
      </c>
      <c r="AE361" s="108">
        <f t="shared" si="157"/>
        <v>0</v>
      </c>
      <c r="AF361" s="108">
        <f t="shared" si="158"/>
        <v>0</v>
      </c>
      <c r="AG361" s="108">
        <f t="shared" si="159"/>
        <v>0</v>
      </c>
      <c r="AH361" s="108">
        <f t="shared" si="160"/>
        <v>0</v>
      </c>
      <c r="AI361" s="108">
        <f t="shared" si="161"/>
        <v>-1</v>
      </c>
      <c r="AJ361" s="108">
        <f t="shared" si="162"/>
        <v>0</v>
      </c>
      <c r="AK361" s="108">
        <f t="shared" si="163"/>
        <v>0</v>
      </c>
      <c r="AL361" s="108">
        <f t="shared" si="164"/>
        <v>0</v>
      </c>
      <c r="AM361" s="108">
        <f t="shared" si="165"/>
        <v>0</v>
      </c>
      <c r="AQ361" s="104" t="str">
        <f>$V$60</f>
        <v>Joelle</v>
      </c>
      <c r="AR361" s="54">
        <v>0</v>
      </c>
      <c r="AS361" s="54">
        <v>0</v>
      </c>
      <c r="AT361" s="54">
        <v>0</v>
      </c>
      <c r="AU361" s="54">
        <v>0</v>
      </c>
      <c r="AV361" s="54">
        <v>0</v>
      </c>
      <c r="AW361" s="54">
        <v>0</v>
      </c>
      <c r="AX361" s="54">
        <v>0</v>
      </c>
      <c r="AY361" s="54">
        <v>0</v>
      </c>
      <c r="AZ361" s="54">
        <v>0</v>
      </c>
      <c r="BA361" s="54">
        <v>0</v>
      </c>
      <c r="BB361" s="54">
        <v>0</v>
      </c>
      <c r="BC361" s="54">
        <v>0</v>
      </c>
      <c r="BD361" s="54">
        <v>0</v>
      </c>
      <c r="BE361" s="54">
        <v>0</v>
      </c>
      <c r="BF361" s="54">
        <v>0</v>
      </c>
      <c r="BG361" s="54">
        <v>0</v>
      </c>
      <c r="BH361" s="54">
        <v>0</v>
      </c>
      <c r="BK361" s="104" t="str">
        <f>$V$73</f>
        <v>Nour</v>
      </c>
      <c r="BL361" s="108">
        <v>0</v>
      </c>
      <c r="BM361" s="108">
        <v>0</v>
      </c>
      <c r="BN361" s="108">
        <v>0</v>
      </c>
      <c r="BO361" s="108">
        <v>0</v>
      </c>
      <c r="BP361" s="108">
        <v>0</v>
      </c>
      <c r="BQ361" s="108">
        <v>0</v>
      </c>
      <c r="BR361" s="108">
        <v>0</v>
      </c>
      <c r="BS361" s="108">
        <v>0</v>
      </c>
      <c r="BT361" s="108">
        <v>0</v>
      </c>
      <c r="BU361" s="108">
        <v>0</v>
      </c>
      <c r="BV361" s="108">
        <v>0</v>
      </c>
      <c r="BW361" s="108">
        <v>0</v>
      </c>
      <c r="BX361" s="108">
        <v>0</v>
      </c>
      <c r="BY361" s="108">
        <v>0</v>
      </c>
      <c r="BZ361" s="108">
        <v>0</v>
      </c>
      <c r="CA361" s="108">
        <v>0</v>
      </c>
      <c r="CB361" s="108">
        <v>0</v>
      </c>
    </row>
    <row r="362" spans="2:80" x14ac:dyDescent="0.55000000000000004">
      <c r="B362" s="104" t="str">
        <f>$V$56</f>
        <v>Sebastián</v>
      </c>
      <c r="C362" s="108">
        <v>0</v>
      </c>
      <c r="D362" s="108">
        <v>0</v>
      </c>
      <c r="E362" s="108">
        <v>0</v>
      </c>
      <c r="F362" s="108">
        <v>0</v>
      </c>
      <c r="G362" s="108">
        <v>0</v>
      </c>
      <c r="H362" s="108">
        <v>0</v>
      </c>
      <c r="I362" s="108">
        <v>0</v>
      </c>
      <c r="J362" s="108">
        <v>0</v>
      </c>
      <c r="K362" s="108">
        <v>0</v>
      </c>
      <c r="L362" s="108">
        <v>0</v>
      </c>
      <c r="M362" s="108">
        <v>0</v>
      </c>
      <c r="N362" s="108">
        <v>0</v>
      </c>
      <c r="O362" s="108">
        <v>0</v>
      </c>
      <c r="P362" s="108">
        <v>0</v>
      </c>
      <c r="Q362" s="108">
        <v>0</v>
      </c>
      <c r="R362" s="108">
        <v>0</v>
      </c>
      <c r="S362" s="108">
        <v>0</v>
      </c>
      <c r="T362" s="28" t="s">
        <v>26</v>
      </c>
      <c r="V362" s="104" t="str">
        <f>$V$56</f>
        <v>Sebastián</v>
      </c>
      <c r="W362" s="108">
        <f t="shared" si="149"/>
        <v>1</v>
      </c>
      <c r="X362" s="108">
        <f t="shared" si="150"/>
        <v>0</v>
      </c>
      <c r="Y362" s="108">
        <f t="shared" si="151"/>
        <v>0</v>
      </c>
      <c r="Z362" s="108">
        <f t="shared" si="152"/>
        <v>0</v>
      </c>
      <c r="AA362" s="108">
        <f t="shared" si="153"/>
        <v>0</v>
      </c>
      <c r="AB362" s="108">
        <f t="shared" si="154"/>
        <v>0</v>
      </c>
      <c r="AC362" s="108">
        <f t="shared" si="155"/>
        <v>0</v>
      </c>
      <c r="AD362" s="108">
        <f t="shared" si="156"/>
        <v>0</v>
      </c>
      <c r="AE362" s="108">
        <f t="shared" si="157"/>
        <v>0</v>
      </c>
      <c r="AF362" s="108">
        <f t="shared" si="158"/>
        <v>0</v>
      </c>
      <c r="AG362" s="108">
        <f t="shared" si="159"/>
        <v>0</v>
      </c>
      <c r="AH362" s="108">
        <f t="shared" si="160"/>
        <v>0</v>
      </c>
      <c r="AI362" s="108">
        <f t="shared" si="161"/>
        <v>-1</v>
      </c>
      <c r="AJ362" s="108">
        <f t="shared" si="162"/>
        <v>0</v>
      </c>
      <c r="AK362" s="108">
        <f t="shared" si="163"/>
        <v>0</v>
      </c>
      <c r="AL362" s="108">
        <f t="shared" si="164"/>
        <v>0</v>
      </c>
      <c r="AM362" s="108">
        <f t="shared" si="165"/>
        <v>0</v>
      </c>
      <c r="AQ362" s="104" t="str">
        <f>$V$61</f>
        <v>Alexia</v>
      </c>
      <c r="AR362" s="54">
        <v>0</v>
      </c>
      <c r="AS362" s="54">
        <v>0</v>
      </c>
      <c r="AT362" s="54">
        <v>0</v>
      </c>
      <c r="AU362" s="54">
        <v>0</v>
      </c>
      <c r="AV362" s="54">
        <v>0</v>
      </c>
      <c r="AW362" s="54">
        <v>0</v>
      </c>
      <c r="AX362" s="54">
        <v>0</v>
      </c>
      <c r="AY362" s="54">
        <v>0</v>
      </c>
      <c r="AZ362" s="54">
        <v>0</v>
      </c>
      <c r="BA362" s="54">
        <v>0</v>
      </c>
      <c r="BB362" s="54">
        <v>0</v>
      </c>
      <c r="BC362" s="54">
        <v>0</v>
      </c>
      <c r="BD362" s="54">
        <v>0</v>
      </c>
      <c r="BE362" s="54">
        <v>0</v>
      </c>
      <c r="BF362" s="54">
        <v>0</v>
      </c>
      <c r="BG362" s="54">
        <v>0</v>
      </c>
      <c r="BH362" s="54">
        <v>0</v>
      </c>
      <c r="BK362" s="104" t="str">
        <f>$V$74</f>
        <v>Samuel</v>
      </c>
      <c r="BL362" s="108">
        <v>0</v>
      </c>
      <c r="BM362" s="108">
        <v>0</v>
      </c>
      <c r="BN362" s="108">
        <v>0</v>
      </c>
      <c r="BO362" s="108">
        <v>0</v>
      </c>
      <c r="BP362" s="108">
        <v>0</v>
      </c>
      <c r="BQ362" s="108">
        <v>0</v>
      </c>
      <c r="BR362" s="108">
        <v>0</v>
      </c>
      <c r="BS362" s="108">
        <v>0</v>
      </c>
      <c r="BT362" s="108">
        <v>0</v>
      </c>
      <c r="BU362" s="108">
        <v>0</v>
      </c>
      <c r="BV362" s="108">
        <v>0</v>
      </c>
      <c r="BW362" s="108">
        <v>0</v>
      </c>
      <c r="BX362" s="108">
        <v>0</v>
      </c>
      <c r="BY362" s="108">
        <v>0</v>
      </c>
      <c r="BZ362" s="108">
        <v>0</v>
      </c>
      <c r="CA362" s="108">
        <v>0</v>
      </c>
      <c r="CB362" s="108">
        <v>0</v>
      </c>
    </row>
    <row r="363" spans="2:80" x14ac:dyDescent="0.55000000000000004">
      <c r="B363" s="104" t="str">
        <f>$V$57</f>
        <v>Marcos</v>
      </c>
      <c r="C363" s="108">
        <v>0</v>
      </c>
      <c r="D363" s="108">
        <v>0</v>
      </c>
      <c r="E363" s="108">
        <v>0</v>
      </c>
      <c r="F363" s="108">
        <v>0</v>
      </c>
      <c r="G363" s="108">
        <v>0</v>
      </c>
      <c r="H363" s="108">
        <v>0</v>
      </c>
      <c r="I363" s="108">
        <v>0</v>
      </c>
      <c r="J363" s="108">
        <v>0</v>
      </c>
      <c r="K363" s="108">
        <v>0</v>
      </c>
      <c r="L363" s="108">
        <v>0</v>
      </c>
      <c r="M363" s="108">
        <v>0</v>
      </c>
      <c r="N363" s="108">
        <v>0</v>
      </c>
      <c r="O363" s="108">
        <v>0</v>
      </c>
      <c r="P363" s="108">
        <v>0</v>
      </c>
      <c r="Q363" s="108">
        <v>0</v>
      </c>
      <c r="R363" s="108">
        <v>0</v>
      </c>
      <c r="S363" s="108">
        <v>0</v>
      </c>
      <c r="T363" s="28" t="s">
        <v>26</v>
      </c>
      <c r="V363" s="104" t="str">
        <f>$V$57</f>
        <v>Marcos</v>
      </c>
      <c r="W363" s="108">
        <f t="shared" si="149"/>
        <v>1</v>
      </c>
      <c r="X363" s="108">
        <f t="shared" si="150"/>
        <v>0</v>
      </c>
      <c r="Y363" s="108">
        <f t="shared" si="151"/>
        <v>0</v>
      </c>
      <c r="Z363" s="108">
        <f t="shared" si="152"/>
        <v>0</v>
      </c>
      <c r="AA363" s="108">
        <f t="shared" si="153"/>
        <v>0</v>
      </c>
      <c r="AB363" s="108">
        <f t="shared" si="154"/>
        <v>0</v>
      </c>
      <c r="AC363" s="108">
        <f t="shared" si="155"/>
        <v>0</v>
      </c>
      <c r="AD363" s="108">
        <f t="shared" si="156"/>
        <v>0</v>
      </c>
      <c r="AE363" s="108">
        <f t="shared" si="157"/>
        <v>0</v>
      </c>
      <c r="AF363" s="108">
        <f t="shared" si="158"/>
        <v>0</v>
      </c>
      <c r="AG363" s="108">
        <f t="shared" si="159"/>
        <v>0</v>
      </c>
      <c r="AH363" s="108">
        <f t="shared" si="160"/>
        <v>0</v>
      </c>
      <c r="AI363" s="108">
        <f t="shared" si="161"/>
        <v>-1</v>
      </c>
      <c r="AJ363" s="108">
        <f t="shared" si="162"/>
        <v>0</v>
      </c>
      <c r="AK363" s="108">
        <f t="shared" si="163"/>
        <v>0</v>
      </c>
      <c r="AL363" s="108">
        <f t="shared" si="164"/>
        <v>0</v>
      </c>
      <c r="AM363" s="108">
        <f t="shared" si="165"/>
        <v>0</v>
      </c>
      <c r="AQ363" s="104" t="str">
        <f>$V$62</f>
        <v>Joao</v>
      </c>
      <c r="AR363" s="54">
        <v>0</v>
      </c>
      <c r="AS363" s="54">
        <v>0</v>
      </c>
      <c r="AT363" s="54">
        <v>0</v>
      </c>
      <c r="AU363" s="54">
        <v>0</v>
      </c>
      <c r="AV363" s="54">
        <v>0</v>
      </c>
      <c r="AW363" s="54">
        <v>0</v>
      </c>
      <c r="AX363" s="54">
        <v>0</v>
      </c>
      <c r="AY363" s="54">
        <v>0</v>
      </c>
      <c r="AZ363" s="54">
        <v>0</v>
      </c>
      <c r="BA363" s="54">
        <v>0</v>
      </c>
      <c r="BB363" s="54">
        <v>0</v>
      </c>
      <c r="BC363" s="54">
        <v>0</v>
      </c>
      <c r="BD363" s="54">
        <v>0</v>
      </c>
      <c r="BE363" s="54">
        <v>0</v>
      </c>
      <c r="BF363" s="54">
        <v>0</v>
      </c>
      <c r="BG363" s="54">
        <v>0</v>
      </c>
      <c r="BH363" s="54">
        <v>0</v>
      </c>
      <c r="BK363" s="104" t="str">
        <f>$V$75</f>
        <v>Yassin</v>
      </c>
      <c r="BL363" s="108">
        <v>0</v>
      </c>
      <c r="BM363" s="108">
        <v>0</v>
      </c>
      <c r="BN363" s="108">
        <v>0</v>
      </c>
      <c r="BO363" s="108">
        <v>0</v>
      </c>
      <c r="BP363" s="108">
        <v>0</v>
      </c>
      <c r="BQ363" s="108">
        <v>0</v>
      </c>
      <c r="BR363" s="108">
        <v>0</v>
      </c>
      <c r="BS363" s="108">
        <v>0</v>
      </c>
      <c r="BT363" s="108">
        <v>0</v>
      </c>
      <c r="BU363" s="108">
        <v>0</v>
      </c>
      <c r="BV363" s="108">
        <v>0</v>
      </c>
      <c r="BW363" s="108">
        <v>0</v>
      </c>
      <c r="BX363" s="108">
        <v>0</v>
      </c>
      <c r="BY363" s="108">
        <v>0</v>
      </c>
      <c r="BZ363" s="108">
        <v>0</v>
      </c>
      <c r="CA363" s="108">
        <v>0</v>
      </c>
      <c r="CB363" s="108">
        <v>0</v>
      </c>
    </row>
    <row r="364" spans="2:80" x14ac:dyDescent="0.55000000000000004">
      <c r="B364" s="104" t="str">
        <f>$V$58</f>
        <v>Weixin</v>
      </c>
      <c r="C364" s="108">
        <v>0</v>
      </c>
      <c r="D364" s="108">
        <v>0</v>
      </c>
      <c r="E364" s="108">
        <v>0</v>
      </c>
      <c r="F364" s="108">
        <v>0</v>
      </c>
      <c r="G364" s="108">
        <v>0</v>
      </c>
      <c r="H364" s="108">
        <v>0</v>
      </c>
      <c r="I364" s="108">
        <v>0</v>
      </c>
      <c r="J364" s="108">
        <v>0</v>
      </c>
      <c r="K364" s="108">
        <v>0</v>
      </c>
      <c r="L364" s="108">
        <v>0</v>
      </c>
      <c r="M364" s="108">
        <v>0</v>
      </c>
      <c r="N364" s="108">
        <v>0</v>
      </c>
      <c r="O364" s="108">
        <v>0</v>
      </c>
      <c r="P364" s="108">
        <v>0</v>
      </c>
      <c r="Q364" s="108">
        <v>0</v>
      </c>
      <c r="R364" s="108">
        <v>0</v>
      </c>
      <c r="S364" s="108">
        <v>0</v>
      </c>
      <c r="T364" s="28" t="s">
        <v>26</v>
      </c>
      <c r="V364" s="104" t="str">
        <f>$V$58</f>
        <v>Weixin</v>
      </c>
      <c r="W364" s="108">
        <f t="shared" si="149"/>
        <v>1</v>
      </c>
      <c r="X364" s="108">
        <f t="shared" si="150"/>
        <v>0</v>
      </c>
      <c r="Y364" s="108">
        <f t="shared" si="151"/>
        <v>0</v>
      </c>
      <c r="Z364" s="108">
        <f t="shared" si="152"/>
        <v>0</v>
      </c>
      <c r="AA364" s="108">
        <f t="shared" si="153"/>
        <v>0</v>
      </c>
      <c r="AB364" s="108">
        <f t="shared" si="154"/>
        <v>0</v>
      </c>
      <c r="AC364" s="108">
        <f t="shared" si="155"/>
        <v>0</v>
      </c>
      <c r="AD364" s="108">
        <f t="shared" si="156"/>
        <v>0</v>
      </c>
      <c r="AE364" s="108">
        <f t="shared" si="157"/>
        <v>0</v>
      </c>
      <c r="AF364" s="108">
        <f t="shared" si="158"/>
        <v>0</v>
      </c>
      <c r="AG364" s="108">
        <f t="shared" si="159"/>
        <v>0</v>
      </c>
      <c r="AH364" s="108">
        <f t="shared" si="160"/>
        <v>0</v>
      </c>
      <c r="AI364" s="108">
        <f t="shared" si="161"/>
        <v>-1</v>
      </c>
      <c r="AJ364" s="108">
        <f t="shared" si="162"/>
        <v>0</v>
      </c>
      <c r="AK364" s="108">
        <f t="shared" si="163"/>
        <v>0</v>
      </c>
      <c r="AL364" s="108">
        <f t="shared" si="164"/>
        <v>0</v>
      </c>
      <c r="AM364" s="108">
        <f t="shared" si="165"/>
        <v>0</v>
      </c>
      <c r="AQ364" s="104" t="str">
        <f>$V$63</f>
        <v>Maxime</v>
      </c>
      <c r="AR364" s="54">
        <v>0</v>
      </c>
      <c r="AS364" s="54">
        <v>0</v>
      </c>
      <c r="AT364" s="54">
        <v>0</v>
      </c>
      <c r="AU364" s="54">
        <v>0</v>
      </c>
      <c r="AV364" s="54">
        <v>0</v>
      </c>
      <c r="AW364" s="54">
        <v>0</v>
      </c>
      <c r="AX364" s="54">
        <v>0</v>
      </c>
      <c r="AY364" s="54">
        <v>0</v>
      </c>
      <c r="AZ364" s="54">
        <v>0</v>
      </c>
      <c r="BA364" s="54">
        <v>0</v>
      </c>
      <c r="BB364" s="54">
        <v>0</v>
      </c>
      <c r="BC364" s="54">
        <v>0</v>
      </c>
      <c r="BD364" s="54">
        <v>0</v>
      </c>
      <c r="BE364" s="54">
        <v>0</v>
      </c>
      <c r="BF364" s="54">
        <v>0</v>
      </c>
      <c r="BG364" s="54">
        <v>0</v>
      </c>
      <c r="BH364" s="54">
        <v>0</v>
      </c>
      <c r="BK364" s="104" t="str">
        <f>$V$76</f>
        <v>Kamar</v>
      </c>
      <c r="BL364" s="108">
        <v>0</v>
      </c>
      <c r="BM364" s="108">
        <v>0</v>
      </c>
      <c r="BN364" s="108">
        <v>0</v>
      </c>
      <c r="BO364" s="108">
        <v>0</v>
      </c>
      <c r="BP364" s="108">
        <v>0</v>
      </c>
      <c r="BQ364" s="108">
        <v>0</v>
      </c>
      <c r="BR364" s="108">
        <v>0</v>
      </c>
      <c r="BS364" s="108">
        <v>0</v>
      </c>
      <c r="BT364" s="108">
        <v>0</v>
      </c>
      <c r="BU364" s="108">
        <v>0</v>
      </c>
      <c r="BV364" s="108">
        <v>0</v>
      </c>
      <c r="BW364" s="108">
        <v>0</v>
      </c>
      <c r="BX364" s="108">
        <v>0</v>
      </c>
      <c r="BY364" s="108">
        <v>0</v>
      </c>
      <c r="BZ364" s="108">
        <v>0</v>
      </c>
      <c r="CA364" s="108">
        <v>0</v>
      </c>
      <c r="CB364" s="108">
        <v>0</v>
      </c>
    </row>
    <row r="365" spans="2:80" x14ac:dyDescent="0.55000000000000004">
      <c r="B365" s="104" t="str">
        <f>$V$59</f>
        <v>Benjamin</v>
      </c>
      <c r="C365" s="108">
        <v>0</v>
      </c>
      <c r="D365" s="108">
        <v>0</v>
      </c>
      <c r="E365" s="108">
        <v>0</v>
      </c>
      <c r="F365" s="108">
        <v>0</v>
      </c>
      <c r="G365" s="108">
        <v>0</v>
      </c>
      <c r="H365" s="108">
        <v>0</v>
      </c>
      <c r="I365" s="108">
        <v>0</v>
      </c>
      <c r="J365" s="108">
        <v>0</v>
      </c>
      <c r="K365" s="108">
        <v>0</v>
      </c>
      <c r="L365" s="108">
        <v>0</v>
      </c>
      <c r="M365" s="108">
        <v>0</v>
      </c>
      <c r="N365" s="108">
        <v>0</v>
      </c>
      <c r="O365" s="108">
        <v>0</v>
      </c>
      <c r="P365" s="108">
        <v>0</v>
      </c>
      <c r="Q365" s="108">
        <v>0</v>
      </c>
      <c r="R365" s="108">
        <v>0</v>
      </c>
      <c r="S365" s="108">
        <v>0</v>
      </c>
      <c r="T365" s="28" t="s">
        <v>26</v>
      </c>
      <c r="V365" s="104" t="str">
        <f>$V$59</f>
        <v>Benjamin</v>
      </c>
      <c r="W365" s="108">
        <f t="shared" si="149"/>
        <v>1</v>
      </c>
      <c r="X365" s="108">
        <f t="shared" si="150"/>
        <v>0</v>
      </c>
      <c r="Y365" s="108">
        <f t="shared" si="151"/>
        <v>0</v>
      </c>
      <c r="Z365" s="108">
        <f t="shared" si="152"/>
        <v>0</v>
      </c>
      <c r="AA365" s="108">
        <f t="shared" si="153"/>
        <v>0</v>
      </c>
      <c r="AB365" s="108">
        <f t="shared" si="154"/>
        <v>0</v>
      </c>
      <c r="AC365" s="108">
        <f t="shared" si="155"/>
        <v>0</v>
      </c>
      <c r="AD365" s="108">
        <f t="shared" si="156"/>
        <v>0</v>
      </c>
      <c r="AE365" s="108">
        <f t="shared" si="157"/>
        <v>0</v>
      </c>
      <c r="AF365" s="108">
        <f t="shared" si="158"/>
        <v>0</v>
      </c>
      <c r="AG365" s="108">
        <f t="shared" si="159"/>
        <v>0</v>
      </c>
      <c r="AH365" s="108">
        <f t="shared" si="160"/>
        <v>0</v>
      </c>
      <c r="AI365" s="108">
        <f t="shared" si="161"/>
        <v>-1</v>
      </c>
      <c r="AJ365" s="108">
        <f t="shared" si="162"/>
        <v>0</v>
      </c>
      <c r="AK365" s="108">
        <f t="shared" si="163"/>
        <v>0</v>
      </c>
      <c r="AL365" s="108">
        <f t="shared" si="164"/>
        <v>0</v>
      </c>
      <c r="AM365" s="108">
        <f t="shared" si="165"/>
        <v>0</v>
      </c>
      <c r="AQ365" s="104" t="str">
        <f>$V$64</f>
        <v>Alex</v>
      </c>
      <c r="AR365" s="54">
        <v>0</v>
      </c>
      <c r="AS365" s="54">
        <v>0</v>
      </c>
      <c r="AT365" s="54">
        <v>0</v>
      </c>
      <c r="AU365" s="54">
        <v>0</v>
      </c>
      <c r="AV365" s="54">
        <v>0</v>
      </c>
      <c r="AW365" s="54">
        <v>0</v>
      </c>
      <c r="AX365" s="54">
        <v>0</v>
      </c>
      <c r="AY365" s="54">
        <v>0</v>
      </c>
      <c r="AZ365" s="54">
        <v>0</v>
      </c>
      <c r="BA365" s="54">
        <v>0</v>
      </c>
      <c r="BB365" s="54">
        <v>0</v>
      </c>
      <c r="BC365" s="54">
        <v>0</v>
      </c>
      <c r="BD365" s="54">
        <v>0</v>
      </c>
      <c r="BE365" s="54">
        <v>0</v>
      </c>
      <c r="BF365" s="54">
        <v>0</v>
      </c>
      <c r="BG365" s="54">
        <v>0</v>
      </c>
      <c r="BH365" s="54">
        <v>0</v>
      </c>
      <c r="BK365" s="104" t="str">
        <f>$V$77</f>
        <v>-</v>
      </c>
      <c r="BL365" s="108">
        <v>0</v>
      </c>
      <c r="BM365" s="108">
        <v>0</v>
      </c>
      <c r="BN365" s="108">
        <v>0</v>
      </c>
      <c r="BO365" s="108">
        <v>0</v>
      </c>
      <c r="BP365" s="108">
        <v>0</v>
      </c>
      <c r="BQ365" s="108">
        <v>0</v>
      </c>
      <c r="BR365" s="108">
        <v>0</v>
      </c>
      <c r="BS365" s="108">
        <v>0</v>
      </c>
      <c r="BT365" s="108">
        <v>0</v>
      </c>
      <c r="BU365" s="108">
        <v>0</v>
      </c>
      <c r="BV365" s="108">
        <v>0</v>
      </c>
      <c r="BW365" s="108">
        <v>0</v>
      </c>
      <c r="BX365" s="108">
        <v>0</v>
      </c>
      <c r="BY365" s="108">
        <v>0</v>
      </c>
      <c r="BZ365" s="108">
        <v>0</v>
      </c>
      <c r="CA365" s="108">
        <v>0</v>
      </c>
      <c r="CB365" s="108">
        <v>0</v>
      </c>
    </row>
    <row r="366" spans="2:80" x14ac:dyDescent="0.55000000000000004">
      <c r="B366" s="104" t="str">
        <f>$V$60</f>
        <v>Joelle</v>
      </c>
      <c r="C366" s="108">
        <v>0</v>
      </c>
      <c r="D366" s="108">
        <v>0</v>
      </c>
      <c r="E366" s="108">
        <v>0</v>
      </c>
      <c r="F366" s="108">
        <v>0</v>
      </c>
      <c r="G366" s="108">
        <v>0</v>
      </c>
      <c r="H366" s="108">
        <v>0</v>
      </c>
      <c r="I366" s="108">
        <v>0</v>
      </c>
      <c r="J366" s="108">
        <v>0</v>
      </c>
      <c r="K366" s="108">
        <v>0</v>
      </c>
      <c r="L366" s="108">
        <v>0</v>
      </c>
      <c r="M366" s="108">
        <v>0</v>
      </c>
      <c r="N366" s="108">
        <v>0</v>
      </c>
      <c r="O366" s="108">
        <v>0</v>
      </c>
      <c r="P366" s="108">
        <v>0</v>
      </c>
      <c r="Q366" s="108">
        <v>0</v>
      </c>
      <c r="R366" s="108">
        <v>0</v>
      </c>
      <c r="S366" s="108">
        <v>0</v>
      </c>
      <c r="T366" s="28" t="s">
        <v>26</v>
      </c>
      <c r="V366" s="104" t="str">
        <f>$V$60</f>
        <v>Joelle</v>
      </c>
      <c r="W366" s="108">
        <f t="shared" si="149"/>
        <v>0</v>
      </c>
      <c r="X366" s="108">
        <f t="shared" si="150"/>
        <v>0</v>
      </c>
      <c r="Y366" s="108">
        <f t="shared" si="151"/>
        <v>0</v>
      </c>
      <c r="Z366" s="108">
        <f t="shared" si="152"/>
        <v>0</v>
      </c>
      <c r="AA366" s="108">
        <f t="shared" si="153"/>
        <v>0</v>
      </c>
      <c r="AB366" s="108">
        <f t="shared" si="154"/>
        <v>0</v>
      </c>
      <c r="AC366" s="108">
        <f t="shared" si="155"/>
        <v>0</v>
      </c>
      <c r="AD366" s="108">
        <f t="shared" si="156"/>
        <v>0</v>
      </c>
      <c r="AE366" s="108">
        <f t="shared" si="157"/>
        <v>0</v>
      </c>
      <c r="AF366" s="108">
        <f t="shared" si="158"/>
        <v>0</v>
      </c>
      <c r="AG366" s="108">
        <f t="shared" si="159"/>
        <v>0</v>
      </c>
      <c r="AH366" s="108">
        <f t="shared" si="160"/>
        <v>0</v>
      </c>
      <c r="AI366" s="108">
        <f t="shared" si="161"/>
        <v>0</v>
      </c>
      <c r="AJ366" s="108">
        <f t="shared" si="162"/>
        <v>0</v>
      </c>
      <c r="AK366" s="108">
        <f t="shared" si="163"/>
        <v>0</v>
      </c>
      <c r="AL366" s="108">
        <f t="shared" si="164"/>
        <v>0</v>
      </c>
      <c r="AM366" s="108">
        <f t="shared" si="165"/>
        <v>0</v>
      </c>
      <c r="AQ366" s="104" t="str">
        <f>$V$65</f>
        <v>Alyssa</v>
      </c>
      <c r="AR366" s="54">
        <v>0</v>
      </c>
      <c r="AS366" s="54">
        <v>0</v>
      </c>
      <c r="AT366" s="54">
        <v>0</v>
      </c>
      <c r="AU366" s="54">
        <v>0</v>
      </c>
      <c r="AV366" s="54">
        <v>0</v>
      </c>
      <c r="AW366" s="54">
        <v>0</v>
      </c>
      <c r="AX366" s="54">
        <v>0</v>
      </c>
      <c r="AY366" s="54">
        <v>0</v>
      </c>
      <c r="AZ366" s="54">
        <v>0</v>
      </c>
      <c r="BA366" s="54">
        <v>0</v>
      </c>
      <c r="BB366" s="54">
        <v>0</v>
      </c>
      <c r="BC366" s="54">
        <v>0</v>
      </c>
      <c r="BD366" s="54">
        <v>0</v>
      </c>
      <c r="BE366" s="54">
        <v>0</v>
      </c>
      <c r="BF366" s="54">
        <v>0</v>
      </c>
      <c r="BG366" s="54">
        <v>0</v>
      </c>
      <c r="BH366" s="54">
        <v>0</v>
      </c>
      <c r="BK366" s="104" t="str">
        <f>$V$78</f>
        <v>-</v>
      </c>
      <c r="BL366" s="108">
        <v>0</v>
      </c>
      <c r="BM366" s="108">
        <v>0</v>
      </c>
      <c r="BN366" s="108">
        <v>0</v>
      </c>
      <c r="BO366" s="108">
        <v>0</v>
      </c>
      <c r="BP366" s="108">
        <v>0</v>
      </c>
      <c r="BQ366" s="108">
        <v>0</v>
      </c>
      <c r="BR366" s="108">
        <v>0</v>
      </c>
      <c r="BS366" s="108">
        <v>0</v>
      </c>
      <c r="BT366" s="108">
        <v>0</v>
      </c>
      <c r="BU366" s="108">
        <v>0</v>
      </c>
      <c r="BV366" s="108">
        <v>0</v>
      </c>
      <c r="BW366" s="108">
        <v>0</v>
      </c>
      <c r="BX366" s="108">
        <v>0</v>
      </c>
      <c r="BY366" s="108">
        <v>0</v>
      </c>
      <c r="BZ366" s="108">
        <v>0</v>
      </c>
      <c r="CA366" s="108">
        <v>0</v>
      </c>
      <c r="CB366" s="108">
        <v>0</v>
      </c>
    </row>
    <row r="367" spans="2:80" x14ac:dyDescent="0.55000000000000004">
      <c r="B367" s="104" t="str">
        <f>$V$61</f>
        <v>Alexia</v>
      </c>
      <c r="C367" s="108">
        <v>0</v>
      </c>
      <c r="D367" s="108">
        <v>0</v>
      </c>
      <c r="E367" s="108">
        <v>0</v>
      </c>
      <c r="F367" s="108">
        <v>0</v>
      </c>
      <c r="G367" s="108">
        <v>0</v>
      </c>
      <c r="H367" s="108">
        <v>0</v>
      </c>
      <c r="I367" s="108">
        <v>0</v>
      </c>
      <c r="J367" s="108">
        <v>0</v>
      </c>
      <c r="K367" s="108">
        <v>0</v>
      </c>
      <c r="L367" s="108">
        <v>0</v>
      </c>
      <c r="M367" s="108">
        <v>0</v>
      </c>
      <c r="N367" s="108">
        <v>0</v>
      </c>
      <c r="O367" s="108">
        <v>0</v>
      </c>
      <c r="P367" s="108">
        <v>0</v>
      </c>
      <c r="Q367" s="108">
        <v>0</v>
      </c>
      <c r="R367" s="108">
        <v>0</v>
      </c>
      <c r="S367" s="108">
        <v>0</v>
      </c>
      <c r="T367" s="28" t="s">
        <v>26</v>
      </c>
      <c r="V367" s="104" t="str">
        <f>$V$61</f>
        <v>Alexia</v>
      </c>
      <c r="W367" s="108">
        <f t="shared" si="149"/>
        <v>0</v>
      </c>
      <c r="X367" s="108">
        <f t="shared" si="150"/>
        <v>0</v>
      </c>
      <c r="Y367" s="108">
        <f t="shared" si="151"/>
        <v>0</v>
      </c>
      <c r="Z367" s="108">
        <f t="shared" si="152"/>
        <v>0</v>
      </c>
      <c r="AA367" s="108">
        <f t="shared" si="153"/>
        <v>0</v>
      </c>
      <c r="AB367" s="108">
        <f t="shared" si="154"/>
        <v>0</v>
      </c>
      <c r="AC367" s="108">
        <f t="shared" si="155"/>
        <v>0</v>
      </c>
      <c r="AD367" s="108">
        <f t="shared" si="156"/>
        <v>0</v>
      </c>
      <c r="AE367" s="108">
        <f t="shared" si="157"/>
        <v>0</v>
      </c>
      <c r="AF367" s="108">
        <f t="shared" si="158"/>
        <v>0</v>
      </c>
      <c r="AG367" s="108">
        <f t="shared" si="159"/>
        <v>0</v>
      </c>
      <c r="AH367" s="108">
        <f t="shared" si="160"/>
        <v>0</v>
      </c>
      <c r="AI367" s="108">
        <f t="shared" si="161"/>
        <v>0</v>
      </c>
      <c r="AJ367" s="108">
        <f t="shared" si="162"/>
        <v>0</v>
      </c>
      <c r="AK367" s="108">
        <f t="shared" si="163"/>
        <v>0</v>
      </c>
      <c r="AL367" s="108">
        <f t="shared" si="164"/>
        <v>0</v>
      </c>
      <c r="AM367" s="108">
        <f t="shared" si="165"/>
        <v>0</v>
      </c>
      <c r="AQ367" s="104" t="str">
        <f>$V$66</f>
        <v>Amanda</v>
      </c>
      <c r="AR367" s="54">
        <v>0</v>
      </c>
      <c r="AS367" s="54">
        <v>0</v>
      </c>
      <c r="AT367" s="54">
        <v>0</v>
      </c>
      <c r="AU367" s="54">
        <v>0</v>
      </c>
      <c r="AV367" s="54">
        <v>0</v>
      </c>
      <c r="AW367" s="54">
        <v>0</v>
      </c>
      <c r="AX367" s="54">
        <v>0</v>
      </c>
      <c r="AY367" s="54">
        <v>0</v>
      </c>
      <c r="AZ367" s="54">
        <v>0</v>
      </c>
      <c r="BA367" s="54">
        <v>0</v>
      </c>
      <c r="BB367" s="54">
        <v>0</v>
      </c>
      <c r="BC367" s="54">
        <v>0</v>
      </c>
      <c r="BD367" s="54">
        <v>0</v>
      </c>
      <c r="BE367" s="54">
        <v>0</v>
      </c>
      <c r="BF367" s="54">
        <v>0</v>
      </c>
      <c r="BG367" s="54">
        <v>0</v>
      </c>
      <c r="BH367" s="54">
        <v>0</v>
      </c>
      <c r="BK367" s="104" t="str">
        <f>$V$79</f>
        <v>-</v>
      </c>
      <c r="BL367" s="108">
        <v>0</v>
      </c>
      <c r="BM367" s="108">
        <v>0</v>
      </c>
      <c r="BN367" s="108">
        <v>0</v>
      </c>
      <c r="BO367" s="108">
        <v>0</v>
      </c>
      <c r="BP367" s="108">
        <v>0</v>
      </c>
      <c r="BQ367" s="108">
        <v>0</v>
      </c>
      <c r="BR367" s="108">
        <v>0</v>
      </c>
      <c r="BS367" s="108">
        <v>0</v>
      </c>
      <c r="BT367" s="108">
        <v>0</v>
      </c>
      <c r="BU367" s="108">
        <v>0</v>
      </c>
      <c r="BV367" s="108">
        <v>0</v>
      </c>
      <c r="BW367" s="108">
        <v>0</v>
      </c>
      <c r="BX367" s="108">
        <v>0</v>
      </c>
      <c r="BY367" s="108">
        <v>0</v>
      </c>
      <c r="BZ367" s="108">
        <v>0</v>
      </c>
      <c r="CA367" s="108">
        <v>0</v>
      </c>
      <c r="CB367" s="108">
        <v>0</v>
      </c>
    </row>
    <row r="368" spans="2:80" x14ac:dyDescent="0.55000000000000004">
      <c r="B368" s="104" t="str">
        <f>$V$62</f>
        <v>Joao</v>
      </c>
      <c r="C368" s="108">
        <v>0</v>
      </c>
      <c r="D368" s="108">
        <v>0</v>
      </c>
      <c r="E368" s="108">
        <v>0</v>
      </c>
      <c r="F368" s="108">
        <v>0</v>
      </c>
      <c r="G368" s="108">
        <v>0</v>
      </c>
      <c r="H368" s="108">
        <v>0</v>
      </c>
      <c r="I368" s="108">
        <v>0</v>
      </c>
      <c r="J368" s="108">
        <v>0</v>
      </c>
      <c r="K368" s="108">
        <v>0</v>
      </c>
      <c r="L368" s="108">
        <v>0</v>
      </c>
      <c r="M368" s="108">
        <v>0</v>
      </c>
      <c r="N368" s="108">
        <v>0</v>
      </c>
      <c r="O368" s="108">
        <v>0</v>
      </c>
      <c r="P368" s="108">
        <v>0</v>
      </c>
      <c r="Q368" s="108">
        <v>0</v>
      </c>
      <c r="R368" s="108">
        <v>0</v>
      </c>
      <c r="S368" s="108">
        <v>0</v>
      </c>
      <c r="T368" s="28" t="s">
        <v>26</v>
      </c>
      <c r="V368" s="104" t="str">
        <f>$V$62</f>
        <v>Joao</v>
      </c>
      <c r="W368" s="108">
        <f t="shared" si="149"/>
        <v>0</v>
      </c>
      <c r="X368" s="108">
        <f t="shared" si="150"/>
        <v>0</v>
      </c>
      <c r="Y368" s="108">
        <f t="shared" si="151"/>
        <v>0</v>
      </c>
      <c r="Z368" s="108">
        <f t="shared" si="152"/>
        <v>0</v>
      </c>
      <c r="AA368" s="108">
        <f t="shared" si="153"/>
        <v>0</v>
      </c>
      <c r="AB368" s="108">
        <f t="shared" si="154"/>
        <v>0</v>
      </c>
      <c r="AC368" s="108">
        <f t="shared" si="155"/>
        <v>0</v>
      </c>
      <c r="AD368" s="108">
        <f t="shared" si="156"/>
        <v>0</v>
      </c>
      <c r="AE368" s="108">
        <f t="shared" si="157"/>
        <v>0</v>
      </c>
      <c r="AF368" s="108">
        <f t="shared" si="158"/>
        <v>0</v>
      </c>
      <c r="AG368" s="108">
        <f t="shared" si="159"/>
        <v>0</v>
      </c>
      <c r="AH368" s="108">
        <f t="shared" si="160"/>
        <v>0</v>
      </c>
      <c r="AI368" s="108">
        <f t="shared" si="161"/>
        <v>0</v>
      </c>
      <c r="AJ368" s="108">
        <f t="shared" si="162"/>
        <v>0</v>
      </c>
      <c r="AK368" s="108">
        <f t="shared" si="163"/>
        <v>0</v>
      </c>
      <c r="AL368" s="108">
        <f t="shared" si="164"/>
        <v>0</v>
      </c>
      <c r="AM368" s="108">
        <f t="shared" si="165"/>
        <v>0</v>
      </c>
      <c r="AQ368" s="104" t="str">
        <f>$V$67</f>
        <v>Antoine</v>
      </c>
      <c r="AR368" s="54">
        <v>0</v>
      </c>
      <c r="AS368" s="54">
        <v>0</v>
      </c>
      <c r="AT368" s="54">
        <v>0</v>
      </c>
      <c r="AU368" s="54">
        <v>0</v>
      </c>
      <c r="AV368" s="54">
        <v>0</v>
      </c>
      <c r="AW368" s="54">
        <v>0</v>
      </c>
      <c r="AX368" s="54">
        <v>0</v>
      </c>
      <c r="AY368" s="54">
        <v>0</v>
      </c>
      <c r="AZ368" s="54">
        <v>0</v>
      </c>
      <c r="BA368" s="54">
        <v>0</v>
      </c>
      <c r="BB368" s="54">
        <v>0</v>
      </c>
      <c r="BC368" s="54">
        <v>0</v>
      </c>
      <c r="BD368" s="54">
        <v>0</v>
      </c>
      <c r="BE368" s="54">
        <v>0</v>
      </c>
      <c r="BF368" s="54">
        <v>0</v>
      </c>
      <c r="BG368" s="54">
        <v>0</v>
      </c>
      <c r="BH368" s="54">
        <v>0</v>
      </c>
      <c r="BK368" s="104" t="str">
        <f>$V$80</f>
        <v>-</v>
      </c>
      <c r="BL368" s="108">
        <v>0</v>
      </c>
      <c r="BM368" s="108">
        <v>0</v>
      </c>
      <c r="BN368" s="108">
        <v>0</v>
      </c>
      <c r="BO368" s="108">
        <v>0</v>
      </c>
      <c r="BP368" s="108">
        <v>0</v>
      </c>
      <c r="BQ368" s="108">
        <v>0</v>
      </c>
      <c r="BR368" s="108">
        <v>0</v>
      </c>
      <c r="BS368" s="108">
        <v>0</v>
      </c>
      <c r="BT368" s="108">
        <v>0</v>
      </c>
      <c r="BU368" s="108">
        <v>0</v>
      </c>
      <c r="BV368" s="108">
        <v>0</v>
      </c>
      <c r="BW368" s="108">
        <v>0</v>
      </c>
      <c r="BX368" s="108">
        <v>0</v>
      </c>
      <c r="BY368" s="108">
        <v>0</v>
      </c>
      <c r="BZ368" s="108">
        <v>0</v>
      </c>
      <c r="CA368" s="108">
        <v>0</v>
      </c>
      <c r="CB368" s="108">
        <v>0</v>
      </c>
    </row>
    <row r="369" spans="2:80" x14ac:dyDescent="0.55000000000000004">
      <c r="B369" s="104" t="str">
        <f>$V$63</f>
        <v>Maxime</v>
      </c>
      <c r="C369" s="108">
        <v>0</v>
      </c>
      <c r="D369" s="108">
        <v>0</v>
      </c>
      <c r="E369" s="108">
        <v>0</v>
      </c>
      <c r="F369" s="108">
        <v>0</v>
      </c>
      <c r="G369" s="108">
        <v>0</v>
      </c>
      <c r="H369" s="108">
        <v>0</v>
      </c>
      <c r="I369" s="108">
        <v>0</v>
      </c>
      <c r="J369" s="108">
        <v>1</v>
      </c>
      <c r="K369" s="108">
        <v>0</v>
      </c>
      <c r="L369" s="108">
        <v>0</v>
      </c>
      <c r="M369" s="108">
        <v>0</v>
      </c>
      <c r="N369" s="108">
        <v>0</v>
      </c>
      <c r="O369" s="108">
        <v>0</v>
      </c>
      <c r="P369" s="108">
        <v>0</v>
      </c>
      <c r="Q369" s="108">
        <v>0</v>
      </c>
      <c r="R369" s="108">
        <v>0</v>
      </c>
      <c r="S369" s="108">
        <v>0</v>
      </c>
      <c r="T369" s="28" t="s">
        <v>26</v>
      </c>
      <c r="V369" s="104" t="str">
        <f>$V$63</f>
        <v>Maxime</v>
      </c>
      <c r="W369" s="108">
        <f t="shared" si="149"/>
        <v>0</v>
      </c>
      <c r="X369" s="108">
        <f t="shared" si="150"/>
        <v>0</v>
      </c>
      <c r="Y369" s="108">
        <f t="shared" si="151"/>
        <v>0</v>
      </c>
      <c r="Z369" s="108">
        <f t="shared" si="152"/>
        <v>0</v>
      </c>
      <c r="AA369" s="108">
        <f t="shared" si="153"/>
        <v>0</v>
      </c>
      <c r="AB369" s="108">
        <f t="shared" si="154"/>
        <v>0</v>
      </c>
      <c r="AC369" s="108">
        <f t="shared" si="155"/>
        <v>0</v>
      </c>
      <c r="AD369" s="108">
        <f t="shared" si="156"/>
        <v>0</v>
      </c>
      <c r="AE369" s="108">
        <f t="shared" si="157"/>
        <v>0</v>
      </c>
      <c r="AF369" s="108">
        <f t="shared" si="158"/>
        <v>0</v>
      </c>
      <c r="AG369" s="108">
        <f t="shared" si="159"/>
        <v>0</v>
      </c>
      <c r="AH369" s="108">
        <f t="shared" si="160"/>
        <v>0</v>
      </c>
      <c r="AI369" s="108">
        <f t="shared" si="161"/>
        <v>0</v>
      </c>
      <c r="AJ369" s="108">
        <f t="shared" si="162"/>
        <v>0</v>
      </c>
      <c r="AK369" s="108">
        <f t="shared" si="163"/>
        <v>0</v>
      </c>
      <c r="AL369" s="108">
        <f t="shared" si="164"/>
        <v>0</v>
      </c>
      <c r="AM369" s="108">
        <f t="shared" si="165"/>
        <v>0</v>
      </c>
      <c r="AQ369" s="104" t="str">
        <f>$V$68</f>
        <v>Beatriz</v>
      </c>
      <c r="AR369" s="54">
        <v>0</v>
      </c>
      <c r="AS369" s="54">
        <v>0</v>
      </c>
      <c r="AT369" s="54">
        <v>0</v>
      </c>
      <c r="AU369" s="54">
        <v>0</v>
      </c>
      <c r="AV369" s="54">
        <v>0</v>
      </c>
      <c r="AW369" s="54">
        <v>0</v>
      </c>
      <c r="AX369" s="54">
        <v>0</v>
      </c>
      <c r="AY369" s="54">
        <v>0</v>
      </c>
      <c r="AZ369" s="54">
        <v>0</v>
      </c>
      <c r="BA369" s="54">
        <v>0</v>
      </c>
      <c r="BB369" s="54">
        <v>0</v>
      </c>
      <c r="BC369" s="54">
        <v>0</v>
      </c>
      <c r="BD369" s="54">
        <v>0</v>
      </c>
      <c r="BE369" s="54">
        <v>0</v>
      </c>
      <c r="BF369" s="54">
        <v>0</v>
      </c>
      <c r="BG369" s="54">
        <v>0</v>
      </c>
      <c r="BH369" s="54">
        <v>0</v>
      </c>
      <c r="BK369" s="104" t="str">
        <f>$V$81</f>
        <v>-</v>
      </c>
      <c r="BL369" s="108">
        <v>0</v>
      </c>
      <c r="BM369" s="108">
        <v>0</v>
      </c>
      <c r="BN369" s="108">
        <v>0</v>
      </c>
      <c r="BO369" s="108">
        <v>0</v>
      </c>
      <c r="BP369" s="108">
        <v>0</v>
      </c>
      <c r="BQ369" s="108">
        <v>0</v>
      </c>
      <c r="BR369" s="108">
        <v>0</v>
      </c>
      <c r="BS369" s="108">
        <v>0</v>
      </c>
      <c r="BT369" s="108">
        <v>0</v>
      </c>
      <c r="BU369" s="108">
        <v>0</v>
      </c>
      <c r="BV369" s="108">
        <v>0</v>
      </c>
      <c r="BW369" s="108">
        <v>0</v>
      </c>
      <c r="BX369" s="108">
        <v>0</v>
      </c>
      <c r="BY369" s="108">
        <v>0</v>
      </c>
      <c r="BZ369" s="108">
        <v>0</v>
      </c>
      <c r="CA369" s="108">
        <v>0</v>
      </c>
      <c r="CB369" s="108">
        <v>0</v>
      </c>
    </row>
    <row r="370" spans="2:80" x14ac:dyDescent="0.55000000000000004">
      <c r="B370" s="104" t="str">
        <f>$V$64</f>
        <v>Alex</v>
      </c>
      <c r="C370" s="108">
        <v>0</v>
      </c>
      <c r="D370" s="108">
        <v>0</v>
      </c>
      <c r="E370" s="108">
        <v>0</v>
      </c>
      <c r="F370" s="108">
        <v>0</v>
      </c>
      <c r="G370" s="108">
        <v>0</v>
      </c>
      <c r="H370" s="108">
        <v>0</v>
      </c>
      <c r="I370" s="108">
        <v>0</v>
      </c>
      <c r="J370" s="108">
        <v>0</v>
      </c>
      <c r="K370" s="108">
        <v>1</v>
      </c>
      <c r="L370" s="108">
        <v>0</v>
      </c>
      <c r="M370" s="108">
        <v>0</v>
      </c>
      <c r="N370" s="108">
        <v>0</v>
      </c>
      <c r="O370" s="108">
        <v>0</v>
      </c>
      <c r="P370" s="108">
        <v>0</v>
      </c>
      <c r="Q370" s="108">
        <v>0</v>
      </c>
      <c r="R370" s="108">
        <v>0</v>
      </c>
      <c r="S370" s="108">
        <v>0</v>
      </c>
      <c r="T370" s="28" t="s">
        <v>26</v>
      </c>
      <c r="V370" s="104" t="str">
        <f>$V$64</f>
        <v>Alex</v>
      </c>
      <c r="W370" s="108">
        <f t="shared" si="149"/>
        <v>0</v>
      </c>
      <c r="X370" s="108">
        <f t="shared" si="150"/>
        <v>0</v>
      </c>
      <c r="Y370" s="108">
        <f t="shared" si="151"/>
        <v>0</v>
      </c>
      <c r="Z370" s="108">
        <f t="shared" si="152"/>
        <v>0</v>
      </c>
      <c r="AA370" s="108">
        <f t="shared" si="153"/>
        <v>0</v>
      </c>
      <c r="AB370" s="108">
        <f t="shared" si="154"/>
        <v>0</v>
      </c>
      <c r="AC370" s="108">
        <f t="shared" si="155"/>
        <v>0</v>
      </c>
      <c r="AD370" s="108">
        <f t="shared" si="156"/>
        <v>0</v>
      </c>
      <c r="AE370" s="108">
        <f t="shared" si="157"/>
        <v>0</v>
      </c>
      <c r="AF370" s="108">
        <f t="shared" si="158"/>
        <v>0</v>
      </c>
      <c r="AG370" s="108">
        <f t="shared" si="159"/>
        <v>0</v>
      </c>
      <c r="AH370" s="108">
        <f t="shared" si="160"/>
        <v>0</v>
      </c>
      <c r="AI370" s="108">
        <f t="shared" si="161"/>
        <v>0</v>
      </c>
      <c r="AJ370" s="108">
        <f t="shared" si="162"/>
        <v>0</v>
      </c>
      <c r="AK370" s="108">
        <f t="shared" si="163"/>
        <v>0</v>
      </c>
      <c r="AL370" s="108">
        <f t="shared" si="164"/>
        <v>0</v>
      </c>
      <c r="AM370" s="108">
        <f t="shared" si="165"/>
        <v>0</v>
      </c>
      <c r="AQ370" s="104" t="str">
        <f>$V$69</f>
        <v>Charelle</v>
      </c>
      <c r="AR370" s="54">
        <v>0</v>
      </c>
      <c r="AS370" s="54">
        <v>0</v>
      </c>
      <c r="AT370" s="54">
        <v>0</v>
      </c>
      <c r="AU370" s="54">
        <v>0</v>
      </c>
      <c r="AV370" s="54">
        <v>0</v>
      </c>
      <c r="AW370" s="54">
        <v>0</v>
      </c>
      <c r="AX370" s="54">
        <v>0</v>
      </c>
      <c r="AY370" s="54">
        <v>0</v>
      </c>
      <c r="AZ370" s="54">
        <v>0</v>
      </c>
      <c r="BA370" s="54">
        <v>0</v>
      </c>
      <c r="BB370" s="54">
        <v>0</v>
      </c>
      <c r="BC370" s="54">
        <v>0</v>
      </c>
      <c r="BD370" s="54">
        <v>0</v>
      </c>
      <c r="BE370" s="54">
        <v>0</v>
      </c>
      <c r="BF370" s="54">
        <v>0</v>
      </c>
      <c r="BG370" s="54">
        <v>0</v>
      </c>
      <c r="BH370" s="54">
        <v>0</v>
      </c>
      <c r="BK370" s="104" t="str">
        <f>$V$82</f>
        <v>-</v>
      </c>
      <c r="BL370" s="108">
        <v>0</v>
      </c>
      <c r="BM370" s="108">
        <v>0</v>
      </c>
      <c r="BN370" s="108">
        <v>0</v>
      </c>
      <c r="BO370" s="108">
        <v>0</v>
      </c>
      <c r="BP370" s="108">
        <v>0</v>
      </c>
      <c r="BQ370" s="108">
        <v>0</v>
      </c>
      <c r="BR370" s="108">
        <v>0</v>
      </c>
      <c r="BS370" s="108">
        <v>0</v>
      </c>
      <c r="BT370" s="108">
        <v>0</v>
      </c>
      <c r="BU370" s="108">
        <v>0</v>
      </c>
      <c r="BV370" s="108">
        <v>0</v>
      </c>
      <c r="BW370" s="108">
        <v>0</v>
      </c>
      <c r="BX370" s="108">
        <v>0</v>
      </c>
      <c r="BY370" s="108">
        <v>0</v>
      </c>
      <c r="BZ370" s="108">
        <v>0</v>
      </c>
      <c r="CA370" s="108">
        <v>0</v>
      </c>
      <c r="CB370" s="108">
        <v>0</v>
      </c>
    </row>
    <row r="371" spans="2:80" x14ac:dyDescent="0.55000000000000004">
      <c r="B371" s="104" t="str">
        <f>$V$65</f>
        <v>Alyssa</v>
      </c>
      <c r="C371" s="108">
        <v>0</v>
      </c>
      <c r="D371" s="108">
        <v>0</v>
      </c>
      <c r="E371" s="108">
        <v>0</v>
      </c>
      <c r="F371" s="108">
        <v>0</v>
      </c>
      <c r="G371" s="108">
        <v>0</v>
      </c>
      <c r="H371" s="108">
        <v>0</v>
      </c>
      <c r="I371" s="108">
        <v>0</v>
      </c>
      <c r="J371" s="108">
        <v>0</v>
      </c>
      <c r="K371" s="108">
        <v>0</v>
      </c>
      <c r="L371" s="108">
        <v>0</v>
      </c>
      <c r="M371" s="108">
        <v>0</v>
      </c>
      <c r="N371" s="108">
        <v>0</v>
      </c>
      <c r="O371" s="108">
        <v>0</v>
      </c>
      <c r="P371" s="108">
        <v>0</v>
      </c>
      <c r="Q371" s="108">
        <v>0</v>
      </c>
      <c r="R371" s="108">
        <v>0</v>
      </c>
      <c r="S371" s="108">
        <v>0</v>
      </c>
      <c r="T371" s="28" t="s">
        <v>26</v>
      </c>
      <c r="V371" s="104" t="str">
        <f>$V$65</f>
        <v>Alyssa</v>
      </c>
      <c r="W371" s="108">
        <f t="shared" si="149"/>
        <v>0</v>
      </c>
      <c r="X371" s="108">
        <f t="shared" si="150"/>
        <v>0</v>
      </c>
      <c r="Y371" s="108">
        <f t="shared" si="151"/>
        <v>0</v>
      </c>
      <c r="Z371" s="108">
        <f t="shared" si="152"/>
        <v>0</v>
      </c>
      <c r="AA371" s="108">
        <f t="shared" si="153"/>
        <v>0</v>
      </c>
      <c r="AB371" s="108">
        <f t="shared" si="154"/>
        <v>0</v>
      </c>
      <c r="AC371" s="108">
        <f t="shared" si="155"/>
        <v>0</v>
      </c>
      <c r="AD371" s="108">
        <f t="shared" si="156"/>
        <v>0</v>
      </c>
      <c r="AE371" s="108">
        <f t="shared" si="157"/>
        <v>0</v>
      </c>
      <c r="AF371" s="108">
        <f t="shared" si="158"/>
        <v>0</v>
      </c>
      <c r="AG371" s="108">
        <f t="shared" si="159"/>
        <v>0</v>
      </c>
      <c r="AH371" s="108">
        <f t="shared" si="160"/>
        <v>0</v>
      </c>
      <c r="AI371" s="108">
        <f t="shared" si="161"/>
        <v>0</v>
      </c>
      <c r="AJ371" s="108">
        <f t="shared" si="162"/>
        <v>0</v>
      </c>
      <c r="AK371" s="108">
        <f t="shared" si="163"/>
        <v>0</v>
      </c>
      <c r="AL371" s="108">
        <f t="shared" si="164"/>
        <v>0</v>
      </c>
      <c r="AM371" s="108">
        <f t="shared" si="165"/>
        <v>0</v>
      </c>
      <c r="AQ371" s="104" t="str">
        <f>$V$70</f>
        <v>Dimitri</v>
      </c>
      <c r="AR371" s="54">
        <v>0</v>
      </c>
      <c r="AS371" s="54">
        <v>0</v>
      </c>
      <c r="AT371" s="54">
        <v>0</v>
      </c>
      <c r="AU371" s="54">
        <v>0</v>
      </c>
      <c r="AV371" s="54">
        <v>0</v>
      </c>
      <c r="AW371" s="54">
        <v>0</v>
      </c>
      <c r="AX371" s="54">
        <v>0</v>
      </c>
      <c r="AY371" s="54">
        <v>0</v>
      </c>
      <c r="AZ371" s="54">
        <v>0</v>
      </c>
      <c r="BA371" s="54">
        <v>0</v>
      </c>
      <c r="BB371" s="54">
        <v>0</v>
      </c>
      <c r="BC371" s="54">
        <v>0</v>
      </c>
      <c r="BD371" s="54">
        <v>0</v>
      </c>
      <c r="BE371" s="54">
        <v>0</v>
      </c>
      <c r="BF371" s="54">
        <v>0</v>
      </c>
      <c r="BG371" s="54">
        <v>0</v>
      </c>
      <c r="BH371" s="54">
        <v>0</v>
      </c>
      <c r="BK371" s="104" t="str">
        <f>$V$83</f>
        <v>-</v>
      </c>
      <c r="BL371" s="108">
        <v>0</v>
      </c>
      <c r="BM371" s="108">
        <v>0</v>
      </c>
      <c r="BN371" s="108">
        <v>0</v>
      </c>
      <c r="BO371" s="108">
        <v>0</v>
      </c>
      <c r="BP371" s="108">
        <v>0</v>
      </c>
      <c r="BQ371" s="108">
        <v>0</v>
      </c>
      <c r="BR371" s="108">
        <v>0</v>
      </c>
      <c r="BS371" s="108">
        <v>0</v>
      </c>
      <c r="BT371" s="108">
        <v>0</v>
      </c>
      <c r="BU371" s="108">
        <v>0</v>
      </c>
      <c r="BV371" s="108">
        <v>0</v>
      </c>
      <c r="BW371" s="108">
        <v>0</v>
      </c>
      <c r="BX371" s="108">
        <v>0</v>
      </c>
      <c r="BY371" s="108">
        <v>0</v>
      </c>
      <c r="BZ371" s="108">
        <v>0</v>
      </c>
      <c r="CA371" s="108">
        <v>0</v>
      </c>
      <c r="CB371" s="108">
        <v>0</v>
      </c>
    </row>
    <row r="372" spans="2:80" x14ac:dyDescent="0.55000000000000004">
      <c r="B372" s="104" t="str">
        <f>$V$66</f>
        <v>Amanda</v>
      </c>
      <c r="C372" s="108">
        <v>0</v>
      </c>
      <c r="D372" s="108">
        <v>0</v>
      </c>
      <c r="E372" s="108">
        <v>0</v>
      </c>
      <c r="F372" s="108">
        <v>0</v>
      </c>
      <c r="G372" s="108">
        <v>0</v>
      </c>
      <c r="H372" s="108">
        <v>0</v>
      </c>
      <c r="I372" s="108">
        <v>0</v>
      </c>
      <c r="J372" s="108">
        <v>0</v>
      </c>
      <c r="K372" s="108">
        <v>0</v>
      </c>
      <c r="L372" s="108">
        <v>0</v>
      </c>
      <c r="M372" s="108">
        <v>0</v>
      </c>
      <c r="N372" s="108">
        <v>0</v>
      </c>
      <c r="O372" s="108">
        <v>0</v>
      </c>
      <c r="P372" s="108">
        <v>0</v>
      </c>
      <c r="Q372" s="108">
        <v>0</v>
      </c>
      <c r="R372" s="108">
        <v>0</v>
      </c>
      <c r="S372" s="108">
        <v>0</v>
      </c>
      <c r="T372" s="28" t="s">
        <v>26</v>
      </c>
      <c r="V372" s="104" t="str">
        <f>$V$66</f>
        <v>Amanda</v>
      </c>
      <c r="W372" s="108">
        <f t="shared" si="149"/>
        <v>0</v>
      </c>
      <c r="X372" s="108">
        <f t="shared" si="150"/>
        <v>0</v>
      </c>
      <c r="Y372" s="108">
        <f t="shared" si="151"/>
        <v>0</v>
      </c>
      <c r="Z372" s="108">
        <f t="shared" si="152"/>
        <v>0</v>
      </c>
      <c r="AA372" s="108">
        <f t="shared" si="153"/>
        <v>0</v>
      </c>
      <c r="AB372" s="108">
        <f t="shared" si="154"/>
        <v>0</v>
      </c>
      <c r="AC372" s="108">
        <f t="shared" si="155"/>
        <v>0</v>
      </c>
      <c r="AD372" s="108">
        <f t="shared" si="156"/>
        <v>0</v>
      </c>
      <c r="AE372" s="108">
        <f t="shared" si="157"/>
        <v>0</v>
      </c>
      <c r="AF372" s="108">
        <f t="shared" si="158"/>
        <v>0</v>
      </c>
      <c r="AG372" s="108">
        <f t="shared" si="159"/>
        <v>0</v>
      </c>
      <c r="AH372" s="108">
        <f t="shared" si="160"/>
        <v>0</v>
      </c>
      <c r="AI372" s="108">
        <f t="shared" si="161"/>
        <v>0</v>
      </c>
      <c r="AJ372" s="108">
        <f t="shared" si="162"/>
        <v>0</v>
      </c>
      <c r="AK372" s="108">
        <f t="shared" si="163"/>
        <v>0</v>
      </c>
      <c r="AL372" s="108">
        <f t="shared" si="164"/>
        <v>0</v>
      </c>
      <c r="AM372" s="108">
        <f t="shared" si="165"/>
        <v>0</v>
      </c>
      <c r="AQ372" s="104" t="str">
        <f>$V$71</f>
        <v>Marina</v>
      </c>
      <c r="AR372" s="54">
        <v>0</v>
      </c>
      <c r="AS372" s="54">
        <v>0</v>
      </c>
      <c r="AT372" s="54">
        <v>0</v>
      </c>
      <c r="AU372" s="54">
        <v>0</v>
      </c>
      <c r="AV372" s="54">
        <v>0</v>
      </c>
      <c r="AW372" s="54">
        <v>0</v>
      </c>
      <c r="AX372" s="54">
        <v>0</v>
      </c>
      <c r="AY372" s="54">
        <v>0</v>
      </c>
      <c r="AZ372" s="54">
        <v>0</v>
      </c>
      <c r="BA372" s="54">
        <v>0</v>
      </c>
      <c r="BB372" s="54">
        <v>0</v>
      </c>
      <c r="BC372" s="54">
        <v>0</v>
      </c>
      <c r="BD372" s="54">
        <v>0</v>
      </c>
      <c r="BE372" s="54">
        <v>0</v>
      </c>
      <c r="BF372" s="54">
        <v>0</v>
      </c>
      <c r="BG372" s="54">
        <v>0</v>
      </c>
      <c r="BH372" s="54">
        <v>0</v>
      </c>
      <c r="BK372" s="104" t="str">
        <f>$V$84</f>
        <v>-</v>
      </c>
      <c r="BL372" s="108">
        <v>0</v>
      </c>
      <c r="BM372" s="108">
        <v>0</v>
      </c>
      <c r="BN372" s="108">
        <v>0</v>
      </c>
      <c r="BO372" s="108">
        <v>0</v>
      </c>
      <c r="BP372" s="108">
        <v>0</v>
      </c>
      <c r="BQ372" s="108">
        <v>0</v>
      </c>
      <c r="BR372" s="108">
        <v>0</v>
      </c>
      <c r="BS372" s="108">
        <v>0</v>
      </c>
      <c r="BT372" s="108">
        <v>0</v>
      </c>
      <c r="BU372" s="108">
        <v>0</v>
      </c>
      <c r="BV372" s="108">
        <v>0</v>
      </c>
      <c r="BW372" s="108">
        <v>0</v>
      </c>
      <c r="BX372" s="108">
        <v>0</v>
      </c>
      <c r="BY372" s="108">
        <v>0</v>
      </c>
      <c r="BZ372" s="108">
        <v>0</v>
      </c>
      <c r="CA372" s="108">
        <v>0</v>
      </c>
      <c r="CB372" s="108">
        <v>0</v>
      </c>
    </row>
    <row r="373" spans="2:80" x14ac:dyDescent="0.55000000000000004">
      <c r="B373" s="104" t="str">
        <f>$V$67</f>
        <v>Antoine</v>
      </c>
      <c r="C373" s="108">
        <v>0</v>
      </c>
      <c r="D373" s="108">
        <v>0</v>
      </c>
      <c r="E373" s="108">
        <v>0</v>
      </c>
      <c r="F373" s="108">
        <v>0</v>
      </c>
      <c r="G373" s="108">
        <v>0</v>
      </c>
      <c r="H373" s="108">
        <v>0</v>
      </c>
      <c r="I373" s="108">
        <v>0</v>
      </c>
      <c r="J373" s="108">
        <v>0</v>
      </c>
      <c r="K373" s="108">
        <v>0</v>
      </c>
      <c r="L373" s="108">
        <v>0</v>
      </c>
      <c r="M373" s="108">
        <v>0</v>
      </c>
      <c r="N373" s="108">
        <v>0</v>
      </c>
      <c r="O373" s="108">
        <v>0</v>
      </c>
      <c r="P373" s="108">
        <v>0</v>
      </c>
      <c r="Q373" s="108">
        <v>0</v>
      </c>
      <c r="R373" s="108">
        <v>0</v>
      </c>
      <c r="S373" s="108">
        <v>0</v>
      </c>
      <c r="T373" s="28" t="s">
        <v>26</v>
      </c>
      <c r="V373" s="104" t="str">
        <f>$V$67</f>
        <v>Antoine</v>
      </c>
      <c r="W373" s="108">
        <f t="shared" si="149"/>
        <v>0</v>
      </c>
      <c r="X373" s="108">
        <f t="shared" si="150"/>
        <v>0</v>
      </c>
      <c r="Y373" s="108">
        <f t="shared" si="151"/>
        <v>0</v>
      </c>
      <c r="Z373" s="108">
        <f t="shared" si="152"/>
        <v>0</v>
      </c>
      <c r="AA373" s="108">
        <f t="shared" si="153"/>
        <v>0</v>
      </c>
      <c r="AB373" s="108">
        <f t="shared" si="154"/>
        <v>0</v>
      </c>
      <c r="AC373" s="108">
        <f t="shared" si="155"/>
        <v>0</v>
      </c>
      <c r="AD373" s="108">
        <f t="shared" si="156"/>
        <v>0</v>
      </c>
      <c r="AE373" s="108">
        <f t="shared" si="157"/>
        <v>0</v>
      </c>
      <c r="AF373" s="108">
        <f t="shared" si="158"/>
        <v>0</v>
      </c>
      <c r="AG373" s="108">
        <f t="shared" si="159"/>
        <v>0</v>
      </c>
      <c r="AH373" s="108">
        <f t="shared" si="160"/>
        <v>0</v>
      </c>
      <c r="AI373" s="108">
        <f t="shared" si="161"/>
        <v>0</v>
      </c>
      <c r="AJ373" s="108">
        <f t="shared" si="162"/>
        <v>0</v>
      </c>
      <c r="AK373" s="108">
        <f t="shared" si="163"/>
        <v>0</v>
      </c>
      <c r="AL373" s="108">
        <f t="shared" si="164"/>
        <v>0</v>
      </c>
      <c r="AM373" s="108">
        <f t="shared" si="165"/>
        <v>0</v>
      </c>
      <c r="AQ373" s="104" t="str">
        <f>$V$72</f>
        <v>Michel</v>
      </c>
      <c r="AR373" s="54">
        <v>0</v>
      </c>
      <c r="AS373" s="54">
        <v>0</v>
      </c>
      <c r="AT373" s="54">
        <v>0</v>
      </c>
      <c r="AU373" s="54">
        <v>0</v>
      </c>
      <c r="AV373" s="54">
        <v>0</v>
      </c>
      <c r="AW373" s="54">
        <v>0</v>
      </c>
      <c r="AX373" s="54">
        <v>0</v>
      </c>
      <c r="AY373" s="54">
        <v>0</v>
      </c>
      <c r="AZ373" s="54">
        <v>0</v>
      </c>
      <c r="BA373" s="54">
        <v>0</v>
      </c>
      <c r="BB373" s="54">
        <v>0</v>
      </c>
      <c r="BC373" s="54">
        <v>0</v>
      </c>
      <c r="BD373" s="54">
        <v>0</v>
      </c>
      <c r="BE373" s="54">
        <v>0</v>
      </c>
      <c r="BF373" s="54">
        <v>0</v>
      </c>
      <c r="BG373" s="54">
        <v>0</v>
      </c>
      <c r="BH373" s="54">
        <v>0</v>
      </c>
      <c r="BK373" s="104" t="str">
        <f>$V$85</f>
        <v>-</v>
      </c>
      <c r="BL373" s="108">
        <v>0</v>
      </c>
      <c r="BM373" s="108">
        <v>0</v>
      </c>
      <c r="BN373" s="108">
        <v>0</v>
      </c>
      <c r="BO373" s="108">
        <v>0</v>
      </c>
      <c r="BP373" s="108">
        <v>0</v>
      </c>
      <c r="BQ373" s="108">
        <v>0</v>
      </c>
      <c r="BR373" s="108">
        <v>0</v>
      </c>
      <c r="BS373" s="108">
        <v>0</v>
      </c>
      <c r="BT373" s="108">
        <v>0</v>
      </c>
      <c r="BU373" s="108">
        <v>0</v>
      </c>
      <c r="BV373" s="108">
        <v>0</v>
      </c>
      <c r="BW373" s="108">
        <v>0</v>
      </c>
      <c r="BX373" s="108">
        <v>0</v>
      </c>
      <c r="BY373" s="108">
        <v>0</v>
      </c>
      <c r="BZ373" s="108">
        <v>0</v>
      </c>
      <c r="CA373" s="108">
        <v>0</v>
      </c>
      <c r="CB373" s="108">
        <v>0</v>
      </c>
    </row>
    <row r="374" spans="2:80" x14ac:dyDescent="0.55000000000000004">
      <c r="B374" s="104" t="str">
        <f>$V$68</f>
        <v>Beatriz</v>
      </c>
      <c r="C374" s="108">
        <v>0</v>
      </c>
      <c r="D374" s="108">
        <v>0</v>
      </c>
      <c r="E374" s="108">
        <v>0</v>
      </c>
      <c r="F374" s="108">
        <v>0</v>
      </c>
      <c r="G374" s="108">
        <v>0</v>
      </c>
      <c r="H374" s="108">
        <v>0</v>
      </c>
      <c r="I374" s="108">
        <v>0</v>
      </c>
      <c r="J374" s="108">
        <v>0</v>
      </c>
      <c r="K374" s="108">
        <v>0</v>
      </c>
      <c r="L374" s="108">
        <v>0</v>
      </c>
      <c r="M374" s="108">
        <v>0</v>
      </c>
      <c r="N374" s="108">
        <v>0</v>
      </c>
      <c r="O374" s="108">
        <v>0</v>
      </c>
      <c r="P374" s="108">
        <v>0</v>
      </c>
      <c r="Q374" s="108">
        <v>0</v>
      </c>
      <c r="R374" s="108">
        <v>0</v>
      </c>
      <c r="S374" s="108">
        <v>0</v>
      </c>
      <c r="T374" s="28" t="s">
        <v>26</v>
      </c>
      <c r="V374" s="104" t="str">
        <f>$V$68</f>
        <v>Beatriz</v>
      </c>
      <c r="W374" s="108">
        <f t="shared" si="149"/>
        <v>0</v>
      </c>
      <c r="X374" s="108">
        <f t="shared" si="150"/>
        <v>0</v>
      </c>
      <c r="Y374" s="108">
        <f t="shared" si="151"/>
        <v>0</v>
      </c>
      <c r="Z374" s="108">
        <f t="shared" si="152"/>
        <v>0</v>
      </c>
      <c r="AA374" s="108">
        <f t="shared" si="153"/>
        <v>0</v>
      </c>
      <c r="AB374" s="108">
        <f t="shared" si="154"/>
        <v>0</v>
      </c>
      <c r="AC374" s="108">
        <f t="shared" si="155"/>
        <v>0</v>
      </c>
      <c r="AD374" s="108">
        <f t="shared" si="156"/>
        <v>0</v>
      </c>
      <c r="AE374" s="108">
        <f t="shared" si="157"/>
        <v>0</v>
      </c>
      <c r="AF374" s="108">
        <f t="shared" si="158"/>
        <v>0</v>
      </c>
      <c r="AG374" s="108">
        <f t="shared" si="159"/>
        <v>0</v>
      </c>
      <c r="AH374" s="108">
        <f t="shared" si="160"/>
        <v>0</v>
      </c>
      <c r="AI374" s="108">
        <f t="shared" si="161"/>
        <v>0</v>
      </c>
      <c r="AJ374" s="108">
        <f t="shared" si="162"/>
        <v>0</v>
      </c>
      <c r="AK374" s="108">
        <f t="shared" si="163"/>
        <v>0</v>
      </c>
      <c r="AL374" s="108">
        <f t="shared" si="164"/>
        <v>0</v>
      </c>
      <c r="AM374" s="108">
        <f t="shared" si="165"/>
        <v>0</v>
      </c>
      <c r="AQ374" s="104" t="str">
        <f>$V$73</f>
        <v>Nour</v>
      </c>
      <c r="AR374" s="54">
        <v>-2</v>
      </c>
      <c r="AS374" s="54">
        <v>0</v>
      </c>
      <c r="AT374" s="54">
        <v>0</v>
      </c>
      <c r="AU374" s="54">
        <v>0</v>
      </c>
      <c r="AV374" s="54">
        <v>0</v>
      </c>
      <c r="AW374" s="54">
        <v>0</v>
      </c>
      <c r="AX374" s="54">
        <v>0</v>
      </c>
      <c r="AY374" s="54">
        <v>0</v>
      </c>
      <c r="AZ374" s="54">
        <v>0</v>
      </c>
      <c r="BA374" s="54">
        <v>0</v>
      </c>
      <c r="BB374" s="54">
        <v>0</v>
      </c>
      <c r="BC374" s="54">
        <v>0</v>
      </c>
      <c r="BD374" s="54">
        <v>0</v>
      </c>
      <c r="BE374" s="54">
        <v>0</v>
      </c>
      <c r="BF374" s="54">
        <v>0</v>
      </c>
      <c r="BG374" s="54">
        <v>0</v>
      </c>
      <c r="BH374" s="54">
        <v>0</v>
      </c>
      <c r="BK374" s="104" t="str">
        <f>$V$86</f>
        <v>-</v>
      </c>
      <c r="BL374" s="108">
        <v>0</v>
      </c>
      <c r="BM374" s="108">
        <v>0</v>
      </c>
      <c r="BN374" s="108">
        <v>0</v>
      </c>
      <c r="BO374" s="108">
        <v>0</v>
      </c>
      <c r="BP374" s="108">
        <v>0</v>
      </c>
      <c r="BQ374" s="108">
        <v>0</v>
      </c>
      <c r="BR374" s="108">
        <v>0</v>
      </c>
      <c r="BS374" s="108">
        <v>0</v>
      </c>
      <c r="BT374" s="108">
        <v>0</v>
      </c>
      <c r="BU374" s="108">
        <v>0</v>
      </c>
      <c r="BV374" s="108">
        <v>0</v>
      </c>
      <c r="BW374" s="108">
        <v>0</v>
      </c>
      <c r="BX374" s="108">
        <v>0</v>
      </c>
      <c r="BY374" s="108">
        <v>0</v>
      </c>
      <c r="BZ374" s="108">
        <v>0</v>
      </c>
      <c r="CA374" s="108">
        <v>0</v>
      </c>
      <c r="CB374" s="108">
        <v>0</v>
      </c>
    </row>
    <row r="375" spans="2:80" x14ac:dyDescent="0.55000000000000004">
      <c r="B375" s="104" t="str">
        <f>$V$69</f>
        <v>Charelle</v>
      </c>
      <c r="C375" s="108">
        <v>0</v>
      </c>
      <c r="D375" s="108">
        <v>0</v>
      </c>
      <c r="E375" s="108">
        <v>0</v>
      </c>
      <c r="F375" s="108">
        <v>0</v>
      </c>
      <c r="G375" s="108">
        <v>0</v>
      </c>
      <c r="H375" s="108">
        <v>0</v>
      </c>
      <c r="I375" s="108">
        <v>0</v>
      </c>
      <c r="J375" s="108">
        <v>0</v>
      </c>
      <c r="K375" s="108">
        <v>0</v>
      </c>
      <c r="L375" s="108">
        <v>0</v>
      </c>
      <c r="M375" s="108">
        <v>0</v>
      </c>
      <c r="N375" s="108">
        <v>0</v>
      </c>
      <c r="O375" s="108">
        <v>0</v>
      </c>
      <c r="P375" s="108">
        <v>0</v>
      </c>
      <c r="Q375" s="108">
        <v>0</v>
      </c>
      <c r="R375" s="108">
        <v>0</v>
      </c>
      <c r="S375" s="108">
        <v>0</v>
      </c>
      <c r="T375" s="28" t="s">
        <v>26</v>
      </c>
      <c r="V375" s="104" t="str">
        <f>$V$69</f>
        <v>Charelle</v>
      </c>
      <c r="W375" s="108">
        <f t="shared" si="149"/>
        <v>0</v>
      </c>
      <c r="X375" s="108">
        <f t="shared" si="150"/>
        <v>0</v>
      </c>
      <c r="Y375" s="108">
        <f t="shared" si="151"/>
        <v>0</v>
      </c>
      <c r="Z375" s="108">
        <f t="shared" si="152"/>
        <v>0</v>
      </c>
      <c r="AA375" s="108">
        <f t="shared" si="153"/>
        <v>0</v>
      </c>
      <c r="AB375" s="108">
        <f t="shared" si="154"/>
        <v>0</v>
      </c>
      <c r="AC375" s="108">
        <f t="shared" si="155"/>
        <v>0</v>
      </c>
      <c r="AD375" s="108">
        <f t="shared" si="156"/>
        <v>0</v>
      </c>
      <c r="AE375" s="108">
        <f t="shared" si="157"/>
        <v>0</v>
      </c>
      <c r="AF375" s="108">
        <f t="shared" si="158"/>
        <v>0</v>
      </c>
      <c r="AG375" s="108">
        <f t="shared" si="159"/>
        <v>0</v>
      </c>
      <c r="AH375" s="108">
        <f t="shared" si="160"/>
        <v>0</v>
      </c>
      <c r="AI375" s="108">
        <f t="shared" si="161"/>
        <v>0</v>
      </c>
      <c r="AJ375" s="108">
        <f t="shared" si="162"/>
        <v>0</v>
      </c>
      <c r="AK375" s="108">
        <f t="shared" si="163"/>
        <v>0</v>
      </c>
      <c r="AL375" s="108">
        <f t="shared" si="164"/>
        <v>0</v>
      </c>
      <c r="AM375" s="108">
        <f t="shared" si="165"/>
        <v>0</v>
      </c>
      <c r="AQ375" s="104" t="str">
        <f>$V$74</f>
        <v>Samuel</v>
      </c>
      <c r="AR375" s="54">
        <v>0</v>
      </c>
      <c r="AS375" s="54">
        <v>0</v>
      </c>
      <c r="AT375" s="54">
        <v>0</v>
      </c>
      <c r="AU375" s="54">
        <v>0</v>
      </c>
      <c r="AV375" s="54">
        <v>0</v>
      </c>
      <c r="AW375" s="54">
        <v>0</v>
      </c>
      <c r="AX375" s="54">
        <v>0</v>
      </c>
      <c r="AY375" s="54">
        <v>0</v>
      </c>
      <c r="AZ375" s="54">
        <v>0</v>
      </c>
      <c r="BA375" s="54">
        <v>0</v>
      </c>
      <c r="BB375" s="54">
        <v>0</v>
      </c>
      <c r="BC375" s="54">
        <v>0</v>
      </c>
      <c r="BD375" s="54">
        <v>0</v>
      </c>
      <c r="BE375" s="54">
        <v>0</v>
      </c>
      <c r="BF375" s="54">
        <v>0</v>
      </c>
      <c r="BG375" s="54">
        <v>0</v>
      </c>
      <c r="BH375" s="54">
        <v>0</v>
      </c>
      <c r="BK375" s="104" t="str">
        <f>$V$87</f>
        <v>-</v>
      </c>
      <c r="BL375" s="108">
        <v>0</v>
      </c>
      <c r="BM375" s="108">
        <v>0</v>
      </c>
      <c r="BN375" s="108">
        <v>0</v>
      </c>
      <c r="BO375" s="108">
        <v>0</v>
      </c>
      <c r="BP375" s="108">
        <v>0</v>
      </c>
      <c r="BQ375" s="108">
        <v>0</v>
      </c>
      <c r="BR375" s="108">
        <v>0</v>
      </c>
      <c r="BS375" s="108">
        <v>0</v>
      </c>
      <c r="BT375" s="108">
        <v>0</v>
      </c>
      <c r="BU375" s="108">
        <v>0</v>
      </c>
      <c r="BV375" s="108">
        <v>0</v>
      </c>
      <c r="BW375" s="108">
        <v>0</v>
      </c>
      <c r="BX375" s="108">
        <v>0</v>
      </c>
      <c r="BY375" s="108">
        <v>0</v>
      </c>
      <c r="BZ375" s="108">
        <v>0</v>
      </c>
      <c r="CA375" s="108">
        <v>0</v>
      </c>
      <c r="CB375" s="108">
        <v>0</v>
      </c>
    </row>
    <row r="376" spans="2:80" x14ac:dyDescent="0.55000000000000004">
      <c r="B376" s="104" t="str">
        <f>$V$70</f>
        <v>Dimitri</v>
      </c>
      <c r="C376" s="108">
        <v>0</v>
      </c>
      <c r="D376" s="108">
        <v>0</v>
      </c>
      <c r="E376" s="108">
        <v>0</v>
      </c>
      <c r="F376" s="108">
        <v>0</v>
      </c>
      <c r="G376" s="108">
        <v>0</v>
      </c>
      <c r="H376" s="108">
        <v>0</v>
      </c>
      <c r="I376" s="108">
        <v>0</v>
      </c>
      <c r="J376" s="108">
        <v>0</v>
      </c>
      <c r="K376" s="108">
        <v>0</v>
      </c>
      <c r="L376" s="108">
        <v>0</v>
      </c>
      <c r="M376" s="108">
        <v>0</v>
      </c>
      <c r="N376" s="108">
        <v>0</v>
      </c>
      <c r="O376" s="108">
        <v>0</v>
      </c>
      <c r="P376" s="108">
        <v>0</v>
      </c>
      <c r="Q376" s="108">
        <v>0</v>
      </c>
      <c r="R376" s="108">
        <v>0</v>
      </c>
      <c r="S376" s="108">
        <v>0</v>
      </c>
      <c r="T376" s="28" t="s">
        <v>26</v>
      </c>
      <c r="V376" s="104" t="str">
        <f>$V$70</f>
        <v>Dimitri</v>
      </c>
      <c r="W376" s="108">
        <f t="shared" si="149"/>
        <v>0</v>
      </c>
      <c r="X376" s="108">
        <f t="shared" si="150"/>
        <v>0</v>
      </c>
      <c r="Y376" s="108">
        <f t="shared" si="151"/>
        <v>0</v>
      </c>
      <c r="Z376" s="108">
        <f t="shared" si="152"/>
        <v>0</v>
      </c>
      <c r="AA376" s="108">
        <f t="shared" si="153"/>
        <v>0</v>
      </c>
      <c r="AB376" s="108">
        <f t="shared" si="154"/>
        <v>0</v>
      </c>
      <c r="AC376" s="108">
        <f t="shared" si="155"/>
        <v>0</v>
      </c>
      <c r="AD376" s="108">
        <f t="shared" si="156"/>
        <v>0</v>
      </c>
      <c r="AE376" s="108">
        <f t="shared" si="157"/>
        <v>0</v>
      </c>
      <c r="AF376" s="108">
        <f t="shared" si="158"/>
        <v>0</v>
      </c>
      <c r="AG376" s="108">
        <f t="shared" si="159"/>
        <v>0</v>
      </c>
      <c r="AH376" s="108">
        <f t="shared" si="160"/>
        <v>0</v>
      </c>
      <c r="AI376" s="108">
        <f t="shared" si="161"/>
        <v>0</v>
      </c>
      <c r="AJ376" s="108">
        <f t="shared" si="162"/>
        <v>0</v>
      </c>
      <c r="AK376" s="108">
        <f t="shared" si="163"/>
        <v>0</v>
      </c>
      <c r="AL376" s="108">
        <f t="shared" si="164"/>
        <v>0</v>
      </c>
      <c r="AM376" s="108">
        <f t="shared" si="165"/>
        <v>0</v>
      </c>
      <c r="AQ376" s="104" t="str">
        <f>$V$75</f>
        <v>Yassin</v>
      </c>
      <c r="AR376" s="54">
        <v>0</v>
      </c>
      <c r="AS376" s="54">
        <v>0</v>
      </c>
      <c r="AT376" s="54">
        <v>0</v>
      </c>
      <c r="AU376" s="54">
        <v>0</v>
      </c>
      <c r="AV376" s="54">
        <v>0</v>
      </c>
      <c r="AW376" s="54">
        <v>0</v>
      </c>
      <c r="AX376" s="54">
        <v>0</v>
      </c>
      <c r="AY376" s="54">
        <v>0</v>
      </c>
      <c r="AZ376" s="54">
        <v>0</v>
      </c>
      <c r="BA376" s="54">
        <v>0</v>
      </c>
      <c r="BB376" s="54">
        <v>0</v>
      </c>
      <c r="BC376" s="54">
        <v>0</v>
      </c>
      <c r="BD376" s="54">
        <v>0</v>
      </c>
      <c r="BE376" s="54">
        <v>0</v>
      </c>
      <c r="BF376" s="54">
        <v>0</v>
      </c>
      <c r="BG376" s="54">
        <v>0</v>
      </c>
      <c r="BH376" s="54">
        <v>0</v>
      </c>
      <c r="BK376" s="104" t="str">
        <f>$V$88</f>
        <v>-</v>
      </c>
      <c r="BL376" s="108">
        <v>0</v>
      </c>
      <c r="BM376" s="108">
        <v>0</v>
      </c>
      <c r="BN376" s="108">
        <v>0</v>
      </c>
      <c r="BO376" s="108">
        <v>0</v>
      </c>
      <c r="BP376" s="108">
        <v>0</v>
      </c>
      <c r="BQ376" s="108">
        <v>0</v>
      </c>
      <c r="BR376" s="108">
        <v>0</v>
      </c>
      <c r="BS376" s="108">
        <v>0</v>
      </c>
      <c r="BT376" s="108">
        <v>0</v>
      </c>
      <c r="BU376" s="108">
        <v>0</v>
      </c>
      <c r="BV376" s="108">
        <v>0</v>
      </c>
      <c r="BW376" s="108">
        <v>0</v>
      </c>
      <c r="BX376" s="108">
        <v>0</v>
      </c>
      <c r="BY376" s="108">
        <v>0</v>
      </c>
      <c r="BZ376" s="108">
        <v>0</v>
      </c>
      <c r="CA376" s="108">
        <v>0</v>
      </c>
      <c r="CB376" s="108">
        <v>0</v>
      </c>
    </row>
    <row r="377" spans="2:80" x14ac:dyDescent="0.55000000000000004">
      <c r="B377" s="104" t="str">
        <f>$V$71</f>
        <v>Marina</v>
      </c>
      <c r="C377" s="108">
        <v>0</v>
      </c>
      <c r="D377" s="108">
        <v>0</v>
      </c>
      <c r="E377" s="108">
        <v>0</v>
      </c>
      <c r="F377" s="108">
        <v>0</v>
      </c>
      <c r="G377" s="108">
        <v>0</v>
      </c>
      <c r="H377" s="108">
        <v>0</v>
      </c>
      <c r="I377" s="108">
        <v>0</v>
      </c>
      <c r="J377" s="108">
        <v>0</v>
      </c>
      <c r="K377" s="108">
        <v>0</v>
      </c>
      <c r="L377" s="108">
        <v>0</v>
      </c>
      <c r="M377" s="108">
        <v>0</v>
      </c>
      <c r="N377" s="108">
        <v>0</v>
      </c>
      <c r="O377" s="108">
        <v>0</v>
      </c>
      <c r="P377" s="108">
        <v>0</v>
      </c>
      <c r="Q377" s="108">
        <v>0</v>
      </c>
      <c r="R377" s="108">
        <v>0</v>
      </c>
      <c r="S377" s="108">
        <v>0</v>
      </c>
      <c r="T377" s="28" t="s">
        <v>26</v>
      </c>
      <c r="V377" s="104" t="str">
        <f>$V$71</f>
        <v>Marina</v>
      </c>
      <c r="W377" s="108">
        <f t="shared" si="149"/>
        <v>0</v>
      </c>
      <c r="X377" s="108">
        <f t="shared" si="150"/>
        <v>0</v>
      </c>
      <c r="Y377" s="108">
        <f t="shared" si="151"/>
        <v>0</v>
      </c>
      <c r="Z377" s="108">
        <f t="shared" si="152"/>
        <v>0</v>
      </c>
      <c r="AA377" s="108">
        <f t="shared" si="153"/>
        <v>0</v>
      </c>
      <c r="AB377" s="108">
        <f t="shared" si="154"/>
        <v>0</v>
      </c>
      <c r="AC377" s="108">
        <f t="shared" si="155"/>
        <v>0</v>
      </c>
      <c r="AD377" s="108">
        <f t="shared" si="156"/>
        <v>0</v>
      </c>
      <c r="AE377" s="108">
        <f t="shared" si="157"/>
        <v>0</v>
      </c>
      <c r="AF377" s="108">
        <f t="shared" si="158"/>
        <v>0</v>
      </c>
      <c r="AG377" s="108">
        <f t="shared" si="159"/>
        <v>0</v>
      </c>
      <c r="AH377" s="108">
        <f t="shared" si="160"/>
        <v>0</v>
      </c>
      <c r="AI377" s="108">
        <f t="shared" si="161"/>
        <v>0</v>
      </c>
      <c r="AJ377" s="108">
        <f t="shared" si="162"/>
        <v>0</v>
      </c>
      <c r="AK377" s="108">
        <f t="shared" si="163"/>
        <v>0</v>
      </c>
      <c r="AL377" s="108">
        <f t="shared" si="164"/>
        <v>0</v>
      </c>
      <c r="AM377" s="108">
        <f t="shared" si="165"/>
        <v>0</v>
      </c>
      <c r="AQ377" s="104" t="str">
        <f>$V$76</f>
        <v>Kamar</v>
      </c>
      <c r="AR377" s="54">
        <v>0</v>
      </c>
      <c r="AS377" s="54">
        <v>0</v>
      </c>
      <c r="AT377" s="54">
        <v>0</v>
      </c>
      <c r="AU377" s="54">
        <v>0</v>
      </c>
      <c r="AV377" s="54">
        <v>0</v>
      </c>
      <c r="AW377" s="54">
        <v>0</v>
      </c>
      <c r="AX377" s="54">
        <v>0</v>
      </c>
      <c r="AY377" s="54">
        <v>0</v>
      </c>
      <c r="AZ377" s="54">
        <v>0</v>
      </c>
      <c r="BA377" s="54">
        <v>0</v>
      </c>
      <c r="BB377" s="54">
        <v>0</v>
      </c>
      <c r="BC377" s="54">
        <v>0</v>
      </c>
      <c r="BD377" s="54">
        <v>0</v>
      </c>
      <c r="BE377" s="54">
        <v>0</v>
      </c>
      <c r="BF377" s="54">
        <v>0</v>
      </c>
      <c r="BG377" s="54">
        <v>0</v>
      </c>
      <c r="BH377" s="54">
        <v>0</v>
      </c>
      <c r="BK377" s="104" t="str">
        <f>$V$89</f>
        <v>-</v>
      </c>
      <c r="BL377" s="108">
        <v>0</v>
      </c>
      <c r="BM377" s="108">
        <v>0</v>
      </c>
      <c r="BN377" s="108">
        <v>0</v>
      </c>
      <c r="BO377" s="108">
        <v>0</v>
      </c>
      <c r="BP377" s="108">
        <v>0</v>
      </c>
      <c r="BQ377" s="108">
        <v>0</v>
      </c>
      <c r="BR377" s="108">
        <v>0</v>
      </c>
      <c r="BS377" s="108">
        <v>0</v>
      </c>
      <c r="BT377" s="108">
        <v>0</v>
      </c>
      <c r="BU377" s="108">
        <v>0</v>
      </c>
      <c r="BV377" s="108">
        <v>0</v>
      </c>
      <c r="BW377" s="108">
        <v>0</v>
      </c>
      <c r="BX377" s="108">
        <v>0</v>
      </c>
      <c r="BY377" s="108">
        <v>0</v>
      </c>
      <c r="BZ377" s="108">
        <v>0</v>
      </c>
      <c r="CA377" s="108">
        <v>0</v>
      </c>
      <c r="CB377" s="108">
        <v>0</v>
      </c>
    </row>
    <row r="378" spans="2:80" x14ac:dyDescent="0.55000000000000004">
      <c r="B378" s="104" t="str">
        <f>$V$72</f>
        <v>Michel</v>
      </c>
      <c r="C378" s="108">
        <v>0</v>
      </c>
      <c r="D378" s="108">
        <v>0</v>
      </c>
      <c r="E378" s="108">
        <v>0</v>
      </c>
      <c r="F378" s="108">
        <v>0</v>
      </c>
      <c r="G378" s="108">
        <v>0</v>
      </c>
      <c r="H378" s="108">
        <v>0</v>
      </c>
      <c r="I378" s="108">
        <v>0</v>
      </c>
      <c r="J378" s="108">
        <v>0</v>
      </c>
      <c r="K378" s="108">
        <v>0</v>
      </c>
      <c r="L378" s="108">
        <v>0</v>
      </c>
      <c r="M378" s="108">
        <v>0</v>
      </c>
      <c r="N378" s="108">
        <v>0</v>
      </c>
      <c r="O378" s="108">
        <v>0</v>
      </c>
      <c r="P378" s="108">
        <v>0</v>
      </c>
      <c r="Q378" s="108">
        <v>0</v>
      </c>
      <c r="R378" s="108">
        <v>0</v>
      </c>
      <c r="S378" s="108">
        <v>0</v>
      </c>
      <c r="T378" s="28" t="s">
        <v>26</v>
      </c>
      <c r="V378" s="104" t="str">
        <f>$V$72</f>
        <v>Michel</v>
      </c>
      <c r="W378" s="108">
        <f t="shared" si="149"/>
        <v>0</v>
      </c>
      <c r="X378" s="108">
        <f t="shared" si="150"/>
        <v>0</v>
      </c>
      <c r="Y378" s="108">
        <f t="shared" si="151"/>
        <v>0</v>
      </c>
      <c r="Z378" s="108">
        <f t="shared" si="152"/>
        <v>0</v>
      </c>
      <c r="AA378" s="108">
        <f t="shared" si="153"/>
        <v>0</v>
      </c>
      <c r="AB378" s="108">
        <f t="shared" si="154"/>
        <v>0</v>
      </c>
      <c r="AC378" s="108">
        <f t="shared" si="155"/>
        <v>0</v>
      </c>
      <c r="AD378" s="108">
        <f t="shared" si="156"/>
        <v>0</v>
      </c>
      <c r="AE378" s="108">
        <f t="shared" si="157"/>
        <v>0</v>
      </c>
      <c r="AF378" s="108">
        <f t="shared" si="158"/>
        <v>0</v>
      </c>
      <c r="AG378" s="108">
        <f t="shared" si="159"/>
        <v>0</v>
      </c>
      <c r="AH378" s="108">
        <f t="shared" si="160"/>
        <v>0</v>
      </c>
      <c r="AI378" s="108">
        <f t="shared" si="161"/>
        <v>0</v>
      </c>
      <c r="AJ378" s="108">
        <f t="shared" si="162"/>
        <v>0</v>
      </c>
      <c r="AK378" s="108">
        <f t="shared" si="163"/>
        <v>0</v>
      </c>
      <c r="AL378" s="108">
        <f t="shared" si="164"/>
        <v>0</v>
      </c>
      <c r="AM378" s="108">
        <f t="shared" si="165"/>
        <v>0</v>
      </c>
      <c r="AQ378" s="104" t="str">
        <f>$V$77</f>
        <v>-</v>
      </c>
      <c r="AR378" s="54">
        <v>0</v>
      </c>
      <c r="AS378" s="54">
        <v>0</v>
      </c>
      <c r="AT378" s="54">
        <v>0</v>
      </c>
      <c r="AU378" s="54">
        <v>0</v>
      </c>
      <c r="AV378" s="54">
        <v>0</v>
      </c>
      <c r="AW378" s="54">
        <v>0</v>
      </c>
      <c r="AX378" s="54">
        <v>0</v>
      </c>
      <c r="AY378" s="54">
        <v>0</v>
      </c>
      <c r="AZ378" s="54">
        <v>0</v>
      </c>
      <c r="BA378" s="54">
        <v>0</v>
      </c>
      <c r="BB378" s="54">
        <v>0</v>
      </c>
      <c r="BC378" s="54">
        <v>0</v>
      </c>
      <c r="BD378" s="54">
        <v>0</v>
      </c>
      <c r="BE378" s="54">
        <v>0</v>
      </c>
      <c r="BF378" s="54">
        <v>0</v>
      </c>
      <c r="BG378" s="54">
        <v>0</v>
      </c>
      <c r="BH378" s="54">
        <v>0</v>
      </c>
      <c r="BK378" s="104" t="str">
        <f>$V$90</f>
        <v>-</v>
      </c>
      <c r="BL378" s="108">
        <v>0</v>
      </c>
      <c r="BM378" s="108">
        <v>0</v>
      </c>
      <c r="BN378" s="108">
        <v>0</v>
      </c>
      <c r="BO378" s="108">
        <v>0</v>
      </c>
      <c r="BP378" s="108">
        <v>0</v>
      </c>
      <c r="BQ378" s="108">
        <v>0</v>
      </c>
      <c r="BR378" s="108">
        <v>0</v>
      </c>
      <c r="BS378" s="108">
        <v>0</v>
      </c>
      <c r="BT378" s="108">
        <v>0</v>
      </c>
      <c r="BU378" s="108">
        <v>0</v>
      </c>
      <c r="BV378" s="108">
        <v>0</v>
      </c>
      <c r="BW378" s="108">
        <v>0</v>
      </c>
      <c r="BX378" s="108">
        <v>0</v>
      </c>
      <c r="BY378" s="108">
        <v>0</v>
      </c>
      <c r="BZ378" s="108">
        <v>0</v>
      </c>
      <c r="CA378" s="108">
        <v>0</v>
      </c>
      <c r="CB378" s="108">
        <v>0</v>
      </c>
    </row>
    <row r="379" spans="2:80" x14ac:dyDescent="0.55000000000000004">
      <c r="B379" s="104" t="str">
        <f>$V$73</f>
        <v>Nour</v>
      </c>
      <c r="C379" s="108">
        <v>0</v>
      </c>
      <c r="D379" s="108">
        <v>0</v>
      </c>
      <c r="E379" s="108">
        <v>0</v>
      </c>
      <c r="F379" s="108">
        <v>0</v>
      </c>
      <c r="G379" s="108">
        <v>0</v>
      </c>
      <c r="H379" s="108">
        <v>0</v>
      </c>
      <c r="I379" s="108">
        <v>0</v>
      </c>
      <c r="J379" s="108">
        <v>0</v>
      </c>
      <c r="K379" s="108">
        <v>0</v>
      </c>
      <c r="L379" s="108">
        <v>0</v>
      </c>
      <c r="M379" s="108">
        <v>0</v>
      </c>
      <c r="N379" s="108">
        <v>0</v>
      </c>
      <c r="O379" s="108">
        <v>0</v>
      </c>
      <c r="P379" s="108">
        <v>0</v>
      </c>
      <c r="Q379" s="108">
        <v>0</v>
      </c>
      <c r="R379" s="108">
        <v>0</v>
      </c>
      <c r="S379" s="108">
        <v>0</v>
      </c>
      <c r="T379" s="28" t="s">
        <v>26</v>
      </c>
      <c r="V379" s="104" t="str">
        <f>$V$73</f>
        <v>Nour</v>
      </c>
      <c r="W379" s="108">
        <f t="shared" si="149"/>
        <v>0</v>
      </c>
      <c r="X379" s="108">
        <f t="shared" si="150"/>
        <v>0</v>
      </c>
      <c r="Y379" s="108">
        <f t="shared" si="151"/>
        <v>0</v>
      </c>
      <c r="Z379" s="108">
        <f t="shared" si="152"/>
        <v>0</v>
      </c>
      <c r="AA379" s="108">
        <f t="shared" si="153"/>
        <v>0</v>
      </c>
      <c r="AB379" s="108">
        <f t="shared" si="154"/>
        <v>0</v>
      </c>
      <c r="AC379" s="108">
        <f t="shared" si="155"/>
        <v>0</v>
      </c>
      <c r="AD379" s="108">
        <f t="shared" si="156"/>
        <v>0</v>
      </c>
      <c r="AE379" s="108">
        <f t="shared" si="157"/>
        <v>0</v>
      </c>
      <c r="AF379" s="108">
        <f t="shared" si="158"/>
        <v>0</v>
      </c>
      <c r="AG379" s="108">
        <f t="shared" si="159"/>
        <v>0</v>
      </c>
      <c r="AH379" s="108">
        <f t="shared" si="160"/>
        <v>0</v>
      </c>
      <c r="AI379" s="108">
        <f t="shared" si="161"/>
        <v>0</v>
      </c>
      <c r="AJ379" s="108">
        <f t="shared" si="162"/>
        <v>0</v>
      </c>
      <c r="AK379" s="108">
        <f t="shared" si="163"/>
        <v>0</v>
      </c>
      <c r="AL379" s="108">
        <f t="shared" si="164"/>
        <v>0</v>
      </c>
      <c r="AM379" s="108">
        <f t="shared" si="165"/>
        <v>0</v>
      </c>
      <c r="AQ379" s="104" t="str">
        <f>$V$78</f>
        <v>-</v>
      </c>
      <c r="AR379" s="54">
        <v>0</v>
      </c>
      <c r="AS379" s="54">
        <v>0</v>
      </c>
      <c r="AT379" s="54">
        <v>0</v>
      </c>
      <c r="AU379" s="54">
        <v>0</v>
      </c>
      <c r="AV379" s="54">
        <v>0</v>
      </c>
      <c r="AW379" s="54">
        <v>0</v>
      </c>
      <c r="AX379" s="54">
        <v>0</v>
      </c>
      <c r="AY379" s="54">
        <v>0</v>
      </c>
      <c r="AZ379" s="54">
        <v>0</v>
      </c>
      <c r="BA379" s="54">
        <v>0</v>
      </c>
      <c r="BB379" s="54">
        <v>0</v>
      </c>
      <c r="BC379" s="54">
        <v>0</v>
      </c>
      <c r="BD379" s="54">
        <v>0</v>
      </c>
      <c r="BE379" s="54">
        <v>0</v>
      </c>
      <c r="BF379" s="54">
        <v>0</v>
      </c>
      <c r="BG379" s="54">
        <v>0</v>
      </c>
      <c r="BH379" s="54">
        <v>0</v>
      </c>
      <c r="BK379" s="104" t="str">
        <f>$V$91</f>
        <v>-</v>
      </c>
      <c r="BL379" s="108">
        <v>0</v>
      </c>
      <c r="BM379" s="108">
        <v>0</v>
      </c>
      <c r="BN379" s="108">
        <v>0</v>
      </c>
      <c r="BO379" s="108">
        <v>0</v>
      </c>
      <c r="BP379" s="108">
        <v>0</v>
      </c>
      <c r="BQ379" s="108">
        <v>0</v>
      </c>
      <c r="BR379" s="108">
        <v>0</v>
      </c>
      <c r="BS379" s="108">
        <v>0</v>
      </c>
      <c r="BT379" s="108">
        <v>0</v>
      </c>
      <c r="BU379" s="108">
        <v>0</v>
      </c>
      <c r="BV379" s="108">
        <v>0</v>
      </c>
      <c r="BW379" s="108">
        <v>0</v>
      </c>
      <c r="BX379" s="108">
        <v>0</v>
      </c>
      <c r="BY379" s="108">
        <v>0</v>
      </c>
      <c r="BZ379" s="108">
        <v>0</v>
      </c>
      <c r="CA379" s="108">
        <v>0</v>
      </c>
      <c r="CB379" s="108">
        <v>0</v>
      </c>
    </row>
    <row r="380" spans="2:80" x14ac:dyDescent="0.55000000000000004">
      <c r="B380" s="104" t="str">
        <f>$V$74</f>
        <v>Samuel</v>
      </c>
      <c r="C380" s="108">
        <v>0</v>
      </c>
      <c r="D380" s="108">
        <v>0</v>
      </c>
      <c r="E380" s="108">
        <v>0</v>
      </c>
      <c r="F380" s="108">
        <v>0</v>
      </c>
      <c r="G380" s="108">
        <v>0</v>
      </c>
      <c r="H380" s="108">
        <v>0</v>
      </c>
      <c r="I380" s="108">
        <v>0</v>
      </c>
      <c r="J380" s="108">
        <v>0</v>
      </c>
      <c r="K380" s="108">
        <v>0</v>
      </c>
      <c r="L380" s="108">
        <v>0</v>
      </c>
      <c r="M380" s="108">
        <v>0</v>
      </c>
      <c r="N380" s="108">
        <v>0</v>
      </c>
      <c r="O380" s="108">
        <v>0</v>
      </c>
      <c r="P380" s="108">
        <v>0</v>
      </c>
      <c r="Q380" s="108">
        <v>0</v>
      </c>
      <c r="R380" s="108">
        <v>0</v>
      </c>
      <c r="S380" s="108">
        <v>0</v>
      </c>
      <c r="T380" s="28" t="s">
        <v>26</v>
      </c>
      <c r="V380" s="104" t="str">
        <f>$V$74</f>
        <v>Samuel</v>
      </c>
      <c r="W380" s="108">
        <f t="shared" si="149"/>
        <v>0</v>
      </c>
      <c r="X380" s="108">
        <f t="shared" si="150"/>
        <v>0</v>
      </c>
      <c r="Y380" s="108">
        <f t="shared" si="151"/>
        <v>0</v>
      </c>
      <c r="Z380" s="108">
        <f t="shared" si="152"/>
        <v>0</v>
      </c>
      <c r="AA380" s="108">
        <f t="shared" si="153"/>
        <v>0</v>
      </c>
      <c r="AB380" s="108">
        <f t="shared" si="154"/>
        <v>0</v>
      </c>
      <c r="AC380" s="108">
        <f t="shared" si="155"/>
        <v>0</v>
      </c>
      <c r="AD380" s="108">
        <f t="shared" si="156"/>
        <v>0</v>
      </c>
      <c r="AE380" s="108">
        <f t="shared" si="157"/>
        <v>0</v>
      </c>
      <c r="AF380" s="108">
        <f t="shared" si="158"/>
        <v>0</v>
      </c>
      <c r="AG380" s="108">
        <f t="shared" si="159"/>
        <v>0</v>
      </c>
      <c r="AH380" s="108">
        <f t="shared" si="160"/>
        <v>0</v>
      </c>
      <c r="AI380" s="108">
        <f t="shared" si="161"/>
        <v>0</v>
      </c>
      <c r="AJ380" s="108">
        <f t="shared" si="162"/>
        <v>0</v>
      </c>
      <c r="AK380" s="108">
        <f t="shared" si="163"/>
        <v>0</v>
      </c>
      <c r="AL380" s="108">
        <f t="shared" si="164"/>
        <v>0</v>
      </c>
      <c r="AM380" s="108">
        <f t="shared" si="165"/>
        <v>0</v>
      </c>
      <c r="AQ380" s="104" t="str">
        <f>$V$79</f>
        <v>-</v>
      </c>
      <c r="AR380" s="54">
        <v>0</v>
      </c>
      <c r="AS380" s="54">
        <v>0</v>
      </c>
      <c r="AT380" s="54">
        <v>0</v>
      </c>
      <c r="AU380" s="54">
        <v>0</v>
      </c>
      <c r="AV380" s="54">
        <v>0</v>
      </c>
      <c r="AW380" s="54">
        <v>0</v>
      </c>
      <c r="AX380" s="54">
        <v>0</v>
      </c>
      <c r="AY380" s="54">
        <v>0</v>
      </c>
      <c r="AZ380" s="54">
        <v>0</v>
      </c>
      <c r="BA380" s="54">
        <v>0</v>
      </c>
      <c r="BB380" s="54">
        <v>0</v>
      </c>
      <c r="BC380" s="54">
        <v>0</v>
      </c>
      <c r="BD380" s="54">
        <v>0</v>
      </c>
      <c r="BE380" s="54">
        <v>0</v>
      </c>
      <c r="BF380" s="54">
        <v>0</v>
      </c>
      <c r="BG380" s="54">
        <v>0</v>
      </c>
      <c r="BH380" s="54">
        <v>0</v>
      </c>
      <c r="BK380" s="104" t="str">
        <f>$V$92</f>
        <v>-</v>
      </c>
      <c r="BL380" s="108">
        <v>0</v>
      </c>
      <c r="BM380" s="108">
        <v>0</v>
      </c>
      <c r="BN380" s="108">
        <v>0</v>
      </c>
      <c r="BO380" s="108">
        <v>0</v>
      </c>
      <c r="BP380" s="108">
        <v>0</v>
      </c>
      <c r="BQ380" s="108">
        <v>0</v>
      </c>
      <c r="BR380" s="108">
        <v>0</v>
      </c>
      <c r="BS380" s="108">
        <v>0</v>
      </c>
      <c r="BT380" s="108">
        <v>0</v>
      </c>
      <c r="BU380" s="108">
        <v>0</v>
      </c>
      <c r="BV380" s="108">
        <v>0</v>
      </c>
      <c r="BW380" s="108">
        <v>0</v>
      </c>
      <c r="BX380" s="108">
        <v>0</v>
      </c>
      <c r="BY380" s="108">
        <v>0</v>
      </c>
      <c r="BZ380" s="108">
        <v>0</v>
      </c>
      <c r="CA380" s="108">
        <v>0</v>
      </c>
      <c r="CB380" s="108">
        <v>0</v>
      </c>
    </row>
    <row r="381" spans="2:80" x14ac:dyDescent="0.55000000000000004">
      <c r="B381" s="104" t="str">
        <f>$V$75</f>
        <v>Yassin</v>
      </c>
      <c r="C381" s="108">
        <v>0</v>
      </c>
      <c r="D381" s="108">
        <v>0</v>
      </c>
      <c r="E381" s="108">
        <v>0</v>
      </c>
      <c r="F381" s="108">
        <v>0</v>
      </c>
      <c r="G381" s="108">
        <v>0</v>
      </c>
      <c r="H381" s="108">
        <v>0</v>
      </c>
      <c r="I381" s="108">
        <v>0</v>
      </c>
      <c r="J381" s="108">
        <v>0</v>
      </c>
      <c r="K381" s="108">
        <v>0</v>
      </c>
      <c r="L381" s="108">
        <v>0</v>
      </c>
      <c r="M381" s="108">
        <v>0</v>
      </c>
      <c r="N381" s="108">
        <v>0</v>
      </c>
      <c r="O381" s="108">
        <v>0</v>
      </c>
      <c r="P381" s="108">
        <v>0</v>
      </c>
      <c r="Q381" s="108">
        <v>0</v>
      </c>
      <c r="R381" s="108">
        <v>0</v>
      </c>
      <c r="S381" s="108">
        <v>0</v>
      </c>
      <c r="T381" s="28" t="s">
        <v>26</v>
      </c>
      <c r="V381" s="104" t="str">
        <f>$V$75</f>
        <v>Yassin</v>
      </c>
      <c r="W381" s="108">
        <f t="shared" si="149"/>
        <v>0</v>
      </c>
      <c r="X381" s="108">
        <f t="shared" si="150"/>
        <v>0</v>
      </c>
      <c r="Y381" s="108">
        <f t="shared" si="151"/>
        <v>0</v>
      </c>
      <c r="Z381" s="108">
        <f t="shared" si="152"/>
        <v>0</v>
      </c>
      <c r="AA381" s="108">
        <f t="shared" si="153"/>
        <v>0</v>
      </c>
      <c r="AB381" s="108">
        <f t="shared" si="154"/>
        <v>0</v>
      </c>
      <c r="AC381" s="108">
        <f t="shared" si="155"/>
        <v>0</v>
      </c>
      <c r="AD381" s="108">
        <f t="shared" si="156"/>
        <v>0</v>
      </c>
      <c r="AE381" s="108">
        <f t="shared" si="157"/>
        <v>0</v>
      </c>
      <c r="AF381" s="108">
        <f t="shared" si="158"/>
        <v>0</v>
      </c>
      <c r="AG381" s="108">
        <f t="shared" si="159"/>
        <v>0</v>
      </c>
      <c r="AH381" s="108">
        <f t="shared" si="160"/>
        <v>0</v>
      </c>
      <c r="AI381" s="108">
        <f t="shared" si="161"/>
        <v>0</v>
      </c>
      <c r="AJ381" s="108">
        <f t="shared" si="162"/>
        <v>0</v>
      </c>
      <c r="AK381" s="108">
        <f t="shared" si="163"/>
        <v>0</v>
      </c>
      <c r="AL381" s="108">
        <f t="shared" si="164"/>
        <v>0</v>
      </c>
      <c r="AM381" s="108">
        <f t="shared" si="165"/>
        <v>0</v>
      </c>
      <c r="AQ381" s="104" t="str">
        <f>$V$80</f>
        <v>-</v>
      </c>
      <c r="AR381" s="54">
        <v>0</v>
      </c>
      <c r="AS381" s="54">
        <v>0</v>
      </c>
      <c r="AT381" s="54">
        <v>0</v>
      </c>
      <c r="AU381" s="54">
        <v>0</v>
      </c>
      <c r="AV381" s="54">
        <v>0</v>
      </c>
      <c r="AW381" s="54">
        <v>0</v>
      </c>
      <c r="AX381" s="54">
        <v>0</v>
      </c>
      <c r="AY381" s="54">
        <v>0</v>
      </c>
      <c r="AZ381" s="54">
        <v>0</v>
      </c>
      <c r="BA381" s="54">
        <v>0</v>
      </c>
      <c r="BB381" s="54">
        <v>0</v>
      </c>
      <c r="BC381" s="54">
        <v>0</v>
      </c>
      <c r="BD381" s="54">
        <v>0</v>
      </c>
      <c r="BE381" s="54">
        <v>0</v>
      </c>
      <c r="BF381" s="54">
        <v>0</v>
      </c>
      <c r="BG381" s="54">
        <v>0</v>
      </c>
      <c r="BH381" s="54">
        <v>0</v>
      </c>
    </row>
    <row r="382" spans="2:80" x14ac:dyDescent="0.55000000000000004">
      <c r="B382" s="104" t="str">
        <f>$V$76</f>
        <v>Kamar</v>
      </c>
      <c r="C382" s="108">
        <v>0</v>
      </c>
      <c r="D382" s="108">
        <v>0</v>
      </c>
      <c r="E382" s="108">
        <v>0</v>
      </c>
      <c r="F382" s="108">
        <v>0</v>
      </c>
      <c r="G382" s="108">
        <v>0</v>
      </c>
      <c r="H382" s="108">
        <v>0</v>
      </c>
      <c r="I382" s="108">
        <v>0</v>
      </c>
      <c r="J382" s="108">
        <v>0</v>
      </c>
      <c r="K382" s="108">
        <v>0</v>
      </c>
      <c r="L382" s="108">
        <v>0</v>
      </c>
      <c r="M382" s="108">
        <v>0</v>
      </c>
      <c r="N382" s="108">
        <v>0</v>
      </c>
      <c r="O382" s="108">
        <v>0</v>
      </c>
      <c r="P382" s="108">
        <v>0</v>
      </c>
      <c r="Q382" s="108">
        <v>0</v>
      </c>
      <c r="R382" s="108">
        <v>0</v>
      </c>
      <c r="S382" s="108">
        <v>0</v>
      </c>
      <c r="T382" s="28" t="s">
        <v>26</v>
      </c>
      <c r="V382" s="104" t="str">
        <f>$V$76</f>
        <v>Kamar</v>
      </c>
      <c r="W382" s="108">
        <f t="shared" si="149"/>
        <v>0</v>
      </c>
      <c r="X382" s="108">
        <f t="shared" si="150"/>
        <v>0</v>
      </c>
      <c r="Y382" s="108">
        <f t="shared" si="151"/>
        <v>0</v>
      </c>
      <c r="Z382" s="108">
        <f t="shared" si="152"/>
        <v>0</v>
      </c>
      <c r="AA382" s="108">
        <f t="shared" si="153"/>
        <v>0</v>
      </c>
      <c r="AB382" s="108">
        <f t="shared" si="154"/>
        <v>0</v>
      </c>
      <c r="AC382" s="108">
        <f t="shared" si="155"/>
        <v>0</v>
      </c>
      <c r="AD382" s="108">
        <f t="shared" si="156"/>
        <v>0</v>
      </c>
      <c r="AE382" s="108">
        <f t="shared" si="157"/>
        <v>0</v>
      </c>
      <c r="AF382" s="108">
        <f t="shared" si="158"/>
        <v>0</v>
      </c>
      <c r="AG382" s="108">
        <f t="shared" si="159"/>
        <v>0</v>
      </c>
      <c r="AH382" s="108">
        <f t="shared" si="160"/>
        <v>0</v>
      </c>
      <c r="AI382" s="108">
        <f t="shared" si="161"/>
        <v>0</v>
      </c>
      <c r="AJ382" s="108">
        <f t="shared" si="162"/>
        <v>0</v>
      </c>
      <c r="AK382" s="108">
        <f t="shared" si="163"/>
        <v>0</v>
      </c>
      <c r="AL382" s="108">
        <f t="shared" si="164"/>
        <v>0</v>
      </c>
      <c r="AM382" s="108">
        <f t="shared" si="165"/>
        <v>0</v>
      </c>
      <c r="AQ382" s="104" t="str">
        <f>$V$81</f>
        <v>-</v>
      </c>
      <c r="AR382" s="54">
        <v>0</v>
      </c>
      <c r="AS382" s="54">
        <v>0</v>
      </c>
      <c r="AT382" s="54">
        <v>0</v>
      </c>
      <c r="AU382" s="54">
        <v>0</v>
      </c>
      <c r="AV382" s="54">
        <v>0</v>
      </c>
      <c r="AW382" s="54">
        <v>0</v>
      </c>
      <c r="AX382" s="54">
        <v>0</v>
      </c>
      <c r="AY382" s="54">
        <v>0</v>
      </c>
      <c r="AZ382" s="54">
        <v>0</v>
      </c>
      <c r="BA382" s="54">
        <v>0</v>
      </c>
      <c r="BB382" s="54">
        <v>0</v>
      </c>
      <c r="BC382" s="54">
        <v>0</v>
      </c>
      <c r="BD382" s="54">
        <v>0</v>
      </c>
      <c r="BE382" s="54">
        <v>0</v>
      </c>
      <c r="BF382" s="54">
        <v>0</v>
      </c>
      <c r="BG382" s="54">
        <v>0</v>
      </c>
      <c r="BH382" s="54">
        <v>0</v>
      </c>
    </row>
    <row r="383" spans="2:80" x14ac:dyDescent="0.55000000000000004">
      <c r="B383" s="104" t="str">
        <f>$V$77</f>
        <v>-</v>
      </c>
      <c r="C383" s="108">
        <v>0</v>
      </c>
      <c r="D383" s="108">
        <v>0</v>
      </c>
      <c r="E383" s="108">
        <v>0</v>
      </c>
      <c r="F383" s="108">
        <v>0</v>
      </c>
      <c r="G383" s="108">
        <v>0</v>
      </c>
      <c r="H383" s="108">
        <v>0</v>
      </c>
      <c r="I383" s="108">
        <v>0</v>
      </c>
      <c r="J383" s="108">
        <v>0</v>
      </c>
      <c r="K383" s="108">
        <v>0</v>
      </c>
      <c r="L383" s="108">
        <v>0</v>
      </c>
      <c r="M383" s="108">
        <v>0</v>
      </c>
      <c r="N383" s="108">
        <v>0</v>
      </c>
      <c r="O383" s="108">
        <v>0</v>
      </c>
      <c r="P383" s="108">
        <v>0</v>
      </c>
      <c r="Q383" s="108">
        <v>0</v>
      </c>
      <c r="R383" s="108">
        <v>0</v>
      </c>
      <c r="S383" s="108">
        <v>0</v>
      </c>
      <c r="T383" s="28" t="s">
        <v>26</v>
      </c>
      <c r="V383" s="104" t="str">
        <f>$V$77</f>
        <v>-</v>
      </c>
      <c r="W383" s="108">
        <f t="shared" si="149"/>
        <v>0</v>
      </c>
      <c r="X383" s="108">
        <f t="shared" si="150"/>
        <v>0</v>
      </c>
      <c r="Y383" s="108">
        <f t="shared" si="151"/>
        <v>0</v>
      </c>
      <c r="Z383" s="108">
        <f t="shared" si="152"/>
        <v>0</v>
      </c>
      <c r="AA383" s="108">
        <f t="shared" si="153"/>
        <v>0</v>
      </c>
      <c r="AB383" s="108">
        <f t="shared" si="154"/>
        <v>0</v>
      </c>
      <c r="AC383" s="108">
        <f t="shared" si="155"/>
        <v>0</v>
      </c>
      <c r="AD383" s="108">
        <f t="shared" si="156"/>
        <v>0</v>
      </c>
      <c r="AE383" s="108">
        <f t="shared" si="157"/>
        <v>0</v>
      </c>
      <c r="AF383" s="108">
        <f t="shared" si="158"/>
        <v>0</v>
      </c>
      <c r="AG383" s="108">
        <f t="shared" si="159"/>
        <v>0</v>
      </c>
      <c r="AH383" s="108">
        <f t="shared" si="160"/>
        <v>0</v>
      </c>
      <c r="AI383" s="108">
        <f t="shared" si="161"/>
        <v>0</v>
      </c>
      <c r="AJ383" s="108">
        <f t="shared" si="162"/>
        <v>0</v>
      </c>
      <c r="AK383" s="108">
        <f t="shared" si="163"/>
        <v>0</v>
      </c>
      <c r="AL383" s="108">
        <f t="shared" si="164"/>
        <v>0</v>
      </c>
      <c r="AM383" s="108">
        <f t="shared" si="165"/>
        <v>0</v>
      </c>
      <c r="AQ383" s="104" t="str">
        <f>$V$82</f>
        <v>-</v>
      </c>
      <c r="AR383" s="54">
        <v>0</v>
      </c>
      <c r="AS383" s="54">
        <v>0</v>
      </c>
      <c r="AT383" s="54">
        <v>0</v>
      </c>
      <c r="AU383" s="54">
        <v>0</v>
      </c>
      <c r="AV383" s="54">
        <v>0</v>
      </c>
      <c r="AW383" s="54">
        <v>0</v>
      </c>
      <c r="AX383" s="54">
        <v>0</v>
      </c>
      <c r="AY383" s="54">
        <v>0</v>
      </c>
      <c r="AZ383" s="54">
        <v>0</v>
      </c>
      <c r="BA383" s="54">
        <v>0</v>
      </c>
      <c r="BB383" s="54">
        <v>0</v>
      </c>
      <c r="BC383" s="54">
        <v>0</v>
      </c>
      <c r="BD383" s="54">
        <v>0</v>
      </c>
      <c r="BE383" s="54">
        <v>0</v>
      </c>
      <c r="BF383" s="54">
        <v>0</v>
      </c>
      <c r="BG383" s="54">
        <v>0</v>
      </c>
      <c r="BH383" s="54">
        <v>0</v>
      </c>
      <c r="BK383" s="104" t="str">
        <f>CONCATENATE("OBLIGATORIEDAD DE (",BK384,")")</f>
        <v>OBLIGATORIEDAD DE (Çapèse)</v>
      </c>
    </row>
    <row r="384" spans="2:80" x14ac:dyDescent="0.55000000000000004">
      <c r="B384" s="104" t="str">
        <f>$V$78</f>
        <v>-</v>
      </c>
      <c r="C384" s="108">
        <v>0</v>
      </c>
      <c r="D384" s="108">
        <v>0</v>
      </c>
      <c r="E384" s="108">
        <v>0</v>
      </c>
      <c r="F384" s="108">
        <v>0</v>
      </c>
      <c r="G384" s="108">
        <v>0</v>
      </c>
      <c r="H384" s="108">
        <v>0</v>
      </c>
      <c r="I384" s="108">
        <v>0</v>
      </c>
      <c r="J384" s="108">
        <v>0</v>
      </c>
      <c r="K384" s="108">
        <v>0</v>
      </c>
      <c r="L384" s="108">
        <v>0</v>
      </c>
      <c r="M384" s="108">
        <v>0</v>
      </c>
      <c r="N384" s="108">
        <v>0</v>
      </c>
      <c r="O384" s="108">
        <v>0</v>
      </c>
      <c r="P384" s="108">
        <v>0</v>
      </c>
      <c r="Q384" s="108">
        <v>0</v>
      </c>
      <c r="R384" s="108">
        <v>0</v>
      </c>
      <c r="S384" s="108">
        <v>0</v>
      </c>
      <c r="T384" s="28" t="s">
        <v>26</v>
      </c>
      <c r="V384" s="104" t="str">
        <f>$V$78</f>
        <v>-</v>
      </c>
      <c r="W384" s="108">
        <f t="shared" si="149"/>
        <v>0</v>
      </c>
      <c r="X384" s="108">
        <f t="shared" si="150"/>
        <v>0</v>
      </c>
      <c r="Y384" s="108">
        <f t="shared" si="151"/>
        <v>0</v>
      </c>
      <c r="Z384" s="108">
        <f t="shared" si="152"/>
        <v>0</v>
      </c>
      <c r="AA384" s="108">
        <f t="shared" si="153"/>
        <v>0</v>
      </c>
      <c r="AB384" s="108">
        <f t="shared" si="154"/>
        <v>0</v>
      </c>
      <c r="AC384" s="108">
        <f t="shared" si="155"/>
        <v>0</v>
      </c>
      <c r="AD384" s="108">
        <f t="shared" si="156"/>
        <v>0</v>
      </c>
      <c r="AE384" s="108">
        <f t="shared" si="157"/>
        <v>0</v>
      </c>
      <c r="AF384" s="108">
        <f t="shared" si="158"/>
        <v>0</v>
      </c>
      <c r="AG384" s="108">
        <f t="shared" si="159"/>
        <v>0</v>
      </c>
      <c r="AH384" s="108">
        <f t="shared" si="160"/>
        <v>0</v>
      </c>
      <c r="AI384" s="108">
        <f t="shared" si="161"/>
        <v>0</v>
      </c>
      <c r="AJ384" s="108">
        <f t="shared" si="162"/>
        <v>0</v>
      </c>
      <c r="AK384" s="108">
        <f t="shared" si="163"/>
        <v>0</v>
      </c>
      <c r="AL384" s="108">
        <f t="shared" si="164"/>
        <v>0</v>
      </c>
      <c r="AM384" s="108">
        <f t="shared" si="165"/>
        <v>0</v>
      </c>
      <c r="AQ384" s="104" t="str">
        <f>$V$83</f>
        <v>-</v>
      </c>
      <c r="AR384" s="54">
        <v>0</v>
      </c>
      <c r="AS384" s="54">
        <v>0</v>
      </c>
      <c r="AT384" s="54">
        <v>0</v>
      </c>
      <c r="AU384" s="54">
        <v>0</v>
      </c>
      <c r="AV384" s="54">
        <v>0</v>
      </c>
      <c r="AW384" s="54">
        <v>0</v>
      </c>
      <c r="AX384" s="54">
        <v>0</v>
      </c>
      <c r="AY384" s="54">
        <v>0</v>
      </c>
      <c r="AZ384" s="54">
        <v>0</v>
      </c>
      <c r="BA384" s="54">
        <v>0</v>
      </c>
      <c r="BB384" s="54">
        <v>0</v>
      </c>
      <c r="BC384" s="54">
        <v>0</v>
      </c>
      <c r="BD384" s="54">
        <v>0</v>
      </c>
      <c r="BE384" s="54">
        <v>0</v>
      </c>
      <c r="BF384" s="54">
        <v>0</v>
      </c>
      <c r="BG384" s="54">
        <v>0</v>
      </c>
      <c r="BH384" s="54">
        <v>0</v>
      </c>
      <c r="BK384" s="104" t="str">
        <f>V42</f>
        <v>Çapèse</v>
      </c>
      <c r="BL384" s="104" t="str">
        <f>$W$33</f>
        <v>16h</v>
      </c>
      <c r="BM384" s="104" t="str">
        <f>$X$33</f>
        <v>17h</v>
      </c>
      <c r="BN384" s="104" t="str">
        <f>$Y$33</f>
        <v>18h</v>
      </c>
      <c r="BO384" s="104" t="str">
        <f>$Z$33</f>
        <v>19h</v>
      </c>
      <c r="BP384" s="104" t="str">
        <f>$AA$33</f>
        <v>20h</v>
      </c>
      <c r="BQ384" s="104" t="str">
        <f>$AB$33</f>
        <v>21h</v>
      </c>
      <c r="BR384" s="104" t="str">
        <f>$AC$33</f>
        <v>22h</v>
      </c>
      <c r="BS384" s="104" t="str">
        <f>$AD$33</f>
        <v>23h</v>
      </c>
      <c r="BT384" s="104" t="str">
        <f>$AE$33</f>
        <v>00h</v>
      </c>
      <c r="BU384" s="104" t="str">
        <f>$AF$33</f>
        <v>01h</v>
      </c>
      <c r="BV384" s="104" t="str">
        <f>$AG$33</f>
        <v>02h</v>
      </c>
      <c r="BW384" s="104" t="str">
        <f>$AH$33</f>
        <v>03h</v>
      </c>
      <c r="BX384" s="104" t="str">
        <f>$AI$33</f>
        <v>04h</v>
      </c>
      <c r="BY384" s="104" t="str">
        <f>$AJ$33</f>
        <v>05h</v>
      </c>
      <c r="BZ384" s="104" t="str">
        <f>$AK$33</f>
        <v>06h</v>
      </c>
      <c r="CA384" s="104" t="str">
        <f>$AL$33</f>
        <v>07h</v>
      </c>
      <c r="CB384" s="104" t="str">
        <f>$AM$33</f>
        <v>08h</v>
      </c>
    </row>
    <row r="385" spans="2:80" x14ac:dyDescent="0.55000000000000004">
      <c r="B385" s="104" t="str">
        <f>$V$79</f>
        <v>-</v>
      </c>
      <c r="C385" s="108">
        <v>0</v>
      </c>
      <c r="D385" s="108">
        <v>0</v>
      </c>
      <c r="E385" s="108">
        <v>0</v>
      </c>
      <c r="F385" s="108">
        <v>0</v>
      </c>
      <c r="G385" s="108">
        <v>0</v>
      </c>
      <c r="H385" s="108">
        <v>0</v>
      </c>
      <c r="I385" s="108">
        <v>0</v>
      </c>
      <c r="J385" s="108">
        <v>0</v>
      </c>
      <c r="K385" s="108">
        <v>0</v>
      </c>
      <c r="L385" s="108">
        <v>0</v>
      </c>
      <c r="M385" s="108">
        <v>0</v>
      </c>
      <c r="N385" s="108">
        <v>0</v>
      </c>
      <c r="O385" s="108">
        <v>0</v>
      </c>
      <c r="P385" s="108">
        <v>0</v>
      </c>
      <c r="Q385" s="108">
        <v>0</v>
      </c>
      <c r="R385" s="108">
        <v>0</v>
      </c>
      <c r="S385" s="108">
        <v>0</v>
      </c>
      <c r="T385" s="28" t="s">
        <v>26</v>
      </c>
      <c r="V385" s="104" t="str">
        <f>$V$79</f>
        <v>-</v>
      </c>
      <c r="W385" s="108">
        <f t="shared" si="149"/>
        <v>0</v>
      </c>
      <c r="X385" s="108">
        <f t="shared" si="150"/>
        <v>0</v>
      </c>
      <c r="Y385" s="108">
        <f t="shared" si="151"/>
        <v>0</v>
      </c>
      <c r="Z385" s="108">
        <f t="shared" si="152"/>
        <v>0</v>
      </c>
      <c r="AA385" s="108">
        <f t="shared" si="153"/>
        <v>0</v>
      </c>
      <c r="AB385" s="108">
        <f t="shared" si="154"/>
        <v>0</v>
      </c>
      <c r="AC385" s="108">
        <f t="shared" si="155"/>
        <v>0</v>
      </c>
      <c r="AD385" s="108">
        <f t="shared" si="156"/>
        <v>0</v>
      </c>
      <c r="AE385" s="108">
        <f t="shared" si="157"/>
        <v>0</v>
      </c>
      <c r="AF385" s="108">
        <f t="shared" si="158"/>
        <v>0</v>
      </c>
      <c r="AG385" s="108">
        <f t="shared" si="159"/>
        <v>0</v>
      </c>
      <c r="AH385" s="108">
        <f t="shared" si="160"/>
        <v>0</v>
      </c>
      <c r="AI385" s="108">
        <f t="shared" si="161"/>
        <v>0</v>
      </c>
      <c r="AJ385" s="108">
        <f t="shared" si="162"/>
        <v>0</v>
      </c>
      <c r="AK385" s="108">
        <f t="shared" si="163"/>
        <v>0</v>
      </c>
      <c r="AL385" s="108">
        <f t="shared" si="164"/>
        <v>0</v>
      </c>
      <c r="AM385" s="108">
        <f t="shared" si="165"/>
        <v>0</v>
      </c>
      <c r="AQ385" s="104" t="str">
        <f>$V$84</f>
        <v>-</v>
      </c>
      <c r="AR385" s="54">
        <v>0</v>
      </c>
      <c r="AS385" s="54">
        <v>0</v>
      </c>
      <c r="AT385" s="54">
        <v>0</v>
      </c>
      <c r="AU385" s="54">
        <v>0</v>
      </c>
      <c r="AV385" s="54">
        <v>0</v>
      </c>
      <c r="AW385" s="54">
        <v>0</v>
      </c>
      <c r="AX385" s="54">
        <v>0</v>
      </c>
      <c r="AY385" s="54">
        <v>0</v>
      </c>
      <c r="AZ385" s="54">
        <v>0</v>
      </c>
      <c r="BA385" s="54">
        <v>0</v>
      </c>
      <c r="BB385" s="54">
        <v>0</v>
      </c>
      <c r="BC385" s="54">
        <v>0</v>
      </c>
      <c r="BD385" s="54">
        <v>0</v>
      </c>
      <c r="BE385" s="54">
        <v>0</v>
      </c>
      <c r="BF385" s="54">
        <v>0</v>
      </c>
      <c r="BG385" s="54">
        <v>0</v>
      </c>
      <c r="BH385" s="54">
        <v>0</v>
      </c>
      <c r="BK385" s="104" t="str">
        <f>$V$53</f>
        <v>Jennifer</v>
      </c>
      <c r="BL385" s="108">
        <v>0</v>
      </c>
      <c r="BM385" s="108">
        <v>0</v>
      </c>
      <c r="BN385" s="108">
        <v>0</v>
      </c>
      <c r="BO385" s="108">
        <v>0</v>
      </c>
      <c r="BP385" s="108">
        <v>0</v>
      </c>
      <c r="BQ385" s="108">
        <v>0</v>
      </c>
      <c r="BR385" s="108">
        <v>0</v>
      </c>
      <c r="BS385" s="108">
        <v>0</v>
      </c>
      <c r="BT385" s="108">
        <v>0</v>
      </c>
      <c r="BU385" s="108">
        <v>0</v>
      </c>
      <c r="BV385" s="108">
        <v>0</v>
      </c>
      <c r="BW385" s="108">
        <v>0</v>
      </c>
      <c r="BX385" s="108">
        <v>0</v>
      </c>
      <c r="BY385" s="108">
        <v>0</v>
      </c>
      <c r="BZ385" s="108">
        <v>0</v>
      </c>
      <c r="CA385" s="108">
        <v>0</v>
      </c>
      <c r="CB385" s="108">
        <v>0</v>
      </c>
    </row>
    <row r="386" spans="2:80" x14ac:dyDescent="0.55000000000000004">
      <c r="B386" s="104" t="str">
        <f>$V$80</f>
        <v>-</v>
      </c>
      <c r="C386" s="108">
        <v>0</v>
      </c>
      <c r="D386" s="108">
        <v>0</v>
      </c>
      <c r="E386" s="108">
        <v>0</v>
      </c>
      <c r="F386" s="108">
        <v>0</v>
      </c>
      <c r="G386" s="108">
        <v>0</v>
      </c>
      <c r="H386" s="108">
        <v>0</v>
      </c>
      <c r="I386" s="108">
        <v>0</v>
      </c>
      <c r="J386" s="108">
        <v>0</v>
      </c>
      <c r="K386" s="108">
        <v>0</v>
      </c>
      <c r="L386" s="108">
        <v>0</v>
      </c>
      <c r="M386" s="108">
        <v>0</v>
      </c>
      <c r="N386" s="108">
        <v>0</v>
      </c>
      <c r="O386" s="108">
        <v>0</v>
      </c>
      <c r="P386" s="108">
        <v>0</v>
      </c>
      <c r="Q386" s="108">
        <v>0</v>
      </c>
      <c r="R386" s="108">
        <v>0</v>
      </c>
      <c r="S386" s="108">
        <v>0</v>
      </c>
      <c r="T386" s="28" t="s">
        <v>26</v>
      </c>
      <c r="V386" s="104" t="str">
        <f>$V$80</f>
        <v>-</v>
      </c>
      <c r="W386" s="108">
        <f t="shared" si="149"/>
        <v>0</v>
      </c>
      <c r="X386" s="108">
        <f t="shared" si="150"/>
        <v>0</v>
      </c>
      <c r="Y386" s="108">
        <f t="shared" si="151"/>
        <v>0</v>
      </c>
      <c r="Z386" s="108">
        <f t="shared" si="152"/>
        <v>0</v>
      </c>
      <c r="AA386" s="108">
        <f t="shared" si="153"/>
        <v>0</v>
      </c>
      <c r="AB386" s="108">
        <f t="shared" si="154"/>
        <v>0</v>
      </c>
      <c r="AC386" s="108">
        <f t="shared" si="155"/>
        <v>0</v>
      </c>
      <c r="AD386" s="108">
        <f t="shared" si="156"/>
        <v>0</v>
      </c>
      <c r="AE386" s="108">
        <f t="shared" si="157"/>
        <v>0</v>
      </c>
      <c r="AF386" s="108">
        <f t="shared" si="158"/>
        <v>0</v>
      </c>
      <c r="AG386" s="108">
        <f t="shared" si="159"/>
        <v>0</v>
      </c>
      <c r="AH386" s="108">
        <f t="shared" si="160"/>
        <v>0</v>
      </c>
      <c r="AI386" s="108">
        <f t="shared" si="161"/>
        <v>0</v>
      </c>
      <c r="AJ386" s="108">
        <f t="shared" si="162"/>
        <v>0</v>
      </c>
      <c r="AK386" s="108">
        <f t="shared" si="163"/>
        <v>0</v>
      </c>
      <c r="AL386" s="108">
        <f t="shared" si="164"/>
        <v>0</v>
      </c>
      <c r="AM386" s="108">
        <f t="shared" si="165"/>
        <v>0</v>
      </c>
      <c r="AQ386" s="104" t="str">
        <f>$V$85</f>
        <v>-</v>
      </c>
      <c r="AR386" s="54">
        <v>0</v>
      </c>
      <c r="AS386" s="54">
        <v>0</v>
      </c>
      <c r="AT386" s="54">
        <v>0</v>
      </c>
      <c r="AU386" s="54">
        <v>0</v>
      </c>
      <c r="AV386" s="54">
        <v>0</v>
      </c>
      <c r="AW386" s="54">
        <v>0</v>
      </c>
      <c r="AX386" s="54">
        <v>0</v>
      </c>
      <c r="AY386" s="54">
        <v>0</v>
      </c>
      <c r="AZ386" s="54">
        <v>0</v>
      </c>
      <c r="BA386" s="54">
        <v>0</v>
      </c>
      <c r="BB386" s="54">
        <v>0</v>
      </c>
      <c r="BC386" s="54">
        <v>0</v>
      </c>
      <c r="BD386" s="54">
        <v>0</v>
      </c>
      <c r="BE386" s="54">
        <v>0</v>
      </c>
      <c r="BF386" s="54">
        <v>0</v>
      </c>
      <c r="BG386" s="54">
        <v>0</v>
      </c>
      <c r="BH386" s="54">
        <v>0</v>
      </c>
      <c r="BK386" s="104" t="str">
        <f>$V$54</f>
        <v>Galileo</v>
      </c>
      <c r="BL386" s="108">
        <v>0</v>
      </c>
      <c r="BM386" s="108">
        <v>0</v>
      </c>
      <c r="BN386" s="108">
        <v>0</v>
      </c>
      <c r="BO386" s="108">
        <v>0</v>
      </c>
      <c r="BP386" s="108">
        <v>0</v>
      </c>
      <c r="BQ386" s="108">
        <v>0</v>
      </c>
      <c r="BR386" s="108">
        <v>0</v>
      </c>
      <c r="BS386" s="108">
        <v>0</v>
      </c>
      <c r="BT386" s="108">
        <v>0</v>
      </c>
      <c r="BU386" s="108">
        <v>0</v>
      </c>
      <c r="BV386" s="108">
        <v>0</v>
      </c>
      <c r="BW386" s="108">
        <v>0</v>
      </c>
      <c r="BX386" s="108">
        <v>0</v>
      </c>
      <c r="BY386" s="108">
        <v>0</v>
      </c>
      <c r="BZ386" s="108">
        <v>0</v>
      </c>
      <c r="CA386" s="108">
        <v>0</v>
      </c>
      <c r="CB386" s="108">
        <v>0</v>
      </c>
    </row>
    <row r="387" spans="2:80" x14ac:dyDescent="0.55000000000000004">
      <c r="B387" s="104" t="str">
        <f>$V$81</f>
        <v>-</v>
      </c>
      <c r="C387" s="108">
        <v>0</v>
      </c>
      <c r="D387" s="108">
        <v>0</v>
      </c>
      <c r="E387" s="108">
        <v>0</v>
      </c>
      <c r="F387" s="108">
        <v>0</v>
      </c>
      <c r="G387" s="108">
        <v>0</v>
      </c>
      <c r="H387" s="108">
        <v>0</v>
      </c>
      <c r="I387" s="108">
        <v>0</v>
      </c>
      <c r="J387" s="108">
        <v>0</v>
      </c>
      <c r="K387" s="108">
        <v>0</v>
      </c>
      <c r="L387" s="108">
        <v>0</v>
      </c>
      <c r="M387" s="108">
        <v>0</v>
      </c>
      <c r="N387" s="108">
        <v>0</v>
      </c>
      <c r="O387" s="108">
        <v>0</v>
      </c>
      <c r="P387" s="108">
        <v>0</v>
      </c>
      <c r="Q387" s="108">
        <v>0</v>
      </c>
      <c r="R387" s="108">
        <v>0</v>
      </c>
      <c r="S387" s="108">
        <v>0</v>
      </c>
      <c r="T387" s="28" t="s">
        <v>26</v>
      </c>
      <c r="V387" s="104" t="str">
        <f>$V$81</f>
        <v>-</v>
      </c>
      <c r="W387" s="108">
        <f t="shared" si="149"/>
        <v>0</v>
      </c>
      <c r="X387" s="108">
        <f t="shared" si="150"/>
        <v>0</v>
      </c>
      <c r="Y387" s="108">
        <f t="shared" si="151"/>
        <v>0</v>
      </c>
      <c r="Z387" s="108">
        <f t="shared" si="152"/>
        <v>0</v>
      </c>
      <c r="AA387" s="108">
        <f t="shared" si="153"/>
        <v>0</v>
      </c>
      <c r="AB387" s="108">
        <f t="shared" si="154"/>
        <v>0</v>
      </c>
      <c r="AC387" s="108">
        <f t="shared" si="155"/>
        <v>0</v>
      </c>
      <c r="AD387" s="108">
        <f t="shared" si="156"/>
        <v>0</v>
      </c>
      <c r="AE387" s="108">
        <f t="shared" si="157"/>
        <v>0</v>
      </c>
      <c r="AF387" s="108">
        <f t="shared" si="158"/>
        <v>0</v>
      </c>
      <c r="AG387" s="108">
        <f t="shared" si="159"/>
        <v>0</v>
      </c>
      <c r="AH387" s="108">
        <f t="shared" si="160"/>
        <v>0</v>
      </c>
      <c r="AI387" s="108">
        <f t="shared" si="161"/>
        <v>0</v>
      </c>
      <c r="AJ387" s="108">
        <f t="shared" si="162"/>
        <v>0</v>
      </c>
      <c r="AK387" s="108">
        <f t="shared" si="163"/>
        <v>0</v>
      </c>
      <c r="AL387" s="108">
        <f t="shared" si="164"/>
        <v>0</v>
      </c>
      <c r="AM387" s="108">
        <f t="shared" si="165"/>
        <v>0</v>
      </c>
      <c r="AQ387" s="104" t="str">
        <f>$V$86</f>
        <v>-</v>
      </c>
      <c r="AR387" s="54">
        <v>0</v>
      </c>
      <c r="AS387" s="54">
        <v>0</v>
      </c>
      <c r="AT387" s="54">
        <v>0</v>
      </c>
      <c r="AU387" s="54">
        <v>0</v>
      </c>
      <c r="AV387" s="54">
        <v>0</v>
      </c>
      <c r="AW387" s="54">
        <v>0</v>
      </c>
      <c r="AX387" s="54">
        <v>0</v>
      </c>
      <c r="AY387" s="54">
        <v>0</v>
      </c>
      <c r="AZ387" s="54">
        <v>0</v>
      </c>
      <c r="BA387" s="54">
        <v>0</v>
      </c>
      <c r="BB387" s="54">
        <v>0</v>
      </c>
      <c r="BC387" s="54">
        <v>0</v>
      </c>
      <c r="BD387" s="54">
        <v>0</v>
      </c>
      <c r="BE387" s="54">
        <v>0</v>
      </c>
      <c r="BF387" s="54">
        <v>0</v>
      </c>
      <c r="BG387" s="54">
        <v>0</v>
      </c>
      <c r="BH387" s="54">
        <v>0</v>
      </c>
      <c r="BK387" s="104" t="str">
        <f>$V$55</f>
        <v>Óscar</v>
      </c>
      <c r="BL387" s="108">
        <v>0</v>
      </c>
      <c r="BM387" s="108">
        <v>0</v>
      </c>
      <c r="BN387" s="108">
        <v>0</v>
      </c>
      <c r="BO387" s="108">
        <v>0</v>
      </c>
      <c r="BP387" s="108">
        <v>0</v>
      </c>
      <c r="BQ387" s="108">
        <v>0</v>
      </c>
      <c r="BR387" s="108">
        <v>0</v>
      </c>
      <c r="BS387" s="108">
        <v>0</v>
      </c>
      <c r="BT387" s="108">
        <v>0</v>
      </c>
      <c r="BU387" s="108">
        <v>0</v>
      </c>
      <c r="BV387" s="108">
        <v>0</v>
      </c>
      <c r="BW387" s="108">
        <v>0</v>
      </c>
      <c r="BX387" s="108">
        <v>0</v>
      </c>
      <c r="BY387" s="108">
        <v>0</v>
      </c>
      <c r="BZ387" s="108">
        <v>0</v>
      </c>
      <c r="CA387" s="108">
        <v>0</v>
      </c>
      <c r="CB387" s="108">
        <v>0</v>
      </c>
    </row>
    <row r="388" spans="2:80" x14ac:dyDescent="0.55000000000000004">
      <c r="B388" s="104" t="str">
        <f>$V$82</f>
        <v>-</v>
      </c>
      <c r="C388" s="108">
        <v>0</v>
      </c>
      <c r="D388" s="108">
        <v>0</v>
      </c>
      <c r="E388" s="108">
        <v>0</v>
      </c>
      <c r="F388" s="108">
        <v>0</v>
      </c>
      <c r="G388" s="108">
        <v>0</v>
      </c>
      <c r="H388" s="108">
        <v>0</v>
      </c>
      <c r="I388" s="108">
        <v>0</v>
      </c>
      <c r="J388" s="108">
        <v>0</v>
      </c>
      <c r="K388" s="108">
        <v>0</v>
      </c>
      <c r="L388" s="108">
        <v>0</v>
      </c>
      <c r="M388" s="108">
        <v>0</v>
      </c>
      <c r="N388" s="108">
        <v>0</v>
      </c>
      <c r="O388" s="108">
        <v>0</v>
      </c>
      <c r="P388" s="108">
        <v>0</v>
      </c>
      <c r="Q388" s="108">
        <v>0</v>
      </c>
      <c r="R388" s="108">
        <v>0</v>
      </c>
      <c r="S388" s="108">
        <v>0</v>
      </c>
      <c r="T388" s="28" t="s">
        <v>26</v>
      </c>
      <c r="V388" s="104" t="str">
        <f>$V$82</f>
        <v>-</v>
      </c>
      <c r="W388" s="108">
        <f t="shared" si="149"/>
        <v>0</v>
      </c>
      <c r="X388" s="108">
        <f t="shared" si="150"/>
        <v>0</v>
      </c>
      <c r="Y388" s="108">
        <f t="shared" si="151"/>
        <v>0</v>
      </c>
      <c r="Z388" s="108">
        <f t="shared" si="152"/>
        <v>0</v>
      </c>
      <c r="AA388" s="108">
        <f t="shared" si="153"/>
        <v>0</v>
      </c>
      <c r="AB388" s="108">
        <f t="shared" si="154"/>
        <v>0</v>
      </c>
      <c r="AC388" s="108">
        <f t="shared" si="155"/>
        <v>0</v>
      </c>
      <c r="AD388" s="108">
        <f t="shared" si="156"/>
        <v>0</v>
      </c>
      <c r="AE388" s="108">
        <f t="shared" si="157"/>
        <v>0</v>
      </c>
      <c r="AF388" s="108">
        <f t="shared" si="158"/>
        <v>0</v>
      </c>
      <c r="AG388" s="108">
        <f t="shared" si="159"/>
        <v>0</v>
      </c>
      <c r="AH388" s="108">
        <f t="shared" si="160"/>
        <v>0</v>
      </c>
      <c r="AI388" s="108">
        <f t="shared" si="161"/>
        <v>0</v>
      </c>
      <c r="AJ388" s="108">
        <f t="shared" si="162"/>
        <v>0</v>
      </c>
      <c r="AK388" s="108">
        <f t="shared" si="163"/>
        <v>0</v>
      </c>
      <c r="AL388" s="108">
        <f t="shared" si="164"/>
        <v>0</v>
      </c>
      <c r="AM388" s="108">
        <f t="shared" si="165"/>
        <v>0</v>
      </c>
      <c r="AQ388" s="104" t="str">
        <f>$V$87</f>
        <v>-</v>
      </c>
      <c r="AR388" s="54">
        <v>0</v>
      </c>
      <c r="AS388" s="54">
        <v>0</v>
      </c>
      <c r="AT388" s="54">
        <v>0</v>
      </c>
      <c r="AU388" s="54">
        <v>0</v>
      </c>
      <c r="AV388" s="54">
        <v>0</v>
      </c>
      <c r="AW388" s="54">
        <v>0</v>
      </c>
      <c r="AX388" s="54">
        <v>0</v>
      </c>
      <c r="AY388" s="54">
        <v>0</v>
      </c>
      <c r="AZ388" s="54">
        <v>0</v>
      </c>
      <c r="BA388" s="54">
        <v>0</v>
      </c>
      <c r="BB388" s="54">
        <v>0</v>
      </c>
      <c r="BC388" s="54">
        <v>0</v>
      </c>
      <c r="BD388" s="54">
        <v>0</v>
      </c>
      <c r="BE388" s="54">
        <v>0</v>
      </c>
      <c r="BF388" s="54">
        <v>0</v>
      </c>
      <c r="BG388" s="54">
        <v>0</v>
      </c>
      <c r="BH388" s="54">
        <v>0</v>
      </c>
      <c r="BK388" s="104" t="str">
        <f>$V$56</f>
        <v>Sebastián</v>
      </c>
      <c r="BL388" s="108">
        <v>0</v>
      </c>
      <c r="BM388" s="108">
        <v>0</v>
      </c>
      <c r="BN388" s="108">
        <v>0</v>
      </c>
      <c r="BO388" s="108">
        <v>0</v>
      </c>
      <c r="BP388" s="108">
        <v>0</v>
      </c>
      <c r="BQ388" s="108">
        <v>0</v>
      </c>
      <c r="BR388" s="108">
        <v>0</v>
      </c>
      <c r="BS388" s="108">
        <v>0</v>
      </c>
      <c r="BT388" s="108">
        <v>0</v>
      </c>
      <c r="BU388" s="108">
        <v>0</v>
      </c>
      <c r="BV388" s="108">
        <v>0</v>
      </c>
      <c r="BW388" s="108">
        <v>0</v>
      </c>
      <c r="BX388" s="108">
        <v>0</v>
      </c>
      <c r="BY388" s="108">
        <v>0</v>
      </c>
      <c r="BZ388" s="108">
        <v>0</v>
      </c>
      <c r="CA388" s="108">
        <v>0</v>
      </c>
      <c r="CB388" s="108">
        <v>0</v>
      </c>
    </row>
    <row r="389" spans="2:80" x14ac:dyDescent="0.55000000000000004">
      <c r="B389" s="104" t="str">
        <f>$V$83</f>
        <v>-</v>
      </c>
      <c r="C389" s="108">
        <v>0</v>
      </c>
      <c r="D389" s="108">
        <v>0</v>
      </c>
      <c r="E389" s="108">
        <v>0</v>
      </c>
      <c r="F389" s="108">
        <v>0</v>
      </c>
      <c r="G389" s="108">
        <v>0</v>
      </c>
      <c r="H389" s="108">
        <v>0</v>
      </c>
      <c r="I389" s="108">
        <v>0</v>
      </c>
      <c r="J389" s="108">
        <v>0</v>
      </c>
      <c r="K389" s="108">
        <v>0</v>
      </c>
      <c r="L389" s="108">
        <v>0</v>
      </c>
      <c r="M389" s="108">
        <v>0</v>
      </c>
      <c r="N389" s="108">
        <v>0</v>
      </c>
      <c r="O389" s="108">
        <v>0</v>
      </c>
      <c r="P389" s="108">
        <v>0</v>
      </c>
      <c r="Q389" s="108">
        <v>0</v>
      </c>
      <c r="R389" s="108">
        <v>0</v>
      </c>
      <c r="S389" s="108">
        <v>0</v>
      </c>
      <c r="T389" s="28" t="s">
        <v>26</v>
      </c>
      <c r="V389" s="104" t="str">
        <f>$V$83</f>
        <v>-</v>
      </c>
      <c r="W389" s="108">
        <f t="shared" si="149"/>
        <v>0</v>
      </c>
      <c r="X389" s="108">
        <f t="shared" si="150"/>
        <v>0</v>
      </c>
      <c r="Y389" s="108">
        <f t="shared" si="151"/>
        <v>0</v>
      </c>
      <c r="Z389" s="108">
        <f t="shared" si="152"/>
        <v>0</v>
      </c>
      <c r="AA389" s="108">
        <f t="shared" si="153"/>
        <v>0</v>
      </c>
      <c r="AB389" s="108">
        <f t="shared" si="154"/>
        <v>0</v>
      </c>
      <c r="AC389" s="108">
        <f t="shared" si="155"/>
        <v>0</v>
      </c>
      <c r="AD389" s="108">
        <f t="shared" si="156"/>
        <v>0</v>
      </c>
      <c r="AE389" s="108">
        <f t="shared" si="157"/>
        <v>0</v>
      </c>
      <c r="AF389" s="108">
        <f t="shared" si="158"/>
        <v>0</v>
      </c>
      <c r="AG389" s="108">
        <f t="shared" si="159"/>
        <v>0</v>
      </c>
      <c r="AH389" s="108">
        <f t="shared" si="160"/>
        <v>0</v>
      </c>
      <c r="AI389" s="108">
        <f t="shared" si="161"/>
        <v>0</v>
      </c>
      <c r="AJ389" s="108">
        <f t="shared" si="162"/>
        <v>0</v>
      </c>
      <c r="AK389" s="108">
        <f t="shared" si="163"/>
        <v>0</v>
      </c>
      <c r="AL389" s="108">
        <f t="shared" si="164"/>
        <v>0</v>
      </c>
      <c r="AM389" s="108">
        <f t="shared" si="165"/>
        <v>0</v>
      </c>
      <c r="AQ389" s="104" t="str">
        <f>$V$88</f>
        <v>-</v>
      </c>
      <c r="AR389" s="54">
        <v>0</v>
      </c>
      <c r="AS389" s="54">
        <v>0</v>
      </c>
      <c r="AT389" s="54">
        <v>0</v>
      </c>
      <c r="AU389" s="54">
        <v>0</v>
      </c>
      <c r="AV389" s="54">
        <v>0</v>
      </c>
      <c r="AW389" s="54">
        <v>0</v>
      </c>
      <c r="AX389" s="54">
        <v>0</v>
      </c>
      <c r="AY389" s="54">
        <v>0</v>
      </c>
      <c r="AZ389" s="54">
        <v>0</v>
      </c>
      <c r="BA389" s="54">
        <v>0</v>
      </c>
      <c r="BB389" s="54">
        <v>0</v>
      </c>
      <c r="BC389" s="54">
        <v>0</v>
      </c>
      <c r="BD389" s="54">
        <v>0</v>
      </c>
      <c r="BE389" s="54">
        <v>0</v>
      </c>
      <c r="BF389" s="54">
        <v>0</v>
      </c>
      <c r="BG389" s="54">
        <v>0</v>
      </c>
      <c r="BH389" s="54">
        <v>0</v>
      </c>
      <c r="BK389" s="104" t="str">
        <f>$V$57</f>
        <v>Marcos</v>
      </c>
      <c r="BL389" s="108">
        <v>0</v>
      </c>
      <c r="BM389" s="108">
        <v>0</v>
      </c>
      <c r="BN389" s="108">
        <v>0</v>
      </c>
      <c r="BO389" s="108">
        <v>0</v>
      </c>
      <c r="BP389" s="108">
        <v>0</v>
      </c>
      <c r="BQ389" s="108">
        <v>0</v>
      </c>
      <c r="BR389" s="108">
        <v>0</v>
      </c>
      <c r="BS389" s="108">
        <v>0</v>
      </c>
      <c r="BT389" s="108">
        <v>0</v>
      </c>
      <c r="BU389" s="108">
        <v>0</v>
      </c>
      <c r="BV389" s="108">
        <v>0</v>
      </c>
      <c r="BW389" s="108">
        <v>0</v>
      </c>
      <c r="BX389" s="108">
        <v>0</v>
      </c>
      <c r="BY389" s="108">
        <v>0</v>
      </c>
      <c r="BZ389" s="108">
        <v>0</v>
      </c>
      <c r="CA389" s="108">
        <v>0</v>
      </c>
      <c r="CB389" s="108">
        <v>0</v>
      </c>
    </row>
    <row r="390" spans="2:80" x14ac:dyDescent="0.55000000000000004">
      <c r="B390" s="104" t="str">
        <f>$V$84</f>
        <v>-</v>
      </c>
      <c r="C390" s="108">
        <v>0</v>
      </c>
      <c r="D390" s="108">
        <v>0</v>
      </c>
      <c r="E390" s="108">
        <v>0</v>
      </c>
      <c r="F390" s="108">
        <v>0</v>
      </c>
      <c r="G390" s="108">
        <v>0</v>
      </c>
      <c r="H390" s="108">
        <v>0</v>
      </c>
      <c r="I390" s="108">
        <v>0</v>
      </c>
      <c r="J390" s="108">
        <v>0</v>
      </c>
      <c r="K390" s="108">
        <v>0</v>
      </c>
      <c r="L390" s="108">
        <v>0</v>
      </c>
      <c r="M390" s="108">
        <v>0</v>
      </c>
      <c r="N390" s="108">
        <v>0</v>
      </c>
      <c r="O390" s="108">
        <v>0</v>
      </c>
      <c r="P390" s="108">
        <v>0</v>
      </c>
      <c r="Q390" s="108">
        <v>0</v>
      </c>
      <c r="R390" s="108">
        <v>0</v>
      </c>
      <c r="S390" s="108">
        <v>0</v>
      </c>
      <c r="T390" s="28" t="s">
        <v>26</v>
      </c>
      <c r="V390" s="104" t="str">
        <f>$V$84</f>
        <v>-</v>
      </c>
      <c r="W390" s="108">
        <f t="shared" si="149"/>
        <v>0</v>
      </c>
      <c r="X390" s="108">
        <f t="shared" si="150"/>
        <v>0</v>
      </c>
      <c r="Y390" s="108">
        <f t="shared" si="151"/>
        <v>0</v>
      </c>
      <c r="Z390" s="108">
        <f t="shared" si="152"/>
        <v>0</v>
      </c>
      <c r="AA390" s="108">
        <f t="shared" si="153"/>
        <v>0</v>
      </c>
      <c r="AB390" s="108">
        <f t="shared" si="154"/>
        <v>0</v>
      </c>
      <c r="AC390" s="108">
        <f t="shared" si="155"/>
        <v>0</v>
      </c>
      <c r="AD390" s="108">
        <f t="shared" si="156"/>
        <v>0</v>
      </c>
      <c r="AE390" s="108">
        <f t="shared" si="157"/>
        <v>0</v>
      </c>
      <c r="AF390" s="108">
        <f t="shared" si="158"/>
        <v>0</v>
      </c>
      <c r="AG390" s="108">
        <f t="shared" si="159"/>
        <v>0</v>
      </c>
      <c r="AH390" s="108">
        <f t="shared" si="160"/>
        <v>0</v>
      </c>
      <c r="AI390" s="108">
        <f t="shared" si="161"/>
        <v>0</v>
      </c>
      <c r="AJ390" s="108">
        <f t="shared" si="162"/>
        <v>0</v>
      </c>
      <c r="AK390" s="108">
        <f t="shared" si="163"/>
        <v>0</v>
      </c>
      <c r="AL390" s="108">
        <f t="shared" si="164"/>
        <v>0</v>
      </c>
      <c r="AM390" s="108">
        <f t="shared" si="165"/>
        <v>0</v>
      </c>
      <c r="AQ390" s="104" t="str">
        <f>$V$89</f>
        <v>-</v>
      </c>
      <c r="AR390" s="54">
        <v>0</v>
      </c>
      <c r="AS390" s="54">
        <v>0</v>
      </c>
      <c r="AT390" s="54">
        <v>0</v>
      </c>
      <c r="AU390" s="54">
        <v>0</v>
      </c>
      <c r="AV390" s="54">
        <v>0</v>
      </c>
      <c r="AW390" s="54">
        <v>0</v>
      </c>
      <c r="AX390" s="54">
        <v>0</v>
      </c>
      <c r="AY390" s="54">
        <v>0</v>
      </c>
      <c r="AZ390" s="54">
        <v>0</v>
      </c>
      <c r="BA390" s="54">
        <v>0</v>
      </c>
      <c r="BB390" s="54">
        <v>0</v>
      </c>
      <c r="BC390" s="54">
        <v>0</v>
      </c>
      <c r="BD390" s="54">
        <v>0</v>
      </c>
      <c r="BE390" s="54">
        <v>0</v>
      </c>
      <c r="BF390" s="54">
        <v>0</v>
      </c>
      <c r="BG390" s="54">
        <v>0</v>
      </c>
      <c r="BH390" s="54">
        <v>0</v>
      </c>
      <c r="BK390" s="104" t="str">
        <f>$V$58</f>
        <v>Weixin</v>
      </c>
      <c r="BL390" s="108">
        <v>0</v>
      </c>
      <c r="BM390" s="108">
        <v>0</v>
      </c>
      <c r="BN390" s="108">
        <v>0</v>
      </c>
      <c r="BO390" s="108">
        <v>0</v>
      </c>
      <c r="BP390" s="108">
        <v>0</v>
      </c>
      <c r="BQ390" s="108">
        <v>0</v>
      </c>
      <c r="BR390" s="108">
        <v>0</v>
      </c>
      <c r="BS390" s="108">
        <v>0</v>
      </c>
      <c r="BT390" s="108">
        <v>0</v>
      </c>
      <c r="BU390" s="108">
        <v>0</v>
      </c>
      <c r="BV390" s="108">
        <v>0</v>
      </c>
      <c r="BW390" s="108">
        <v>0</v>
      </c>
      <c r="BX390" s="108">
        <v>0</v>
      </c>
      <c r="BY390" s="108">
        <v>0</v>
      </c>
      <c r="BZ390" s="108">
        <v>0</v>
      </c>
      <c r="CA390" s="108">
        <v>0</v>
      </c>
      <c r="CB390" s="108">
        <v>0</v>
      </c>
    </row>
    <row r="391" spans="2:80" x14ac:dyDescent="0.55000000000000004">
      <c r="B391" s="104" t="str">
        <f>$V$85</f>
        <v>-</v>
      </c>
      <c r="C391" s="108">
        <v>0</v>
      </c>
      <c r="D391" s="108">
        <v>0</v>
      </c>
      <c r="E391" s="108">
        <v>0</v>
      </c>
      <c r="F391" s="108">
        <v>0</v>
      </c>
      <c r="G391" s="108">
        <v>0</v>
      </c>
      <c r="H391" s="108">
        <v>0</v>
      </c>
      <c r="I391" s="108">
        <v>0</v>
      </c>
      <c r="J391" s="108">
        <v>0</v>
      </c>
      <c r="K391" s="108">
        <v>0</v>
      </c>
      <c r="L391" s="108">
        <v>0</v>
      </c>
      <c r="M391" s="108">
        <v>0</v>
      </c>
      <c r="N391" s="108">
        <v>0</v>
      </c>
      <c r="O391" s="108">
        <v>0</v>
      </c>
      <c r="P391" s="108">
        <v>0</v>
      </c>
      <c r="Q391" s="108">
        <v>0</v>
      </c>
      <c r="R391" s="108">
        <v>0</v>
      </c>
      <c r="S391" s="108">
        <v>0</v>
      </c>
      <c r="T391" s="28" t="s">
        <v>26</v>
      </c>
      <c r="V391" s="104" t="str">
        <f>$V$85</f>
        <v>-</v>
      </c>
      <c r="W391" s="108">
        <f t="shared" si="149"/>
        <v>0</v>
      </c>
      <c r="X391" s="108">
        <f t="shared" si="150"/>
        <v>0</v>
      </c>
      <c r="Y391" s="108">
        <f t="shared" si="151"/>
        <v>0</v>
      </c>
      <c r="Z391" s="108">
        <f t="shared" si="152"/>
        <v>0</v>
      </c>
      <c r="AA391" s="108">
        <f t="shared" si="153"/>
        <v>0</v>
      </c>
      <c r="AB391" s="108">
        <f t="shared" si="154"/>
        <v>0</v>
      </c>
      <c r="AC391" s="108">
        <f t="shared" si="155"/>
        <v>0</v>
      </c>
      <c r="AD391" s="108">
        <f t="shared" si="156"/>
        <v>0</v>
      </c>
      <c r="AE391" s="108">
        <f t="shared" si="157"/>
        <v>0</v>
      </c>
      <c r="AF391" s="108">
        <f t="shared" si="158"/>
        <v>0</v>
      </c>
      <c r="AG391" s="108">
        <f t="shared" si="159"/>
        <v>0</v>
      </c>
      <c r="AH391" s="108">
        <f t="shared" si="160"/>
        <v>0</v>
      </c>
      <c r="AI391" s="108">
        <f t="shared" si="161"/>
        <v>0</v>
      </c>
      <c r="AJ391" s="108">
        <f t="shared" si="162"/>
        <v>0</v>
      </c>
      <c r="AK391" s="108">
        <f t="shared" si="163"/>
        <v>0</v>
      </c>
      <c r="AL391" s="108">
        <f t="shared" si="164"/>
        <v>0</v>
      </c>
      <c r="AM391" s="108">
        <f t="shared" si="165"/>
        <v>0</v>
      </c>
      <c r="AQ391" s="104" t="str">
        <f>$V$90</f>
        <v>-</v>
      </c>
      <c r="AR391" s="54">
        <v>0</v>
      </c>
      <c r="AS391" s="54">
        <v>0</v>
      </c>
      <c r="AT391" s="54">
        <v>0</v>
      </c>
      <c r="AU391" s="54">
        <v>0</v>
      </c>
      <c r="AV391" s="54">
        <v>0</v>
      </c>
      <c r="AW391" s="54">
        <v>0</v>
      </c>
      <c r="AX391" s="54">
        <v>0</v>
      </c>
      <c r="AY391" s="54">
        <v>0</v>
      </c>
      <c r="AZ391" s="54">
        <v>0</v>
      </c>
      <c r="BA391" s="54">
        <v>0</v>
      </c>
      <c r="BB391" s="54">
        <v>0</v>
      </c>
      <c r="BC391" s="54">
        <v>0</v>
      </c>
      <c r="BD391" s="54">
        <v>0</v>
      </c>
      <c r="BE391" s="54">
        <v>0</v>
      </c>
      <c r="BF391" s="54">
        <v>0</v>
      </c>
      <c r="BG391" s="54">
        <v>0</v>
      </c>
      <c r="BH391" s="54">
        <v>0</v>
      </c>
      <c r="BK391" s="104" t="str">
        <f>$V$59</f>
        <v>Benjamin</v>
      </c>
      <c r="BL391" s="108">
        <v>0</v>
      </c>
      <c r="BM391" s="108">
        <v>0</v>
      </c>
      <c r="BN391" s="108">
        <v>0</v>
      </c>
      <c r="BO391" s="108">
        <v>0</v>
      </c>
      <c r="BP391" s="108">
        <v>0</v>
      </c>
      <c r="BQ391" s="108">
        <v>0</v>
      </c>
      <c r="BR391" s="108">
        <v>0</v>
      </c>
      <c r="BS391" s="108">
        <v>0</v>
      </c>
      <c r="BT391" s="108">
        <v>0</v>
      </c>
      <c r="BU391" s="108">
        <v>0</v>
      </c>
      <c r="BV391" s="108">
        <v>0</v>
      </c>
      <c r="BW391" s="108">
        <v>0</v>
      </c>
      <c r="BX391" s="108">
        <v>0</v>
      </c>
      <c r="BY391" s="108">
        <v>0</v>
      </c>
      <c r="BZ391" s="108">
        <v>0</v>
      </c>
      <c r="CA391" s="108">
        <v>0</v>
      </c>
      <c r="CB391" s="108">
        <v>0</v>
      </c>
    </row>
    <row r="392" spans="2:80" x14ac:dyDescent="0.55000000000000004">
      <c r="B392" s="104" t="str">
        <f>$V$86</f>
        <v>-</v>
      </c>
      <c r="C392" s="108">
        <v>0</v>
      </c>
      <c r="D392" s="108">
        <v>0</v>
      </c>
      <c r="E392" s="108">
        <v>0</v>
      </c>
      <c r="F392" s="108">
        <v>0</v>
      </c>
      <c r="G392" s="108">
        <v>0</v>
      </c>
      <c r="H392" s="108">
        <v>0</v>
      </c>
      <c r="I392" s="108">
        <v>0</v>
      </c>
      <c r="J392" s="108">
        <v>0</v>
      </c>
      <c r="K392" s="108">
        <v>0</v>
      </c>
      <c r="L392" s="108">
        <v>0</v>
      </c>
      <c r="M392" s="108">
        <v>0</v>
      </c>
      <c r="N392" s="108">
        <v>0</v>
      </c>
      <c r="O392" s="108">
        <v>0</v>
      </c>
      <c r="P392" s="108">
        <v>0</v>
      </c>
      <c r="Q392" s="108">
        <v>0</v>
      </c>
      <c r="R392" s="108">
        <v>0</v>
      </c>
      <c r="S392" s="108">
        <v>0</v>
      </c>
      <c r="T392" s="28" t="s">
        <v>26</v>
      </c>
      <c r="V392" s="104" t="str">
        <f>$V$86</f>
        <v>-</v>
      </c>
      <c r="W392" s="108">
        <f t="shared" si="149"/>
        <v>0</v>
      </c>
      <c r="X392" s="108">
        <f t="shared" si="150"/>
        <v>0</v>
      </c>
      <c r="Y392" s="108">
        <f t="shared" si="151"/>
        <v>0</v>
      </c>
      <c r="Z392" s="108">
        <f t="shared" si="152"/>
        <v>0</v>
      </c>
      <c r="AA392" s="108">
        <f t="shared" si="153"/>
        <v>0</v>
      </c>
      <c r="AB392" s="108">
        <f t="shared" si="154"/>
        <v>0</v>
      </c>
      <c r="AC392" s="108">
        <f t="shared" si="155"/>
        <v>0</v>
      </c>
      <c r="AD392" s="108">
        <f t="shared" si="156"/>
        <v>0</v>
      </c>
      <c r="AE392" s="108">
        <f t="shared" si="157"/>
        <v>0</v>
      </c>
      <c r="AF392" s="108">
        <f t="shared" si="158"/>
        <v>0</v>
      </c>
      <c r="AG392" s="108">
        <f t="shared" si="159"/>
        <v>0</v>
      </c>
      <c r="AH392" s="108">
        <f t="shared" si="160"/>
        <v>0</v>
      </c>
      <c r="AI392" s="108">
        <f t="shared" si="161"/>
        <v>0</v>
      </c>
      <c r="AJ392" s="108">
        <f t="shared" si="162"/>
        <v>0</v>
      </c>
      <c r="AK392" s="108">
        <f t="shared" si="163"/>
        <v>0</v>
      </c>
      <c r="AL392" s="108">
        <f t="shared" si="164"/>
        <v>0</v>
      </c>
      <c r="AM392" s="108">
        <f t="shared" si="165"/>
        <v>0</v>
      </c>
      <c r="AQ392" s="104" t="str">
        <f>$V$91</f>
        <v>-</v>
      </c>
      <c r="AR392" s="54">
        <v>0</v>
      </c>
      <c r="AS392" s="54">
        <v>0</v>
      </c>
      <c r="AT392" s="54">
        <v>0</v>
      </c>
      <c r="AU392" s="54">
        <v>0</v>
      </c>
      <c r="AV392" s="54">
        <v>0</v>
      </c>
      <c r="AW392" s="54">
        <v>0</v>
      </c>
      <c r="AX392" s="54">
        <v>0</v>
      </c>
      <c r="AY392" s="54">
        <v>0</v>
      </c>
      <c r="AZ392" s="54">
        <v>0</v>
      </c>
      <c r="BA392" s="54">
        <v>0</v>
      </c>
      <c r="BB392" s="54">
        <v>0</v>
      </c>
      <c r="BC392" s="54">
        <v>0</v>
      </c>
      <c r="BD392" s="54">
        <v>0</v>
      </c>
      <c r="BE392" s="54">
        <v>0</v>
      </c>
      <c r="BF392" s="54">
        <v>0</v>
      </c>
      <c r="BG392" s="54">
        <v>0</v>
      </c>
      <c r="BH392" s="54">
        <v>0</v>
      </c>
      <c r="BK392" s="104" t="str">
        <f>$V$60</f>
        <v>Joelle</v>
      </c>
      <c r="BL392" s="108">
        <v>0</v>
      </c>
      <c r="BM392" s="108">
        <v>0</v>
      </c>
      <c r="BN392" s="108">
        <v>0</v>
      </c>
      <c r="BO392" s="108">
        <v>0</v>
      </c>
      <c r="BP392" s="108">
        <v>0</v>
      </c>
      <c r="BQ392" s="108">
        <v>0</v>
      </c>
      <c r="BR392" s="108">
        <v>0</v>
      </c>
      <c r="BS392" s="108">
        <v>0</v>
      </c>
      <c r="BT392" s="108">
        <v>0</v>
      </c>
      <c r="BU392" s="108">
        <v>0</v>
      </c>
      <c r="BV392" s="108">
        <v>0</v>
      </c>
      <c r="BW392" s="108">
        <v>0</v>
      </c>
      <c r="BX392" s="108">
        <v>0</v>
      </c>
      <c r="BY392" s="108">
        <v>0</v>
      </c>
      <c r="BZ392" s="108">
        <v>0</v>
      </c>
      <c r="CA392" s="108">
        <v>0</v>
      </c>
      <c r="CB392" s="108">
        <v>0</v>
      </c>
    </row>
    <row r="393" spans="2:80" x14ac:dyDescent="0.55000000000000004">
      <c r="B393" s="104" t="str">
        <f>$V$87</f>
        <v>-</v>
      </c>
      <c r="C393" s="108">
        <v>0</v>
      </c>
      <c r="D393" s="108">
        <v>0</v>
      </c>
      <c r="E393" s="108">
        <v>0</v>
      </c>
      <c r="F393" s="108">
        <v>0</v>
      </c>
      <c r="G393" s="108">
        <v>0</v>
      </c>
      <c r="H393" s="108">
        <v>0</v>
      </c>
      <c r="I393" s="108">
        <v>0</v>
      </c>
      <c r="J393" s="108">
        <v>0</v>
      </c>
      <c r="K393" s="108">
        <v>0</v>
      </c>
      <c r="L393" s="108">
        <v>0</v>
      </c>
      <c r="M393" s="108">
        <v>0</v>
      </c>
      <c r="N393" s="108">
        <v>0</v>
      </c>
      <c r="O393" s="108">
        <v>0</v>
      </c>
      <c r="P393" s="108">
        <v>0</v>
      </c>
      <c r="Q393" s="108">
        <v>0</v>
      </c>
      <c r="R393" s="108">
        <v>0</v>
      </c>
      <c r="S393" s="108">
        <v>0</v>
      </c>
      <c r="T393" s="28" t="s">
        <v>26</v>
      </c>
      <c r="V393" s="104" t="str">
        <f>$V$87</f>
        <v>-</v>
      </c>
      <c r="W393" s="108">
        <f t="shared" si="149"/>
        <v>0</v>
      </c>
      <c r="X393" s="108">
        <f t="shared" si="150"/>
        <v>0</v>
      </c>
      <c r="Y393" s="108">
        <f t="shared" si="151"/>
        <v>0</v>
      </c>
      <c r="Z393" s="108">
        <f t="shared" si="152"/>
        <v>0</v>
      </c>
      <c r="AA393" s="108">
        <f t="shared" si="153"/>
        <v>0</v>
      </c>
      <c r="AB393" s="108">
        <f t="shared" si="154"/>
        <v>0</v>
      </c>
      <c r="AC393" s="108">
        <f t="shared" si="155"/>
        <v>0</v>
      </c>
      <c r="AD393" s="108">
        <f t="shared" si="156"/>
        <v>0</v>
      </c>
      <c r="AE393" s="108">
        <f t="shared" si="157"/>
        <v>0</v>
      </c>
      <c r="AF393" s="108">
        <f t="shared" si="158"/>
        <v>0</v>
      </c>
      <c r="AG393" s="108">
        <f t="shared" si="159"/>
        <v>0</v>
      </c>
      <c r="AH393" s="108">
        <f t="shared" si="160"/>
        <v>0</v>
      </c>
      <c r="AI393" s="108">
        <f t="shared" si="161"/>
        <v>0</v>
      </c>
      <c r="AJ393" s="108">
        <f t="shared" si="162"/>
        <v>0</v>
      </c>
      <c r="AK393" s="108">
        <f t="shared" si="163"/>
        <v>0</v>
      </c>
      <c r="AL393" s="108">
        <f t="shared" si="164"/>
        <v>0</v>
      </c>
      <c r="AM393" s="108">
        <f t="shared" si="165"/>
        <v>0</v>
      </c>
      <c r="AQ393" s="104" t="str">
        <f>$V$92</f>
        <v>-</v>
      </c>
      <c r="AR393" s="54">
        <v>0</v>
      </c>
      <c r="AS393" s="54">
        <v>0</v>
      </c>
      <c r="AT393" s="54">
        <v>0</v>
      </c>
      <c r="AU393" s="54">
        <v>0</v>
      </c>
      <c r="AV393" s="54">
        <v>0</v>
      </c>
      <c r="AW393" s="54">
        <v>0</v>
      </c>
      <c r="AX393" s="54">
        <v>0</v>
      </c>
      <c r="AY393" s="54">
        <v>0</v>
      </c>
      <c r="AZ393" s="54">
        <v>0</v>
      </c>
      <c r="BA393" s="54">
        <v>0</v>
      </c>
      <c r="BB393" s="54">
        <v>0</v>
      </c>
      <c r="BC393" s="54">
        <v>0</v>
      </c>
      <c r="BD393" s="54">
        <v>0</v>
      </c>
      <c r="BE393" s="54">
        <v>0</v>
      </c>
      <c r="BF393" s="54">
        <v>0</v>
      </c>
      <c r="BG393" s="54">
        <v>0</v>
      </c>
      <c r="BH393" s="54">
        <v>0</v>
      </c>
      <c r="BK393" s="104" t="str">
        <f>$V$61</f>
        <v>Alexia</v>
      </c>
      <c r="BL393" s="108">
        <v>0</v>
      </c>
      <c r="BM393" s="108">
        <v>0</v>
      </c>
      <c r="BN393" s="108">
        <v>0</v>
      </c>
      <c r="BO393" s="108">
        <v>0</v>
      </c>
      <c r="BP393" s="108">
        <v>0</v>
      </c>
      <c r="BQ393" s="108">
        <v>0</v>
      </c>
      <c r="BR393" s="108">
        <v>0</v>
      </c>
      <c r="BS393" s="108">
        <v>0</v>
      </c>
      <c r="BT393" s="108">
        <v>0</v>
      </c>
      <c r="BU393" s="108">
        <v>0</v>
      </c>
      <c r="BV393" s="108">
        <v>0</v>
      </c>
      <c r="BW393" s="108">
        <v>0</v>
      </c>
      <c r="BX393" s="108">
        <v>0</v>
      </c>
      <c r="BY393" s="108">
        <v>0</v>
      </c>
      <c r="BZ393" s="108">
        <v>0</v>
      </c>
      <c r="CA393" s="108">
        <v>0</v>
      </c>
      <c r="CB393" s="108">
        <v>0</v>
      </c>
    </row>
    <row r="394" spans="2:80" x14ac:dyDescent="0.55000000000000004">
      <c r="B394" s="104" t="str">
        <f>$V$88</f>
        <v>-</v>
      </c>
      <c r="C394" s="108">
        <v>0</v>
      </c>
      <c r="D394" s="108">
        <v>0</v>
      </c>
      <c r="E394" s="108">
        <v>0</v>
      </c>
      <c r="F394" s="108">
        <v>0</v>
      </c>
      <c r="G394" s="108">
        <v>0</v>
      </c>
      <c r="H394" s="108">
        <v>0</v>
      </c>
      <c r="I394" s="108">
        <v>0</v>
      </c>
      <c r="J394" s="108">
        <v>0</v>
      </c>
      <c r="K394" s="108">
        <v>0</v>
      </c>
      <c r="L394" s="108">
        <v>0</v>
      </c>
      <c r="M394" s="108">
        <v>0</v>
      </c>
      <c r="N394" s="108">
        <v>0</v>
      </c>
      <c r="O394" s="108">
        <v>0</v>
      </c>
      <c r="P394" s="108">
        <v>0</v>
      </c>
      <c r="Q394" s="108">
        <v>0</v>
      </c>
      <c r="R394" s="108">
        <v>0</v>
      </c>
      <c r="S394" s="108">
        <v>0</v>
      </c>
      <c r="T394" s="28" t="s">
        <v>26</v>
      </c>
      <c r="V394" s="104" t="str">
        <f>$V$88</f>
        <v>-</v>
      </c>
      <c r="W394" s="108">
        <f t="shared" si="149"/>
        <v>0</v>
      </c>
      <c r="X394" s="108">
        <f t="shared" si="150"/>
        <v>0</v>
      </c>
      <c r="Y394" s="108">
        <f t="shared" si="151"/>
        <v>0</v>
      </c>
      <c r="Z394" s="108">
        <f t="shared" si="152"/>
        <v>0</v>
      </c>
      <c r="AA394" s="108">
        <f t="shared" si="153"/>
        <v>0</v>
      </c>
      <c r="AB394" s="108">
        <f t="shared" si="154"/>
        <v>0</v>
      </c>
      <c r="AC394" s="108">
        <f t="shared" si="155"/>
        <v>0</v>
      </c>
      <c r="AD394" s="108">
        <f t="shared" si="156"/>
        <v>0</v>
      </c>
      <c r="AE394" s="108">
        <f t="shared" si="157"/>
        <v>0</v>
      </c>
      <c r="AF394" s="108">
        <f t="shared" si="158"/>
        <v>0</v>
      </c>
      <c r="AG394" s="108">
        <f t="shared" si="159"/>
        <v>0</v>
      </c>
      <c r="AH394" s="108">
        <f t="shared" si="160"/>
        <v>0</v>
      </c>
      <c r="AI394" s="108">
        <f t="shared" si="161"/>
        <v>0</v>
      </c>
      <c r="AJ394" s="108">
        <f t="shared" si="162"/>
        <v>0</v>
      </c>
      <c r="AK394" s="108">
        <f t="shared" si="163"/>
        <v>0</v>
      </c>
      <c r="AL394" s="108">
        <f t="shared" si="164"/>
        <v>0</v>
      </c>
      <c r="AM394" s="108">
        <f t="shared" si="165"/>
        <v>0</v>
      </c>
      <c r="AP394" t="str">
        <f>$V$43</f>
        <v>Tidying</v>
      </c>
      <c r="AQ394" s="104" t="str">
        <f>$V$53</f>
        <v>Jennifer</v>
      </c>
      <c r="AR394" s="54">
        <v>0</v>
      </c>
      <c r="AS394" s="54">
        <v>0</v>
      </c>
      <c r="AT394" s="54">
        <v>0</v>
      </c>
      <c r="AU394" s="54">
        <v>0</v>
      </c>
      <c r="AV394" s="54">
        <v>0</v>
      </c>
      <c r="AW394" s="54">
        <v>0</v>
      </c>
      <c r="AX394" s="54">
        <v>0</v>
      </c>
      <c r="AY394" s="54">
        <v>0</v>
      </c>
      <c r="AZ394" s="54">
        <v>0</v>
      </c>
      <c r="BA394" s="54">
        <v>0</v>
      </c>
      <c r="BB394" s="54">
        <v>0</v>
      </c>
      <c r="BC394" s="54">
        <v>0</v>
      </c>
      <c r="BD394" s="54">
        <v>0</v>
      </c>
      <c r="BE394" s="54">
        <v>0</v>
      </c>
      <c r="BF394" s="54">
        <v>0</v>
      </c>
      <c r="BG394" s="54">
        <v>0</v>
      </c>
      <c r="BH394" s="54">
        <v>0</v>
      </c>
      <c r="BK394" s="104" t="str">
        <f>$V$62</f>
        <v>Joao</v>
      </c>
      <c r="BL394" s="108">
        <v>0</v>
      </c>
      <c r="BM394" s="108">
        <v>0</v>
      </c>
      <c r="BN394" s="108">
        <v>0</v>
      </c>
      <c r="BO394" s="108">
        <v>0</v>
      </c>
      <c r="BP394" s="108">
        <v>0</v>
      </c>
      <c r="BQ394" s="108">
        <v>0</v>
      </c>
      <c r="BR394" s="108">
        <v>0</v>
      </c>
      <c r="BS394" s="108">
        <v>0</v>
      </c>
      <c r="BT394" s="108">
        <v>0</v>
      </c>
      <c r="BU394" s="108">
        <v>0</v>
      </c>
      <c r="BV394" s="108">
        <v>0</v>
      </c>
      <c r="BW394" s="108">
        <v>0</v>
      </c>
      <c r="BX394" s="108">
        <v>0</v>
      </c>
      <c r="BY394" s="108">
        <v>0</v>
      </c>
      <c r="BZ394" s="108">
        <v>0</v>
      </c>
      <c r="CA394" s="108">
        <v>0</v>
      </c>
      <c r="CB394" s="108">
        <v>0</v>
      </c>
    </row>
    <row r="395" spans="2:80" x14ac:dyDescent="0.55000000000000004">
      <c r="B395" s="104" t="str">
        <f>$V$89</f>
        <v>-</v>
      </c>
      <c r="C395" s="108">
        <v>0</v>
      </c>
      <c r="D395" s="108">
        <v>0</v>
      </c>
      <c r="E395" s="108">
        <v>0</v>
      </c>
      <c r="F395" s="108">
        <v>0</v>
      </c>
      <c r="G395" s="108">
        <v>0</v>
      </c>
      <c r="H395" s="108">
        <v>0</v>
      </c>
      <c r="I395" s="108">
        <v>0</v>
      </c>
      <c r="J395" s="108">
        <v>0</v>
      </c>
      <c r="K395" s="108">
        <v>0</v>
      </c>
      <c r="L395" s="108">
        <v>0</v>
      </c>
      <c r="M395" s="108">
        <v>0</v>
      </c>
      <c r="N395" s="108">
        <v>0</v>
      </c>
      <c r="O395" s="108">
        <v>0</v>
      </c>
      <c r="P395" s="108">
        <v>0</v>
      </c>
      <c r="Q395" s="108">
        <v>0</v>
      </c>
      <c r="R395" s="108">
        <v>0</v>
      </c>
      <c r="S395" s="108">
        <v>0</v>
      </c>
      <c r="T395" s="28" t="s">
        <v>26</v>
      </c>
      <c r="V395" s="104" t="str">
        <f>$V$89</f>
        <v>-</v>
      </c>
      <c r="W395" s="108">
        <f t="shared" si="149"/>
        <v>0</v>
      </c>
      <c r="X395" s="108">
        <f t="shared" si="150"/>
        <v>0</v>
      </c>
      <c r="Y395" s="108">
        <f t="shared" si="151"/>
        <v>0</v>
      </c>
      <c r="Z395" s="108">
        <f t="shared" si="152"/>
        <v>0</v>
      </c>
      <c r="AA395" s="108">
        <f t="shared" si="153"/>
        <v>0</v>
      </c>
      <c r="AB395" s="108">
        <f t="shared" si="154"/>
        <v>0</v>
      </c>
      <c r="AC395" s="108">
        <f t="shared" si="155"/>
        <v>0</v>
      </c>
      <c r="AD395" s="108">
        <f t="shared" si="156"/>
        <v>0</v>
      </c>
      <c r="AE395" s="108">
        <f t="shared" si="157"/>
        <v>0</v>
      </c>
      <c r="AF395" s="108">
        <f t="shared" si="158"/>
        <v>0</v>
      </c>
      <c r="AG395" s="108">
        <f t="shared" si="159"/>
        <v>0</v>
      </c>
      <c r="AH395" s="108">
        <f t="shared" si="160"/>
        <v>0</v>
      </c>
      <c r="AI395" s="108">
        <f t="shared" si="161"/>
        <v>0</v>
      </c>
      <c r="AJ395" s="108">
        <f t="shared" si="162"/>
        <v>0</v>
      </c>
      <c r="AK395" s="108">
        <f t="shared" si="163"/>
        <v>0</v>
      </c>
      <c r="AL395" s="108">
        <f t="shared" si="164"/>
        <v>0</v>
      </c>
      <c r="AM395" s="108">
        <f t="shared" si="165"/>
        <v>0</v>
      </c>
      <c r="AQ395" s="104" t="str">
        <f>$V$54</f>
        <v>Galileo</v>
      </c>
      <c r="AR395" s="54">
        <v>0</v>
      </c>
      <c r="AS395" s="54">
        <v>0</v>
      </c>
      <c r="AT395" s="54">
        <v>0</v>
      </c>
      <c r="AU395" s="54">
        <v>0</v>
      </c>
      <c r="AV395" s="54">
        <v>0</v>
      </c>
      <c r="AW395" s="54">
        <v>0</v>
      </c>
      <c r="AX395" s="54">
        <v>0</v>
      </c>
      <c r="AY395" s="54">
        <v>0</v>
      </c>
      <c r="AZ395" s="54">
        <v>0</v>
      </c>
      <c r="BA395" s="54">
        <v>0</v>
      </c>
      <c r="BB395" s="54">
        <v>0</v>
      </c>
      <c r="BC395" s="54">
        <v>0</v>
      </c>
      <c r="BD395" s="54">
        <v>0</v>
      </c>
      <c r="BE395" s="54">
        <v>0</v>
      </c>
      <c r="BF395" s="54">
        <v>0</v>
      </c>
      <c r="BG395" s="54">
        <v>0</v>
      </c>
      <c r="BH395" s="54">
        <v>0</v>
      </c>
      <c r="BK395" s="104" t="str">
        <f>$V$63</f>
        <v>Maxime</v>
      </c>
      <c r="BL395" s="108">
        <v>0</v>
      </c>
      <c r="BM395" s="108">
        <v>0</v>
      </c>
      <c r="BN395" s="108">
        <v>0</v>
      </c>
      <c r="BO395" s="108">
        <v>0</v>
      </c>
      <c r="BP395" s="108">
        <v>0</v>
      </c>
      <c r="BQ395" s="108">
        <v>0</v>
      </c>
      <c r="BR395" s="108">
        <v>0</v>
      </c>
      <c r="BS395" s="108">
        <v>0</v>
      </c>
      <c r="BT395" s="108">
        <v>0</v>
      </c>
      <c r="BU395" s="108">
        <v>0</v>
      </c>
      <c r="BV395" s="108">
        <v>0</v>
      </c>
      <c r="BW395" s="108">
        <v>0</v>
      </c>
      <c r="BX395" s="108">
        <v>0</v>
      </c>
      <c r="BY395" s="108">
        <v>0</v>
      </c>
      <c r="BZ395" s="108">
        <v>0</v>
      </c>
      <c r="CA395" s="108">
        <v>0</v>
      </c>
      <c r="CB395" s="108">
        <v>0</v>
      </c>
    </row>
    <row r="396" spans="2:80" x14ac:dyDescent="0.55000000000000004">
      <c r="B396" s="104" t="str">
        <f>$V$90</f>
        <v>-</v>
      </c>
      <c r="C396" s="108">
        <v>0</v>
      </c>
      <c r="D396" s="108">
        <v>0</v>
      </c>
      <c r="E396" s="108">
        <v>0</v>
      </c>
      <c r="F396" s="108">
        <v>0</v>
      </c>
      <c r="G396" s="108">
        <v>0</v>
      </c>
      <c r="H396" s="108">
        <v>0</v>
      </c>
      <c r="I396" s="108">
        <v>0</v>
      </c>
      <c r="J396" s="108">
        <v>0</v>
      </c>
      <c r="K396" s="108">
        <v>0</v>
      </c>
      <c r="L396" s="108">
        <v>0</v>
      </c>
      <c r="M396" s="108">
        <v>0</v>
      </c>
      <c r="N396" s="108">
        <v>0</v>
      </c>
      <c r="O396" s="108">
        <v>0</v>
      </c>
      <c r="P396" s="108">
        <v>0</v>
      </c>
      <c r="Q396" s="108">
        <v>0</v>
      </c>
      <c r="R396" s="108">
        <v>0</v>
      </c>
      <c r="S396" s="108">
        <v>0</v>
      </c>
      <c r="T396" s="28" t="s">
        <v>26</v>
      </c>
      <c r="V396" s="104" t="str">
        <f>$V$90</f>
        <v>-</v>
      </c>
      <c r="W396" s="108">
        <f t="shared" si="149"/>
        <v>0</v>
      </c>
      <c r="X396" s="108">
        <f t="shared" si="150"/>
        <v>0</v>
      </c>
      <c r="Y396" s="108">
        <f t="shared" si="151"/>
        <v>0</v>
      </c>
      <c r="Z396" s="108">
        <f t="shared" si="152"/>
        <v>0</v>
      </c>
      <c r="AA396" s="108">
        <f t="shared" si="153"/>
        <v>0</v>
      </c>
      <c r="AB396" s="108">
        <f t="shared" si="154"/>
        <v>0</v>
      </c>
      <c r="AC396" s="108">
        <f t="shared" si="155"/>
        <v>0</v>
      </c>
      <c r="AD396" s="108">
        <f t="shared" si="156"/>
        <v>0</v>
      </c>
      <c r="AE396" s="108">
        <f t="shared" si="157"/>
        <v>0</v>
      </c>
      <c r="AF396" s="108">
        <f t="shared" si="158"/>
        <v>0</v>
      </c>
      <c r="AG396" s="108">
        <f t="shared" si="159"/>
        <v>0</v>
      </c>
      <c r="AH396" s="108">
        <f t="shared" si="160"/>
        <v>0</v>
      </c>
      <c r="AI396" s="108">
        <f t="shared" si="161"/>
        <v>0</v>
      </c>
      <c r="AJ396" s="108">
        <f t="shared" si="162"/>
        <v>0</v>
      </c>
      <c r="AK396" s="108">
        <f t="shared" si="163"/>
        <v>0</v>
      </c>
      <c r="AL396" s="108">
        <f t="shared" si="164"/>
        <v>0</v>
      </c>
      <c r="AM396" s="108">
        <f t="shared" si="165"/>
        <v>0</v>
      </c>
      <c r="AQ396" s="104" t="str">
        <f>$V$55</f>
        <v>Óscar</v>
      </c>
      <c r="AR396" s="54">
        <v>0</v>
      </c>
      <c r="AS396" s="54">
        <v>0</v>
      </c>
      <c r="AT396" s="54">
        <v>0</v>
      </c>
      <c r="AU396" s="54">
        <v>0</v>
      </c>
      <c r="AV396" s="54">
        <v>0</v>
      </c>
      <c r="AW396" s="54">
        <v>0</v>
      </c>
      <c r="AX396" s="54">
        <v>0</v>
      </c>
      <c r="AY396" s="54">
        <v>0</v>
      </c>
      <c r="AZ396" s="54">
        <v>0</v>
      </c>
      <c r="BA396" s="54">
        <v>0</v>
      </c>
      <c r="BB396" s="54">
        <v>0</v>
      </c>
      <c r="BC396" s="54">
        <v>0</v>
      </c>
      <c r="BD396" s="54">
        <v>0</v>
      </c>
      <c r="BE396" s="54">
        <v>0</v>
      </c>
      <c r="BF396" s="54">
        <v>0</v>
      </c>
      <c r="BG396" s="54">
        <v>0</v>
      </c>
      <c r="BH396" s="54">
        <v>0</v>
      </c>
      <c r="BK396" s="104" t="str">
        <f>$V$64</f>
        <v>Alex</v>
      </c>
      <c r="BL396" s="108">
        <v>0</v>
      </c>
      <c r="BM396" s="108">
        <v>0</v>
      </c>
      <c r="BN396" s="108">
        <v>0</v>
      </c>
      <c r="BO396" s="108">
        <v>0</v>
      </c>
      <c r="BP396" s="108">
        <v>0</v>
      </c>
      <c r="BQ396" s="108">
        <v>0</v>
      </c>
      <c r="BR396" s="108">
        <v>0</v>
      </c>
      <c r="BS396" s="108">
        <v>0</v>
      </c>
      <c r="BT396" s="108">
        <v>0</v>
      </c>
      <c r="BU396" s="108">
        <v>0</v>
      </c>
      <c r="BV396" s="108">
        <v>0</v>
      </c>
      <c r="BW396" s="108">
        <v>0</v>
      </c>
      <c r="BX396" s="108">
        <v>0</v>
      </c>
      <c r="BY396" s="108">
        <v>0</v>
      </c>
      <c r="BZ396" s="108">
        <v>0</v>
      </c>
      <c r="CA396" s="108">
        <v>0</v>
      </c>
      <c r="CB396" s="108">
        <v>0</v>
      </c>
    </row>
    <row r="397" spans="2:80" x14ac:dyDescent="0.55000000000000004">
      <c r="B397" s="104" t="str">
        <f>$V$91</f>
        <v>-</v>
      </c>
      <c r="C397" s="108">
        <v>0</v>
      </c>
      <c r="D397" s="108">
        <v>0</v>
      </c>
      <c r="E397" s="108">
        <v>0</v>
      </c>
      <c r="F397" s="108">
        <v>0</v>
      </c>
      <c r="G397" s="108">
        <v>0</v>
      </c>
      <c r="H397" s="108">
        <v>0</v>
      </c>
      <c r="I397" s="108">
        <v>0</v>
      </c>
      <c r="J397" s="108">
        <v>0</v>
      </c>
      <c r="K397" s="108">
        <v>0</v>
      </c>
      <c r="L397" s="108">
        <v>0</v>
      </c>
      <c r="M397" s="108">
        <v>0</v>
      </c>
      <c r="N397" s="108">
        <v>0</v>
      </c>
      <c r="O397" s="108">
        <v>0</v>
      </c>
      <c r="P397" s="108">
        <v>0</v>
      </c>
      <c r="Q397" s="108">
        <v>0</v>
      </c>
      <c r="R397" s="108">
        <v>0</v>
      </c>
      <c r="S397" s="108">
        <v>0</v>
      </c>
      <c r="T397" s="28" t="s">
        <v>26</v>
      </c>
      <c r="V397" s="104" t="str">
        <f>$V$91</f>
        <v>-</v>
      </c>
      <c r="W397" s="108">
        <f t="shared" si="149"/>
        <v>0</v>
      </c>
      <c r="X397" s="108">
        <f t="shared" si="150"/>
        <v>0</v>
      </c>
      <c r="Y397" s="108">
        <f t="shared" si="151"/>
        <v>0</v>
      </c>
      <c r="Z397" s="108">
        <f t="shared" si="152"/>
        <v>0</v>
      </c>
      <c r="AA397" s="108">
        <f t="shared" si="153"/>
        <v>0</v>
      </c>
      <c r="AB397" s="108">
        <f t="shared" si="154"/>
        <v>0</v>
      </c>
      <c r="AC397" s="108">
        <f t="shared" si="155"/>
        <v>0</v>
      </c>
      <c r="AD397" s="108">
        <f t="shared" si="156"/>
        <v>0</v>
      </c>
      <c r="AE397" s="108">
        <f t="shared" si="157"/>
        <v>0</v>
      </c>
      <c r="AF397" s="108">
        <f t="shared" si="158"/>
        <v>0</v>
      </c>
      <c r="AG397" s="108">
        <f t="shared" si="159"/>
        <v>0</v>
      </c>
      <c r="AH397" s="108">
        <f t="shared" si="160"/>
        <v>0</v>
      </c>
      <c r="AI397" s="108">
        <f t="shared" si="161"/>
        <v>0</v>
      </c>
      <c r="AJ397" s="108">
        <f t="shared" si="162"/>
        <v>0</v>
      </c>
      <c r="AK397" s="108">
        <f t="shared" si="163"/>
        <v>0</v>
      </c>
      <c r="AL397" s="108">
        <f t="shared" si="164"/>
        <v>0</v>
      </c>
      <c r="AM397" s="108">
        <f t="shared" si="165"/>
        <v>0</v>
      </c>
      <c r="AQ397" s="104" t="str">
        <f>$V$56</f>
        <v>Sebastián</v>
      </c>
      <c r="AR397" s="54">
        <v>0</v>
      </c>
      <c r="AS397" s="54">
        <v>0</v>
      </c>
      <c r="AT397" s="54">
        <v>0</v>
      </c>
      <c r="AU397" s="54">
        <v>0</v>
      </c>
      <c r="AV397" s="54">
        <v>0</v>
      </c>
      <c r="AW397" s="54">
        <v>0</v>
      </c>
      <c r="AX397" s="54">
        <v>0</v>
      </c>
      <c r="AY397" s="54">
        <v>0</v>
      </c>
      <c r="AZ397" s="54">
        <v>0</v>
      </c>
      <c r="BA397" s="54">
        <v>0</v>
      </c>
      <c r="BB397" s="54">
        <v>0</v>
      </c>
      <c r="BC397" s="54">
        <v>0</v>
      </c>
      <c r="BD397" s="54">
        <v>0</v>
      </c>
      <c r="BE397" s="54">
        <v>0</v>
      </c>
      <c r="BF397" s="54">
        <v>0</v>
      </c>
      <c r="BG397" s="54">
        <v>0</v>
      </c>
      <c r="BH397" s="54">
        <v>0</v>
      </c>
      <c r="BK397" s="104" t="str">
        <f>$V$65</f>
        <v>Alyssa</v>
      </c>
      <c r="BL397" s="108">
        <v>0</v>
      </c>
      <c r="BM397" s="108">
        <v>0</v>
      </c>
      <c r="BN397" s="108">
        <v>0</v>
      </c>
      <c r="BO397" s="108">
        <v>0</v>
      </c>
      <c r="BP397" s="108">
        <v>0</v>
      </c>
      <c r="BQ397" s="108">
        <v>0</v>
      </c>
      <c r="BR397" s="108">
        <v>0</v>
      </c>
      <c r="BS397" s="108">
        <v>0</v>
      </c>
      <c r="BT397" s="108">
        <v>0</v>
      </c>
      <c r="BU397" s="108">
        <v>0</v>
      </c>
      <c r="BV397" s="108">
        <v>0</v>
      </c>
      <c r="BW397" s="108">
        <v>0</v>
      </c>
      <c r="BX397" s="108">
        <v>0</v>
      </c>
      <c r="BY397" s="108">
        <v>0</v>
      </c>
      <c r="BZ397" s="108">
        <v>0</v>
      </c>
      <c r="CA397" s="108">
        <v>0</v>
      </c>
      <c r="CB397" s="108">
        <v>0</v>
      </c>
    </row>
    <row r="398" spans="2:80" x14ac:dyDescent="0.55000000000000004">
      <c r="B398" s="104" t="str">
        <f>$V$92</f>
        <v>-</v>
      </c>
      <c r="C398" s="108">
        <v>0</v>
      </c>
      <c r="D398" s="108">
        <v>0</v>
      </c>
      <c r="E398" s="108">
        <v>0</v>
      </c>
      <c r="F398" s="108">
        <v>0</v>
      </c>
      <c r="G398" s="108">
        <v>0</v>
      </c>
      <c r="H398" s="108">
        <v>0</v>
      </c>
      <c r="I398" s="108">
        <v>0</v>
      </c>
      <c r="J398" s="108">
        <v>0</v>
      </c>
      <c r="K398" s="108">
        <v>0</v>
      </c>
      <c r="L398" s="108">
        <v>0</v>
      </c>
      <c r="M398" s="108">
        <v>0</v>
      </c>
      <c r="N398" s="108">
        <v>0</v>
      </c>
      <c r="O398" s="108">
        <v>0</v>
      </c>
      <c r="P398" s="108">
        <v>0</v>
      </c>
      <c r="Q398" s="108">
        <v>0</v>
      </c>
      <c r="R398" s="108">
        <v>0</v>
      </c>
      <c r="S398" s="108">
        <v>0</v>
      </c>
      <c r="T398" s="28" t="s">
        <v>26</v>
      </c>
      <c r="V398" s="104" t="str">
        <f>$V$92</f>
        <v>-</v>
      </c>
      <c r="W398" s="108">
        <f t="shared" si="149"/>
        <v>0</v>
      </c>
      <c r="X398" s="108">
        <f t="shared" si="150"/>
        <v>0</v>
      </c>
      <c r="Y398" s="108">
        <f t="shared" si="151"/>
        <v>0</v>
      </c>
      <c r="Z398" s="108">
        <f t="shared" si="152"/>
        <v>0</v>
      </c>
      <c r="AA398" s="108">
        <f t="shared" si="153"/>
        <v>0</v>
      </c>
      <c r="AB398" s="108">
        <f t="shared" si="154"/>
        <v>0</v>
      </c>
      <c r="AC398" s="108">
        <f t="shared" si="155"/>
        <v>0</v>
      </c>
      <c r="AD398" s="108">
        <f t="shared" si="156"/>
        <v>0</v>
      </c>
      <c r="AE398" s="108">
        <f t="shared" si="157"/>
        <v>0</v>
      </c>
      <c r="AF398" s="108">
        <f t="shared" si="158"/>
        <v>0</v>
      </c>
      <c r="AG398" s="108">
        <f t="shared" si="159"/>
        <v>0</v>
      </c>
      <c r="AH398" s="108">
        <f t="shared" si="160"/>
        <v>0</v>
      </c>
      <c r="AI398" s="108">
        <f t="shared" si="161"/>
        <v>0</v>
      </c>
      <c r="AJ398" s="108">
        <f t="shared" si="162"/>
        <v>0</v>
      </c>
      <c r="AK398" s="108">
        <f t="shared" si="163"/>
        <v>0</v>
      </c>
      <c r="AL398" s="108">
        <f t="shared" si="164"/>
        <v>0</v>
      </c>
      <c r="AM398" s="108">
        <f t="shared" si="165"/>
        <v>0</v>
      </c>
      <c r="AQ398" s="104" t="str">
        <f>$V$57</f>
        <v>Marcos</v>
      </c>
      <c r="AR398" s="54">
        <v>0</v>
      </c>
      <c r="AS398" s="54">
        <v>0</v>
      </c>
      <c r="AT398" s="54">
        <v>0</v>
      </c>
      <c r="AU398" s="54">
        <v>0</v>
      </c>
      <c r="AV398" s="54">
        <v>0</v>
      </c>
      <c r="AW398" s="54">
        <v>0</v>
      </c>
      <c r="AX398" s="54">
        <v>0</v>
      </c>
      <c r="AY398" s="54">
        <v>0</v>
      </c>
      <c r="AZ398" s="54">
        <v>0</v>
      </c>
      <c r="BA398" s="54">
        <v>0</v>
      </c>
      <c r="BB398" s="54">
        <v>0</v>
      </c>
      <c r="BC398" s="54">
        <v>0</v>
      </c>
      <c r="BD398" s="54">
        <v>0</v>
      </c>
      <c r="BE398" s="54">
        <v>0</v>
      </c>
      <c r="BF398" s="54">
        <v>0</v>
      </c>
      <c r="BG398" s="54">
        <v>0</v>
      </c>
      <c r="BH398" s="54">
        <v>0</v>
      </c>
      <c r="BK398" s="104" t="str">
        <f>$V$66</f>
        <v>Amanda</v>
      </c>
      <c r="BL398" s="108">
        <v>0</v>
      </c>
      <c r="BM398" s="108">
        <v>0</v>
      </c>
      <c r="BN398" s="108">
        <v>0</v>
      </c>
      <c r="BO398" s="108">
        <v>0</v>
      </c>
      <c r="BP398" s="108">
        <v>0</v>
      </c>
      <c r="BQ398" s="108">
        <v>0</v>
      </c>
      <c r="BR398" s="108">
        <v>0</v>
      </c>
      <c r="BS398" s="108">
        <v>0</v>
      </c>
      <c r="BT398" s="108">
        <v>0</v>
      </c>
      <c r="BU398" s="108">
        <v>0</v>
      </c>
      <c r="BV398" s="108">
        <v>0</v>
      </c>
      <c r="BW398" s="108">
        <v>0</v>
      </c>
      <c r="BX398" s="108">
        <v>0</v>
      </c>
      <c r="BY398" s="108">
        <v>0</v>
      </c>
      <c r="BZ398" s="108">
        <v>0</v>
      </c>
      <c r="CA398" s="108">
        <v>0</v>
      </c>
      <c r="CB398" s="108">
        <v>0</v>
      </c>
    </row>
    <row r="399" spans="2:80" x14ac:dyDescent="0.55000000000000004"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Q399" s="104" t="str">
        <f>$V$58</f>
        <v>Weixin</v>
      </c>
      <c r="AR399" s="54">
        <v>0</v>
      </c>
      <c r="AS399" s="54">
        <v>0</v>
      </c>
      <c r="AT399" s="54">
        <v>0</v>
      </c>
      <c r="AU399" s="54">
        <v>0</v>
      </c>
      <c r="AV399" s="54">
        <v>0</v>
      </c>
      <c r="AW399" s="54">
        <v>0</v>
      </c>
      <c r="AX399" s="54">
        <v>0</v>
      </c>
      <c r="AY399" s="54">
        <v>0</v>
      </c>
      <c r="AZ399" s="54">
        <v>0</v>
      </c>
      <c r="BA399" s="54">
        <v>0</v>
      </c>
      <c r="BB399" s="54">
        <v>0</v>
      </c>
      <c r="BC399" s="54">
        <v>0</v>
      </c>
      <c r="BD399" s="54">
        <v>0</v>
      </c>
      <c r="BE399" s="54">
        <v>0</v>
      </c>
      <c r="BF399" s="54">
        <v>0</v>
      </c>
      <c r="BG399" s="54">
        <v>0</v>
      </c>
      <c r="BH399" s="54">
        <v>0</v>
      </c>
      <c r="BK399" s="104" t="str">
        <f>$V$67</f>
        <v>Antoine</v>
      </c>
      <c r="BL399" s="108">
        <v>0</v>
      </c>
      <c r="BM399" s="108">
        <v>0</v>
      </c>
      <c r="BN399" s="108">
        <v>0</v>
      </c>
      <c r="BO399" s="108">
        <v>0</v>
      </c>
      <c r="BP399" s="108">
        <v>0</v>
      </c>
      <c r="BQ399" s="108">
        <v>0</v>
      </c>
      <c r="BR399" s="108">
        <v>0</v>
      </c>
      <c r="BS399" s="108">
        <v>0</v>
      </c>
      <c r="BT399" s="108">
        <v>0</v>
      </c>
      <c r="BU399" s="108">
        <v>0</v>
      </c>
      <c r="BV399" s="108">
        <v>0</v>
      </c>
      <c r="BW399" s="108">
        <v>0</v>
      </c>
      <c r="BX399" s="108">
        <v>0</v>
      </c>
      <c r="BY399" s="108">
        <v>0</v>
      </c>
      <c r="BZ399" s="108">
        <v>0</v>
      </c>
      <c r="CA399" s="108">
        <v>0</v>
      </c>
      <c r="CB399" s="108">
        <v>0</v>
      </c>
    </row>
    <row r="400" spans="2:80" x14ac:dyDescent="0.55000000000000004">
      <c r="AM400" s="108"/>
      <c r="AQ400" s="104" t="str">
        <f>$V$59</f>
        <v>Benjamin</v>
      </c>
      <c r="AR400" s="54">
        <v>0</v>
      </c>
      <c r="AS400" s="54">
        <v>0</v>
      </c>
      <c r="AT400" s="54">
        <v>0</v>
      </c>
      <c r="AU400" s="54">
        <v>0</v>
      </c>
      <c r="AV400" s="54">
        <v>0</v>
      </c>
      <c r="AW400" s="54">
        <v>0</v>
      </c>
      <c r="AX400" s="54">
        <v>0</v>
      </c>
      <c r="AY400" s="54">
        <v>0</v>
      </c>
      <c r="AZ400" s="54">
        <v>0</v>
      </c>
      <c r="BA400" s="54">
        <v>0</v>
      </c>
      <c r="BB400" s="54">
        <v>0</v>
      </c>
      <c r="BC400" s="54">
        <v>0</v>
      </c>
      <c r="BD400" s="54">
        <v>0</v>
      </c>
      <c r="BE400" s="54">
        <v>0</v>
      </c>
      <c r="BF400" s="54">
        <v>0</v>
      </c>
      <c r="BG400" s="54">
        <v>0</v>
      </c>
      <c r="BH400" s="54">
        <v>0</v>
      </c>
      <c r="BK400" s="104" t="str">
        <f>$V$68</f>
        <v>Beatriz</v>
      </c>
      <c r="BL400" s="108">
        <v>0</v>
      </c>
      <c r="BM400" s="108">
        <v>0</v>
      </c>
      <c r="BN400" s="108">
        <v>0</v>
      </c>
      <c r="BO400" s="108">
        <v>0</v>
      </c>
      <c r="BP400" s="108">
        <v>0</v>
      </c>
      <c r="BQ400" s="108">
        <v>0</v>
      </c>
      <c r="BR400" s="108">
        <v>0</v>
      </c>
      <c r="BS400" s="108">
        <v>0</v>
      </c>
      <c r="BT400" s="108">
        <v>0</v>
      </c>
      <c r="BU400" s="108">
        <v>0</v>
      </c>
      <c r="BV400" s="108">
        <v>0</v>
      </c>
      <c r="BW400" s="108">
        <v>0</v>
      </c>
      <c r="BX400" s="108">
        <v>0</v>
      </c>
      <c r="BY400" s="108">
        <v>0</v>
      </c>
      <c r="BZ400" s="108">
        <v>0</v>
      </c>
      <c r="CA400" s="108">
        <v>0</v>
      </c>
      <c r="CB400" s="108">
        <v>0</v>
      </c>
    </row>
    <row r="401" spans="39:80" x14ac:dyDescent="0.55000000000000004">
      <c r="AM401" s="108"/>
      <c r="AQ401" s="104" t="str">
        <f>$V$60</f>
        <v>Joelle</v>
      </c>
      <c r="AR401" s="54">
        <v>0</v>
      </c>
      <c r="AS401" s="54">
        <v>0</v>
      </c>
      <c r="AT401" s="54">
        <v>0</v>
      </c>
      <c r="AU401" s="54">
        <v>0</v>
      </c>
      <c r="AV401" s="54">
        <v>0</v>
      </c>
      <c r="AW401" s="54">
        <v>0</v>
      </c>
      <c r="AX401" s="54">
        <v>0</v>
      </c>
      <c r="AY401" s="54">
        <v>0</v>
      </c>
      <c r="AZ401" s="54">
        <v>0</v>
      </c>
      <c r="BA401" s="54">
        <v>0</v>
      </c>
      <c r="BB401" s="54">
        <v>0</v>
      </c>
      <c r="BC401" s="54">
        <v>0</v>
      </c>
      <c r="BD401" s="54">
        <v>0</v>
      </c>
      <c r="BE401" s="54">
        <v>0</v>
      </c>
      <c r="BF401" s="54">
        <v>0</v>
      </c>
      <c r="BG401" s="54">
        <v>0</v>
      </c>
      <c r="BH401" s="54">
        <v>0</v>
      </c>
      <c r="BK401" s="104" t="str">
        <f>$V$69</f>
        <v>Charelle</v>
      </c>
      <c r="BL401" s="108">
        <v>0</v>
      </c>
      <c r="BM401" s="108">
        <v>0</v>
      </c>
      <c r="BN401" s="108">
        <v>0</v>
      </c>
      <c r="BO401" s="108">
        <v>0</v>
      </c>
      <c r="BP401" s="108">
        <v>0</v>
      </c>
      <c r="BQ401" s="108">
        <v>0</v>
      </c>
      <c r="BR401" s="108">
        <v>0</v>
      </c>
      <c r="BS401" s="108">
        <v>0</v>
      </c>
      <c r="BT401" s="108">
        <v>0</v>
      </c>
      <c r="BU401" s="108">
        <v>0</v>
      </c>
      <c r="BV401" s="108">
        <v>0</v>
      </c>
      <c r="BW401" s="108">
        <v>0</v>
      </c>
      <c r="BX401" s="108">
        <v>0</v>
      </c>
      <c r="BY401" s="108">
        <v>0</v>
      </c>
      <c r="BZ401" s="108">
        <v>0</v>
      </c>
      <c r="CA401" s="108">
        <v>0</v>
      </c>
      <c r="CB401" s="108">
        <v>0</v>
      </c>
    </row>
    <row r="402" spans="39:80" x14ac:dyDescent="0.55000000000000004">
      <c r="AM402" s="108"/>
      <c r="AQ402" s="104" t="str">
        <f>$V$61</f>
        <v>Alexia</v>
      </c>
      <c r="AR402" s="54">
        <v>0</v>
      </c>
      <c r="AS402" s="54">
        <v>0</v>
      </c>
      <c r="AT402" s="54">
        <v>0</v>
      </c>
      <c r="AU402" s="54">
        <v>0</v>
      </c>
      <c r="AV402" s="54">
        <v>0</v>
      </c>
      <c r="AW402" s="54">
        <v>0</v>
      </c>
      <c r="AX402" s="54">
        <v>0</v>
      </c>
      <c r="AY402" s="54">
        <v>0</v>
      </c>
      <c r="AZ402" s="54">
        <v>0</v>
      </c>
      <c r="BA402" s="54">
        <v>0</v>
      </c>
      <c r="BB402" s="54">
        <v>0</v>
      </c>
      <c r="BC402" s="54">
        <v>0</v>
      </c>
      <c r="BD402" s="54">
        <v>0</v>
      </c>
      <c r="BE402" s="54">
        <v>0</v>
      </c>
      <c r="BF402" s="54">
        <v>0</v>
      </c>
      <c r="BG402" s="54">
        <v>0</v>
      </c>
      <c r="BH402" s="54">
        <v>0</v>
      </c>
      <c r="BK402" s="104" t="str">
        <f>$V$70</f>
        <v>Dimitri</v>
      </c>
      <c r="BL402" s="108">
        <v>0</v>
      </c>
      <c r="BM402" s="108">
        <v>0</v>
      </c>
      <c r="BN402" s="108">
        <v>0</v>
      </c>
      <c r="BO402" s="108">
        <v>0</v>
      </c>
      <c r="BP402" s="108">
        <v>0</v>
      </c>
      <c r="BQ402" s="108">
        <v>0</v>
      </c>
      <c r="BR402" s="108">
        <v>0</v>
      </c>
      <c r="BS402" s="108">
        <v>0</v>
      </c>
      <c r="BT402" s="108">
        <v>0</v>
      </c>
      <c r="BU402" s="108">
        <v>0</v>
      </c>
      <c r="BV402" s="108">
        <v>0</v>
      </c>
      <c r="BW402" s="108">
        <v>0</v>
      </c>
      <c r="BX402" s="108">
        <v>0</v>
      </c>
      <c r="BY402" s="108">
        <v>0</v>
      </c>
      <c r="BZ402" s="108">
        <v>0</v>
      </c>
      <c r="CA402" s="108">
        <v>0</v>
      </c>
      <c r="CB402" s="108">
        <v>0</v>
      </c>
    </row>
    <row r="403" spans="39:80" x14ac:dyDescent="0.55000000000000004">
      <c r="AM403" s="108"/>
      <c r="AQ403" s="104" t="str">
        <f>$V$62</f>
        <v>Joao</v>
      </c>
      <c r="AR403" s="54">
        <v>0</v>
      </c>
      <c r="AS403" s="54">
        <v>0</v>
      </c>
      <c r="AT403" s="54">
        <v>0</v>
      </c>
      <c r="AU403" s="54">
        <v>0</v>
      </c>
      <c r="AV403" s="54">
        <v>0</v>
      </c>
      <c r="AW403" s="54">
        <v>0</v>
      </c>
      <c r="AX403" s="54">
        <v>0</v>
      </c>
      <c r="AY403" s="54">
        <v>0</v>
      </c>
      <c r="AZ403" s="54">
        <v>0</v>
      </c>
      <c r="BA403" s="54">
        <v>0</v>
      </c>
      <c r="BB403" s="54">
        <v>0</v>
      </c>
      <c r="BC403" s="54">
        <v>0</v>
      </c>
      <c r="BD403" s="54">
        <v>0</v>
      </c>
      <c r="BE403" s="54">
        <v>0</v>
      </c>
      <c r="BF403" s="54">
        <v>0</v>
      </c>
      <c r="BG403" s="54">
        <v>0</v>
      </c>
      <c r="BH403" s="54">
        <v>0</v>
      </c>
      <c r="BK403" s="104" t="str">
        <f>$V$71</f>
        <v>Marina</v>
      </c>
      <c r="BL403" s="108">
        <v>0</v>
      </c>
      <c r="BM403" s="108">
        <v>0</v>
      </c>
      <c r="BN403" s="108">
        <v>0</v>
      </c>
      <c r="BO403" s="108">
        <v>0</v>
      </c>
      <c r="BP403" s="108">
        <v>0</v>
      </c>
      <c r="BQ403" s="108">
        <v>0</v>
      </c>
      <c r="BR403" s="108">
        <v>0</v>
      </c>
      <c r="BS403" s="108">
        <v>0</v>
      </c>
      <c r="BT403" s="108">
        <v>0</v>
      </c>
      <c r="BU403" s="108">
        <v>0</v>
      </c>
      <c r="BV403" s="108">
        <v>0</v>
      </c>
      <c r="BW403" s="108">
        <v>0</v>
      </c>
      <c r="BX403" s="108">
        <v>0</v>
      </c>
      <c r="BY403" s="108">
        <v>0</v>
      </c>
      <c r="BZ403" s="108">
        <v>0</v>
      </c>
      <c r="CA403" s="108">
        <v>0</v>
      </c>
      <c r="CB403" s="108">
        <v>0</v>
      </c>
    </row>
    <row r="404" spans="39:80" x14ac:dyDescent="0.55000000000000004">
      <c r="AM404" s="108"/>
      <c r="AQ404" s="104" t="str">
        <f>$V$63</f>
        <v>Maxime</v>
      </c>
      <c r="AR404" s="54">
        <v>0</v>
      </c>
      <c r="AS404" s="54">
        <v>0</v>
      </c>
      <c r="AT404" s="54">
        <v>0</v>
      </c>
      <c r="AU404" s="54">
        <v>0</v>
      </c>
      <c r="AV404" s="54">
        <v>0</v>
      </c>
      <c r="AW404" s="54">
        <v>0</v>
      </c>
      <c r="AX404" s="54">
        <v>0</v>
      </c>
      <c r="AY404" s="54">
        <v>0</v>
      </c>
      <c r="AZ404" s="54">
        <v>0</v>
      </c>
      <c r="BA404" s="54">
        <v>0</v>
      </c>
      <c r="BB404" s="54">
        <v>0</v>
      </c>
      <c r="BC404" s="54">
        <v>0</v>
      </c>
      <c r="BD404" s="54">
        <v>0</v>
      </c>
      <c r="BE404" s="54">
        <v>0</v>
      </c>
      <c r="BF404" s="54">
        <v>0</v>
      </c>
      <c r="BG404" s="54">
        <v>0</v>
      </c>
      <c r="BH404" s="54">
        <v>0</v>
      </c>
      <c r="BK404" s="104" t="str">
        <f>$V$72</f>
        <v>Michel</v>
      </c>
      <c r="BL404" s="108">
        <v>0</v>
      </c>
      <c r="BM404" s="108">
        <v>0</v>
      </c>
      <c r="BN404" s="108">
        <v>0</v>
      </c>
      <c r="BO404" s="108">
        <v>0</v>
      </c>
      <c r="BP404" s="108">
        <v>0</v>
      </c>
      <c r="BQ404" s="108">
        <v>0</v>
      </c>
      <c r="BR404" s="108">
        <v>0</v>
      </c>
      <c r="BS404" s="108">
        <v>0</v>
      </c>
      <c r="BT404" s="108">
        <v>0</v>
      </c>
      <c r="BU404" s="108">
        <v>0</v>
      </c>
      <c r="BV404" s="108">
        <v>0</v>
      </c>
      <c r="BW404" s="108">
        <v>0</v>
      </c>
      <c r="BX404" s="108">
        <v>0</v>
      </c>
      <c r="BY404" s="108">
        <v>0</v>
      </c>
      <c r="BZ404" s="108">
        <v>0</v>
      </c>
      <c r="CA404" s="108">
        <v>0</v>
      </c>
      <c r="CB404" s="108">
        <v>0</v>
      </c>
    </row>
    <row r="405" spans="39:80" x14ac:dyDescent="0.55000000000000004">
      <c r="AM405" s="108"/>
      <c r="AQ405" s="104" t="str">
        <f>$V$64</f>
        <v>Alex</v>
      </c>
      <c r="AR405" s="54">
        <v>0</v>
      </c>
      <c r="AS405" s="54">
        <v>0</v>
      </c>
      <c r="AT405" s="54">
        <v>0</v>
      </c>
      <c r="AU405" s="54">
        <v>0</v>
      </c>
      <c r="AV405" s="54">
        <v>0</v>
      </c>
      <c r="AW405" s="54">
        <v>0</v>
      </c>
      <c r="AX405" s="54">
        <v>0</v>
      </c>
      <c r="AY405" s="54">
        <v>0</v>
      </c>
      <c r="AZ405" s="54">
        <v>0</v>
      </c>
      <c r="BA405" s="54">
        <v>0</v>
      </c>
      <c r="BB405" s="54">
        <v>0</v>
      </c>
      <c r="BC405" s="54">
        <v>0</v>
      </c>
      <c r="BD405" s="54">
        <v>0</v>
      </c>
      <c r="BE405" s="54">
        <v>0</v>
      </c>
      <c r="BF405" s="54">
        <v>0</v>
      </c>
      <c r="BG405" s="54">
        <v>0</v>
      </c>
      <c r="BH405" s="54">
        <v>0</v>
      </c>
      <c r="BK405" s="104" t="str">
        <f>$V$73</f>
        <v>Nour</v>
      </c>
      <c r="BL405" s="108">
        <v>0</v>
      </c>
      <c r="BM405" s="108">
        <v>0</v>
      </c>
      <c r="BN405" s="108">
        <v>0</v>
      </c>
      <c r="BO405" s="108">
        <v>0</v>
      </c>
      <c r="BP405" s="108">
        <v>0</v>
      </c>
      <c r="BQ405" s="108">
        <v>0</v>
      </c>
      <c r="BR405" s="108">
        <v>0</v>
      </c>
      <c r="BS405" s="108">
        <v>0</v>
      </c>
      <c r="BT405" s="108">
        <v>0</v>
      </c>
      <c r="BU405" s="108">
        <v>0</v>
      </c>
      <c r="BV405" s="108">
        <v>0</v>
      </c>
      <c r="BW405" s="108">
        <v>0</v>
      </c>
      <c r="BX405" s="108">
        <v>0</v>
      </c>
      <c r="BY405" s="108">
        <v>0</v>
      </c>
      <c r="BZ405" s="108">
        <v>0</v>
      </c>
      <c r="CA405" s="108">
        <v>0</v>
      </c>
      <c r="CB405" s="108">
        <v>0</v>
      </c>
    </row>
    <row r="406" spans="39:80" x14ac:dyDescent="0.55000000000000004">
      <c r="AM406" s="108"/>
      <c r="AQ406" s="104" t="str">
        <f>$V$65</f>
        <v>Alyssa</v>
      </c>
      <c r="AR406" s="54">
        <v>0</v>
      </c>
      <c r="AS406" s="54">
        <v>0</v>
      </c>
      <c r="AT406" s="54">
        <v>0</v>
      </c>
      <c r="AU406" s="54">
        <v>0</v>
      </c>
      <c r="AV406" s="54">
        <v>0</v>
      </c>
      <c r="AW406" s="54">
        <v>0</v>
      </c>
      <c r="AX406" s="54">
        <v>0</v>
      </c>
      <c r="AY406" s="54">
        <v>0</v>
      </c>
      <c r="AZ406" s="54">
        <v>0</v>
      </c>
      <c r="BA406" s="54">
        <v>0</v>
      </c>
      <c r="BB406" s="54">
        <v>0</v>
      </c>
      <c r="BC406" s="54">
        <v>0</v>
      </c>
      <c r="BD406" s="54">
        <v>0</v>
      </c>
      <c r="BE406" s="54">
        <v>0</v>
      </c>
      <c r="BF406" s="54">
        <v>0</v>
      </c>
      <c r="BG406" s="54">
        <v>0</v>
      </c>
      <c r="BH406" s="54">
        <v>0</v>
      </c>
      <c r="BK406" s="104" t="str">
        <f>$V$74</f>
        <v>Samuel</v>
      </c>
      <c r="BL406" s="108">
        <v>0</v>
      </c>
      <c r="BM406" s="108">
        <v>0</v>
      </c>
      <c r="BN406" s="108">
        <v>0</v>
      </c>
      <c r="BO406" s="108">
        <v>0</v>
      </c>
      <c r="BP406" s="108">
        <v>0</v>
      </c>
      <c r="BQ406" s="108">
        <v>0</v>
      </c>
      <c r="BR406" s="108">
        <v>0</v>
      </c>
      <c r="BS406" s="108">
        <v>0</v>
      </c>
      <c r="BT406" s="108">
        <v>0</v>
      </c>
      <c r="BU406" s="108">
        <v>0</v>
      </c>
      <c r="BV406" s="108">
        <v>0</v>
      </c>
      <c r="BW406" s="108">
        <v>0</v>
      </c>
      <c r="BX406" s="108">
        <v>0</v>
      </c>
      <c r="BY406" s="108">
        <v>0</v>
      </c>
      <c r="BZ406" s="108">
        <v>0</v>
      </c>
      <c r="CA406" s="108">
        <v>0</v>
      </c>
      <c r="CB406" s="108">
        <v>0</v>
      </c>
    </row>
    <row r="407" spans="39:80" x14ac:dyDescent="0.55000000000000004">
      <c r="AM407" s="108"/>
      <c r="AQ407" s="104" t="str">
        <f>$V$66</f>
        <v>Amanda</v>
      </c>
      <c r="AR407" s="54">
        <v>0</v>
      </c>
      <c r="AS407" s="54">
        <v>0</v>
      </c>
      <c r="AT407" s="54">
        <v>0</v>
      </c>
      <c r="AU407" s="54">
        <v>0</v>
      </c>
      <c r="AV407" s="54">
        <v>0</v>
      </c>
      <c r="AW407" s="54">
        <v>0</v>
      </c>
      <c r="AX407" s="54">
        <v>0</v>
      </c>
      <c r="AY407" s="54">
        <v>0</v>
      </c>
      <c r="AZ407" s="54">
        <v>0</v>
      </c>
      <c r="BA407" s="54">
        <v>0</v>
      </c>
      <c r="BB407" s="54">
        <v>0</v>
      </c>
      <c r="BC407" s="54">
        <v>0</v>
      </c>
      <c r="BD407" s="54">
        <v>0</v>
      </c>
      <c r="BE407" s="54">
        <v>0</v>
      </c>
      <c r="BF407" s="54">
        <v>0</v>
      </c>
      <c r="BG407" s="54">
        <v>0</v>
      </c>
      <c r="BH407" s="54">
        <v>0</v>
      </c>
      <c r="BK407" s="104" t="str">
        <f>$V$75</f>
        <v>Yassin</v>
      </c>
      <c r="BL407" s="108">
        <v>0</v>
      </c>
      <c r="BM407" s="108">
        <v>0</v>
      </c>
      <c r="BN407" s="108">
        <v>0</v>
      </c>
      <c r="BO407" s="108">
        <v>0</v>
      </c>
      <c r="BP407" s="108">
        <v>0</v>
      </c>
      <c r="BQ407" s="108">
        <v>0</v>
      </c>
      <c r="BR407" s="108">
        <v>0</v>
      </c>
      <c r="BS407" s="108">
        <v>0</v>
      </c>
      <c r="BT407" s="108">
        <v>0</v>
      </c>
      <c r="BU407" s="108">
        <v>0</v>
      </c>
      <c r="BV407" s="108">
        <v>0</v>
      </c>
      <c r="BW407" s="108">
        <v>0</v>
      </c>
      <c r="BX407" s="108">
        <v>0</v>
      </c>
      <c r="BY407" s="108">
        <v>0</v>
      </c>
      <c r="BZ407" s="108">
        <v>0</v>
      </c>
      <c r="CA407" s="108">
        <v>0</v>
      </c>
      <c r="CB407" s="108">
        <v>0</v>
      </c>
    </row>
    <row r="408" spans="39:80" x14ac:dyDescent="0.55000000000000004">
      <c r="AM408" s="108"/>
      <c r="AQ408" s="104" t="str">
        <f>$V$67</f>
        <v>Antoine</v>
      </c>
      <c r="AR408" s="54">
        <v>0</v>
      </c>
      <c r="AS408" s="54">
        <v>0</v>
      </c>
      <c r="AT408" s="54">
        <v>0</v>
      </c>
      <c r="AU408" s="54">
        <v>0</v>
      </c>
      <c r="AV408" s="54">
        <v>0</v>
      </c>
      <c r="AW408" s="54">
        <v>0</v>
      </c>
      <c r="AX408" s="54">
        <v>0</v>
      </c>
      <c r="AY408" s="54">
        <v>0</v>
      </c>
      <c r="AZ408" s="54">
        <v>0</v>
      </c>
      <c r="BA408" s="54">
        <v>0</v>
      </c>
      <c r="BB408" s="54">
        <v>0</v>
      </c>
      <c r="BC408" s="54">
        <v>0</v>
      </c>
      <c r="BD408" s="54">
        <v>0</v>
      </c>
      <c r="BE408" s="54">
        <v>0</v>
      </c>
      <c r="BF408" s="54">
        <v>0</v>
      </c>
      <c r="BG408" s="54">
        <v>0</v>
      </c>
      <c r="BH408" s="54">
        <v>0</v>
      </c>
      <c r="BK408" s="104" t="str">
        <f>$V$76</f>
        <v>Kamar</v>
      </c>
      <c r="BL408" s="108">
        <v>0</v>
      </c>
      <c r="BM408" s="108">
        <v>0</v>
      </c>
      <c r="BN408" s="108">
        <v>0</v>
      </c>
      <c r="BO408" s="108">
        <v>0</v>
      </c>
      <c r="BP408" s="108">
        <v>0</v>
      </c>
      <c r="BQ408" s="108">
        <v>0</v>
      </c>
      <c r="BR408" s="108">
        <v>0</v>
      </c>
      <c r="BS408" s="108">
        <v>0</v>
      </c>
      <c r="BT408" s="108">
        <v>0</v>
      </c>
      <c r="BU408" s="108">
        <v>0</v>
      </c>
      <c r="BV408" s="108">
        <v>0</v>
      </c>
      <c r="BW408" s="108">
        <v>0</v>
      </c>
      <c r="BX408" s="108">
        <v>0</v>
      </c>
      <c r="BY408" s="108">
        <v>0</v>
      </c>
      <c r="BZ408" s="108">
        <v>0</v>
      </c>
      <c r="CA408" s="108">
        <v>0</v>
      </c>
      <c r="CB408" s="108">
        <v>0</v>
      </c>
    </row>
    <row r="409" spans="39:80" x14ac:dyDescent="0.55000000000000004">
      <c r="AM409" s="108"/>
      <c r="AQ409" s="104" t="str">
        <f>$V$68</f>
        <v>Beatriz</v>
      </c>
      <c r="AR409" s="54">
        <v>0</v>
      </c>
      <c r="AS409" s="54">
        <v>0</v>
      </c>
      <c r="AT409" s="54">
        <v>0</v>
      </c>
      <c r="AU409" s="54">
        <v>0</v>
      </c>
      <c r="AV409" s="54">
        <v>0</v>
      </c>
      <c r="AW409" s="54">
        <v>0</v>
      </c>
      <c r="AX409" s="54">
        <v>0</v>
      </c>
      <c r="AY409" s="54">
        <v>0</v>
      </c>
      <c r="AZ409" s="54">
        <v>0</v>
      </c>
      <c r="BA409" s="54">
        <v>0</v>
      </c>
      <c r="BB409" s="54">
        <v>0</v>
      </c>
      <c r="BC409" s="54">
        <v>0</v>
      </c>
      <c r="BD409" s="54">
        <v>0</v>
      </c>
      <c r="BE409" s="54">
        <v>0</v>
      </c>
      <c r="BF409" s="54">
        <v>0</v>
      </c>
      <c r="BG409" s="54">
        <v>0</v>
      </c>
      <c r="BH409" s="54">
        <v>0</v>
      </c>
      <c r="BK409" s="104" t="str">
        <f>$V$77</f>
        <v>-</v>
      </c>
      <c r="BL409" s="108">
        <v>0</v>
      </c>
      <c r="BM409" s="108">
        <v>0</v>
      </c>
      <c r="BN409" s="108">
        <v>0</v>
      </c>
      <c r="BO409" s="108">
        <v>0</v>
      </c>
      <c r="BP409" s="108">
        <v>0</v>
      </c>
      <c r="BQ409" s="108">
        <v>0</v>
      </c>
      <c r="BR409" s="108">
        <v>0</v>
      </c>
      <c r="BS409" s="108">
        <v>0</v>
      </c>
      <c r="BT409" s="108">
        <v>0</v>
      </c>
      <c r="BU409" s="108">
        <v>0</v>
      </c>
      <c r="BV409" s="108">
        <v>0</v>
      </c>
      <c r="BW409" s="108">
        <v>0</v>
      </c>
      <c r="BX409" s="108">
        <v>0</v>
      </c>
      <c r="BY409" s="108">
        <v>0</v>
      </c>
      <c r="BZ409" s="108">
        <v>0</v>
      </c>
      <c r="CA409" s="108">
        <v>0</v>
      </c>
      <c r="CB409" s="108">
        <v>0</v>
      </c>
    </row>
    <row r="410" spans="39:80" x14ac:dyDescent="0.55000000000000004">
      <c r="AM410" s="108"/>
      <c r="AQ410" s="104" t="str">
        <f>$V$69</f>
        <v>Charelle</v>
      </c>
      <c r="AR410" s="54">
        <v>0</v>
      </c>
      <c r="AS410" s="54">
        <v>0</v>
      </c>
      <c r="AT410" s="54">
        <v>0</v>
      </c>
      <c r="AU410" s="54">
        <v>0</v>
      </c>
      <c r="AV410" s="54">
        <v>0</v>
      </c>
      <c r="AW410" s="54">
        <v>0</v>
      </c>
      <c r="AX410" s="54">
        <v>0</v>
      </c>
      <c r="AY410" s="54">
        <v>0</v>
      </c>
      <c r="AZ410" s="54">
        <v>0</v>
      </c>
      <c r="BA410" s="54">
        <v>0</v>
      </c>
      <c r="BB410" s="54">
        <v>0</v>
      </c>
      <c r="BC410" s="54">
        <v>0</v>
      </c>
      <c r="BD410" s="54">
        <v>0</v>
      </c>
      <c r="BE410" s="54">
        <v>0</v>
      </c>
      <c r="BF410" s="54">
        <v>0</v>
      </c>
      <c r="BG410" s="54">
        <v>0</v>
      </c>
      <c r="BH410" s="54">
        <v>0</v>
      </c>
      <c r="BK410" s="104" t="str">
        <f>$V$78</f>
        <v>-</v>
      </c>
      <c r="BL410" s="108">
        <v>0</v>
      </c>
      <c r="BM410" s="108">
        <v>0</v>
      </c>
      <c r="BN410" s="108">
        <v>0</v>
      </c>
      <c r="BO410" s="108">
        <v>0</v>
      </c>
      <c r="BP410" s="108">
        <v>0</v>
      </c>
      <c r="BQ410" s="108">
        <v>0</v>
      </c>
      <c r="BR410" s="108">
        <v>0</v>
      </c>
      <c r="BS410" s="108">
        <v>0</v>
      </c>
      <c r="BT410" s="108">
        <v>0</v>
      </c>
      <c r="BU410" s="108">
        <v>0</v>
      </c>
      <c r="BV410" s="108">
        <v>0</v>
      </c>
      <c r="BW410" s="108">
        <v>0</v>
      </c>
      <c r="BX410" s="108">
        <v>0</v>
      </c>
      <c r="BY410" s="108">
        <v>0</v>
      </c>
      <c r="BZ410" s="108">
        <v>0</v>
      </c>
      <c r="CA410" s="108">
        <v>0</v>
      </c>
      <c r="CB410" s="108">
        <v>0</v>
      </c>
    </row>
    <row r="411" spans="39:80" x14ac:dyDescent="0.55000000000000004">
      <c r="AM411" s="108"/>
      <c r="AQ411" s="104" t="str">
        <f>$V$70</f>
        <v>Dimitri</v>
      </c>
      <c r="AR411" s="54">
        <v>0</v>
      </c>
      <c r="AS411" s="54">
        <v>0</v>
      </c>
      <c r="AT411" s="54">
        <v>0</v>
      </c>
      <c r="AU411" s="54">
        <v>0</v>
      </c>
      <c r="AV411" s="54">
        <v>0</v>
      </c>
      <c r="AW411" s="54">
        <v>0</v>
      </c>
      <c r="AX411" s="54">
        <v>0</v>
      </c>
      <c r="AY411" s="54">
        <v>0</v>
      </c>
      <c r="AZ411" s="54">
        <v>0</v>
      </c>
      <c r="BA411" s="54">
        <v>0</v>
      </c>
      <c r="BB411" s="54">
        <v>0</v>
      </c>
      <c r="BC411" s="54">
        <v>0</v>
      </c>
      <c r="BD411" s="54">
        <v>0</v>
      </c>
      <c r="BE411" s="54">
        <v>0</v>
      </c>
      <c r="BF411" s="54">
        <v>0</v>
      </c>
      <c r="BG411" s="54">
        <v>0</v>
      </c>
      <c r="BH411" s="54">
        <v>0</v>
      </c>
      <c r="BK411" s="104" t="str">
        <f>$V$79</f>
        <v>-</v>
      </c>
      <c r="BL411" s="108">
        <v>0</v>
      </c>
      <c r="BM411" s="108">
        <v>0</v>
      </c>
      <c r="BN411" s="108">
        <v>0</v>
      </c>
      <c r="BO411" s="108">
        <v>0</v>
      </c>
      <c r="BP411" s="108">
        <v>0</v>
      </c>
      <c r="BQ411" s="108">
        <v>0</v>
      </c>
      <c r="BR411" s="108">
        <v>0</v>
      </c>
      <c r="BS411" s="108">
        <v>0</v>
      </c>
      <c r="BT411" s="108">
        <v>0</v>
      </c>
      <c r="BU411" s="108">
        <v>0</v>
      </c>
      <c r="BV411" s="108">
        <v>0</v>
      </c>
      <c r="BW411" s="108">
        <v>0</v>
      </c>
      <c r="BX411" s="108">
        <v>0</v>
      </c>
      <c r="BY411" s="108">
        <v>0</v>
      </c>
      <c r="BZ411" s="108">
        <v>0</v>
      </c>
      <c r="CA411" s="108">
        <v>0</v>
      </c>
      <c r="CB411" s="108">
        <v>0</v>
      </c>
    </row>
    <row r="412" spans="39:80" x14ac:dyDescent="0.55000000000000004">
      <c r="AM412" s="108"/>
      <c r="AQ412" s="104" t="str">
        <f>$V$71</f>
        <v>Marina</v>
      </c>
      <c r="AR412" s="54">
        <v>0</v>
      </c>
      <c r="AS412" s="54">
        <v>0</v>
      </c>
      <c r="AT412" s="54">
        <v>0</v>
      </c>
      <c r="AU412" s="54">
        <v>0</v>
      </c>
      <c r="AV412" s="54">
        <v>0</v>
      </c>
      <c r="AW412" s="54">
        <v>0</v>
      </c>
      <c r="AX412" s="54">
        <v>0</v>
      </c>
      <c r="AY412" s="54">
        <v>0</v>
      </c>
      <c r="AZ412" s="54">
        <v>0</v>
      </c>
      <c r="BA412" s="54">
        <v>0</v>
      </c>
      <c r="BB412" s="54">
        <v>0</v>
      </c>
      <c r="BC412" s="54">
        <v>0</v>
      </c>
      <c r="BD412" s="54">
        <v>0</v>
      </c>
      <c r="BE412" s="54">
        <v>0</v>
      </c>
      <c r="BF412" s="54">
        <v>0</v>
      </c>
      <c r="BG412" s="54">
        <v>0</v>
      </c>
      <c r="BH412" s="54">
        <v>0</v>
      </c>
      <c r="BK412" s="104" t="str">
        <f>$V$80</f>
        <v>-</v>
      </c>
      <c r="BL412" s="108">
        <v>0</v>
      </c>
      <c r="BM412" s="108">
        <v>0</v>
      </c>
      <c r="BN412" s="108">
        <v>0</v>
      </c>
      <c r="BO412" s="108">
        <v>0</v>
      </c>
      <c r="BP412" s="108">
        <v>0</v>
      </c>
      <c r="BQ412" s="108">
        <v>0</v>
      </c>
      <c r="BR412" s="108">
        <v>0</v>
      </c>
      <c r="BS412" s="108">
        <v>0</v>
      </c>
      <c r="BT412" s="108">
        <v>0</v>
      </c>
      <c r="BU412" s="108">
        <v>0</v>
      </c>
      <c r="BV412" s="108">
        <v>0</v>
      </c>
      <c r="BW412" s="108">
        <v>0</v>
      </c>
      <c r="BX412" s="108">
        <v>0</v>
      </c>
      <c r="BY412" s="108">
        <v>0</v>
      </c>
      <c r="BZ412" s="108">
        <v>0</v>
      </c>
      <c r="CA412" s="108">
        <v>0</v>
      </c>
      <c r="CB412" s="108">
        <v>0</v>
      </c>
    </row>
    <row r="413" spans="39:80" x14ac:dyDescent="0.55000000000000004">
      <c r="AM413" s="108"/>
      <c r="AQ413" s="104" t="str">
        <f>$V$72</f>
        <v>Michel</v>
      </c>
      <c r="AR413" s="54">
        <v>0</v>
      </c>
      <c r="AS413" s="54">
        <v>0</v>
      </c>
      <c r="AT413" s="54">
        <v>0</v>
      </c>
      <c r="AU413" s="54">
        <v>0</v>
      </c>
      <c r="AV413" s="54">
        <v>0</v>
      </c>
      <c r="AW413" s="54">
        <v>0</v>
      </c>
      <c r="AX413" s="54">
        <v>0</v>
      </c>
      <c r="AY413" s="54">
        <v>0</v>
      </c>
      <c r="AZ413" s="54">
        <v>0</v>
      </c>
      <c r="BA413" s="54">
        <v>0</v>
      </c>
      <c r="BB413" s="54">
        <v>0</v>
      </c>
      <c r="BC413" s="54">
        <v>0</v>
      </c>
      <c r="BD413" s="54">
        <v>0</v>
      </c>
      <c r="BE413" s="54">
        <v>0</v>
      </c>
      <c r="BF413" s="54">
        <v>0</v>
      </c>
      <c r="BG413" s="54">
        <v>0</v>
      </c>
      <c r="BH413" s="54">
        <v>0</v>
      </c>
      <c r="BK413" s="104" t="str">
        <f>$V$81</f>
        <v>-</v>
      </c>
      <c r="BL413" s="108">
        <v>0</v>
      </c>
      <c r="BM413" s="108">
        <v>0</v>
      </c>
      <c r="BN413" s="108">
        <v>0</v>
      </c>
      <c r="BO413" s="108">
        <v>0</v>
      </c>
      <c r="BP413" s="108">
        <v>0</v>
      </c>
      <c r="BQ413" s="108">
        <v>0</v>
      </c>
      <c r="BR413" s="108">
        <v>0</v>
      </c>
      <c r="BS413" s="108">
        <v>0</v>
      </c>
      <c r="BT413" s="108">
        <v>0</v>
      </c>
      <c r="BU413" s="108">
        <v>0</v>
      </c>
      <c r="BV413" s="108">
        <v>0</v>
      </c>
      <c r="BW413" s="108">
        <v>0</v>
      </c>
      <c r="BX413" s="108">
        <v>0</v>
      </c>
      <c r="BY413" s="108">
        <v>0</v>
      </c>
      <c r="BZ413" s="108">
        <v>0</v>
      </c>
      <c r="CA413" s="108">
        <v>0</v>
      </c>
      <c r="CB413" s="108">
        <v>0</v>
      </c>
    </row>
    <row r="414" spans="39:80" x14ac:dyDescent="0.55000000000000004">
      <c r="AM414" s="108"/>
      <c r="AQ414" s="104" t="str">
        <f>$V$73</f>
        <v>Nour</v>
      </c>
      <c r="AR414" s="54">
        <v>0</v>
      </c>
      <c r="AS414" s="54">
        <v>0</v>
      </c>
      <c r="AT414" s="54">
        <v>0</v>
      </c>
      <c r="AU414" s="54">
        <v>0</v>
      </c>
      <c r="AV414" s="54">
        <v>0</v>
      </c>
      <c r="AW414" s="54">
        <v>0</v>
      </c>
      <c r="AX414" s="54">
        <v>0</v>
      </c>
      <c r="AY414" s="54">
        <v>0</v>
      </c>
      <c r="AZ414" s="54">
        <v>0</v>
      </c>
      <c r="BA414" s="54">
        <v>0</v>
      </c>
      <c r="BB414" s="54">
        <v>0</v>
      </c>
      <c r="BC414" s="54">
        <v>0</v>
      </c>
      <c r="BD414" s="54">
        <v>0</v>
      </c>
      <c r="BE414" s="54">
        <v>0</v>
      </c>
      <c r="BF414" s="54">
        <v>0</v>
      </c>
      <c r="BG414" s="54">
        <v>0</v>
      </c>
      <c r="BH414" s="54">
        <v>0</v>
      </c>
      <c r="BK414" s="104" t="str">
        <f>$V$82</f>
        <v>-</v>
      </c>
      <c r="BL414" s="108">
        <v>0</v>
      </c>
      <c r="BM414" s="108">
        <v>0</v>
      </c>
      <c r="BN414" s="108">
        <v>0</v>
      </c>
      <c r="BO414" s="108">
        <v>0</v>
      </c>
      <c r="BP414" s="108">
        <v>0</v>
      </c>
      <c r="BQ414" s="108">
        <v>0</v>
      </c>
      <c r="BR414" s="108">
        <v>0</v>
      </c>
      <c r="BS414" s="108">
        <v>0</v>
      </c>
      <c r="BT414" s="108">
        <v>0</v>
      </c>
      <c r="BU414" s="108">
        <v>0</v>
      </c>
      <c r="BV414" s="108">
        <v>0</v>
      </c>
      <c r="BW414" s="108">
        <v>0</v>
      </c>
      <c r="BX414" s="108">
        <v>0</v>
      </c>
      <c r="BY414" s="108">
        <v>0</v>
      </c>
      <c r="BZ414" s="108">
        <v>0</v>
      </c>
      <c r="CA414" s="108">
        <v>0</v>
      </c>
      <c r="CB414" s="108">
        <v>0</v>
      </c>
    </row>
    <row r="415" spans="39:80" x14ac:dyDescent="0.55000000000000004">
      <c r="AM415" s="108"/>
      <c r="AQ415" s="104" t="str">
        <f>$V$74</f>
        <v>Samuel</v>
      </c>
      <c r="AR415" s="54">
        <v>0</v>
      </c>
      <c r="AS415" s="54">
        <v>0</v>
      </c>
      <c r="AT415" s="54">
        <v>0</v>
      </c>
      <c r="AU415" s="54">
        <v>0</v>
      </c>
      <c r="AV415" s="54">
        <v>0</v>
      </c>
      <c r="AW415" s="54">
        <v>0</v>
      </c>
      <c r="AX415" s="54">
        <v>0</v>
      </c>
      <c r="AY415" s="54">
        <v>0</v>
      </c>
      <c r="AZ415" s="54">
        <v>0</v>
      </c>
      <c r="BA415" s="54">
        <v>0</v>
      </c>
      <c r="BB415" s="54">
        <v>0</v>
      </c>
      <c r="BC415" s="54">
        <v>0</v>
      </c>
      <c r="BD415" s="54">
        <v>0</v>
      </c>
      <c r="BE415" s="54">
        <v>0</v>
      </c>
      <c r="BF415" s="54">
        <v>0</v>
      </c>
      <c r="BG415" s="54">
        <v>0</v>
      </c>
      <c r="BH415" s="54">
        <v>0</v>
      </c>
      <c r="BK415" s="104" t="str">
        <f>$V$83</f>
        <v>-</v>
      </c>
      <c r="BL415" s="108">
        <v>0</v>
      </c>
      <c r="BM415" s="108">
        <v>0</v>
      </c>
      <c r="BN415" s="108">
        <v>0</v>
      </c>
      <c r="BO415" s="108">
        <v>0</v>
      </c>
      <c r="BP415" s="108">
        <v>0</v>
      </c>
      <c r="BQ415" s="108">
        <v>0</v>
      </c>
      <c r="BR415" s="108">
        <v>0</v>
      </c>
      <c r="BS415" s="108">
        <v>0</v>
      </c>
      <c r="BT415" s="108">
        <v>0</v>
      </c>
      <c r="BU415" s="108">
        <v>0</v>
      </c>
      <c r="BV415" s="108">
        <v>0</v>
      </c>
      <c r="BW415" s="108">
        <v>0</v>
      </c>
      <c r="BX415" s="108">
        <v>0</v>
      </c>
      <c r="BY415" s="108">
        <v>0</v>
      </c>
      <c r="BZ415" s="108">
        <v>0</v>
      </c>
      <c r="CA415" s="108">
        <v>0</v>
      </c>
      <c r="CB415" s="108">
        <v>0</v>
      </c>
    </row>
    <row r="416" spans="39:80" x14ac:dyDescent="0.55000000000000004">
      <c r="AM416" s="108"/>
      <c r="AQ416" s="104" t="str">
        <f>$V$75</f>
        <v>Yassin</v>
      </c>
      <c r="AR416" s="54">
        <v>0</v>
      </c>
      <c r="AS416" s="54">
        <v>0</v>
      </c>
      <c r="AT416" s="54">
        <v>0</v>
      </c>
      <c r="AU416" s="54">
        <v>0</v>
      </c>
      <c r="AV416" s="54">
        <v>0</v>
      </c>
      <c r="AW416" s="54">
        <v>0</v>
      </c>
      <c r="AX416" s="54">
        <v>0</v>
      </c>
      <c r="AY416" s="54">
        <v>0</v>
      </c>
      <c r="AZ416" s="54">
        <v>0</v>
      </c>
      <c r="BA416" s="54">
        <v>0</v>
      </c>
      <c r="BB416" s="54">
        <v>0</v>
      </c>
      <c r="BC416" s="54">
        <v>0</v>
      </c>
      <c r="BD416" s="54">
        <v>0</v>
      </c>
      <c r="BE416" s="54">
        <v>0</v>
      </c>
      <c r="BF416" s="54">
        <v>0</v>
      </c>
      <c r="BG416" s="54">
        <v>0</v>
      </c>
      <c r="BH416" s="54">
        <v>0</v>
      </c>
      <c r="BK416" s="104" t="str">
        <f>$V$84</f>
        <v>-</v>
      </c>
      <c r="BL416" s="108">
        <v>0</v>
      </c>
      <c r="BM416" s="108">
        <v>0</v>
      </c>
      <c r="BN416" s="108">
        <v>0</v>
      </c>
      <c r="BO416" s="108">
        <v>0</v>
      </c>
      <c r="BP416" s="108">
        <v>0</v>
      </c>
      <c r="BQ416" s="108">
        <v>0</v>
      </c>
      <c r="BR416" s="108">
        <v>0</v>
      </c>
      <c r="BS416" s="108">
        <v>0</v>
      </c>
      <c r="BT416" s="108">
        <v>0</v>
      </c>
      <c r="BU416" s="108">
        <v>0</v>
      </c>
      <c r="BV416" s="108">
        <v>0</v>
      </c>
      <c r="BW416" s="108">
        <v>0</v>
      </c>
      <c r="BX416" s="108">
        <v>0</v>
      </c>
      <c r="BY416" s="108">
        <v>0</v>
      </c>
      <c r="BZ416" s="108">
        <v>0</v>
      </c>
      <c r="CA416" s="108">
        <v>0</v>
      </c>
      <c r="CB416" s="108">
        <v>0</v>
      </c>
    </row>
    <row r="417" spans="39:80" x14ac:dyDescent="0.55000000000000004">
      <c r="AM417" s="108"/>
      <c r="AQ417" s="104" t="str">
        <f>$V$76</f>
        <v>Kamar</v>
      </c>
      <c r="AR417" s="54">
        <v>0</v>
      </c>
      <c r="AS417" s="54">
        <v>0</v>
      </c>
      <c r="AT417" s="54">
        <v>0</v>
      </c>
      <c r="AU417" s="54">
        <v>0</v>
      </c>
      <c r="AV417" s="54">
        <v>0</v>
      </c>
      <c r="AW417" s="54">
        <v>0</v>
      </c>
      <c r="AX417" s="54">
        <v>0</v>
      </c>
      <c r="AY417" s="54">
        <v>0</v>
      </c>
      <c r="AZ417" s="54">
        <v>0</v>
      </c>
      <c r="BA417" s="54">
        <v>0</v>
      </c>
      <c r="BB417" s="54">
        <v>0</v>
      </c>
      <c r="BC417" s="54">
        <v>0</v>
      </c>
      <c r="BD417" s="54">
        <v>0</v>
      </c>
      <c r="BE417" s="54">
        <v>0</v>
      </c>
      <c r="BF417" s="54">
        <v>0</v>
      </c>
      <c r="BG417" s="54">
        <v>0</v>
      </c>
      <c r="BH417" s="54">
        <v>0</v>
      </c>
      <c r="BK417" s="104" t="str">
        <f>$V$85</f>
        <v>-</v>
      </c>
      <c r="BL417" s="108">
        <v>0</v>
      </c>
      <c r="BM417" s="108">
        <v>0</v>
      </c>
      <c r="BN417" s="108">
        <v>0</v>
      </c>
      <c r="BO417" s="108">
        <v>0</v>
      </c>
      <c r="BP417" s="108">
        <v>0</v>
      </c>
      <c r="BQ417" s="108">
        <v>0</v>
      </c>
      <c r="BR417" s="108">
        <v>0</v>
      </c>
      <c r="BS417" s="108">
        <v>0</v>
      </c>
      <c r="BT417" s="108">
        <v>0</v>
      </c>
      <c r="BU417" s="108">
        <v>0</v>
      </c>
      <c r="BV417" s="108">
        <v>0</v>
      </c>
      <c r="BW417" s="108">
        <v>0</v>
      </c>
      <c r="BX417" s="108">
        <v>0</v>
      </c>
      <c r="BY417" s="108">
        <v>0</v>
      </c>
      <c r="BZ417" s="108">
        <v>0</v>
      </c>
      <c r="CA417" s="108">
        <v>0</v>
      </c>
      <c r="CB417" s="108">
        <v>0</v>
      </c>
    </row>
    <row r="418" spans="39:80" x14ac:dyDescent="0.55000000000000004">
      <c r="AM418" s="108"/>
      <c r="AQ418" s="104" t="str">
        <f>$V$77</f>
        <v>-</v>
      </c>
      <c r="AR418" s="54">
        <v>0</v>
      </c>
      <c r="AS418" s="54">
        <v>0</v>
      </c>
      <c r="AT418" s="54">
        <v>0</v>
      </c>
      <c r="AU418" s="54">
        <v>0</v>
      </c>
      <c r="AV418" s="54">
        <v>0</v>
      </c>
      <c r="AW418" s="54">
        <v>0</v>
      </c>
      <c r="AX418" s="54">
        <v>0</v>
      </c>
      <c r="AY418" s="54">
        <v>0</v>
      </c>
      <c r="AZ418" s="54">
        <v>0</v>
      </c>
      <c r="BA418" s="54">
        <v>0</v>
      </c>
      <c r="BB418" s="54">
        <v>0</v>
      </c>
      <c r="BC418" s="54">
        <v>0</v>
      </c>
      <c r="BD418" s="54">
        <v>0</v>
      </c>
      <c r="BE418" s="54">
        <v>0</v>
      </c>
      <c r="BF418" s="54">
        <v>0</v>
      </c>
      <c r="BG418" s="54">
        <v>0</v>
      </c>
      <c r="BH418" s="54">
        <v>0</v>
      </c>
      <c r="BK418" s="104" t="str">
        <f>$V$86</f>
        <v>-</v>
      </c>
      <c r="BL418" s="108">
        <v>0</v>
      </c>
      <c r="BM418" s="108">
        <v>0</v>
      </c>
      <c r="BN418" s="108">
        <v>0</v>
      </c>
      <c r="BO418" s="108">
        <v>0</v>
      </c>
      <c r="BP418" s="108">
        <v>0</v>
      </c>
      <c r="BQ418" s="108">
        <v>0</v>
      </c>
      <c r="BR418" s="108">
        <v>0</v>
      </c>
      <c r="BS418" s="108">
        <v>0</v>
      </c>
      <c r="BT418" s="108">
        <v>0</v>
      </c>
      <c r="BU418" s="108">
        <v>0</v>
      </c>
      <c r="BV418" s="108">
        <v>0</v>
      </c>
      <c r="BW418" s="108">
        <v>0</v>
      </c>
      <c r="BX418" s="108">
        <v>0</v>
      </c>
      <c r="BY418" s="108">
        <v>0</v>
      </c>
      <c r="BZ418" s="108">
        <v>0</v>
      </c>
      <c r="CA418" s="108">
        <v>0</v>
      </c>
      <c r="CB418" s="108">
        <v>0</v>
      </c>
    </row>
    <row r="419" spans="39:80" x14ac:dyDescent="0.55000000000000004">
      <c r="AM419" s="108"/>
      <c r="AQ419" s="104" t="str">
        <f>$V$78</f>
        <v>-</v>
      </c>
      <c r="AR419" s="54">
        <v>0</v>
      </c>
      <c r="AS419" s="54">
        <v>0</v>
      </c>
      <c r="AT419" s="54">
        <v>0</v>
      </c>
      <c r="AU419" s="54">
        <v>0</v>
      </c>
      <c r="AV419" s="54">
        <v>0</v>
      </c>
      <c r="AW419" s="54">
        <v>0</v>
      </c>
      <c r="AX419" s="54">
        <v>0</v>
      </c>
      <c r="AY419" s="54">
        <v>0</v>
      </c>
      <c r="AZ419" s="54">
        <v>0</v>
      </c>
      <c r="BA419" s="54">
        <v>0</v>
      </c>
      <c r="BB419" s="54">
        <v>0</v>
      </c>
      <c r="BC419" s="54">
        <v>0</v>
      </c>
      <c r="BD419" s="54">
        <v>0</v>
      </c>
      <c r="BE419" s="54">
        <v>0</v>
      </c>
      <c r="BF419" s="54">
        <v>0</v>
      </c>
      <c r="BG419" s="54">
        <v>0</v>
      </c>
      <c r="BH419" s="54">
        <v>0</v>
      </c>
      <c r="BK419" s="104" t="str">
        <f>$V$87</f>
        <v>-</v>
      </c>
      <c r="BL419" s="108">
        <v>0</v>
      </c>
      <c r="BM419" s="108">
        <v>0</v>
      </c>
      <c r="BN419" s="108">
        <v>0</v>
      </c>
      <c r="BO419" s="108">
        <v>0</v>
      </c>
      <c r="BP419" s="108">
        <v>0</v>
      </c>
      <c r="BQ419" s="108">
        <v>0</v>
      </c>
      <c r="BR419" s="108">
        <v>0</v>
      </c>
      <c r="BS419" s="108">
        <v>0</v>
      </c>
      <c r="BT419" s="108">
        <v>0</v>
      </c>
      <c r="BU419" s="108">
        <v>0</v>
      </c>
      <c r="BV419" s="108">
        <v>0</v>
      </c>
      <c r="BW419" s="108">
        <v>0</v>
      </c>
      <c r="BX419" s="108">
        <v>0</v>
      </c>
      <c r="BY419" s="108">
        <v>0</v>
      </c>
      <c r="BZ419" s="108">
        <v>0</v>
      </c>
      <c r="CA419" s="108">
        <v>0</v>
      </c>
      <c r="CB419" s="108">
        <v>0</v>
      </c>
    </row>
    <row r="420" spans="39:80" x14ac:dyDescent="0.55000000000000004">
      <c r="AM420" s="108"/>
      <c r="AQ420" s="104" t="str">
        <f>$V$79</f>
        <v>-</v>
      </c>
      <c r="AR420" s="54">
        <v>0</v>
      </c>
      <c r="AS420" s="54">
        <v>0</v>
      </c>
      <c r="AT420" s="54">
        <v>0</v>
      </c>
      <c r="AU420" s="54">
        <v>0</v>
      </c>
      <c r="AV420" s="54">
        <v>0</v>
      </c>
      <c r="AW420" s="54">
        <v>0</v>
      </c>
      <c r="AX420" s="54">
        <v>0</v>
      </c>
      <c r="AY420" s="54">
        <v>0</v>
      </c>
      <c r="AZ420" s="54">
        <v>0</v>
      </c>
      <c r="BA420" s="54">
        <v>0</v>
      </c>
      <c r="BB420" s="54">
        <v>0</v>
      </c>
      <c r="BC420" s="54">
        <v>0</v>
      </c>
      <c r="BD420" s="54">
        <v>0</v>
      </c>
      <c r="BE420" s="54">
        <v>0</v>
      </c>
      <c r="BF420" s="54">
        <v>0</v>
      </c>
      <c r="BG420" s="54">
        <v>0</v>
      </c>
      <c r="BH420" s="54">
        <v>0</v>
      </c>
      <c r="BK420" s="104" t="str">
        <f>$V$88</f>
        <v>-</v>
      </c>
      <c r="BL420" s="108">
        <v>0</v>
      </c>
      <c r="BM420" s="108">
        <v>0</v>
      </c>
      <c r="BN420" s="108">
        <v>0</v>
      </c>
      <c r="BO420" s="108">
        <v>0</v>
      </c>
      <c r="BP420" s="108">
        <v>0</v>
      </c>
      <c r="BQ420" s="108">
        <v>0</v>
      </c>
      <c r="BR420" s="108">
        <v>0</v>
      </c>
      <c r="BS420" s="108">
        <v>0</v>
      </c>
      <c r="BT420" s="108">
        <v>0</v>
      </c>
      <c r="BU420" s="108">
        <v>0</v>
      </c>
      <c r="BV420" s="108">
        <v>0</v>
      </c>
      <c r="BW420" s="108">
        <v>0</v>
      </c>
      <c r="BX420" s="108">
        <v>0</v>
      </c>
      <c r="BY420" s="108">
        <v>0</v>
      </c>
      <c r="BZ420" s="108">
        <v>0</v>
      </c>
      <c r="CA420" s="108">
        <v>0</v>
      </c>
      <c r="CB420" s="108">
        <v>0</v>
      </c>
    </row>
    <row r="421" spans="39:80" x14ac:dyDescent="0.55000000000000004">
      <c r="AM421" s="108"/>
      <c r="AQ421" s="104" t="str">
        <f>$V$80</f>
        <v>-</v>
      </c>
      <c r="AR421" s="54">
        <v>0</v>
      </c>
      <c r="AS421" s="54">
        <v>0</v>
      </c>
      <c r="AT421" s="54">
        <v>0</v>
      </c>
      <c r="AU421" s="54">
        <v>0</v>
      </c>
      <c r="AV421" s="54">
        <v>0</v>
      </c>
      <c r="AW421" s="54">
        <v>0</v>
      </c>
      <c r="AX421" s="54">
        <v>0</v>
      </c>
      <c r="AY421" s="54">
        <v>0</v>
      </c>
      <c r="AZ421" s="54">
        <v>0</v>
      </c>
      <c r="BA421" s="54">
        <v>0</v>
      </c>
      <c r="BB421" s="54">
        <v>0</v>
      </c>
      <c r="BC421" s="54">
        <v>0</v>
      </c>
      <c r="BD421" s="54">
        <v>0</v>
      </c>
      <c r="BE421" s="54">
        <v>0</v>
      </c>
      <c r="BF421" s="54">
        <v>0</v>
      </c>
      <c r="BG421" s="54">
        <v>0</v>
      </c>
      <c r="BH421" s="54">
        <v>0</v>
      </c>
      <c r="BK421" s="104" t="str">
        <f>$V$89</f>
        <v>-</v>
      </c>
      <c r="BL421" s="108">
        <v>0</v>
      </c>
      <c r="BM421" s="108">
        <v>0</v>
      </c>
      <c r="BN421" s="108">
        <v>0</v>
      </c>
      <c r="BO421" s="108">
        <v>0</v>
      </c>
      <c r="BP421" s="108">
        <v>0</v>
      </c>
      <c r="BQ421" s="108">
        <v>0</v>
      </c>
      <c r="BR421" s="108">
        <v>0</v>
      </c>
      <c r="BS421" s="108">
        <v>0</v>
      </c>
      <c r="BT421" s="108">
        <v>0</v>
      </c>
      <c r="BU421" s="108">
        <v>0</v>
      </c>
      <c r="BV421" s="108">
        <v>0</v>
      </c>
      <c r="BW421" s="108">
        <v>0</v>
      </c>
      <c r="BX421" s="108">
        <v>0</v>
      </c>
      <c r="BY421" s="108">
        <v>0</v>
      </c>
      <c r="BZ421" s="108">
        <v>0</v>
      </c>
      <c r="CA421" s="108">
        <v>0</v>
      </c>
      <c r="CB421" s="108">
        <v>0</v>
      </c>
    </row>
    <row r="422" spans="39:80" x14ac:dyDescent="0.55000000000000004">
      <c r="AM422" s="108"/>
      <c r="AQ422" s="104" t="str">
        <f>$V$81</f>
        <v>-</v>
      </c>
      <c r="AR422" s="54">
        <v>0</v>
      </c>
      <c r="AS422" s="54">
        <v>0</v>
      </c>
      <c r="AT422" s="54">
        <v>0</v>
      </c>
      <c r="AU422" s="54">
        <v>0</v>
      </c>
      <c r="AV422" s="54">
        <v>0</v>
      </c>
      <c r="AW422" s="54">
        <v>0</v>
      </c>
      <c r="AX422" s="54">
        <v>0</v>
      </c>
      <c r="AY422" s="54">
        <v>0</v>
      </c>
      <c r="AZ422" s="54">
        <v>0</v>
      </c>
      <c r="BA422" s="54">
        <v>0</v>
      </c>
      <c r="BB422" s="54">
        <v>0</v>
      </c>
      <c r="BC422" s="54">
        <v>0</v>
      </c>
      <c r="BD422" s="54">
        <v>0</v>
      </c>
      <c r="BE422" s="54">
        <v>0</v>
      </c>
      <c r="BF422" s="54">
        <v>0</v>
      </c>
      <c r="BG422" s="54">
        <v>0</v>
      </c>
      <c r="BH422" s="54">
        <v>0</v>
      </c>
      <c r="BK422" s="104" t="str">
        <f>$V$90</f>
        <v>-</v>
      </c>
      <c r="BL422" s="108">
        <v>0</v>
      </c>
      <c r="BM422" s="108">
        <v>0</v>
      </c>
      <c r="BN422" s="108">
        <v>0</v>
      </c>
      <c r="BO422" s="108">
        <v>0</v>
      </c>
      <c r="BP422" s="108">
        <v>0</v>
      </c>
      <c r="BQ422" s="108">
        <v>0</v>
      </c>
      <c r="BR422" s="108">
        <v>0</v>
      </c>
      <c r="BS422" s="108">
        <v>0</v>
      </c>
      <c r="BT422" s="108">
        <v>0</v>
      </c>
      <c r="BU422" s="108">
        <v>0</v>
      </c>
      <c r="BV422" s="108">
        <v>0</v>
      </c>
      <c r="BW422" s="108">
        <v>0</v>
      </c>
      <c r="BX422" s="108">
        <v>0</v>
      </c>
      <c r="BY422" s="108">
        <v>0</v>
      </c>
      <c r="BZ422" s="108">
        <v>0</v>
      </c>
      <c r="CA422" s="108">
        <v>0</v>
      </c>
      <c r="CB422" s="108">
        <v>0</v>
      </c>
    </row>
    <row r="423" spans="39:80" x14ac:dyDescent="0.55000000000000004">
      <c r="AM423" s="108"/>
      <c r="AQ423" s="104" t="str">
        <f>$V$82</f>
        <v>-</v>
      </c>
      <c r="AR423" s="54">
        <v>0</v>
      </c>
      <c r="AS423" s="54">
        <v>0</v>
      </c>
      <c r="AT423" s="54">
        <v>0</v>
      </c>
      <c r="AU423" s="54">
        <v>0</v>
      </c>
      <c r="AV423" s="54">
        <v>0</v>
      </c>
      <c r="AW423" s="54">
        <v>0</v>
      </c>
      <c r="AX423" s="54">
        <v>0</v>
      </c>
      <c r="AY423" s="54">
        <v>0</v>
      </c>
      <c r="AZ423" s="54">
        <v>0</v>
      </c>
      <c r="BA423" s="54">
        <v>0</v>
      </c>
      <c r="BB423" s="54">
        <v>0</v>
      </c>
      <c r="BC423" s="54">
        <v>0</v>
      </c>
      <c r="BD423" s="54">
        <v>0</v>
      </c>
      <c r="BE423" s="54">
        <v>0</v>
      </c>
      <c r="BF423" s="54">
        <v>0</v>
      </c>
      <c r="BG423" s="54">
        <v>0</v>
      </c>
      <c r="BH423" s="54">
        <v>0</v>
      </c>
      <c r="BK423" s="104" t="str">
        <f>$V$91</f>
        <v>-</v>
      </c>
      <c r="BL423" s="108">
        <v>0</v>
      </c>
      <c r="BM423" s="108">
        <v>0</v>
      </c>
      <c r="BN423" s="108">
        <v>0</v>
      </c>
      <c r="BO423" s="108">
        <v>0</v>
      </c>
      <c r="BP423" s="108">
        <v>0</v>
      </c>
      <c r="BQ423" s="108">
        <v>0</v>
      </c>
      <c r="BR423" s="108">
        <v>0</v>
      </c>
      <c r="BS423" s="108">
        <v>0</v>
      </c>
      <c r="BT423" s="108">
        <v>0</v>
      </c>
      <c r="BU423" s="108">
        <v>0</v>
      </c>
      <c r="BV423" s="108">
        <v>0</v>
      </c>
      <c r="BW423" s="108">
        <v>0</v>
      </c>
      <c r="BX423" s="108">
        <v>0</v>
      </c>
      <c r="BY423" s="108">
        <v>0</v>
      </c>
      <c r="BZ423" s="108">
        <v>0</v>
      </c>
      <c r="CA423" s="108">
        <v>0</v>
      </c>
      <c r="CB423" s="108">
        <v>0</v>
      </c>
    </row>
    <row r="424" spans="39:80" x14ac:dyDescent="0.55000000000000004">
      <c r="AQ424" s="104" t="str">
        <f>$V$83</f>
        <v>-</v>
      </c>
      <c r="AR424" s="54">
        <v>0</v>
      </c>
      <c r="AS424" s="54">
        <v>0</v>
      </c>
      <c r="AT424" s="54">
        <v>0</v>
      </c>
      <c r="AU424" s="54">
        <v>0</v>
      </c>
      <c r="AV424" s="54">
        <v>0</v>
      </c>
      <c r="AW424" s="54">
        <v>0</v>
      </c>
      <c r="AX424" s="54">
        <v>0</v>
      </c>
      <c r="AY424" s="54">
        <v>0</v>
      </c>
      <c r="AZ424" s="54">
        <v>0</v>
      </c>
      <c r="BA424" s="54">
        <v>0</v>
      </c>
      <c r="BB424" s="54">
        <v>0</v>
      </c>
      <c r="BC424" s="54">
        <v>0</v>
      </c>
      <c r="BD424" s="54">
        <v>0</v>
      </c>
      <c r="BE424" s="54">
        <v>0</v>
      </c>
      <c r="BF424" s="54">
        <v>0</v>
      </c>
      <c r="BG424" s="54">
        <v>0</v>
      </c>
      <c r="BH424" s="54">
        <v>0</v>
      </c>
      <c r="BK424" s="104" t="str">
        <f>$V$92</f>
        <v>-</v>
      </c>
      <c r="BL424" s="108">
        <v>0</v>
      </c>
      <c r="BM424" s="108">
        <v>0</v>
      </c>
      <c r="BN424" s="108">
        <v>0</v>
      </c>
      <c r="BO424" s="108">
        <v>0</v>
      </c>
      <c r="BP424" s="108">
        <v>0</v>
      </c>
      <c r="BQ424" s="108">
        <v>0</v>
      </c>
      <c r="BR424" s="108">
        <v>0</v>
      </c>
      <c r="BS424" s="108">
        <v>0</v>
      </c>
      <c r="BT424" s="108">
        <v>0</v>
      </c>
      <c r="BU424" s="108">
        <v>0</v>
      </c>
      <c r="BV424" s="108">
        <v>0</v>
      </c>
      <c r="BW424" s="108">
        <v>0</v>
      </c>
      <c r="BX424" s="108">
        <v>0</v>
      </c>
      <c r="BY424" s="108">
        <v>0</v>
      </c>
      <c r="BZ424" s="108">
        <v>0</v>
      </c>
      <c r="CA424" s="108">
        <v>0</v>
      </c>
      <c r="CB424" s="108">
        <v>0</v>
      </c>
    </row>
    <row r="425" spans="39:80" x14ac:dyDescent="0.55000000000000004">
      <c r="AQ425" s="104" t="str">
        <f>$V$84</f>
        <v>-</v>
      </c>
      <c r="AR425" s="54">
        <v>0</v>
      </c>
      <c r="AS425" s="54">
        <v>0</v>
      </c>
      <c r="AT425" s="54">
        <v>0</v>
      </c>
      <c r="AU425" s="54">
        <v>0</v>
      </c>
      <c r="AV425" s="54">
        <v>0</v>
      </c>
      <c r="AW425" s="54">
        <v>0</v>
      </c>
      <c r="AX425" s="54">
        <v>0</v>
      </c>
      <c r="AY425" s="54">
        <v>0</v>
      </c>
      <c r="AZ425" s="54">
        <v>0</v>
      </c>
      <c r="BA425" s="54">
        <v>0</v>
      </c>
      <c r="BB425" s="54">
        <v>0</v>
      </c>
      <c r="BC425" s="54">
        <v>0</v>
      </c>
      <c r="BD425" s="54">
        <v>0</v>
      </c>
      <c r="BE425" s="54">
        <v>0</v>
      </c>
      <c r="BF425" s="54">
        <v>0</v>
      </c>
      <c r="BG425" s="54">
        <v>0</v>
      </c>
      <c r="BH425" s="54">
        <v>0</v>
      </c>
    </row>
    <row r="426" spans="39:80" x14ac:dyDescent="0.55000000000000004">
      <c r="AQ426" s="104" t="str">
        <f>$V$85</f>
        <v>-</v>
      </c>
      <c r="AR426" s="54">
        <v>0</v>
      </c>
      <c r="AS426" s="54">
        <v>0</v>
      </c>
      <c r="AT426" s="54">
        <v>0</v>
      </c>
      <c r="AU426" s="54">
        <v>0</v>
      </c>
      <c r="AV426" s="54">
        <v>0</v>
      </c>
      <c r="AW426" s="54">
        <v>0</v>
      </c>
      <c r="AX426" s="54">
        <v>0</v>
      </c>
      <c r="AY426" s="54">
        <v>0</v>
      </c>
      <c r="AZ426" s="54">
        <v>0</v>
      </c>
      <c r="BA426" s="54">
        <v>0</v>
      </c>
      <c r="BB426" s="54">
        <v>0</v>
      </c>
      <c r="BC426" s="54">
        <v>0</v>
      </c>
      <c r="BD426" s="54">
        <v>0</v>
      </c>
      <c r="BE426" s="54">
        <v>0</v>
      </c>
      <c r="BF426" s="54">
        <v>0</v>
      </c>
      <c r="BG426" s="54">
        <v>0</v>
      </c>
      <c r="BH426" s="54">
        <v>0</v>
      </c>
    </row>
    <row r="427" spans="39:80" x14ac:dyDescent="0.55000000000000004">
      <c r="AQ427" s="104" t="str">
        <f>$V$86</f>
        <v>-</v>
      </c>
      <c r="AR427" s="54">
        <v>0</v>
      </c>
      <c r="AS427" s="54">
        <v>0</v>
      </c>
      <c r="AT427" s="54">
        <v>0</v>
      </c>
      <c r="AU427" s="54">
        <v>0</v>
      </c>
      <c r="AV427" s="54">
        <v>0</v>
      </c>
      <c r="AW427" s="54">
        <v>0</v>
      </c>
      <c r="AX427" s="54">
        <v>0</v>
      </c>
      <c r="AY427" s="54">
        <v>0</v>
      </c>
      <c r="AZ427" s="54">
        <v>0</v>
      </c>
      <c r="BA427" s="54">
        <v>0</v>
      </c>
      <c r="BB427" s="54">
        <v>0</v>
      </c>
      <c r="BC427" s="54">
        <v>0</v>
      </c>
      <c r="BD427" s="54">
        <v>0</v>
      </c>
      <c r="BE427" s="54">
        <v>0</v>
      </c>
      <c r="BF427" s="54">
        <v>0</v>
      </c>
      <c r="BG427" s="54">
        <v>0</v>
      </c>
      <c r="BH427" s="54">
        <v>0</v>
      </c>
      <c r="BK427" s="104" t="str">
        <f>CONCATENATE("OBLIGATORIEDAD DE (",BK428,")")</f>
        <v>OBLIGATORIEDAD DE (Tidying)</v>
      </c>
    </row>
    <row r="428" spans="39:80" x14ac:dyDescent="0.55000000000000004">
      <c r="AM428" s="108"/>
      <c r="AQ428" s="104" t="str">
        <f>$V$87</f>
        <v>-</v>
      </c>
      <c r="AR428" s="54">
        <v>0</v>
      </c>
      <c r="AS428" s="54">
        <v>0</v>
      </c>
      <c r="AT428" s="54">
        <v>0</v>
      </c>
      <c r="AU428" s="54">
        <v>0</v>
      </c>
      <c r="AV428" s="54">
        <v>0</v>
      </c>
      <c r="AW428" s="54">
        <v>0</v>
      </c>
      <c r="AX428" s="54">
        <v>0</v>
      </c>
      <c r="AY428" s="54">
        <v>0</v>
      </c>
      <c r="AZ428" s="54">
        <v>0</v>
      </c>
      <c r="BA428" s="54">
        <v>0</v>
      </c>
      <c r="BB428" s="54">
        <v>0</v>
      </c>
      <c r="BC428" s="54">
        <v>0</v>
      </c>
      <c r="BD428" s="54">
        <v>0</v>
      </c>
      <c r="BE428" s="54">
        <v>0</v>
      </c>
      <c r="BF428" s="54">
        <v>0</v>
      </c>
      <c r="BG428" s="54">
        <v>0</v>
      </c>
      <c r="BH428" s="54">
        <v>0</v>
      </c>
      <c r="BK428" s="104" t="str">
        <f>V43</f>
        <v>Tidying</v>
      </c>
      <c r="BL428" s="104" t="str">
        <f>$W$33</f>
        <v>16h</v>
      </c>
      <c r="BM428" s="104" t="str">
        <f>$X$33</f>
        <v>17h</v>
      </c>
      <c r="BN428" s="104" t="str">
        <f>$Y$33</f>
        <v>18h</v>
      </c>
      <c r="BO428" s="104" t="str">
        <f>$Z$33</f>
        <v>19h</v>
      </c>
      <c r="BP428" s="104" t="str">
        <f>$AA$33</f>
        <v>20h</v>
      </c>
      <c r="BQ428" s="104" t="str">
        <f>$AB$33</f>
        <v>21h</v>
      </c>
      <c r="BR428" s="104" t="str">
        <f>$AC$33</f>
        <v>22h</v>
      </c>
      <c r="BS428" s="104" t="str">
        <f>$AD$33</f>
        <v>23h</v>
      </c>
      <c r="BT428" s="104" t="str">
        <f>$AE$33</f>
        <v>00h</v>
      </c>
      <c r="BU428" s="104" t="str">
        <f>$AF$33</f>
        <v>01h</v>
      </c>
      <c r="BV428" s="104" t="str">
        <f>$AG$33</f>
        <v>02h</v>
      </c>
      <c r="BW428" s="104" t="str">
        <f>$AH$33</f>
        <v>03h</v>
      </c>
      <c r="BX428" s="104" t="str">
        <f>$AI$33</f>
        <v>04h</v>
      </c>
      <c r="BY428" s="104" t="str">
        <f>$AJ$33</f>
        <v>05h</v>
      </c>
      <c r="BZ428" s="104" t="str">
        <f>$AK$33</f>
        <v>06h</v>
      </c>
      <c r="CA428" s="104" t="str">
        <f>$AL$33</f>
        <v>07h</v>
      </c>
      <c r="CB428" s="104" t="str">
        <f>$AM$33</f>
        <v>08h</v>
      </c>
    </row>
    <row r="429" spans="39:80" x14ac:dyDescent="0.55000000000000004">
      <c r="AM429" s="108"/>
      <c r="AQ429" s="104" t="str">
        <f>$V$88</f>
        <v>-</v>
      </c>
      <c r="AR429" s="54">
        <v>0</v>
      </c>
      <c r="AS429" s="54">
        <v>0</v>
      </c>
      <c r="AT429" s="54">
        <v>0</v>
      </c>
      <c r="AU429" s="54">
        <v>0</v>
      </c>
      <c r="AV429" s="54">
        <v>0</v>
      </c>
      <c r="AW429" s="54">
        <v>0</v>
      </c>
      <c r="AX429" s="54">
        <v>0</v>
      </c>
      <c r="AY429" s="54">
        <v>0</v>
      </c>
      <c r="AZ429" s="54">
        <v>0</v>
      </c>
      <c r="BA429" s="54">
        <v>0</v>
      </c>
      <c r="BB429" s="54">
        <v>0</v>
      </c>
      <c r="BC429" s="54">
        <v>0</v>
      </c>
      <c r="BD429" s="54">
        <v>0</v>
      </c>
      <c r="BE429" s="54">
        <v>0</v>
      </c>
      <c r="BF429" s="54">
        <v>0</v>
      </c>
      <c r="BG429" s="54">
        <v>0</v>
      </c>
      <c r="BH429" s="54">
        <v>0</v>
      </c>
      <c r="BK429" s="104" t="str">
        <f>$V$53</f>
        <v>Jennifer</v>
      </c>
      <c r="BL429" s="108">
        <v>0</v>
      </c>
      <c r="BM429" s="108">
        <v>0</v>
      </c>
      <c r="BN429" s="108">
        <v>0</v>
      </c>
      <c r="BO429" s="108">
        <v>0</v>
      </c>
      <c r="BP429" s="108">
        <v>0</v>
      </c>
      <c r="BQ429" s="108">
        <v>0</v>
      </c>
      <c r="BR429" s="108">
        <v>0</v>
      </c>
      <c r="BS429" s="108">
        <v>0</v>
      </c>
      <c r="BT429" s="108">
        <v>0</v>
      </c>
      <c r="BU429" s="108">
        <v>0</v>
      </c>
      <c r="BV429" s="108">
        <v>0</v>
      </c>
      <c r="BW429" s="108">
        <v>0</v>
      </c>
      <c r="BX429" s="108">
        <v>0</v>
      </c>
      <c r="BY429" s="108">
        <v>0</v>
      </c>
      <c r="BZ429" s="108">
        <v>0</v>
      </c>
      <c r="CA429" s="108">
        <v>0</v>
      </c>
      <c r="CB429" s="108">
        <v>0</v>
      </c>
    </row>
    <row r="430" spans="39:80" x14ac:dyDescent="0.55000000000000004">
      <c r="AM430" s="108"/>
      <c r="AQ430" s="104" t="str">
        <f>$V$89</f>
        <v>-</v>
      </c>
      <c r="AR430" s="54">
        <v>0</v>
      </c>
      <c r="AS430" s="54">
        <v>0</v>
      </c>
      <c r="AT430" s="54">
        <v>0</v>
      </c>
      <c r="AU430" s="54">
        <v>0</v>
      </c>
      <c r="AV430" s="54">
        <v>0</v>
      </c>
      <c r="AW430" s="54">
        <v>0</v>
      </c>
      <c r="AX430" s="54">
        <v>0</v>
      </c>
      <c r="AY430" s="54">
        <v>0</v>
      </c>
      <c r="AZ430" s="54">
        <v>0</v>
      </c>
      <c r="BA430" s="54">
        <v>0</v>
      </c>
      <c r="BB430" s="54">
        <v>0</v>
      </c>
      <c r="BC430" s="54">
        <v>0</v>
      </c>
      <c r="BD430" s="54">
        <v>0</v>
      </c>
      <c r="BE430" s="54">
        <v>0</v>
      </c>
      <c r="BF430" s="54">
        <v>0</v>
      </c>
      <c r="BG430" s="54">
        <v>0</v>
      </c>
      <c r="BH430" s="54">
        <v>0</v>
      </c>
      <c r="BK430" s="104" t="str">
        <f>$V$54</f>
        <v>Galileo</v>
      </c>
      <c r="BL430" s="108">
        <v>0</v>
      </c>
      <c r="BM430" s="108">
        <v>0</v>
      </c>
      <c r="BN430" s="108">
        <v>0</v>
      </c>
      <c r="BO430" s="108">
        <v>0</v>
      </c>
      <c r="BP430" s="108">
        <v>0</v>
      </c>
      <c r="BQ430" s="108">
        <v>0</v>
      </c>
      <c r="BR430" s="108">
        <v>0</v>
      </c>
      <c r="BS430" s="108">
        <v>0</v>
      </c>
      <c r="BT430" s="108">
        <v>0</v>
      </c>
      <c r="BU430" s="108">
        <v>0</v>
      </c>
      <c r="BV430" s="108">
        <v>0</v>
      </c>
      <c r="BW430" s="108">
        <v>0</v>
      </c>
      <c r="BX430" s="108">
        <v>0</v>
      </c>
      <c r="BY430" s="108">
        <v>0</v>
      </c>
      <c r="BZ430" s="108">
        <v>0</v>
      </c>
      <c r="CA430" s="108">
        <v>0</v>
      </c>
      <c r="CB430" s="108">
        <v>0</v>
      </c>
    </row>
    <row r="431" spans="39:80" x14ac:dyDescent="0.55000000000000004">
      <c r="AM431" s="108"/>
      <c r="AQ431" s="104" t="str">
        <f>$V$90</f>
        <v>-</v>
      </c>
      <c r="AR431" s="54">
        <v>0</v>
      </c>
      <c r="AS431" s="54">
        <v>0</v>
      </c>
      <c r="AT431" s="54">
        <v>0</v>
      </c>
      <c r="AU431" s="54">
        <v>0</v>
      </c>
      <c r="AV431" s="54">
        <v>0</v>
      </c>
      <c r="AW431" s="54">
        <v>0</v>
      </c>
      <c r="AX431" s="54">
        <v>0</v>
      </c>
      <c r="AY431" s="54">
        <v>0</v>
      </c>
      <c r="AZ431" s="54">
        <v>0</v>
      </c>
      <c r="BA431" s="54">
        <v>0</v>
      </c>
      <c r="BB431" s="54">
        <v>0</v>
      </c>
      <c r="BC431" s="54">
        <v>0</v>
      </c>
      <c r="BD431" s="54">
        <v>0</v>
      </c>
      <c r="BE431" s="54">
        <v>0</v>
      </c>
      <c r="BF431" s="54">
        <v>0</v>
      </c>
      <c r="BG431" s="54">
        <v>0</v>
      </c>
      <c r="BH431" s="54">
        <v>0</v>
      </c>
      <c r="BK431" s="104" t="str">
        <f>$V$55</f>
        <v>Óscar</v>
      </c>
      <c r="BL431" s="108">
        <v>0</v>
      </c>
      <c r="BM431" s="108">
        <v>0</v>
      </c>
      <c r="BN431" s="108">
        <v>0</v>
      </c>
      <c r="BO431" s="108">
        <v>0</v>
      </c>
      <c r="BP431" s="108">
        <v>0</v>
      </c>
      <c r="BQ431" s="108">
        <v>0</v>
      </c>
      <c r="BR431" s="108">
        <v>0</v>
      </c>
      <c r="BS431" s="108">
        <v>0</v>
      </c>
      <c r="BT431" s="108">
        <v>0</v>
      </c>
      <c r="BU431" s="108">
        <v>0</v>
      </c>
      <c r="BV431" s="108">
        <v>0</v>
      </c>
      <c r="BW431" s="108">
        <v>0</v>
      </c>
      <c r="BX431" s="108">
        <v>0</v>
      </c>
      <c r="BY431" s="108">
        <v>0</v>
      </c>
      <c r="BZ431" s="108">
        <v>0</v>
      </c>
      <c r="CA431" s="108">
        <v>0</v>
      </c>
      <c r="CB431" s="108">
        <v>0</v>
      </c>
    </row>
    <row r="432" spans="39:80" x14ac:dyDescent="0.55000000000000004">
      <c r="AM432" s="108"/>
      <c r="AQ432" s="104" t="str">
        <f>$V$91</f>
        <v>-</v>
      </c>
      <c r="AR432" s="54">
        <v>0</v>
      </c>
      <c r="AS432" s="54">
        <v>0</v>
      </c>
      <c r="AT432" s="54">
        <v>0</v>
      </c>
      <c r="AU432" s="54">
        <v>0</v>
      </c>
      <c r="AV432" s="54">
        <v>0</v>
      </c>
      <c r="AW432" s="54">
        <v>0</v>
      </c>
      <c r="AX432" s="54">
        <v>0</v>
      </c>
      <c r="AY432" s="54">
        <v>0</v>
      </c>
      <c r="AZ432" s="54">
        <v>0</v>
      </c>
      <c r="BA432" s="54">
        <v>0</v>
      </c>
      <c r="BB432" s="54">
        <v>0</v>
      </c>
      <c r="BC432" s="54">
        <v>0</v>
      </c>
      <c r="BD432" s="54">
        <v>0</v>
      </c>
      <c r="BE432" s="54">
        <v>0</v>
      </c>
      <c r="BF432" s="54">
        <v>0</v>
      </c>
      <c r="BG432" s="54">
        <v>0</v>
      </c>
      <c r="BH432" s="54">
        <v>0</v>
      </c>
      <c r="BK432" s="104" t="str">
        <f>$V$56</f>
        <v>Sebastián</v>
      </c>
      <c r="BL432" s="108">
        <v>0</v>
      </c>
      <c r="BM432" s="108">
        <v>0</v>
      </c>
      <c r="BN432" s="108">
        <v>0</v>
      </c>
      <c r="BO432" s="108">
        <v>0</v>
      </c>
      <c r="BP432" s="108">
        <v>0</v>
      </c>
      <c r="BQ432" s="108">
        <v>0</v>
      </c>
      <c r="BR432" s="108">
        <v>0</v>
      </c>
      <c r="BS432" s="108">
        <v>0</v>
      </c>
      <c r="BT432" s="108">
        <v>0</v>
      </c>
      <c r="BU432" s="108">
        <v>0</v>
      </c>
      <c r="BV432" s="108">
        <v>0</v>
      </c>
      <c r="BW432" s="108">
        <v>0</v>
      </c>
      <c r="BX432" s="108">
        <v>0</v>
      </c>
      <c r="BY432" s="108">
        <v>0</v>
      </c>
      <c r="BZ432" s="108">
        <v>0</v>
      </c>
      <c r="CA432" s="108">
        <v>0</v>
      </c>
      <c r="CB432" s="108">
        <v>0</v>
      </c>
    </row>
    <row r="433" spans="3:80" x14ac:dyDescent="0.55000000000000004">
      <c r="AM433" s="108"/>
      <c r="AQ433" s="104" t="str">
        <f>$V$92</f>
        <v>-</v>
      </c>
      <c r="AR433" s="54">
        <v>0</v>
      </c>
      <c r="AS433" s="54">
        <v>0</v>
      </c>
      <c r="AT433" s="54">
        <v>0</v>
      </c>
      <c r="AU433" s="54">
        <v>0</v>
      </c>
      <c r="AV433" s="54">
        <v>0</v>
      </c>
      <c r="AW433" s="54">
        <v>0</v>
      </c>
      <c r="AX433" s="54">
        <v>0</v>
      </c>
      <c r="AY433" s="54">
        <v>0</v>
      </c>
      <c r="AZ433" s="54">
        <v>0</v>
      </c>
      <c r="BA433" s="54">
        <v>0</v>
      </c>
      <c r="BB433" s="54">
        <v>0</v>
      </c>
      <c r="BC433" s="54">
        <v>0</v>
      </c>
      <c r="BD433" s="54">
        <v>0</v>
      </c>
      <c r="BE433" s="54">
        <v>0</v>
      </c>
      <c r="BF433" s="54">
        <v>0</v>
      </c>
      <c r="BG433" s="54">
        <v>0</v>
      </c>
      <c r="BH433" s="54">
        <v>0</v>
      </c>
      <c r="BK433" s="104" t="str">
        <f>$V$57</f>
        <v>Marcos</v>
      </c>
      <c r="BL433" s="108">
        <v>0</v>
      </c>
      <c r="BM433" s="108">
        <v>0</v>
      </c>
      <c r="BN433" s="108">
        <v>0</v>
      </c>
      <c r="BO433" s="108">
        <v>0</v>
      </c>
      <c r="BP433" s="108">
        <v>0</v>
      </c>
      <c r="BQ433" s="108">
        <v>0</v>
      </c>
      <c r="BR433" s="108">
        <v>0</v>
      </c>
      <c r="BS433" s="108">
        <v>0</v>
      </c>
      <c r="BT433" s="108">
        <v>0</v>
      </c>
      <c r="BU433" s="108">
        <v>0</v>
      </c>
      <c r="BV433" s="108">
        <v>0</v>
      </c>
      <c r="BW433" s="108">
        <v>0</v>
      </c>
      <c r="BX433" s="108">
        <v>0</v>
      </c>
      <c r="BY433" s="108">
        <v>0</v>
      </c>
      <c r="BZ433" s="108">
        <v>0</v>
      </c>
      <c r="CA433" s="108">
        <v>0</v>
      </c>
      <c r="CB433" s="108">
        <v>0</v>
      </c>
    </row>
    <row r="434" spans="3:80" x14ac:dyDescent="0.55000000000000004">
      <c r="AM434" s="108"/>
      <c r="AP434" t="str">
        <f>$V$44</f>
        <v>Volante</v>
      </c>
      <c r="AQ434" s="104" t="str">
        <f>$V$53</f>
        <v>Jennifer</v>
      </c>
      <c r="AR434" s="54">
        <v>0</v>
      </c>
      <c r="AS434" s="54">
        <v>0</v>
      </c>
      <c r="AT434" s="54">
        <v>0</v>
      </c>
      <c r="AU434" s="54">
        <v>0</v>
      </c>
      <c r="AV434" s="54">
        <v>0</v>
      </c>
      <c r="AW434" s="54">
        <v>0</v>
      </c>
      <c r="AX434" s="54">
        <v>0</v>
      </c>
      <c r="AY434" s="54">
        <v>0</v>
      </c>
      <c r="AZ434" s="54">
        <v>0</v>
      </c>
      <c r="BA434" s="54">
        <v>0</v>
      </c>
      <c r="BB434" s="54">
        <v>0</v>
      </c>
      <c r="BC434" s="54">
        <v>0</v>
      </c>
      <c r="BD434" s="54">
        <v>0</v>
      </c>
      <c r="BE434" s="54">
        <v>0</v>
      </c>
      <c r="BF434" s="54">
        <v>0</v>
      </c>
      <c r="BG434" s="54">
        <v>0</v>
      </c>
      <c r="BH434" s="54">
        <v>0</v>
      </c>
      <c r="BK434" s="104" t="str">
        <f>$V$58</f>
        <v>Weixin</v>
      </c>
      <c r="BL434" s="108">
        <v>0</v>
      </c>
      <c r="BM434" s="108">
        <v>0</v>
      </c>
      <c r="BN434" s="108">
        <v>0</v>
      </c>
      <c r="BO434" s="108">
        <v>0</v>
      </c>
      <c r="BP434" s="108">
        <v>0</v>
      </c>
      <c r="BQ434" s="108">
        <v>0</v>
      </c>
      <c r="BR434" s="108">
        <v>0</v>
      </c>
      <c r="BS434" s="108">
        <v>0</v>
      </c>
      <c r="BT434" s="108">
        <v>0</v>
      </c>
      <c r="BU434" s="108">
        <v>0</v>
      </c>
      <c r="BV434" s="108">
        <v>0</v>
      </c>
      <c r="BW434" s="108">
        <v>0</v>
      </c>
      <c r="BX434" s="108">
        <v>0</v>
      </c>
      <c r="BY434" s="108">
        <v>0</v>
      </c>
      <c r="BZ434" s="108">
        <v>0</v>
      </c>
      <c r="CA434" s="108">
        <v>0</v>
      </c>
      <c r="CB434" s="108">
        <v>0</v>
      </c>
    </row>
    <row r="435" spans="3:80" x14ac:dyDescent="0.55000000000000004">
      <c r="AM435" s="108"/>
      <c r="AQ435" s="104" t="str">
        <f>$V$54</f>
        <v>Galileo</v>
      </c>
      <c r="AR435" s="54">
        <v>0</v>
      </c>
      <c r="AS435" s="54">
        <v>0</v>
      </c>
      <c r="AT435" s="54">
        <v>0</v>
      </c>
      <c r="AU435" s="54">
        <v>0</v>
      </c>
      <c r="AV435" s="54">
        <v>0</v>
      </c>
      <c r="AW435" s="54">
        <v>0</v>
      </c>
      <c r="AX435" s="54">
        <v>0</v>
      </c>
      <c r="AY435" s="54">
        <v>0</v>
      </c>
      <c r="AZ435" s="54">
        <v>0</v>
      </c>
      <c r="BA435" s="54">
        <v>0</v>
      </c>
      <c r="BB435" s="54">
        <v>0</v>
      </c>
      <c r="BC435" s="54">
        <v>0</v>
      </c>
      <c r="BD435" s="54">
        <v>0</v>
      </c>
      <c r="BE435" s="54">
        <v>0</v>
      </c>
      <c r="BF435" s="54">
        <v>0</v>
      </c>
      <c r="BG435" s="54">
        <v>0</v>
      </c>
      <c r="BH435" s="54">
        <v>0</v>
      </c>
      <c r="BK435" s="104" t="str">
        <f>$V$59</f>
        <v>Benjamin</v>
      </c>
      <c r="BL435" s="108">
        <v>0</v>
      </c>
      <c r="BM435" s="108">
        <v>0</v>
      </c>
      <c r="BN435" s="108">
        <v>0</v>
      </c>
      <c r="BO435" s="108">
        <v>0</v>
      </c>
      <c r="BP435" s="108">
        <v>0</v>
      </c>
      <c r="BQ435" s="108">
        <v>0</v>
      </c>
      <c r="BR435" s="108">
        <v>0</v>
      </c>
      <c r="BS435" s="108">
        <v>0</v>
      </c>
      <c r="BT435" s="108">
        <v>0</v>
      </c>
      <c r="BU435" s="108">
        <v>0</v>
      </c>
      <c r="BV435" s="108">
        <v>0</v>
      </c>
      <c r="BW435" s="108">
        <v>0</v>
      </c>
      <c r="BX435" s="108">
        <v>0</v>
      </c>
      <c r="BY435" s="108">
        <v>0</v>
      </c>
      <c r="BZ435" s="108">
        <v>0</v>
      </c>
      <c r="CA435" s="108">
        <v>0</v>
      </c>
      <c r="CB435" s="108">
        <v>0</v>
      </c>
    </row>
    <row r="436" spans="3:80" x14ac:dyDescent="0.55000000000000004">
      <c r="AM436" s="108"/>
      <c r="AQ436" s="104" t="str">
        <f>$V$55</f>
        <v>Óscar</v>
      </c>
      <c r="AR436" s="54">
        <v>0</v>
      </c>
      <c r="AS436" s="54">
        <v>0</v>
      </c>
      <c r="AT436" s="54">
        <v>0</v>
      </c>
      <c r="AU436" s="54">
        <v>0</v>
      </c>
      <c r="AV436" s="54">
        <v>0</v>
      </c>
      <c r="AW436" s="54">
        <v>0</v>
      </c>
      <c r="AX436" s="54">
        <v>0</v>
      </c>
      <c r="AY436" s="54">
        <v>0</v>
      </c>
      <c r="AZ436" s="54">
        <v>0</v>
      </c>
      <c r="BA436" s="54">
        <v>0</v>
      </c>
      <c r="BB436" s="54">
        <v>0</v>
      </c>
      <c r="BC436" s="54">
        <v>0</v>
      </c>
      <c r="BD436" s="54">
        <v>0</v>
      </c>
      <c r="BE436" s="54">
        <v>0</v>
      </c>
      <c r="BF436" s="54">
        <v>0</v>
      </c>
      <c r="BG436" s="54">
        <v>0</v>
      </c>
      <c r="BH436" s="54">
        <v>0</v>
      </c>
      <c r="BK436" s="104" t="str">
        <f>$V$60</f>
        <v>Joelle</v>
      </c>
      <c r="BL436" s="108">
        <v>0</v>
      </c>
      <c r="BM436" s="108">
        <v>0</v>
      </c>
      <c r="BN436" s="108">
        <v>0</v>
      </c>
      <c r="BO436" s="108">
        <v>0</v>
      </c>
      <c r="BP436" s="108">
        <v>0</v>
      </c>
      <c r="BQ436" s="108">
        <v>0</v>
      </c>
      <c r="BR436" s="108">
        <v>0</v>
      </c>
      <c r="BS436" s="108">
        <v>0</v>
      </c>
      <c r="BT436" s="108">
        <v>0</v>
      </c>
      <c r="BU436" s="108">
        <v>0</v>
      </c>
      <c r="BV436" s="108">
        <v>0</v>
      </c>
      <c r="BW436" s="108">
        <v>0</v>
      </c>
      <c r="BX436" s="108">
        <v>0</v>
      </c>
      <c r="BY436" s="108">
        <v>0</v>
      </c>
      <c r="BZ436" s="108">
        <v>0</v>
      </c>
      <c r="CA436" s="108">
        <v>0</v>
      </c>
      <c r="CB436" s="108">
        <v>0</v>
      </c>
    </row>
    <row r="437" spans="3:80" x14ac:dyDescent="0.55000000000000004">
      <c r="AM437" s="108"/>
      <c r="AQ437" s="104" t="str">
        <f>$V$56</f>
        <v>Sebastián</v>
      </c>
      <c r="AR437" s="54">
        <v>0</v>
      </c>
      <c r="AS437" s="54">
        <v>0</v>
      </c>
      <c r="AT437" s="54">
        <v>0</v>
      </c>
      <c r="AU437" s="54">
        <v>0</v>
      </c>
      <c r="AV437" s="54">
        <v>0</v>
      </c>
      <c r="AW437" s="54">
        <v>0</v>
      </c>
      <c r="AX437" s="54">
        <v>0</v>
      </c>
      <c r="AY437" s="54">
        <v>0</v>
      </c>
      <c r="AZ437" s="54">
        <v>0</v>
      </c>
      <c r="BA437" s="54">
        <v>0</v>
      </c>
      <c r="BB437" s="54">
        <v>0</v>
      </c>
      <c r="BC437" s="54">
        <v>0</v>
      </c>
      <c r="BD437" s="54">
        <v>0</v>
      </c>
      <c r="BE437" s="54">
        <v>0</v>
      </c>
      <c r="BF437" s="54">
        <v>0</v>
      </c>
      <c r="BG437" s="54">
        <v>0</v>
      </c>
      <c r="BH437" s="54">
        <v>0</v>
      </c>
      <c r="BK437" s="104" t="str">
        <f>$V$61</f>
        <v>Alexia</v>
      </c>
      <c r="BL437" s="108">
        <v>0</v>
      </c>
      <c r="BM437" s="108">
        <v>0</v>
      </c>
      <c r="BN437" s="108">
        <v>0</v>
      </c>
      <c r="BO437" s="108">
        <v>0</v>
      </c>
      <c r="BP437" s="108">
        <v>0</v>
      </c>
      <c r="BQ437" s="108">
        <v>0</v>
      </c>
      <c r="BR437" s="108">
        <v>0</v>
      </c>
      <c r="BS437" s="108">
        <v>0</v>
      </c>
      <c r="BT437" s="108">
        <v>0</v>
      </c>
      <c r="BU437" s="108">
        <v>0</v>
      </c>
      <c r="BV437" s="108">
        <v>0</v>
      </c>
      <c r="BW437" s="108">
        <v>0</v>
      </c>
      <c r="BX437" s="108">
        <v>0</v>
      </c>
      <c r="BY437" s="108">
        <v>0</v>
      </c>
      <c r="BZ437" s="108">
        <v>0</v>
      </c>
      <c r="CA437" s="108">
        <v>0</v>
      </c>
      <c r="CB437" s="108">
        <v>0</v>
      </c>
    </row>
    <row r="438" spans="3:80" x14ac:dyDescent="0.55000000000000004">
      <c r="AM438" s="108"/>
      <c r="AQ438" s="104" t="str">
        <f>$V$57</f>
        <v>Marcos</v>
      </c>
      <c r="AR438" s="54">
        <v>0</v>
      </c>
      <c r="AS438" s="54">
        <v>0</v>
      </c>
      <c r="AT438" s="54">
        <v>0</v>
      </c>
      <c r="AU438" s="54">
        <v>0</v>
      </c>
      <c r="AV438" s="54">
        <v>0</v>
      </c>
      <c r="AW438" s="54">
        <v>0</v>
      </c>
      <c r="AX438" s="54">
        <v>0</v>
      </c>
      <c r="AY438" s="54">
        <v>0</v>
      </c>
      <c r="AZ438" s="54">
        <v>0</v>
      </c>
      <c r="BA438" s="54">
        <v>1</v>
      </c>
      <c r="BB438" s="54">
        <v>0</v>
      </c>
      <c r="BC438" s="54">
        <v>0</v>
      </c>
      <c r="BD438" s="54">
        <v>0</v>
      </c>
      <c r="BE438" s="54">
        <v>0</v>
      </c>
      <c r="BF438" s="54">
        <v>0</v>
      </c>
      <c r="BG438" s="54">
        <v>0</v>
      </c>
      <c r="BH438" s="54">
        <v>0</v>
      </c>
      <c r="BK438" s="104" t="str">
        <f>$V$62</f>
        <v>Joao</v>
      </c>
      <c r="BL438" s="108">
        <v>0</v>
      </c>
      <c r="BM438" s="108">
        <v>0</v>
      </c>
      <c r="BN438" s="108">
        <v>0</v>
      </c>
      <c r="BO438" s="108">
        <v>0</v>
      </c>
      <c r="BP438" s="108">
        <v>0</v>
      </c>
      <c r="BQ438" s="108">
        <v>0</v>
      </c>
      <c r="BR438" s="108">
        <v>0</v>
      </c>
      <c r="BS438" s="108">
        <v>0</v>
      </c>
      <c r="BT438" s="108">
        <v>0</v>
      </c>
      <c r="BU438" s="108">
        <v>0</v>
      </c>
      <c r="BV438" s="108">
        <v>0</v>
      </c>
      <c r="BW438" s="108">
        <v>0</v>
      </c>
      <c r="BX438" s="108">
        <v>0</v>
      </c>
      <c r="BY438" s="108">
        <v>0</v>
      </c>
      <c r="BZ438" s="108">
        <v>0</v>
      </c>
      <c r="CA438" s="108">
        <v>0</v>
      </c>
      <c r="CB438" s="108">
        <v>0</v>
      </c>
    </row>
    <row r="439" spans="3:80" x14ac:dyDescent="0.55000000000000004">
      <c r="AM439" s="108"/>
      <c r="AQ439" s="104" t="str">
        <f>$V$58</f>
        <v>Weixin</v>
      </c>
      <c r="AR439" s="54">
        <v>0</v>
      </c>
      <c r="AS439" s="54">
        <v>1</v>
      </c>
      <c r="AT439" s="54">
        <v>0</v>
      </c>
      <c r="AU439" s="54">
        <v>0</v>
      </c>
      <c r="AV439" s="54">
        <v>0</v>
      </c>
      <c r="AW439" s="54">
        <v>0</v>
      </c>
      <c r="AX439" s="54">
        <v>0</v>
      </c>
      <c r="AY439" s="54">
        <v>0</v>
      </c>
      <c r="AZ439" s="54">
        <v>0</v>
      </c>
      <c r="BA439" s="54">
        <v>0</v>
      </c>
      <c r="BB439" s="54">
        <v>0</v>
      </c>
      <c r="BC439" s="54">
        <v>0</v>
      </c>
      <c r="BD439" s="54">
        <v>0</v>
      </c>
      <c r="BE439" s="54">
        <v>0</v>
      </c>
      <c r="BF439" s="54">
        <v>0</v>
      </c>
      <c r="BG439" s="54">
        <v>0</v>
      </c>
      <c r="BH439" s="54">
        <v>0</v>
      </c>
      <c r="BK439" s="104" t="str">
        <f>$V$63</f>
        <v>Maxime</v>
      </c>
      <c r="BL439" s="108">
        <v>0</v>
      </c>
      <c r="BM439" s="108">
        <v>0</v>
      </c>
      <c r="BN439" s="108">
        <v>0</v>
      </c>
      <c r="BO439" s="108">
        <v>0</v>
      </c>
      <c r="BP439" s="108">
        <v>0</v>
      </c>
      <c r="BQ439" s="108">
        <v>0</v>
      </c>
      <c r="BR439" s="108">
        <v>0</v>
      </c>
      <c r="BS439" s="108">
        <v>0</v>
      </c>
      <c r="BT439" s="108">
        <v>0</v>
      </c>
      <c r="BU439" s="108">
        <v>0</v>
      </c>
      <c r="BV439" s="108">
        <v>0</v>
      </c>
      <c r="BW439" s="108">
        <v>0</v>
      </c>
      <c r="BX439" s="108">
        <v>0</v>
      </c>
      <c r="BY439" s="108">
        <v>0</v>
      </c>
      <c r="BZ439" s="108">
        <v>0</v>
      </c>
      <c r="CA439" s="108">
        <v>0</v>
      </c>
      <c r="CB439" s="108">
        <v>0</v>
      </c>
    </row>
    <row r="440" spans="3:80" x14ac:dyDescent="0.55000000000000004">
      <c r="AM440" s="108"/>
      <c r="AQ440" s="104" t="str">
        <f>$V$59</f>
        <v>Benjamin</v>
      </c>
      <c r="AR440" s="54">
        <v>0</v>
      </c>
      <c r="AS440" s="54">
        <v>1</v>
      </c>
      <c r="AT440" s="54">
        <v>0</v>
      </c>
      <c r="AU440" s="54">
        <v>0</v>
      </c>
      <c r="AV440" s="54">
        <v>0</v>
      </c>
      <c r="AW440" s="54">
        <v>0</v>
      </c>
      <c r="AX440" s="54">
        <v>0</v>
      </c>
      <c r="AY440" s="54">
        <v>0</v>
      </c>
      <c r="AZ440" s="54">
        <v>0</v>
      </c>
      <c r="BA440" s="54">
        <v>1</v>
      </c>
      <c r="BB440" s="54">
        <v>0</v>
      </c>
      <c r="BC440" s="54">
        <v>0</v>
      </c>
      <c r="BD440" s="54">
        <v>0</v>
      </c>
      <c r="BE440" s="54">
        <v>0</v>
      </c>
      <c r="BF440" s="54">
        <v>0</v>
      </c>
      <c r="BG440" s="54">
        <v>0</v>
      </c>
      <c r="BH440" s="54">
        <v>0</v>
      </c>
      <c r="BK440" s="104" t="str">
        <f>$V$64</f>
        <v>Alex</v>
      </c>
      <c r="BL440" s="108">
        <v>0</v>
      </c>
      <c r="BM440" s="108">
        <v>0</v>
      </c>
      <c r="BN440" s="108">
        <v>0</v>
      </c>
      <c r="BO440" s="108">
        <v>0</v>
      </c>
      <c r="BP440" s="108">
        <v>0</v>
      </c>
      <c r="BQ440" s="108">
        <v>0</v>
      </c>
      <c r="BR440" s="108">
        <v>0</v>
      </c>
      <c r="BS440" s="108">
        <v>0</v>
      </c>
      <c r="BT440" s="108">
        <v>0</v>
      </c>
      <c r="BU440" s="108">
        <v>0</v>
      </c>
      <c r="BV440" s="108">
        <v>0</v>
      </c>
      <c r="BW440" s="108">
        <v>0</v>
      </c>
      <c r="BX440" s="108">
        <v>0</v>
      </c>
      <c r="BY440" s="108">
        <v>0</v>
      </c>
      <c r="BZ440" s="108">
        <v>0</v>
      </c>
      <c r="CA440" s="108">
        <v>0</v>
      </c>
      <c r="CB440" s="108">
        <v>0</v>
      </c>
    </row>
    <row r="441" spans="3:80" x14ac:dyDescent="0.55000000000000004">
      <c r="AM441" s="108"/>
      <c r="AQ441" s="104" t="str">
        <f>$V$60</f>
        <v>Joelle</v>
      </c>
      <c r="AR441" s="54">
        <v>0</v>
      </c>
      <c r="AS441" s="54">
        <v>0</v>
      </c>
      <c r="AT441" s="54">
        <v>0</v>
      </c>
      <c r="AU441" s="54">
        <v>0</v>
      </c>
      <c r="AV441" s="54">
        <v>0</v>
      </c>
      <c r="AW441" s="54">
        <v>0</v>
      </c>
      <c r="AX441" s="54">
        <v>0</v>
      </c>
      <c r="AY441" s="54">
        <v>0</v>
      </c>
      <c r="AZ441" s="54">
        <v>0</v>
      </c>
      <c r="BA441" s="54">
        <v>0</v>
      </c>
      <c r="BB441" s="54">
        <v>0</v>
      </c>
      <c r="BC441" s="54">
        <v>0</v>
      </c>
      <c r="BD441" s="54">
        <v>0</v>
      </c>
      <c r="BE441" s="54">
        <v>0</v>
      </c>
      <c r="BF441" s="54">
        <v>0</v>
      </c>
      <c r="BG441" s="54">
        <v>0</v>
      </c>
      <c r="BH441" s="54">
        <v>0</v>
      </c>
      <c r="BK441" s="104" t="str">
        <f>$V$65</f>
        <v>Alyssa</v>
      </c>
      <c r="BL441" s="108">
        <v>0</v>
      </c>
      <c r="BM441" s="108">
        <v>0</v>
      </c>
      <c r="BN441" s="108">
        <v>0</v>
      </c>
      <c r="BO441" s="108">
        <v>0</v>
      </c>
      <c r="BP441" s="108">
        <v>0</v>
      </c>
      <c r="BQ441" s="108">
        <v>0</v>
      </c>
      <c r="BR441" s="108">
        <v>0</v>
      </c>
      <c r="BS441" s="108">
        <v>0</v>
      </c>
      <c r="BT441" s="108">
        <v>0</v>
      </c>
      <c r="BU441" s="108">
        <v>0</v>
      </c>
      <c r="BV441" s="108">
        <v>0</v>
      </c>
      <c r="BW441" s="108">
        <v>0</v>
      </c>
      <c r="BX441" s="108">
        <v>0</v>
      </c>
      <c r="BY441" s="108">
        <v>0</v>
      </c>
      <c r="BZ441" s="108">
        <v>0</v>
      </c>
      <c r="CA441" s="108">
        <v>0</v>
      </c>
      <c r="CB441" s="108">
        <v>0</v>
      </c>
    </row>
    <row r="442" spans="3:80" x14ac:dyDescent="0.55000000000000004">
      <c r="C442" s="104" t="s">
        <v>155</v>
      </c>
      <c r="AM442" s="108"/>
      <c r="AQ442" s="104" t="str">
        <f>$V$61</f>
        <v>Alexia</v>
      </c>
      <c r="AR442" s="54">
        <v>0</v>
      </c>
      <c r="AS442" s="54">
        <v>0</v>
      </c>
      <c r="AT442" s="54">
        <v>0</v>
      </c>
      <c r="AU442" s="54">
        <v>0</v>
      </c>
      <c r="AV442" s="54">
        <v>0</v>
      </c>
      <c r="AW442" s="54">
        <v>0</v>
      </c>
      <c r="AX442" s="54">
        <v>0</v>
      </c>
      <c r="AY442" s="54">
        <v>0</v>
      </c>
      <c r="AZ442" s="54">
        <v>0</v>
      </c>
      <c r="BA442" s="54">
        <v>0</v>
      </c>
      <c r="BB442" s="54">
        <v>0</v>
      </c>
      <c r="BC442" s="54">
        <v>0</v>
      </c>
      <c r="BD442" s="54">
        <v>0</v>
      </c>
      <c r="BE442" s="54">
        <v>0</v>
      </c>
      <c r="BF442" s="54">
        <v>0</v>
      </c>
      <c r="BG442" s="54">
        <v>0</v>
      </c>
      <c r="BH442" s="54">
        <v>0</v>
      </c>
      <c r="BK442" s="104" t="str">
        <f>$V$66</f>
        <v>Amanda</v>
      </c>
      <c r="BL442" s="108">
        <v>0</v>
      </c>
      <c r="BM442" s="108">
        <v>0</v>
      </c>
      <c r="BN442" s="108">
        <v>0</v>
      </c>
      <c r="BO442" s="108">
        <v>0</v>
      </c>
      <c r="BP442" s="108">
        <v>0</v>
      </c>
      <c r="BQ442" s="108">
        <v>0</v>
      </c>
      <c r="BR442" s="108">
        <v>0</v>
      </c>
      <c r="BS442" s="108">
        <v>0</v>
      </c>
      <c r="BT442" s="108">
        <v>0</v>
      </c>
      <c r="BU442" s="108">
        <v>0</v>
      </c>
      <c r="BV442" s="108">
        <v>0</v>
      </c>
      <c r="BW442" s="108">
        <v>0</v>
      </c>
      <c r="BX442" s="108">
        <v>0</v>
      </c>
      <c r="BY442" s="108">
        <v>0</v>
      </c>
      <c r="BZ442" s="108">
        <v>0</v>
      </c>
      <c r="CA442" s="108">
        <v>0</v>
      </c>
      <c r="CB442" s="108">
        <v>0</v>
      </c>
    </row>
    <row r="443" spans="3:80" x14ac:dyDescent="0.55000000000000004">
      <c r="C443" s="104" t="str">
        <f>$BK$33</f>
        <v>Set up</v>
      </c>
      <c r="D443" s="104" t="str">
        <f>$W$33</f>
        <v>16h</v>
      </c>
      <c r="E443" s="104" t="str">
        <f>$X$33</f>
        <v>17h</v>
      </c>
      <c r="F443" s="104" t="str">
        <f>$Y$33</f>
        <v>18h</v>
      </c>
      <c r="G443" s="104" t="str">
        <f>$Z$33</f>
        <v>19h</v>
      </c>
      <c r="H443" s="104" t="str">
        <f>$AA$33</f>
        <v>20h</v>
      </c>
      <c r="I443" s="104" t="str">
        <f>$AB$33</f>
        <v>21h</v>
      </c>
      <c r="J443" s="104" t="str">
        <f>$AC$33</f>
        <v>22h</v>
      </c>
      <c r="K443" s="104" t="str">
        <f>$AD$33</f>
        <v>23h</v>
      </c>
      <c r="L443" s="104" t="str">
        <f>$AE$33</f>
        <v>00h</v>
      </c>
      <c r="M443" s="104" t="str">
        <f>$AF$33</f>
        <v>01h</v>
      </c>
      <c r="N443" s="104" t="str">
        <f>$AG$33</f>
        <v>02h</v>
      </c>
      <c r="O443" s="104" t="str">
        <f>$AH$33</f>
        <v>03h</v>
      </c>
      <c r="P443" s="104" t="str">
        <f>$AI$33</f>
        <v>04h</v>
      </c>
      <c r="Q443" s="104" t="str">
        <f>$AJ$33</f>
        <v>05h</v>
      </c>
      <c r="R443" s="104" t="str">
        <f>$AK$33</f>
        <v>06h</v>
      </c>
      <c r="S443" s="104" t="str">
        <f>$AL$33</f>
        <v>07h</v>
      </c>
      <c r="V443" s="104" t="str">
        <f>$BK$33</f>
        <v>Set up</v>
      </c>
      <c r="W443" s="104" t="str">
        <f>$W$33</f>
        <v>16h</v>
      </c>
      <c r="X443" s="104" t="str">
        <f>$X$33</f>
        <v>17h</v>
      </c>
      <c r="Y443" s="104" t="str">
        <f>$Y$33</f>
        <v>18h</v>
      </c>
      <c r="Z443" s="104" t="str">
        <f>$Z$33</f>
        <v>19h</v>
      </c>
      <c r="AA443" s="104" t="str">
        <f>$AA$33</f>
        <v>20h</v>
      </c>
      <c r="AB443" s="104" t="str">
        <f>$AB$33</f>
        <v>21h</v>
      </c>
      <c r="AC443" s="104" t="str">
        <f>$AC$33</f>
        <v>22h</v>
      </c>
      <c r="AD443" s="104" t="str">
        <f>$AD$33</f>
        <v>23h</v>
      </c>
      <c r="AE443" s="104" t="str">
        <f>$AE$33</f>
        <v>00h</v>
      </c>
      <c r="AF443" s="104" t="str">
        <f>$AF$33</f>
        <v>01h</v>
      </c>
      <c r="AG443" s="104" t="str">
        <f>$AG$33</f>
        <v>02h</v>
      </c>
      <c r="AH443" s="104" t="str">
        <f>$AH$33</f>
        <v>03h</v>
      </c>
      <c r="AI443" s="104" t="str">
        <f>$AI$33</f>
        <v>04h</v>
      </c>
      <c r="AJ443" s="104" t="str">
        <f>$AJ$33</f>
        <v>05h</v>
      </c>
      <c r="AK443" s="104" t="str">
        <f>$AK$33</f>
        <v>06h</v>
      </c>
      <c r="AL443" s="104" t="str">
        <f>$AL$33</f>
        <v>07h</v>
      </c>
      <c r="AM443" s="108"/>
      <c r="AQ443" s="104" t="str">
        <f>$V$62</f>
        <v>Joao</v>
      </c>
      <c r="AR443" s="54">
        <v>0</v>
      </c>
      <c r="AS443" s="54">
        <v>0</v>
      </c>
      <c r="AT443" s="54">
        <v>0</v>
      </c>
      <c r="AU443" s="54">
        <v>0</v>
      </c>
      <c r="AV443" s="54">
        <v>0</v>
      </c>
      <c r="AW443" s="54">
        <v>0</v>
      </c>
      <c r="AX443" s="54">
        <v>0</v>
      </c>
      <c r="AY443" s="54">
        <v>0</v>
      </c>
      <c r="AZ443" s="54">
        <v>0</v>
      </c>
      <c r="BA443" s="54">
        <v>0</v>
      </c>
      <c r="BB443" s="54">
        <v>0</v>
      </c>
      <c r="BC443" s="54">
        <v>0</v>
      </c>
      <c r="BD443" s="54">
        <v>0</v>
      </c>
      <c r="BE443" s="54">
        <v>0</v>
      </c>
      <c r="BF443" s="54">
        <v>0</v>
      </c>
      <c r="BG443" s="54">
        <v>0</v>
      </c>
      <c r="BH443" s="54">
        <v>0</v>
      </c>
      <c r="BK443" s="104" t="str">
        <f>$V$67</f>
        <v>Antoine</v>
      </c>
      <c r="BL443" s="108">
        <v>0</v>
      </c>
      <c r="BM443" s="108">
        <v>0</v>
      </c>
      <c r="BN443" s="108">
        <v>0</v>
      </c>
      <c r="BO443" s="108">
        <v>0</v>
      </c>
      <c r="BP443" s="108">
        <v>0</v>
      </c>
      <c r="BQ443" s="108">
        <v>0</v>
      </c>
      <c r="BR443" s="108">
        <v>0</v>
      </c>
      <c r="BS443" s="108">
        <v>0</v>
      </c>
      <c r="BT443" s="108">
        <v>0</v>
      </c>
      <c r="BU443" s="108">
        <v>0</v>
      </c>
      <c r="BV443" s="108">
        <v>0</v>
      </c>
      <c r="BW443" s="108">
        <v>0</v>
      </c>
      <c r="BX443" s="108">
        <v>0</v>
      </c>
      <c r="BY443" s="108">
        <v>0</v>
      </c>
      <c r="BZ443" s="108">
        <v>0</v>
      </c>
      <c r="CA443" s="108">
        <v>0</v>
      </c>
      <c r="CB443" s="108">
        <v>0</v>
      </c>
    </row>
    <row r="444" spans="3:80" x14ac:dyDescent="0.55000000000000004">
      <c r="C444" s="104" t="str">
        <f>$V$53</f>
        <v>Jennifer</v>
      </c>
      <c r="D444" s="108">
        <f t="shared" ref="D444:S444" si="166">D53</f>
        <v>0</v>
      </c>
      <c r="E444" s="108">
        <f t="shared" si="166"/>
        <v>0</v>
      </c>
      <c r="F444" s="108">
        <f t="shared" si="166"/>
        <v>0</v>
      </c>
      <c r="G444" s="108">
        <f t="shared" si="166"/>
        <v>0</v>
      </c>
      <c r="H444" s="108">
        <f t="shared" si="166"/>
        <v>0</v>
      </c>
      <c r="I444" s="108">
        <f t="shared" si="166"/>
        <v>0</v>
      </c>
      <c r="J444" s="108">
        <f t="shared" si="166"/>
        <v>0</v>
      </c>
      <c r="K444" s="108">
        <f t="shared" si="166"/>
        <v>0</v>
      </c>
      <c r="L444" s="108">
        <f t="shared" si="166"/>
        <v>0</v>
      </c>
      <c r="M444" s="108">
        <f t="shared" si="166"/>
        <v>0</v>
      </c>
      <c r="N444" s="108">
        <f t="shared" si="166"/>
        <v>0</v>
      </c>
      <c r="O444" s="108">
        <f t="shared" si="166"/>
        <v>0</v>
      </c>
      <c r="P444" s="108">
        <f t="shared" si="166"/>
        <v>0</v>
      </c>
      <c r="Q444" s="108">
        <f t="shared" si="166"/>
        <v>0</v>
      </c>
      <c r="R444" s="108">
        <f t="shared" si="166"/>
        <v>0</v>
      </c>
      <c r="S444" s="108">
        <f t="shared" si="166"/>
        <v>0</v>
      </c>
      <c r="T444" s="28" t="s">
        <v>26</v>
      </c>
      <c r="V444" s="104" t="str">
        <f>$V$53</f>
        <v>Jennifer</v>
      </c>
      <c r="W444" s="108">
        <f t="shared" ref="W444:W483" si="167">AR34+AS34-1</f>
        <v>0</v>
      </c>
      <c r="X444" s="108">
        <f t="shared" ref="X444:X483" si="168">AS34+AT34-1</f>
        <v>0</v>
      </c>
      <c r="Y444" s="108">
        <f t="shared" ref="Y444:Y483" si="169">AT34+AU34-1</f>
        <v>-1</v>
      </c>
      <c r="Z444" s="108">
        <f t="shared" ref="Z444:Z483" si="170">AU34+AV34-1</f>
        <v>0</v>
      </c>
      <c r="AA444" s="108">
        <f t="shared" ref="AA444:AA483" si="171">AV34+AW34-1</f>
        <v>0</v>
      </c>
      <c r="AB444" s="108">
        <f t="shared" ref="AB444:AB483" si="172">AW34+AX34-1</f>
        <v>0</v>
      </c>
      <c r="AC444" s="108">
        <f t="shared" ref="AC444:AC483" si="173">AX34+AY34-1</f>
        <v>0</v>
      </c>
      <c r="AD444" s="108">
        <f t="shared" ref="AD444:AD483" si="174">AY34+AZ34-1</f>
        <v>-1</v>
      </c>
      <c r="AE444" s="108">
        <f t="shared" ref="AE444:AE483" si="175">AZ34+BA34-1</f>
        <v>0</v>
      </c>
      <c r="AF444" s="108">
        <f t="shared" ref="AF444:AF483" si="176">BA34+BB34-1</f>
        <v>0</v>
      </c>
      <c r="AG444" s="108">
        <f t="shared" ref="AG444:AG483" si="177">BB34+BC34-1</f>
        <v>-1</v>
      </c>
      <c r="AH444" s="108">
        <f t="shared" ref="AH444:AH483" si="178">BC34+BD34-1</f>
        <v>-1</v>
      </c>
      <c r="AI444" s="108">
        <f t="shared" ref="AI444:AI483" si="179">BD34+BE34-1</f>
        <v>-1</v>
      </c>
      <c r="AJ444" s="108">
        <f t="shared" ref="AJ444:AJ483" si="180">BE34+BF34-1</f>
        <v>-1</v>
      </c>
      <c r="AK444" s="108">
        <f t="shared" ref="AK444:AK483" si="181">BF34+BG34-1</f>
        <v>-1</v>
      </c>
      <c r="AL444" s="108">
        <f t="shared" ref="AL444:AL483" si="182">BG34+BH34-1</f>
        <v>-1</v>
      </c>
      <c r="AM444" s="108"/>
      <c r="AQ444" s="104" t="str">
        <f>$V$63</f>
        <v>Maxime</v>
      </c>
      <c r="AR444" s="54">
        <v>0</v>
      </c>
      <c r="AS444" s="54">
        <v>0</v>
      </c>
      <c r="AT444" s="54">
        <v>0</v>
      </c>
      <c r="AU444" s="54">
        <v>0</v>
      </c>
      <c r="AV444" s="54">
        <v>0</v>
      </c>
      <c r="AW444" s="54">
        <v>0</v>
      </c>
      <c r="AX444" s="54">
        <v>0</v>
      </c>
      <c r="AY444" s="54">
        <v>0</v>
      </c>
      <c r="AZ444" s="54">
        <v>0</v>
      </c>
      <c r="BA444" s="54">
        <v>0</v>
      </c>
      <c r="BB444" s="54">
        <v>0</v>
      </c>
      <c r="BC444" s="54">
        <v>0</v>
      </c>
      <c r="BD444" s="54">
        <v>0</v>
      </c>
      <c r="BE444" s="54">
        <v>0</v>
      </c>
      <c r="BF444" s="54">
        <v>0</v>
      </c>
      <c r="BG444" s="54">
        <v>0</v>
      </c>
      <c r="BH444" s="54">
        <v>0</v>
      </c>
      <c r="BK444" s="104" t="str">
        <f>$V$68</f>
        <v>Beatriz</v>
      </c>
      <c r="BL444" s="108">
        <v>0</v>
      </c>
      <c r="BM444" s="108">
        <v>0</v>
      </c>
      <c r="BN444" s="108">
        <v>0</v>
      </c>
      <c r="BO444" s="108">
        <v>0</v>
      </c>
      <c r="BP444" s="108">
        <v>0</v>
      </c>
      <c r="BQ444" s="108">
        <v>0</v>
      </c>
      <c r="BR444" s="108">
        <v>0</v>
      </c>
      <c r="BS444" s="108">
        <v>0</v>
      </c>
      <c r="BT444" s="108">
        <v>0</v>
      </c>
      <c r="BU444" s="108">
        <v>0</v>
      </c>
      <c r="BV444" s="108">
        <v>0</v>
      </c>
      <c r="BW444" s="108">
        <v>0</v>
      </c>
      <c r="BX444" s="108">
        <v>0</v>
      </c>
      <c r="BY444" s="108">
        <v>0</v>
      </c>
      <c r="BZ444" s="108">
        <v>0</v>
      </c>
      <c r="CA444" s="108">
        <v>0</v>
      </c>
      <c r="CB444" s="108">
        <v>0</v>
      </c>
    </row>
    <row r="445" spans="3:80" x14ac:dyDescent="0.55000000000000004">
      <c r="C445" s="104" t="str">
        <f>$V$54</f>
        <v>Galileo</v>
      </c>
      <c r="D445" s="108">
        <f t="shared" ref="D445:S445" si="183">D54</f>
        <v>0</v>
      </c>
      <c r="E445" s="108">
        <f t="shared" si="183"/>
        <v>0</v>
      </c>
      <c r="F445" s="108">
        <f t="shared" si="183"/>
        <v>0</v>
      </c>
      <c r="G445" s="108">
        <f t="shared" si="183"/>
        <v>0</v>
      </c>
      <c r="H445" s="108">
        <f t="shared" si="183"/>
        <v>0</v>
      </c>
      <c r="I445" s="108">
        <f t="shared" si="183"/>
        <v>0</v>
      </c>
      <c r="J445" s="108">
        <f t="shared" si="183"/>
        <v>0</v>
      </c>
      <c r="K445" s="108">
        <f t="shared" si="183"/>
        <v>0</v>
      </c>
      <c r="L445" s="108">
        <f t="shared" si="183"/>
        <v>0</v>
      </c>
      <c r="M445" s="108">
        <f t="shared" si="183"/>
        <v>0</v>
      </c>
      <c r="N445" s="108">
        <f t="shared" si="183"/>
        <v>0</v>
      </c>
      <c r="O445" s="108">
        <f t="shared" si="183"/>
        <v>0</v>
      </c>
      <c r="P445" s="108">
        <f t="shared" si="183"/>
        <v>0</v>
      </c>
      <c r="Q445" s="108">
        <f t="shared" si="183"/>
        <v>0</v>
      </c>
      <c r="R445" s="108">
        <f t="shared" si="183"/>
        <v>0</v>
      </c>
      <c r="S445" s="108">
        <f t="shared" si="183"/>
        <v>0</v>
      </c>
      <c r="T445" s="28" t="s">
        <v>26</v>
      </c>
      <c r="V445" s="104" t="str">
        <f>$V$54</f>
        <v>Galileo</v>
      </c>
      <c r="W445" s="108">
        <f t="shared" si="167"/>
        <v>-1</v>
      </c>
      <c r="X445" s="108">
        <f t="shared" si="168"/>
        <v>-1</v>
      </c>
      <c r="Y445" s="108">
        <f t="shared" si="169"/>
        <v>-1</v>
      </c>
      <c r="Z445" s="108">
        <f t="shared" si="170"/>
        <v>-1</v>
      </c>
      <c r="AA445" s="108">
        <f t="shared" si="171"/>
        <v>-1</v>
      </c>
      <c r="AB445" s="108">
        <f t="shared" si="172"/>
        <v>-1</v>
      </c>
      <c r="AC445" s="108">
        <f t="shared" si="173"/>
        <v>-1</v>
      </c>
      <c r="AD445" s="108">
        <f t="shared" si="174"/>
        <v>0</v>
      </c>
      <c r="AE445" s="108">
        <f t="shared" si="175"/>
        <v>0</v>
      </c>
      <c r="AF445" s="108">
        <f t="shared" si="176"/>
        <v>-1</v>
      </c>
      <c r="AG445" s="108">
        <f t="shared" si="177"/>
        <v>-1</v>
      </c>
      <c r="AH445" s="108">
        <f t="shared" si="178"/>
        <v>-1</v>
      </c>
      <c r="AI445" s="108">
        <f t="shared" si="179"/>
        <v>-1</v>
      </c>
      <c r="AJ445" s="108">
        <f t="shared" si="180"/>
        <v>-1</v>
      </c>
      <c r="AK445" s="108">
        <f t="shared" si="181"/>
        <v>-1</v>
      </c>
      <c r="AL445" s="108">
        <f t="shared" si="182"/>
        <v>-1</v>
      </c>
      <c r="AM445" s="108"/>
      <c r="AQ445" s="104" t="str">
        <f>$V$64</f>
        <v>Alex</v>
      </c>
      <c r="AR445" s="54">
        <v>0</v>
      </c>
      <c r="AS445" s="54">
        <v>0</v>
      </c>
      <c r="AT445" s="54">
        <v>0</v>
      </c>
      <c r="AU445" s="54">
        <v>0</v>
      </c>
      <c r="AV445" s="54">
        <v>0</v>
      </c>
      <c r="AW445" s="54">
        <v>0</v>
      </c>
      <c r="AX445" s="54">
        <v>0</v>
      </c>
      <c r="AY445" s="54">
        <v>0</v>
      </c>
      <c r="AZ445" s="54">
        <v>0</v>
      </c>
      <c r="BA445" s="54">
        <v>0</v>
      </c>
      <c r="BB445" s="54">
        <v>0</v>
      </c>
      <c r="BC445" s="54">
        <v>0</v>
      </c>
      <c r="BD445" s="54">
        <v>0</v>
      </c>
      <c r="BE445" s="54">
        <v>0</v>
      </c>
      <c r="BF445" s="54">
        <v>0</v>
      </c>
      <c r="BG445" s="54">
        <v>0</v>
      </c>
      <c r="BH445" s="54">
        <v>0</v>
      </c>
      <c r="BK445" s="104" t="str">
        <f>$V$69</f>
        <v>Charelle</v>
      </c>
      <c r="BL445" s="108">
        <v>0</v>
      </c>
      <c r="BM445" s="108">
        <v>0</v>
      </c>
      <c r="BN445" s="108">
        <v>0</v>
      </c>
      <c r="BO445" s="108">
        <v>0</v>
      </c>
      <c r="BP445" s="108">
        <v>0</v>
      </c>
      <c r="BQ445" s="108">
        <v>0</v>
      </c>
      <c r="BR445" s="108">
        <v>0</v>
      </c>
      <c r="BS445" s="108">
        <v>0</v>
      </c>
      <c r="BT445" s="108">
        <v>0</v>
      </c>
      <c r="BU445" s="108">
        <v>0</v>
      </c>
      <c r="BV445" s="108">
        <v>0</v>
      </c>
      <c r="BW445" s="108">
        <v>0</v>
      </c>
      <c r="BX445" s="108">
        <v>0</v>
      </c>
      <c r="BY445" s="108">
        <v>0</v>
      </c>
      <c r="BZ445" s="108">
        <v>0</v>
      </c>
      <c r="CA445" s="108">
        <v>0</v>
      </c>
      <c r="CB445" s="108">
        <v>0</v>
      </c>
    </row>
    <row r="446" spans="3:80" x14ac:dyDescent="0.55000000000000004">
      <c r="C446" s="104" t="str">
        <f>$V$55</f>
        <v>Óscar</v>
      </c>
      <c r="D446" s="108">
        <f t="shared" ref="D446:S446" si="184">D55</f>
        <v>0</v>
      </c>
      <c r="E446" s="108">
        <f t="shared" si="184"/>
        <v>0</v>
      </c>
      <c r="F446" s="108">
        <f t="shared" si="184"/>
        <v>0</v>
      </c>
      <c r="G446" s="108">
        <f t="shared" si="184"/>
        <v>0</v>
      </c>
      <c r="H446" s="108">
        <f t="shared" si="184"/>
        <v>0</v>
      </c>
      <c r="I446" s="108">
        <f t="shared" si="184"/>
        <v>0</v>
      </c>
      <c r="J446" s="108">
        <f t="shared" si="184"/>
        <v>0</v>
      </c>
      <c r="K446" s="108">
        <f t="shared" si="184"/>
        <v>0</v>
      </c>
      <c r="L446" s="108">
        <f t="shared" si="184"/>
        <v>0</v>
      </c>
      <c r="M446" s="108">
        <f t="shared" si="184"/>
        <v>0</v>
      </c>
      <c r="N446" s="108">
        <f t="shared" si="184"/>
        <v>0</v>
      </c>
      <c r="O446" s="108">
        <f t="shared" si="184"/>
        <v>0</v>
      </c>
      <c r="P446" s="108">
        <f t="shared" si="184"/>
        <v>0</v>
      </c>
      <c r="Q446" s="108">
        <f t="shared" si="184"/>
        <v>0</v>
      </c>
      <c r="R446" s="108">
        <f t="shared" si="184"/>
        <v>0</v>
      </c>
      <c r="S446" s="108">
        <f t="shared" si="184"/>
        <v>0</v>
      </c>
      <c r="T446" s="28" t="s">
        <v>26</v>
      </c>
      <c r="V446" s="104" t="str">
        <f>$V$55</f>
        <v>Óscar</v>
      </c>
      <c r="W446" s="108">
        <f t="shared" si="167"/>
        <v>-1</v>
      </c>
      <c r="X446" s="108">
        <f t="shared" si="168"/>
        <v>-1</v>
      </c>
      <c r="Y446" s="108">
        <f t="shared" si="169"/>
        <v>-1</v>
      </c>
      <c r="Z446" s="108">
        <f t="shared" si="170"/>
        <v>-1</v>
      </c>
      <c r="AA446" s="108">
        <f t="shared" si="171"/>
        <v>-1</v>
      </c>
      <c r="AB446" s="108">
        <f t="shared" si="172"/>
        <v>-1</v>
      </c>
      <c r="AC446" s="108">
        <f t="shared" si="173"/>
        <v>-1</v>
      </c>
      <c r="AD446" s="108">
        <f t="shared" si="174"/>
        <v>-1</v>
      </c>
      <c r="AE446" s="108">
        <f t="shared" si="175"/>
        <v>-1</v>
      </c>
      <c r="AF446" s="108">
        <f t="shared" si="176"/>
        <v>0</v>
      </c>
      <c r="AG446" s="108">
        <f t="shared" si="177"/>
        <v>0</v>
      </c>
      <c r="AH446" s="108">
        <f t="shared" si="178"/>
        <v>-1</v>
      </c>
      <c r="AI446" s="108">
        <f t="shared" si="179"/>
        <v>-1</v>
      </c>
      <c r="AJ446" s="108">
        <f t="shared" si="180"/>
        <v>-1</v>
      </c>
      <c r="AK446" s="108">
        <f t="shared" si="181"/>
        <v>-1</v>
      </c>
      <c r="AL446" s="108">
        <f t="shared" si="182"/>
        <v>-1</v>
      </c>
      <c r="AM446" s="108"/>
      <c r="AQ446" s="104" t="str">
        <f>$V$65</f>
        <v>Alyssa</v>
      </c>
      <c r="AR446" s="54">
        <v>0</v>
      </c>
      <c r="AS446" s="54">
        <v>0</v>
      </c>
      <c r="AT446" s="54">
        <v>0</v>
      </c>
      <c r="AU446" s="54">
        <v>0</v>
      </c>
      <c r="AV446" s="54">
        <v>0</v>
      </c>
      <c r="AW446" s="54">
        <v>0</v>
      </c>
      <c r="AX446" s="54">
        <v>0</v>
      </c>
      <c r="AY446" s="54">
        <v>0</v>
      </c>
      <c r="AZ446" s="54">
        <v>0</v>
      </c>
      <c r="BA446" s="54">
        <v>0</v>
      </c>
      <c r="BB446" s="54">
        <v>0</v>
      </c>
      <c r="BC446" s="54">
        <v>0</v>
      </c>
      <c r="BD446" s="54">
        <v>0</v>
      </c>
      <c r="BE446" s="54">
        <v>0</v>
      </c>
      <c r="BF446" s="54">
        <v>0</v>
      </c>
      <c r="BG446" s="54">
        <v>0</v>
      </c>
      <c r="BH446" s="54">
        <v>0</v>
      </c>
      <c r="BK446" s="104" t="str">
        <f>$V$70</f>
        <v>Dimitri</v>
      </c>
      <c r="BL446" s="108">
        <v>0</v>
      </c>
      <c r="BM446" s="108">
        <v>0</v>
      </c>
      <c r="BN446" s="108">
        <v>0</v>
      </c>
      <c r="BO446" s="108">
        <v>0</v>
      </c>
      <c r="BP446" s="108">
        <v>0</v>
      </c>
      <c r="BQ446" s="108">
        <v>0</v>
      </c>
      <c r="BR446" s="108">
        <v>0</v>
      </c>
      <c r="BS446" s="108">
        <v>0</v>
      </c>
      <c r="BT446" s="108">
        <v>0</v>
      </c>
      <c r="BU446" s="108">
        <v>0</v>
      </c>
      <c r="BV446" s="108">
        <v>0</v>
      </c>
      <c r="BW446" s="108">
        <v>0</v>
      </c>
      <c r="BX446" s="108">
        <v>0</v>
      </c>
      <c r="BY446" s="108">
        <v>0</v>
      </c>
      <c r="BZ446" s="108">
        <v>0</v>
      </c>
      <c r="CA446" s="108">
        <v>0</v>
      </c>
      <c r="CB446" s="108">
        <v>0</v>
      </c>
    </row>
    <row r="447" spans="3:80" x14ac:dyDescent="0.55000000000000004">
      <c r="C447" s="104" t="str">
        <f>$V$56</f>
        <v>Sebastián</v>
      </c>
      <c r="D447" s="108">
        <f t="shared" ref="D447:S447" si="185">D56</f>
        <v>0</v>
      </c>
      <c r="E447" s="108">
        <f t="shared" si="185"/>
        <v>0</v>
      </c>
      <c r="F447" s="108">
        <f t="shared" si="185"/>
        <v>0</v>
      </c>
      <c r="G447" s="108">
        <f t="shared" si="185"/>
        <v>0</v>
      </c>
      <c r="H447" s="108">
        <f t="shared" si="185"/>
        <v>0</v>
      </c>
      <c r="I447" s="108">
        <f t="shared" si="185"/>
        <v>0</v>
      </c>
      <c r="J447" s="108">
        <f t="shared" si="185"/>
        <v>0</v>
      </c>
      <c r="K447" s="108">
        <f t="shared" si="185"/>
        <v>0</v>
      </c>
      <c r="L447" s="108">
        <f t="shared" si="185"/>
        <v>0</v>
      </c>
      <c r="M447" s="108">
        <f t="shared" si="185"/>
        <v>0</v>
      </c>
      <c r="N447" s="108">
        <f t="shared" si="185"/>
        <v>0</v>
      </c>
      <c r="O447" s="108">
        <f t="shared" si="185"/>
        <v>0</v>
      </c>
      <c r="P447" s="108">
        <f t="shared" si="185"/>
        <v>0</v>
      </c>
      <c r="Q447" s="108">
        <f t="shared" si="185"/>
        <v>0</v>
      </c>
      <c r="R447" s="108">
        <f t="shared" si="185"/>
        <v>0</v>
      </c>
      <c r="S447" s="108">
        <f t="shared" si="185"/>
        <v>0</v>
      </c>
      <c r="T447" s="28" t="s">
        <v>26</v>
      </c>
      <c r="V447" s="104" t="str">
        <f>$V$56</f>
        <v>Sebastián</v>
      </c>
      <c r="W447" s="108">
        <f t="shared" si="167"/>
        <v>-1</v>
      </c>
      <c r="X447" s="108">
        <f t="shared" si="168"/>
        <v>-1</v>
      </c>
      <c r="Y447" s="108">
        <f t="shared" si="169"/>
        <v>-1</v>
      </c>
      <c r="Z447" s="108">
        <f t="shared" si="170"/>
        <v>-1</v>
      </c>
      <c r="AA447" s="108">
        <f t="shared" si="171"/>
        <v>-1</v>
      </c>
      <c r="AB447" s="108">
        <f t="shared" si="172"/>
        <v>-1</v>
      </c>
      <c r="AC447" s="108">
        <f t="shared" si="173"/>
        <v>-1</v>
      </c>
      <c r="AD447" s="108">
        <f t="shared" si="174"/>
        <v>-1</v>
      </c>
      <c r="AE447" s="108">
        <f t="shared" si="175"/>
        <v>-1</v>
      </c>
      <c r="AF447" s="108">
        <f t="shared" si="176"/>
        <v>-1</v>
      </c>
      <c r="AG447" s="108">
        <f t="shared" si="177"/>
        <v>-1</v>
      </c>
      <c r="AH447" s="108">
        <f t="shared" si="178"/>
        <v>-1</v>
      </c>
      <c r="AI447" s="108">
        <f t="shared" si="179"/>
        <v>-1</v>
      </c>
      <c r="AJ447" s="108">
        <f t="shared" si="180"/>
        <v>-1</v>
      </c>
      <c r="AK447" s="108">
        <f t="shared" si="181"/>
        <v>-1</v>
      </c>
      <c r="AL447" s="108">
        <f t="shared" si="182"/>
        <v>-1</v>
      </c>
      <c r="AM447" s="108"/>
      <c r="AQ447" s="104" t="str">
        <f>$V$66</f>
        <v>Amanda</v>
      </c>
      <c r="AR447" s="54">
        <v>0</v>
      </c>
      <c r="AS447" s="54">
        <v>0</v>
      </c>
      <c r="AT447" s="54">
        <v>0</v>
      </c>
      <c r="AU447" s="54">
        <v>0</v>
      </c>
      <c r="AV447" s="54">
        <v>0</v>
      </c>
      <c r="AW447" s="54">
        <v>0</v>
      </c>
      <c r="AX447" s="54">
        <v>0</v>
      </c>
      <c r="AY447" s="54">
        <v>0</v>
      </c>
      <c r="AZ447" s="54">
        <v>0</v>
      </c>
      <c r="BA447" s="54">
        <v>0</v>
      </c>
      <c r="BB447" s="54">
        <v>0</v>
      </c>
      <c r="BC447" s="54">
        <v>0</v>
      </c>
      <c r="BD447" s="54">
        <v>0</v>
      </c>
      <c r="BE447" s="54">
        <v>0</v>
      </c>
      <c r="BF447" s="54">
        <v>0</v>
      </c>
      <c r="BG447" s="54">
        <v>0</v>
      </c>
      <c r="BH447" s="54">
        <v>0</v>
      </c>
      <c r="BK447" s="104" t="str">
        <f>$V$71</f>
        <v>Marina</v>
      </c>
      <c r="BL447" s="108">
        <v>0</v>
      </c>
      <c r="BM447" s="108">
        <v>0</v>
      </c>
      <c r="BN447" s="108">
        <v>0</v>
      </c>
      <c r="BO447" s="108">
        <v>0</v>
      </c>
      <c r="BP447" s="108">
        <v>0</v>
      </c>
      <c r="BQ447" s="108">
        <v>0</v>
      </c>
      <c r="BR447" s="108">
        <v>0</v>
      </c>
      <c r="BS447" s="108">
        <v>0</v>
      </c>
      <c r="BT447" s="108">
        <v>0</v>
      </c>
      <c r="BU447" s="108">
        <v>0</v>
      </c>
      <c r="BV447" s="108">
        <v>0</v>
      </c>
      <c r="BW447" s="108">
        <v>0</v>
      </c>
      <c r="BX447" s="108">
        <v>0</v>
      </c>
      <c r="BY447" s="108">
        <v>0</v>
      </c>
      <c r="BZ447" s="108">
        <v>0</v>
      </c>
      <c r="CA447" s="108">
        <v>0</v>
      </c>
      <c r="CB447" s="108">
        <v>0</v>
      </c>
    </row>
    <row r="448" spans="3:80" x14ac:dyDescent="0.55000000000000004">
      <c r="C448" s="104" t="str">
        <f>$V$57</f>
        <v>Marcos</v>
      </c>
      <c r="D448" s="108">
        <f t="shared" ref="D448:S448" si="186">D57</f>
        <v>0</v>
      </c>
      <c r="E448" s="108">
        <f t="shared" si="186"/>
        <v>0</v>
      </c>
      <c r="F448" s="108">
        <f t="shared" si="186"/>
        <v>0</v>
      </c>
      <c r="G448" s="108">
        <f t="shared" si="186"/>
        <v>0</v>
      </c>
      <c r="H448" s="108">
        <f t="shared" si="186"/>
        <v>0</v>
      </c>
      <c r="I448" s="108">
        <f t="shared" si="186"/>
        <v>0</v>
      </c>
      <c r="J448" s="108">
        <f t="shared" si="186"/>
        <v>0</v>
      </c>
      <c r="K448" s="108">
        <f t="shared" si="186"/>
        <v>0</v>
      </c>
      <c r="L448" s="108">
        <f t="shared" si="186"/>
        <v>0</v>
      </c>
      <c r="M448" s="108">
        <f t="shared" si="186"/>
        <v>0</v>
      </c>
      <c r="N448" s="108">
        <f t="shared" si="186"/>
        <v>0</v>
      </c>
      <c r="O448" s="108">
        <f t="shared" si="186"/>
        <v>0</v>
      </c>
      <c r="P448" s="108">
        <f t="shared" si="186"/>
        <v>0</v>
      </c>
      <c r="Q448" s="108">
        <f t="shared" si="186"/>
        <v>0</v>
      </c>
      <c r="R448" s="108">
        <f t="shared" si="186"/>
        <v>0</v>
      </c>
      <c r="S448" s="108">
        <f t="shared" si="186"/>
        <v>0</v>
      </c>
      <c r="T448" s="28" t="s">
        <v>26</v>
      </c>
      <c r="V448" s="104" t="str">
        <f>$V$57</f>
        <v>Marcos</v>
      </c>
      <c r="W448" s="108">
        <f t="shared" si="167"/>
        <v>-1</v>
      </c>
      <c r="X448" s="108">
        <f t="shared" si="168"/>
        <v>-1</v>
      </c>
      <c r="Y448" s="108">
        <f t="shared" si="169"/>
        <v>-1</v>
      </c>
      <c r="Z448" s="108">
        <f t="shared" si="170"/>
        <v>-1</v>
      </c>
      <c r="AA448" s="108">
        <f t="shared" si="171"/>
        <v>-1</v>
      </c>
      <c r="AB448" s="108">
        <f t="shared" si="172"/>
        <v>-1</v>
      </c>
      <c r="AC448" s="108">
        <f t="shared" si="173"/>
        <v>0</v>
      </c>
      <c r="AD448" s="108">
        <f t="shared" si="174"/>
        <v>0</v>
      </c>
      <c r="AE448" s="108">
        <f t="shared" si="175"/>
        <v>-1</v>
      </c>
      <c r="AF448" s="108">
        <f t="shared" si="176"/>
        <v>-1</v>
      </c>
      <c r="AG448" s="108">
        <f t="shared" si="177"/>
        <v>-1</v>
      </c>
      <c r="AH448" s="108">
        <f t="shared" si="178"/>
        <v>-1</v>
      </c>
      <c r="AI448" s="108">
        <f t="shared" si="179"/>
        <v>-1</v>
      </c>
      <c r="AJ448" s="108">
        <f t="shared" si="180"/>
        <v>-1</v>
      </c>
      <c r="AK448" s="108">
        <f t="shared" si="181"/>
        <v>-1</v>
      </c>
      <c r="AL448" s="108">
        <f t="shared" si="182"/>
        <v>-1</v>
      </c>
      <c r="AM448" s="108"/>
      <c r="AQ448" s="104" t="str">
        <f>$V$67</f>
        <v>Antoine</v>
      </c>
      <c r="AR448" s="54">
        <v>0</v>
      </c>
      <c r="AS448" s="54">
        <v>0</v>
      </c>
      <c r="AT448" s="54">
        <v>0</v>
      </c>
      <c r="AU448" s="54">
        <v>0</v>
      </c>
      <c r="AV448" s="54">
        <v>0</v>
      </c>
      <c r="AW448" s="54">
        <v>0</v>
      </c>
      <c r="AX448" s="54">
        <v>0</v>
      </c>
      <c r="AY448" s="54">
        <v>0</v>
      </c>
      <c r="AZ448" s="54">
        <v>0</v>
      </c>
      <c r="BA448" s="54">
        <v>0</v>
      </c>
      <c r="BB448" s="54">
        <v>0</v>
      </c>
      <c r="BC448" s="54">
        <v>0</v>
      </c>
      <c r="BD448" s="54">
        <v>0</v>
      </c>
      <c r="BE448" s="54">
        <v>0</v>
      </c>
      <c r="BF448" s="54">
        <v>0</v>
      </c>
      <c r="BG448" s="54">
        <v>0</v>
      </c>
      <c r="BH448" s="54">
        <v>0</v>
      </c>
      <c r="BK448" s="104" t="str">
        <f>$V$72</f>
        <v>Michel</v>
      </c>
      <c r="BL448" s="108">
        <v>0</v>
      </c>
      <c r="BM448" s="108">
        <v>0</v>
      </c>
      <c r="BN448" s="108">
        <v>0</v>
      </c>
      <c r="BO448" s="108">
        <v>0</v>
      </c>
      <c r="BP448" s="108">
        <v>0</v>
      </c>
      <c r="BQ448" s="108">
        <v>0</v>
      </c>
      <c r="BR448" s="108">
        <v>0</v>
      </c>
      <c r="BS448" s="108">
        <v>0</v>
      </c>
      <c r="BT448" s="108">
        <v>0</v>
      </c>
      <c r="BU448" s="108">
        <v>0</v>
      </c>
      <c r="BV448" s="108">
        <v>0</v>
      </c>
      <c r="BW448" s="108">
        <v>0</v>
      </c>
      <c r="BX448" s="108">
        <v>0</v>
      </c>
      <c r="BY448" s="108">
        <v>0</v>
      </c>
      <c r="BZ448" s="108">
        <v>0</v>
      </c>
      <c r="CA448" s="108">
        <v>0</v>
      </c>
      <c r="CB448" s="108">
        <v>0</v>
      </c>
    </row>
    <row r="449" spans="3:80" x14ac:dyDescent="0.55000000000000004">
      <c r="C449" s="104" t="str">
        <f>$V$58</f>
        <v>Weixin</v>
      </c>
      <c r="D449" s="108">
        <f t="shared" ref="D449:S449" si="187">D58</f>
        <v>0</v>
      </c>
      <c r="E449" s="108">
        <f t="shared" si="187"/>
        <v>0</v>
      </c>
      <c r="F449" s="108">
        <f t="shared" si="187"/>
        <v>0</v>
      </c>
      <c r="G449" s="108">
        <f t="shared" si="187"/>
        <v>0</v>
      </c>
      <c r="H449" s="108">
        <f t="shared" si="187"/>
        <v>0</v>
      </c>
      <c r="I449" s="108">
        <f t="shared" si="187"/>
        <v>0</v>
      </c>
      <c r="J449" s="108">
        <f t="shared" si="187"/>
        <v>0</v>
      </c>
      <c r="K449" s="108">
        <f t="shared" si="187"/>
        <v>0</v>
      </c>
      <c r="L449" s="108">
        <f t="shared" si="187"/>
        <v>0</v>
      </c>
      <c r="M449" s="108">
        <f t="shared" si="187"/>
        <v>0</v>
      </c>
      <c r="N449" s="108">
        <f t="shared" si="187"/>
        <v>0</v>
      </c>
      <c r="O449" s="108">
        <f t="shared" si="187"/>
        <v>0</v>
      </c>
      <c r="P449" s="108">
        <f t="shared" si="187"/>
        <v>0</v>
      </c>
      <c r="Q449" s="108">
        <f t="shared" si="187"/>
        <v>0</v>
      </c>
      <c r="R449" s="108">
        <f t="shared" si="187"/>
        <v>0</v>
      </c>
      <c r="S449" s="108">
        <f t="shared" si="187"/>
        <v>0</v>
      </c>
      <c r="T449" s="28" t="s">
        <v>26</v>
      </c>
      <c r="V449" s="104" t="str">
        <f>$V$58</f>
        <v>Weixin</v>
      </c>
      <c r="W449" s="108">
        <f t="shared" si="167"/>
        <v>-1</v>
      </c>
      <c r="X449" s="108">
        <f t="shared" si="168"/>
        <v>-1</v>
      </c>
      <c r="Y449" s="108">
        <f t="shared" si="169"/>
        <v>0</v>
      </c>
      <c r="Z449" s="108">
        <f t="shared" si="170"/>
        <v>0</v>
      </c>
      <c r="AA449" s="108">
        <f t="shared" si="171"/>
        <v>-1</v>
      </c>
      <c r="AB449" s="108">
        <f t="shared" si="172"/>
        <v>-1</v>
      </c>
      <c r="AC449" s="108">
        <f t="shared" si="173"/>
        <v>-1</v>
      </c>
      <c r="AD449" s="108">
        <f t="shared" si="174"/>
        <v>-1</v>
      </c>
      <c r="AE449" s="108">
        <f t="shared" si="175"/>
        <v>-1</v>
      </c>
      <c r="AF449" s="108">
        <f t="shared" si="176"/>
        <v>-1</v>
      </c>
      <c r="AG449" s="108">
        <f t="shared" si="177"/>
        <v>-1</v>
      </c>
      <c r="AH449" s="108">
        <f t="shared" si="178"/>
        <v>-1</v>
      </c>
      <c r="AI449" s="108">
        <f t="shared" si="179"/>
        <v>-1</v>
      </c>
      <c r="AJ449" s="108">
        <f t="shared" si="180"/>
        <v>-1</v>
      </c>
      <c r="AK449" s="108">
        <f t="shared" si="181"/>
        <v>-1</v>
      </c>
      <c r="AL449" s="108">
        <f t="shared" si="182"/>
        <v>-1</v>
      </c>
      <c r="AM449" s="108"/>
      <c r="AQ449" s="104" t="str">
        <f>$V$68</f>
        <v>Beatriz</v>
      </c>
      <c r="AR449" s="54">
        <v>0</v>
      </c>
      <c r="AS449" s="54">
        <v>0</v>
      </c>
      <c r="AT449" s="54">
        <v>0</v>
      </c>
      <c r="AU449" s="54">
        <v>0</v>
      </c>
      <c r="AV449" s="54">
        <v>0</v>
      </c>
      <c r="AW449" s="54">
        <v>0</v>
      </c>
      <c r="AX449" s="54">
        <v>0</v>
      </c>
      <c r="AY449" s="54">
        <v>0</v>
      </c>
      <c r="AZ449" s="54">
        <v>0</v>
      </c>
      <c r="BA449" s="54">
        <v>0</v>
      </c>
      <c r="BB449" s="54">
        <v>0</v>
      </c>
      <c r="BC449" s="54">
        <v>0</v>
      </c>
      <c r="BD449" s="54">
        <v>0</v>
      </c>
      <c r="BE449" s="54">
        <v>0</v>
      </c>
      <c r="BF449" s="54">
        <v>0</v>
      </c>
      <c r="BG449" s="54">
        <v>0</v>
      </c>
      <c r="BH449" s="54">
        <v>0</v>
      </c>
      <c r="BK449" s="104" t="str">
        <f>$V$73</f>
        <v>Nour</v>
      </c>
      <c r="BL449" s="108">
        <v>0</v>
      </c>
      <c r="BM449" s="108">
        <v>0</v>
      </c>
      <c r="BN449" s="108">
        <v>0</v>
      </c>
      <c r="BO449" s="108">
        <v>0</v>
      </c>
      <c r="BP449" s="108">
        <v>0</v>
      </c>
      <c r="BQ449" s="108">
        <v>0</v>
      </c>
      <c r="BR449" s="108">
        <v>0</v>
      </c>
      <c r="BS449" s="108">
        <v>0</v>
      </c>
      <c r="BT449" s="108">
        <v>0</v>
      </c>
      <c r="BU449" s="108">
        <v>0</v>
      </c>
      <c r="BV449" s="108">
        <v>0</v>
      </c>
      <c r="BW449" s="108">
        <v>0</v>
      </c>
      <c r="BX449" s="108">
        <v>0</v>
      </c>
      <c r="BY449" s="108">
        <v>0</v>
      </c>
      <c r="BZ449" s="108">
        <v>0</v>
      </c>
      <c r="CA449" s="108">
        <v>0</v>
      </c>
      <c r="CB449" s="108">
        <v>0</v>
      </c>
    </row>
    <row r="450" spans="3:80" x14ac:dyDescent="0.55000000000000004">
      <c r="C450" s="104" t="str">
        <f>$V$59</f>
        <v>Benjamin</v>
      </c>
      <c r="D450" s="108">
        <f t="shared" ref="D450:S450" si="188">D59</f>
        <v>0</v>
      </c>
      <c r="E450" s="108">
        <f t="shared" si="188"/>
        <v>0</v>
      </c>
      <c r="F450" s="108">
        <f t="shared" si="188"/>
        <v>0</v>
      </c>
      <c r="G450" s="108">
        <f t="shared" si="188"/>
        <v>0</v>
      </c>
      <c r="H450" s="108">
        <f t="shared" si="188"/>
        <v>0</v>
      </c>
      <c r="I450" s="108">
        <f t="shared" si="188"/>
        <v>0</v>
      </c>
      <c r="J450" s="108">
        <f t="shared" si="188"/>
        <v>0</v>
      </c>
      <c r="K450" s="108">
        <f t="shared" si="188"/>
        <v>0</v>
      </c>
      <c r="L450" s="108">
        <f t="shared" si="188"/>
        <v>0</v>
      </c>
      <c r="M450" s="108">
        <f t="shared" si="188"/>
        <v>0</v>
      </c>
      <c r="N450" s="108">
        <f t="shared" si="188"/>
        <v>0</v>
      </c>
      <c r="O450" s="108">
        <f t="shared" si="188"/>
        <v>0</v>
      </c>
      <c r="P450" s="108">
        <f t="shared" si="188"/>
        <v>0</v>
      </c>
      <c r="Q450" s="108">
        <f t="shared" si="188"/>
        <v>0</v>
      </c>
      <c r="R450" s="108">
        <f t="shared" si="188"/>
        <v>0</v>
      </c>
      <c r="S450" s="108">
        <f t="shared" si="188"/>
        <v>0</v>
      </c>
      <c r="T450" s="28" t="s">
        <v>26</v>
      </c>
      <c r="V450" s="104" t="str">
        <f>$V$59</f>
        <v>Benjamin</v>
      </c>
      <c r="W450" s="108">
        <f t="shared" si="167"/>
        <v>0</v>
      </c>
      <c r="X450" s="108">
        <f t="shared" si="168"/>
        <v>0</v>
      </c>
      <c r="Y450" s="108">
        <f t="shared" si="169"/>
        <v>0</v>
      </c>
      <c r="Z450" s="108">
        <f t="shared" si="170"/>
        <v>-1</v>
      </c>
      <c r="AA450" s="108">
        <f t="shared" si="171"/>
        <v>0</v>
      </c>
      <c r="AB450" s="108">
        <f t="shared" si="172"/>
        <v>0</v>
      </c>
      <c r="AC450" s="108">
        <f t="shared" si="173"/>
        <v>-1</v>
      </c>
      <c r="AD450" s="108">
        <f t="shared" si="174"/>
        <v>-1</v>
      </c>
      <c r="AE450" s="108">
        <f t="shared" si="175"/>
        <v>-1</v>
      </c>
      <c r="AF450" s="108">
        <f t="shared" si="176"/>
        <v>-1</v>
      </c>
      <c r="AG450" s="108">
        <f t="shared" si="177"/>
        <v>0</v>
      </c>
      <c r="AH450" s="108">
        <f t="shared" si="178"/>
        <v>0</v>
      </c>
      <c r="AI450" s="108">
        <f t="shared" si="179"/>
        <v>-1</v>
      </c>
      <c r="AJ450" s="108">
        <f t="shared" si="180"/>
        <v>-1</v>
      </c>
      <c r="AK450" s="108">
        <f t="shared" si="181"/>
        <v>-1</v>
      </c>
      <c r="AL450" s="108">
        <f t="shared" si="182"/>
        <v>-1</v>
      </c>
      <c r="AM450" s="108"/>
      <c r="AQ450" s="104" t="str">
        <f>$V$69</f>
        <v>Charelle</v>
      </c>
      <c r="AR450" s="54">
        <v>0</v>
      </c>
      <c r="AS450" s="54">
        <v>0</v>
      </c>
      <c r="AT450" s="54">
        <v>0</v>
      </c>
      <c r="AU450" s="54">
        <v>0</v>
      </c>
      <c r="AV450" s="54">
        <v>0</v>
      </c>
      <c r="AW450" s="54">
        <v>0</v>
      </c>
      <c r="AX450" s="54">
        <v>0</v>
      </c>
      <c r="AY450" s="54">
        <v>0</v>
      </c>
      <c r="AZ450" s="54">
        <v>0</v>
      </c>
      <c r="BA450" s="54">
        <v>0</v>
      </c>
      <c r="BB450" s="54">
        <v>0</v>
      </c>
      <c r="BC450" s="54">
        <v>0</v>
      </c>
      <c r="BD450" s="54">
        <v>0</v>
      </c>
      <c r="BE450" s="54">
        <v>0</v>
      </c>
      <c r="BF450" s="54">
        <v>0</v>
      </c>
      <c r="BG450" s="54">
        <v>0</v>
      </c>
      <c r="BH450" s="54">
        <v>0</v>
      </c>
      <c r="BK450" s="104" t="str">
        <f>$V$74</f>
        <v>Samuel</v>
      </c>
      <c r="BL450" s="108">
        <v>0</v>
      </c>
      <c r="BM450" s="108">
        <v>0</v>
      </c>
      <c r="BN450" s="108">
        <v>0</v>
      </c>
      <c r="BO450" s="108">
        <v>0</v>
      </c>
      <c r="BP450" s="108">
        <v>0</v>
      </c>
      <c r="BQ450" s="108">
        <v>0</v>
      </c>
      <c r="BR450" s="108">
        <v>0</v>
      </c>
      <c r="BS450" s="108">
        <v>0</v>
      </c>
      <c r="BT450" s="108">
        <v>0</v>
      </c>
      <c r="BU450" s="108">
        <v>0</v>
      </c>
      <c r="BV450" s="108">
        <v>0</v>
      </c>
      <c r="BW450" s="108">
        <v>0</v>
      </c>
      <c r="BX450" s="108">
        <v>0</v>
      </c>
      <c r="BY450" s="108">
        <v>0</v>
      </c>
      <c r="BZ450" s="108">
        <v>0</v>
      </c>
      <c r="CA450" s="108">
        <v>0</v>
      </c>
      <c r="CB450" s="108">
        <v>0</v>
      </c>
    </row>
    <row r="451" spans="3:80" x14ac:dyDescent="0.55000000000000004">
      <c r="C451" s="104" t="str">
        <f>$V$60</f>
        <v>Joelle</v>
      </c>
      <c r="D451" s="108">
        <f t="shared" ref="D451:S451" si="189">D60</f>
        <v>0</v>
      </c>
      <c r="E451" s="108">
        <f t="shared" si="189"/>
        <v>0</v>
      </c>
      <c r="F451" s="108">
        <f t="shared" si="189"/>
        <v>0</v>
      </c>
      <c r="G451" s="108">
        <f t="shared" si="189"/>
        <v>0</v>
      </c>
      <c r="H451" s="108">
        <f t="shared" si="189"/>
        <v>0</v>
      </c>
      <c r="I451" s="108">
        <f t="shared" si="189"/>
        <v>0</v>
      </c>
      <c r="J451" s="108">
        <f t="shared" si="189"/>
        <v>0</v>
      </c>
      <c r="K451" s="108">
        <f t="shared" si="189"/>
        <v>0</v>
      </c>
      <c r="L451" s="108">
        <f t="shared" si="189"/>
        <v>0</v>
      </c>
      <c r="M451" s="108">
        <f t="shared" si="189"/>
        <v>0</v>
      </c>
      <c r="N451" s="108">
        <f t="shared" si="189"/>
        <v>0</v>
      </c>
      <c r="O451" s="108">
        <f t="shared" si="189"/>
        <v>0</v>
      </c>
      <c r="P451" s="108">
        <f t="shared" si="189"/>
        <v>0</v>
      </c>
      <c r="Q451" s="108">
        <f t="shared" si="189"/>
        <v>0</v>
      </c>
      <c r="R451" s="108">
        <f t="shared" si="189"/>
        <v>0</v>
      </c>
      <c r="S451" s="108">
        <f t="shared" si="189"/>
        <v>0</v>
      </c>
      <c r="T451" s="28" t="s">
        <v>26</v>
      </c>
      <c r="V451" s="104" t="str">
        <f>$V$60</f>
        <v>Joelle</v>
      </c>
      <c r="W451" s="108">
        <f t="shared" si="167"/>
        <v>-1</v>
      </c>
      <c r="X451" s="108">
        <f t="shared" si="168"/>
        <v>-1</v>
      </c>
      <c r="Y451" s="108">
        <f t="shared" si="169"/>
        <v>-1</v>
      </c>
      <c r="Z451" s="108">
        <f t="shared" si="170"/>
        <v>-1</v>
      </c>
      <c r="AA451" s="108">
        <f t="shared" si="171"/>
        <v>-1</v>
      </c>
      <c r="AB451" s="108">
        <f t="shared" si="172"/>
        <v>-1</v>
      </c>
      <c r="AC451" s="108">
        <f t="shared" si="173"/>
        <v>-1</v>
      </c>
      <c r="AD451" s="108">
        <f t="shared" si="174"/>
        <v>-1</v>
      </c>
      <c r="AE451" s="108">
        <f t="shared" si="175"/>
        <v>-1</v>
      </c>
      <c r="AF451" s="108">
        <f t="shared" si="176"/>
        <v>-1</v>
      </c>
      <c r="AG451" s="108">
        <f t="shared" si="177"/>
        <v>-1</v>
      </c>
      <c r="AH451" s="108">
        <f t="shared" si="178"/>
        <v>-1</v>
      </c>
      <c r="AI451" s="108">
        <f t="shared" si="179"/>
        <v>-1</v>
      </c>
      <c r="AJ451" s="108">
        <f t="shared" si="180"/>
        <v>-1</v>
      </c>
      <c r="AK451" s="108">
        <f t="shared" si="181"/>
        <v>-1</v>
      </c>
      <c r="AL451" s="108">
        <f t="shared" si="182"/>
        <v>-1</v>
      </c>
      <c r="AM451" s="108"/>
      <c r="AQ451" s="104" t="str">
        <f>$V$70</f>
        <v>Dimitri</v>
      </c>
      <c r="AR451" s="54">
        <v>0</v>
      </c>
      <c r="AS451" s="54">
        <v>0</v>
      </c>
      <c r="AT451" s="54">
        <v>0</v>
      </c>
      <c r="AU451" s="54">
        <v>0</v>
      </c>
      <c r="AV451" s="54">
        <v>0</v>
      </c>
      <c r="AW451" s="54">
        <v>0</v>
      </c>
      <c r="AX451" s="54">
        <v>0</v>
      </c>
      <c r="AY451" s="54">
        <v>0</v>
      </c>
      <c r="AZ451" s="54">
        <v>0</v>
      </c>
      <c r="BA451" s="54">
        <v>0</v>
      </c>
      <c r="BB451" s="54">
        <v>0</v>
      </c>
      <c r="BC451" s="54">
        <v>0</v>
      </c>
      <c r="BD451" s="54">
        <v>0</v>
      </c>
      <c r="BE451" s="54">
        <v>0</v>
      </c>
      <c r="BF451" s="54">
        <v>0</v>
      </c>
      <c r="BG451" s="54">
        <v>0</v>
      </c>
      <c r="BH451" s="54">
        <v>0</v>
      </c>
      <c r="BK451" s="104" t="str">
        <f>$V$75</f>
        <v>Yassin</v>
      </c>
      <c r="BL451" s="108">
        <v>0</v>
      </c>
      <c r="BM451" s="108">
        <v>0</v>
      </c>
      <c r="BN451" s="108">
        <v>0</v>
      </c>
      <c r="BO451" s="108">
        <v>0</v>
      </c>
      <c r="BP451" s="108">
        <v>0</v>
      </c>
      <c r="BQ451" s="108">
        <v>0</v>
      </c>
      <c r="BR451" s="108">
        <v>0</v>
      </c>
      <c r="BS451" s="108">
        <v>0</v>
      </c>
      <c r="BT451" s="108">
        <v>0</v>
      </c>
      <c r="BU451" s="108">
        <v>0</v>
      </c>
      <c r="BV451" s="108">
        <v>0</v>
      </c>
      <c r="BW451" s="108">
        <v>0</v>
      </c>
      <c r="BX451" s="108">
        <v>0</v>
      </c>
      <c r="BY451" s="108">
        <v>0</v>
      </c>
      <c r="BZ451" s="108">
        <v>0</v>
      </c>
      <c r="CA451" s="108">
        <v>0</v>
      </c>
      <c r="CB451" s="108">
        <v>0</v>
      </c>
    </row>
    <row r="452" spans="3:80" x14ac:dyDescent="0.55000000000000004">
      <c r="C452" s="104" t="str">
        <f>$V$61</f>
        <v>Alexia</v>
      </c>
      <c r="D452" s="108">
        <f t="shared" ref="D452:S452" si="190">D61</f>
        <v>0</v>
      </c>
      <c r="E452" s="108">
        <f t="shared" si="190"/>
        <v>0</v>
      </c>
      <c r="F452" s="108">
        <f t="shared" si="190"/>
        <v>0</v>
      </c>
      <c r="G452" s="108">
        <f t="shared" si="190"/>
        <v>0</v>
      </c>
      <c r="H452" s="108">
        <f t="shared" si="190"/>
        <v>0</v>
      </c>
      <c r="I452" s="108">
        <f t="shared" si="190"/>
        <v>0</v>
      </c>
      <c r="J452" s="108">
        <f t="shared" si="190"/>
        <v>0</v>
      </c>
      <c r="K452" s="108">
        <f t="shared" si="190"/>
        <v>0</v>
      </c>
      <c r="L452" s="108">
        <f t="shared" si="190"/>
        <v>0</v>
      </c>
      <c r="M452" s="108">
        <f t="shared" si="190"/>
        <v>0</v>
      </c>
      <c r="N452" s="108">
        <f t="shared" si="190"/>
        <v>0</v>
      </c>
      <c r="O452" s="108">
        <f t="shared" si="190"/>
        <v>0</v>
      </c>
      <c r="P452" s="108">
        <f t="shared" si="190"/>
        <v>0</v>
      </c>
      <c r="Q452" s="108">
        <f t="shared" si="190"/>
        <v>0</v>
      </c>
      <c r="R452" s="108">
        <f t="shared" si="190"/>
        <v>0</v>
      </c>
      <c r="S452" s="108">
        <f t="shared" si="190"/>
        <v>0</v>
      </c>
      <c r="T452" s="28" t="s">
        <v>26</v>
      </c>
      <c r="V452" s="104" t="str">
        <f>$V$61</f>
        <v>Alexia</v>
      </c>
      <c r="W452" s="108">
        <f t="shared" si="167"/>
        <v>-1</v>
      </c>
      <c r="X452" s="108">
        <f t="shared" si="168"/>
        <v>-1</v>
      </c>
      <c r="Y452" s="108">
        <f t="shared" si="169"/>
        <v>-1</v>
      </c>
      <c r="Z452" s="108">
        <f t="shared" si="170"/>
        <v>-1</v>
      </c>
      <c r="AA452" s="108">
        <f t="shared" si="171"/>
        <v>-1</v>
      </c>
      <c r="AB452" s="108">
        <f t="shared" si="172"/>
        <v>-1</v>
      </c>
      <c r="AC452" s="108">
        <f t="shared" si="173"/>
        <v>-1</v>
      </c>
      <c r="AD452" s="108">
        <f t="shared" si="174"/>
        <v>-1</v>
      </c>
      <c r="AE452" s="108">
        <f t="shared" si="175"/>
        <v>-1</v>
      </c>
      <c r="AF452" s="108">
        <f t="shared" si="176"/>
        <v>-1</v>
      </c>
      <c r="AG452" s="108">
        <f t="shared" si="177"/>
        <v>-1</v>
      </c>
      <c r="AH452" s="108">
        <f t="shared" si="178"/>
        <v>-1</v>
      </c>
      <c r="AI452" s="108">
        <f t="shared" si="179"/>
        <v>-1</v>
      </c>
      <c r="AJ452" s="108">
        <f t="shared" si="180"/>
        <v>-1</v>
      </c>
      <c r="AK452" s="108">
        <f t="shared" si="181"/>
        <v>-1</v>
      </c>
      <c r="AL452" s="108">
        <f t="shared" si="182"/>
        <v>-1</v>
      </c>
      <c r="AM452" s="108"/>
      <c r="AQ452" s="104" t="str">
        <f>$V$71</f>
        <v>Marina</v>
      </c>
      <c r="AR452" s="54">
        <v>0</v>
      </c>
      <c r="AS452" s="54">
        <v>0</v>
      </c>
      <c r="AT452" s="54">
        <v>0</v>
      </c>
      <c r="AU452" s="54">
        <v>0</v>
      </c>
      <c r="AV452" s="54">
        <v>0</v>
      </c>
      <c r="AW452" s="54">
        <v>0</v>
      </c>
      <c r="AX452" s="54">
        <v>0</v>
      </c>
      <c r="AY452" s="54">
        <v>0</v>
      </c>
      <c r="AZ452" s="54">
        <v>0</v>
      </c>
      <c r="BA452" s="54">
        <v>0</v>
      </c>
      <c r="BB452" s="54">
        <v>0</v>
      </c>
      <c r="BC452" s="54">
        <v>0</v>
      </c>
      <c r="BD452" s="54">
        <v>0</v>
      </c>
      <c r="BE452" s="54">
        <v>0</v>
      </c>
      <c r="BF452" s="54">
        <v>0</v>
      </c>
      <c r="BG452" s="54">
        <v>0</v>
      </c>
      <c r="BH452" s="54">
        <v>0</v>
      </c>
      <c r="BK452" s="104" t="str">
        <f>$V$76</f>
        <v>Kamar</v>
      </c>
      <c r="BL452" s="108">
        <v>0</v>
      </c>
      <c r="BM452" s="108">
        <v>0</v>
      </c>
      <c r="BN452" s="108">
        <v>0</v>
      </c>
      <c r="BO452" s="108">
        <v>0</v>
      </c>
      <c r="BP452" s="108">
        <v>0</v>
      </c>
      <c r="BQ452" s="108">
        <v>0</v>
      </c>
      <c r="BR452" s="108">
        <v>0</v>
      </c>
      <c r="BS452" s="108">
        <v>0</v>
      </c>
      <c r="BT452" s="108">
        <v>0</v>
      </c>
      <c r="BU452" s="108">
        <v>0</v>
      </c>
      <c r="BV452" s="108">
        <v>0</v>
      </c>
      <c r="BW452" s="108">
        <v>0</v>
      </c>
      <c r="BX452" s="108">
        <v>0</v>
      </c>
      <c r="BY452" s="108">
        <v>0</v>
      </c>
      <c r="BZ452" s="108">
        <v>0</v>
      </c>
      <c r="CA452" s="108">
        <v>0</v>
      </c>
      <c r="CB452" s="108">
        <v>0</v>
      </c>
    </row>
    <row r="453" spans="3:80" x14ac:dyDescent="0.55000000000000004">
      <c r="C453" s="104" t="str">
        <f>$V$62</f>
        <v>Joao</v>
      </c>
      <c r="D453" s="108">
        <f t="shared" ref="D453:S453" si="191">D62</f>
        <v>0</v>
      </c>
      <c r="E453" s="108">
        <f t="shared" si="191"/>
        <v>0</v>
      </c>
      <c r="F453" s="108">
        <f t="shared" si="191"/>
        <v>0</v>
      </c>
      <c r="G453" s="108">
        <f t="shared" si="191"/>
        <v>0</v>
      </c>
      <c r="H453" s="108">
        <f t="shared" si="191"/>
        <v>0</v>
      </c>
      <c r="I453" s="108">
        <f t="shared" si="191"/>
        <v>0</v>
      </c>
      <c r="J453" s="108">
        <f t="shared" si="191"/>
        <v>0</v>
      </c>
      <c r="K453" s="108">
        <f t="shared" si="191"/>
        <v>0</v>
      </c>
      <c r="L453" s="108">
        <f t="shared" si="191"/>
        <v>0</v>
      </c>
      <c r="M453" s="108">
        <f t="shared" si="191"/>
        <v>0</v>
      </c>
      <c r="N453" s="108">
        <f t="shared" si="191"/>
        <v>0</v>
      </c>
      <c r="O453" s="108">
        <f t="shared" si="191"/>
        <v>0</v>
      </c>
      <c r="P453" s="108">
        <f t="shared" si="191"/>
        <v>0</v>
      </c>
      <c r="Q453" s="108">
        <f t="shared" si="191"/>
        <v>0</v>
      </c>
      <c r="R453" s="108">
        <f t="shared" si="191"/>
        <v>0</v>
      </c>
      <c r="S453" s="108">
        <f t="shared" si="191"/>
        <v>0</v>
      </c>
      <c r="T453" s="28" t="s">
        <v>26</v>
      </c>
      <c r="V453" s="104" t="str">
        <f>$V$62</f>
        <v>Joao</v>
      </c>
      <c r="W453" s="108">
        <f t="shared" si="167"/>
        <v>-1</v>
      </c>
      <c r="X453" s="108">
        <f t="shared" si="168"/>
        <v>-1</v>
      </c>
      <c r="Y453" s="108">
        <f t="shared" si="169"/>
        <v>-1</v>
      </c>
      <c r="Z453" s="108">
        <f t="shared" si="170"/>
        <v>-1</v>
      </c>
      <c r="AA453" s="108">
        <f t="shared" si="171"/>
        <v>-1</v>
      </c>
      <c r="AB453" s="108">
        <f t="shared" si="172"/>
        <v>-1</v>
      </c>
      <c r="AC453" s="108">
        <f t="shared" si="173"/>
        <v>-1</v>
      </c>
      <c r="AD453" s="108">
        <f t="shared" si="174"/>
        <v>-1</v>
      </c>
      <c r="AE453" s="108">
        <f t="shared" si="175"/>
        <v>-1</v>
      </c>
      <c r="AF453" s="108">
        <f t="shared" si="176"/>
        <v>-1</v>
      </c>
      <c r="AG453" s="108">
        <f t="shared" si="177"/>
        <v>-1</v>
      </c>
      <c r="AH453" s="108">
        <f t="shared" si="178"/>
        <v>-1</v>
      </c>
      <c r="AI453" s="108">
        <f t="shared" si="179"/>
        <v>-1</v>
      </c>
      <c r="AJ453" s="108">
        <f t="shared" si="180"/>
        <v>-1</v>
      </c>
      <c r="AK453" s="108">
        <f t="shared" si="181"/>
        <v>-1</v>
      </c>
      <c r="AL453" s="108">
        <f t="shared" si="182"/>
        <v>-1</v>
      </c>
      <c r="AM453" s="108"/>
      <c r="AQ453" s="104" t="str">
        <f>$V$72</f>
        <v>Michel</v>
      </c>
      <c r="AR453" s="54">
        <v>0</v>
      </c>
      <c r="AS453" s="54">
        <v>0</v>
      </c>
      <c r="AT453" s="54">
        <v>0</v>
      </c>
      <c r="AU453" s="54">
        <v>0</v>
      </c>
      <c r="AV453" s="54">
        <v>0</v>
      </c>
      <c r="AW453" s="54">
        <v>0</v>
      </c>
      <c r="AX453" s="54">
        <v>0</v>
      </c>
      <c r="AY453" s="54">
        <v>0</v>
      </c>
      <c r="AZ453" s="54">
        <v>0</v>
      </c>
      <c r="BA453" s="54">
        <v>0</v>
      </c>
      <c r="BB453" s="54">
        <v>0</v>
      </c>
      <c r="BC453" s="54">
        <v>0</v>
      </c>
      <c r="BD453" s="54">
        <v>0</v>
      </c>
      <c r="BE453" s="54">
        <v>0</v>
      </c>
      <c r="BF453" s="54">
        <v>0</v>
      </c>
      <c r="BG453" s="54">
        <v>0</v>
      </c>
      <c r="BH453" s="54">
        <v>0</v>
      </c>
      <c r="BK453" s="104" t="str">
        <f>$V$77</f>
        <v>-</v>
      </c>
      <c r="BL453" s="108">
        <v>0</v>
      </c>
      <c r="BM453" s="108">
        <v>0</v>
      </c>
      <c r="BN453" s="108">
        <v>0</v>
      </c>
      <c r="BO453" s="108">
        <v>0</v>
      </c>
      <c r="BP453" s="108">
        <v>0</v>
      </c>
      <c r="BQ453" s="108">
        <v>0</v>
      </c>
      <c r="BR453" s="108">
        <v>0</v>
      </c>
      <c r="BS453" s="108">
        <v>0</v>
      </c>
      <c r="BT453" s="108">
        <v>0</v>
      </c>
      <c r="BU453" s="108">
        <v>0</v>
      </c>
      <c r="BV453" s="108">
        <v>0</v>
      </c>
      <c r="BW453" s="108">
        <v>0</v>
      </c>
      <c r="BX453" s="108">
        <v>0</v>
      </c>
      <c r="BY453" s="108">
        <v>0</v>
      </c>
      <c r="BZ453" s="108">
        <v>0</v>
      </c>
      <c r="CA453" s="108">
        <v>0</v>
      </c>
      <c r="CB453" s="108">
        <v>0</v>
      </c>
    </row>
    <row r="454" spans="3:80" x14ac:dyDescent="0.55000000000000004">
      <c r="C454" s="104" t="str">
        <f>$V$63</f>
        <v>Maxime</v>
      </c>
      <c r="D454" s="108">
        <f t="shared" ref="D454:S454" si="192">D63</f>
        <v>0</v>
      </c>
      <c r="E454" s="108">
        <f t="shared" si="192"/>
        <v>0</v>
      </c>
      <c r="F454" s="108">
        <f t="shared" si="192"/>
        <v>0</v>
      </c>
      <c r="G454" s="108">
        <f t="shared" si="192"/>
        <v>0</v>
      </c>
      <c r="H454" s="108">
        <f t="shared" si="192"/>
        <v>0</v>
      </c>
      <c r="I454" s="108">
        <f t="shared" si="192"/>
        <v>0</v>
      </c>
      <c r="J454" s="108">
        <f t="shared" si="192"/>
        <v>0</v>
      </c>
      <c r="K454" s="108">
        <f t="shared" si="192"/>
        <v>0</v>
      </c>
      <c r="L454" s="108">
        <f t="shared" si="192"/>
        <v>0</v>
      </c>
      <c r="M454" s="108">
        <f t="shared" si="192"/>
        <v>0</v>
      </c>
      <c r="N454" s="108">
        <f t="shared" si="192"/>
        <v>0</v>
      </c>
      <c r="O454" s="108">
        <f t="shared" si="192"/>
        <v>0</v>
      </c>
      <c r="P454" s="108">
        <f t="shared" si="192"/>
        <v>0</v>
      </c>
      <c r="Q454" s="108">
        <f t="shared" si="192"/>
        <v>0</v>
      </c>
      <c r="R454" s="108">
        <f t="shared" si="192"/>
        <v>0</v>
      </c>
      <c r="S454" s="108">
        <f t="shared" si="192"/>
        <v>0</v>
      </c>
      <c r="T454" s="28" t="s">
        <v>26</v>
      </c>
      <c r="V454" s="104" t="str">
        <f>$V$63</f>
        <v>Maxime</v>
      </c>
      <c r="W454" s="108">
        <f t="shared" si="167"/>
        <v>-1</v>
      </c>
      <c r="X454" s="108">
        <f t="shared" si="168"/>
        <v>-1</v>
      </c>
      <c r="Y454" s="108">
        <f t="shared" si="169"/>
        <v>-1</v>
      </c>
      <c r="Z454" s="108">
        <f t="shared" si="170"/>
        <v>-1</v>
      </c>
      <c r="AA454" s="108">
        <f t="shared" si="171"/>
        <v>-1</v>
      </c>
      <c r="AB454" s="108">
        <f t="shared" si="172"/>
        <v>-1</v>
      </c>
      <c r="AC454" s="108">
        <f t="shared" si="173"/>
        <v>-1</v>
      </c>
      <c r="AD454" s="108">
        <f t="shared" si="174"/>
        <v>-1</v>
      </c>
      <c r="AE454" s="108">
        <f t="shared" si="175"/>
        <v>-1</v>
      </c>
      <c r="AF454" s="108">
        <f t="shared" si="176"/>
        <v>-1</v>
      </c>
      <c r="AG454" s="108">
        <f t="shared" si="177"/>
        <v>-1</v>
      </c>
      <c r="AH454" s="108">
        <f t="shared" si="178"/>
        <v>-1</v>
      </c>
      <c r="AI454" s="108">
        <f t="shared" si="179"/>
        <v>-1</v>
      </c>
      <c r="AJ454" s="108">
        <f t="shared" si="180"/>
        <v>-1</v>
      </c>
      <c r="AK454" s="108">
        <f t="shared" si="181"/>
        <v>-1</v>
      </c>
      <c r="AL454" s="108">
        <f t="shared" si="182"/>
        <v>-1</v>
      </c>
      <c r="AM454" s="108"/>
      <c r="AQ454" s="104" t="str">
        <f>$V$73</f>
        <v>Nour</v>
      </c>
      <c r="AR454" s="54">
        <v>0</v>
      </c>
      <c r="AS454" s="54">
        <v>0</v>
      </c>
      <c r="AT454" s="54">
        <v>0</v>
      </c>
      <c r="AU454" s="54">
        <v>0</v>
      </c>
      <c r="AV454" s="54">
        <v>0</v>
      </c>
      <c r="AW454" s="54">
        <v>0</v>
      </c>
      <c r="AX454" s="54">
        <v>0</v>
      </c>
      <c r="AY454" s="54">
        <v>0</v>
      </c>
      <c r="AZ454" s="54">
        <v>0</v>
      </c>
      <c r="BA454" s="54">
        <v>0</v>
      </c>
      <c r="BB454" s="54">
        <v>0</v>
      </c>
      <c r="BC454" s="54">
        <v>0</v>
      </c>
      <c r="BD454" s="54">
        <v>0</v>
      </c>
      <c r="BE454" s="54">
        <v>0</v>
      </c>
      <c r="BF454" s="54">
        <v>0</v>
      </c>
      <c r="BG454" s="54">
        <v>0</v>
      </c>
      <c r="BH454" s="54">
        <v>0</v>
      </c>
      <c r="BK454" s="104" t="str">
        <f>$V$78</f>
        <v>-</v>
      </c>
      <c r="BL454" s="108">
        <v>0</v>
      </c>
      <c r="BM454" s="108">
        <v>0</v>
      </c>
      <c r="BN454" s="108">
        <v>0</v>
      </c>
      <c r="BO454" s="108">
        <v>0</v>
      </c>
      <c r="BP454" s="108">
        <v>0</v>
      </c>
      <c r="BQ454" s="108">
        <v>0</v>
      </c>
      <c r="BR454" s="108">
        <v>0</v>
      </c>
      <c r="BS454" s="108">
        <v>0</v>
      </c>
      <c r="BT454" s="108">
        <v>0</v>
      </c>
      <c r="BU454" s="108">
        <v>0</v>
      </c>
      <c r="BV454" s="108">
        <v>0</v>
      </c>
      <c r="BW454" s="108">
        <v>0</v>
      </c>
      <c r="BX454" s="108">
        <v>0</v>
      </c>
      <c r="BY454" s="108">
        <v>0</v>
      </c>
      <c r="BZ454" s="108">
        <v>0</v>
      </c>
      <c r="CA454" s="108">
        <v>0</v>
      </c>
      <c r="CB454" s="108">
        <v>0</v>
      </c>
    </row>
    <row r="455" spans="3:80" x14ac:dyDescent="0.55000000000000004">
      <c r="C455" s="104" t="str">
        <f>$V$64</f>
        <v>Alex</v>
      </c>
      <c r="D455" s="108">
        <f t="shared" ref="D455:S455" si="193">D64</f>
        <v>0</v>
      </c>
      <c r="E455" s="108">
        <f t="shared" si="193"/>
        <v>0</v>
      </c>
      <c r="F455" s="108">
        <f t="shared" si="193"/>
        <v>0</v>
      </c>
      <c r="G455" s="108">
        <f t="shared" si="193"/>
        <v>0</v>
      </c>
      <c r="H455" s="108">
        <f t="shared" si="193"/>
        <v>0</v>
      </c>
      <c r="I455" s="108">
        <f t="shared" si="193"/>
        <v>0</v>
      </c>
      <c r="J455" s="108">
        <f t="shared" si="193"/>
        <v>0</v>
      </c>
      <c r="K455" s="108">
        <f t="shared" si="193"/>
        <v>0</v>
      </c>
      <c r="L455" s="108">
        <f t="shared" si="193"/>
        <v>0</v>
      </c>
      <c r="M455" s="108">
        <f t="shared" si="193"/>
        <v>0</v>
      </c>
      <c r="N455" s="108">
        <f t="shared" si="193"/>
        <v>0</v>
      </c>
      <c r="O455" s="108">
        <f t="shared" si="193"/>
        <v>0</v>
      </c>
      <c r="P455" s="108">
        <f t="shared" si="193"/>
        <v>0</v>
      </c>
      <c r="Q455" s="108">
        <f t="shared" si="193"/>
        <v>0</v>
      </c>
      <c r="R455" s="108">
        <f t="shared" si="193"/>
        <v>0</v>
      </c>
      <c r="S455" s="108">
        <f t="shared" si="193"/>
        <v>0</v>
      </c>
      <c r="T455" s="28" t="s">
        <v>26</v>
      </c>
      <c r="V455" s="104" t="str">
        <f>$V$64</f>
        <v>Alex</v>
      </c>
      <c r="W455" s="108">
        <f t="shared" si="167"/>
        <v>-1</v>
      </c>
      <c r="X455" s="108">
        <f t="shared" si="168"/>
        <v>-1</v>
      </c>
      <c r="Y455" s="108">
        <f t="shared" si="169"/>
        <v>-1</v>
      </c>
      <c r="Z455" s="108">
        <f t="shared" si="170"/>
        <v>-1</v>
      </c>
      <c r="AA455" s="108">
        <f t="shared" si="171"/>
        <v>-1</v>
      </c>
      <c r="AB455" s="108">
        <f t="shared" si="172"/>
        <v>-1</v>
      </c>
      <c r="AC455" s="108">
        <f t="shared" si="173"/>
        <v>-1</v>
      </c>
      <c r="AD455" s="108">
        <f t="shared" si="174"/>
        <v>-1</v>
      </c>
      <c r="AE455" s="108">
        <f t="shared" si="175"/>
        <v>-1</v>
      </c>
      <c r="AF455" s="108">
        <f t="shared" si="176"/>
        <v>-1</v>
      </c>
      <c r="AG455" s="108">
        <f t="shared" si="177"/>
        <v>-1</v>
      </c>
      <c r="AH455" s="108">
        <f t="shared" si="178"/>
        <v>-1</v>
      </c>
      <c r="AI455" s="108">
        <f t="shared" si="179"/>
        <v>-1</v>
      </c>
      <c r="AJ455" s="108">
        <f t="shared" si="180"/>
        <v>-1</v>
      </c>
      <c r="AK455" s="108">
        <f t="shared" si="181"/>
        <v>-1</v>
      </c>
      <c r="AL455" s="108">
        <f t="shared" si="182"/>
        <v>-1</v>
      </c>
      <c r="AM455" s="108"/>
      <c r="AQ455" s="104" t="str">
        <f>$V$74</f>
        <v>Samuel</v>
      </c>
      <c r="AR455" s="54">
        <v>0</v>
      </c>
      <c r="AS455" s="54">
        <v>0</v>
      </c>
      <c r="AT455" s="54">
        <v>0</v>
      </c>
      <c r="AU455" s="54">
        <v>0</v>
      </c>
      <c r="AV455" s="54">
        <v>0</v>
      </c>
      <c r="AW455" s="54">
        <v>0</v>
      </c>
      <c r="AX455" s="54">
        <v>0</v>
      </c>
      <c r="AY455" s="54">
        <v>0</v>
      </c>
      <c r="AZ455" s="54">
        <v>0</v>
      </c>
      <c r="BA455" s="54">
        <v>0</v>
      </c>
      <c r="BB455" s="54">
        <v>0</v>
      </c>
      <c r="BC455" s="54">
        <v>0</v>
      </c>
      <c r="BD455" s="54">
        <v>0</v>
      </c>
      <c r="BE455" s="54">
        <v>0</v>
      </c>
      <c r="BF455" s="54">
        <v>0</v>
      </c>
      <c r="BG455" s="54">
        <v>0</v>
      </c>
      <c r="BH455" s="54">
        <v>0</v>
      </c>
      <c r="BK455" s="104" t="str">
        <f>$V$79</f>
        <v>-</v>
      </c>
      <c r="BL455" s="108">
        <v>0</v>
      </c>
      <c r="BM455" s="108">
        <v>0</v>
      </c>
      <c r="BN455" s="108">
        <v>0</v>
      </c>
      <c r="BO455" s="108">
        <v>0</v>
      </c>
      <c r="BP455" s="108">
        <v>0</v>
      </c>
      <c r="BQ455" s="108">
        <v>0</v>
      </c>
      <c r="BR455" s="108">
        <v>0</v>
      </c>
      <c r="BS455" s="108">
        <v>0</v>
      </c>
      <c r="BT455" s="108">
        <v>0</v>
      </c>
      <c r="BU455" s="108">
        <v>0</v>
      </c>
      <c r="BV455" s="108">
        <v>0</v>
      </c>
      <c r="BW455" s="108">
        <v>0</v>
      </c>
      <c r="BX455" s="108">
        <v>0</v>
      </c>
      <c r="BY455" s="108">
        <v>0</v>
      </c>
      <c r="BZ455" s="108">
        <v>0</v>
      </c>
      <c r="CA455" s="108">
        <v>0</v>
      </c>
      <c r="CB455" s="108">
        <v>0</v>
      </c>
    </row>
    <row r="456" spans="3:80" x14ac:dyDescent="0.55000000000000004">
      <c r="C456" s="104" t="str">
        <f>$V$65</f>
        <v>Alyssa</v>
      </c>
      <c r="D456" s="108">
        <f t="shared" ref="D456:S456" si="194">D65</f>
        <v>0</v>
      </c>
      <c r="E456" s="108">
        <f t="shared" si="194"/>
        <v>0</v>
      </c>
      <c r="F456" s="108">
        <f t="shared" si="194"/>
        <v>0</v>
      </c>
      <c r="G456" s="108">
        <f t="shared" si="194"/>
        <v>0</v>
      </c>
      <c r="H456" s="108">
        <f t="shared" si="194"/>
        <v>0</v>
      </c>
      <c r="I456" s="108">
        <f t="shared" si="194"/>
        <v>0</v>
      </c>
      <c r="J456" s="108">
        <f t="shared" si="194"/>
        <v>0</v>
      </c>
      <c r="K456" s="108">
        <f t="shared" si="194"/>
        <v>0</v>
      </c>
      <c r="L456" s="108">
        <f t="shared" si="194"/>
        <v>0</v>
      </c>
      <c r="M456" s="108">
        <f t="shared" si="194"/>
        <v>0</v>
      </c>
      <c r="N456" s="108">
        <f t="shared" si="194"/>
        <v>0</v>
      </c>
      <c r="O456" s="108">
        <f t="shared" si="194"/>
        <v>0</v>
      </c>
      <c r="P456" s="108">
        <f t="shared" si="194"/>
        <v>0</v>
      </c>
      <c r="Q456" s="108">
        <f t="shared" si="194"/>
        <v>0</v>
      </c>
      <c r="R456" s="108">
        <f t="shared" si="194"/>
        <v>0</v>
      </c>
      <c r="S456" s="108">
        <f t="shared" si="194"/>
        <v>0</v>
      </c>
      <c r="T456" s="28" t="s">
        <v>26</v>
      </c>
      <c r="V456" s="104" t="str">
        <f>$V$65</f>
        <v>Alyssa</v>
      </c>
      <c r="W456" s="108">
        <f t="shared" si="167"/>
        <v>-1</v>
      </c>
      <c r="X456" s="108">
        <f t="shared" si="168"/>
        <v>-1</v>
      </c>
      <c r="Y456" s="108">
        <f t="shared" si="169"/>
        <v>-1</v>
      </c>
      <c r="Z456" s="108">
        <f t="shared" si="170"/>
        <v>-1</v>
      </c>
      <c r="AA456" s="108">
        <f t="shared" si="171"/>
        <v>-1</v>
      </c>
      <c r="AB456" s="108">
        <f t="shared" si="172"/>
        <v>-1</v>
      </c>
      <c r="AC456" s="108">
        <f t="shared" si="173"/>
        <v>-1</v>
      </c>
      <c r="AD456" s="108">
        <f t="shared" si="174"/>
        <v>-1</v>
      </c>
      <c r="AE456" s="108">
        <f t="shared" si="175"/>
        <v>-1</v>
      </c>
      <c r="AF456" s="108">
        <f t="shared" si="176"/>
        <v>-1</v>
      </c>
      <c r="AG456" s="108">
        <f t="shared" si="177"/>
        <v>-1</v>
      </c>
      <c r="AH456" s="108">
        <f t="shared" si="178"/>
        <v>-1</v>
      </c>
      <c r="AI456" s="108">
        <f t="shared" si="179"/>
        <v>-1</v>
      </c>
      <c r="AJ456" s="108">
        <f t="shared" si="180"/>
        <v>-1</v>
      </c>
      <c r="AK456" s="108">
        <f t="shared" si="181"/>
        <v>-1</v>
      </c>
      <c r="AL456" s="108">
        <f t="shared" si="182"/>
        <v>-1</v>
      </c>
      <c r="AM456" s="108"/>
      <c r="AQ456" s="104" t="str">
        <f>$V$75</f>
        <v>Yassin</v>
      </c>
      <c r="AR456" s="54">
        <v>0</v>
      </c>
      <c r="AS456" s="54">
        <v>0</v>
      </c>
      <c r="AT456" s="54">
        <v>0</v>
      </c>
      <c r="AU456" s="54">
        <v>0</v>
      </c>
      <c r="AV456" s="54">
        <v>0</v>
      </c>
      <c r="AW456" s="54">
        <v>0</v>
      </c>
      <c r="AX456" s="54">
        <v>0</v>
      </c>
      <c r="AY456" s="54">
        <v>0</v>
      </c>
      <c r="AZ456" s="54">
        <v>0</v>
      </c>
      <c r="BA456" s="54">
        <v>0</v>
      </c>
      <c r="BB456" s="54">
        <v>0</v>
      </c>
      <c r="BC456" s="54">
        <v>0</v>
      </c>
      <c r="BD456" s="54">
        <v>0</v>
      </c>
      <c r="BE456" s="54">
        <v>0</v>
      </c>
      <c r="BF456" s="54">
        <v>0</v>
      </c>
      <c r="BG456" s="54">
        <v>0</v>
      </c>
      <c r="BH456" s="54">
        <v>0</v>
      </c>
      <c r="BK456" s="104" t="str">
        <f>$V$80</f>
        <v>-</v>
      </c>
      <c r="BL456" s="108">
        <v>0</v>
      </c>
      <c r="BM456" s="108">
        <v>0</v>
      </c>
      <c r="BN456" s="108">
        <v>0</v>
      </c>
      <c r="BO456" s="108">
        <v>0</v>
      </c>
      <c r="BP456" s="108">
        <v>0</v>
      </c>
      <c r="BQ456" s="108">
        <v>0</v>
      </c>
      <c r="BR456" s="108">
        <v>0</v>
      </c>
      <c r="BS456" s="108">
        <v>0</v>
      </c>
      <c r="BT456" s="108">
        <v>0</v>
      </c>
      <c r="BU456" s="108">
        <v>0</v>
      </c>
      <c r="BV456" s="108">
        <v>0</v>
      </c>
      <c r="BW456" s="108">
        <v>0</v>
      </c>
      <c r="BX456" s="108">
        <v>0</v>
      </c>
      <c r="BY456" s="108">
        <v>0</v>
      </c>
      <c r="BZ456" s="108">
        <v>0</v>
      </c>
      <c r="CA456" s="108">
        <v>0</v>
      </c>
      <c r="CB456" s="108">
        <v>0</v>
      </c>
    </row>
    <row r="457" spans="3:80" x14ac:dyDescent="0.55000000000000004">
      <c r="C457" s="104" t="str">
        <f>$V$66</f>
        <v>Amanda</v>
      </c>
      <c r="D457" s="108">
        <f t="shared" ref="D457:S457" si="195">D66</f>
        <v>0</v>
      </c>
      <c r="E457" s="108">
        <f t="shared" si="195"/>
        <v>0</v>
      </c>
      <c r="F457" s="108">
        <f t="shared" si="195"/>
        <v>0</v>
      </c>
      <c r="G457" s="108">
        <f t="shared" si="195"/>
        <v>0</v>
      </c>
      <c r="H457" s="108">
        <f t="shared" si="195"/>
        <v>0</v>
      </c>
      <c r="I457" s="108">
        <f t="shared" si="195"/>
        <v>0</v>
      </c>
      <c r="J457" s="108">
        <f t="shared" si="195"/>
        <v>0</v>
      </c>
      <c r="K457" s="108">
        <f t="shared" si="195"/>
        <v>0</v>
      </c>
      <c r="L457" s="108">
        <f t="shared" si="195"/>
        <v>0</v>
      </c>
      <c r="M457" s="108">
        <f t="shared" si="195"/>
        <v>0</v>
      </c>
      <c r="N457" s="108">
        <f t="shared" si="195"/>
        <v>0</v>
      </c>
      <c r="O457" s="108">
        <f t="shared" si="195"/>
        <v>0</v>
      </c>
      <c r="P457" s="108">
        <f t="shared" si="195"/>
        <v>0</v>
      </c>
      <c r="Q457" s="108">
        <f t="shared" si="195"/>
        <v>0</v>
      </c>
      <c r="R457" s="108">
        <f t="shared" si="195"/>
        <v>0</v>
      </c>
      <c r="S457" s="108">
        <f t="shared" si="195"/>
        <v>0</v>
      </c>
      <c r="T457" s="28" t="s">
        <v>26</v>
      </c>
      <c r="V457" s="104" t="str">
        <f>$V$66</f>
        <v>Amanda</v>
      </c>
      <c r="W457" s="108">
        <f t="shared" si="167"/>
        <v>-1</v>
      </c>
      <c r="X457" s="108">
        <f t="shared" si="168"/>
        <v>-1</v>
      </c>
      <c r="Y457" s="108">
        <f t="shared" si="169"/>
        <v>-1</v>
      </c>
      <c r="Z457" s="108">
        <f t="shared" si="170"/>
        <v>-1</v>
      </c>
      <c r="AA457" s="108">
        <f t="shared" si="171"/>
        <v>-1</v>
      </c>
      <c r="AB457" s="108">
        <f t="shared" si="172"/>
        <v>-1</v>
      </c>
      <c r="AC457" s="108">
        <f t="shared" si="173"/>
        <v>-1</v>
      </c>
      <c r="AD457" s="108">
        <f t="shared" si="174"/>
        <v>-1</v>
      </c>
      <c r="AE457" s="108">
        <f t="shared" si="175"/>
        <v>-1</v>
      </c>
      <c r="AF457" s="108">
        <f t="shared" si="176"/>
        <v>-1</v>
      </c>
      <c r="AG457" s="108">
        <f t="shared" si="177"/>
        <v>-1</v>
      </c>
      <c r="AH457" s="108">
        <f t="shared" si="178"/>
        <v>-1</v>
      </c>
      <c r="AI457" s="108">
        <f t="shared" si="179"/>
        <v>-1</v>
      </c>
      <c r="AJ457" s="108">
        <f t="shared" si="180"/>
        <v>-1</v>
      </c>
      <c r="AK457" s="108">
        <f t="shared" si="181"/>
        <v>-1</v>
      </c>
      <c r="AL457" s="108">
        <f t="shared" si="182"/>
        <v>-1</v>
      </c>
      <c r="AM457" s="108"/>
      <c r="AQ457" s="104" t="str">
        <f>$V$76</f>
        <v>Kamar</v>
      </c>
      <c r="AR457" s="54">
        <v>0</v>
      </c>
      <c r="AS457" s="54">
        <v>0</v>
      </c>
      <c r="AT457" s="54">
        <v>0</v>
      </c>
      <c r="AU457" s="54">
        <v>0</v>
      </c>
      <c r="AV457" s="54">
        <v>0</v>
      </c>
      <c r="AW457" s="54">
        <v>0</v>
      </c>
      <c r="AX457" s="54">
        <v>0</v>
      </c>
      <c r="AY457" s="54">
        <v>0</v>
      </c>
      <c r="AZ457" s="54">
        <v>0</v>
      </c>
      <c r="BA457" s="54">
        <v>0</v>
      </c>
      <c r="BB457" s="54">
        <v>0</v>
      </c>
      <c r="BC457" s="54">
        <v>0</v>
      </c>
      <c r="BD457" s="54">
        <v>0</v>
      </c>
      <c r="BE457" s="54">
        <v>0</v>
      </c>
      <c r="BF457" s="54">
        <v>0</v>
      </c>
      <c r="BG457" s="54">
        <v>0</v>
      </c>
      <c r="BH457" s="54">
        <v>0</v>
      </c>
      <c r="BK457" s="104" t="str">
        <f>$V$81</f>
        <v>-</v>
      </c>
      <c r="BL457" s="108">
        <v>0</v>
      </c>
      <c r="BM457" s="108">
        <v>0</v>
      </c>
      <c r="BN457" s="108">
        <v>0</v>
      </c>
      <c r="BO457" s="108">
        <v>0</v>
      </c>
      <c r="BP457" s="108">
        <v>0</v>
      </c>
      <c r="BQ457" s="108">
        <v>0</v>
      </c>
      <c r="BR457" s="108">
        <v>0</v>
      </c>
      <c r="BS457" s="108">
        <v>0</v>
      </c>
      <c r="BT457" s="108">
        <v>0</v>
      </c>
      <c r="BU457" s="108">
        <v>0</v>
      </c>
      <c r="BV457" s="108">
        <v>0</v>
      </c>
      <c r="BW457" s="108">
        <v>0</v>
      </c>
      <c r="BX457" s="108">
        <v>0</v>
      </c>
      <c r="BY457" s="108">
        <v>0</v>
      </c>
      <c r="BZ457" s="108">
        <v>0</v>
      </c>
      <c r="CA457" s="108">
        <v>0</v>
      </c>
      <c r="CB457" s="108">
        <v>0</v>
      </c>
    </row>
    <row r="458" spans="3:80" x14ac:dyDescent="0.55000000000000004">
      <c r="C458" s="104" t="str">
        <f>$V$67</f>
        <v>Antoine</v>
      </c>
      <c r="D458" s="108">
        <f t="shared" ref="D458:S458" si="196">D67</f>
        <v>0</v>
      </c>
      <c r="E458" s="108">
        <f t="shared" si="196"/>
        <v>0</v>
      </c>
      <c r="F458" s="108">
        <f t="shared" si="196"/>
        <v>0</v>
      </c>
      <c r="G458" s="108">
        <f t="shared" si="196"/>
        <v>0</v>
      </c>
      <c r="H458" s="108">
        <f t="shared" si="196"/>
        <v>0</v>
      </c>
      <c r="I458" s="108">
        <f t="shared" si="196"/>
        <v>0</v>
      </c>
      <c r="J458" s="108">
        <f t="shared" si="196"/>
        <v>0</v>
      </c>
      <c r="K458" s="108">
        <f t="shared" si="196"/>
        <v>0</v>
      </c>
      <c r="L458" s="108">
        <f t="shared" si="196"/>
        <v>0</v>
      </c>
      <c r="M458" s="108">
        <f t="shared" si="196"/>
        <v>0</v>
      </c>
      <c r="N458" s="108">
        <f t="shared" si="196"/>
        <v>0</v>
      </c>
      <c r="O458" s="108">
        <f t="shared" si="196"/>
        <v>0</v>
      </c>
      <c r="P458" s="108">
        <f t="shared" si="196"/>
        <v>0</v>
      </c>
      <c r="Q458" s="108">
        <f t="shared" si="196"/>
        <v>0</v>
      </c>
      <c r="R458" s="108">
        <f t="shared" si="196"/>
        <v>0</v>
      </c>
      <c r="S458" s="108">
        <f t="shared" si="196"/>
        <v>0</v>
      </c>
      <c r="T458" s="28" t="s">
        <v>26</v>
      </c>
      <c r="V458" s="104" t="str">
        <f>$V$67</f>
        <v>Antoine</v>
      </c>
      <c r="W458" s="108">
        <f t="shared" si="167"/>
        <v>-1</v>
      </c>
      <c r="X458" s="108">
        <f t="shared" si="168"/>
        <v>-1</v>
      </c>
      <c r="Y458" s="108">
        <f t="shared" si="169"/>
        <v>-1</v>
      </c>
      <c r="Z458" s="108">
        <f t="shared" si="170"/>
        <v>-1</v>
      </c>
      <c r="AA458" s="108">
        <f t="shared" si="171"/>
        <v>-1</v>
      </c>
      <c r="AB458" s="108">
        <f t="shared" si="172"/>
        <v>-1</v>
      </c>
      <c r="AC458" s="108">
        <f t="shared" si="173"/>
        <v>-1</v>
      </c>
      <c r="AD458" s="108">
        <f t="shared" si="174"/>
        <v>-1</v>
      </c>
      <c r="AE458" s="108">
        <f t="shared" si="175"/>
        <v>-1</v>
      </c>
      <c r="AF458" s="108">
        <f t="shared" si="176"/>
        <v>-1</v>
      </c>
      <c r="AG458" s="108">
        <f t="shared" si="177"/>
        <v>-1</v>
      </c>
      <c r="AH458" s="108">
        <f t="shared" si="178"/>
        <v>-1</v>
      </c>
      <c r="AI458" s="108">
        <f t="shared" si="179"/>
        <v>-1</v>
      </c>
      <c r="AJ458" s="108">
        <f t="shared" si="180"/>
        <v>-1</v>
      </c>
      <c r="AK458" s="108">
        <f t="shared" si="181"/>
        <v>-1</v>
      </c>
      <c r="AL458" s="108">
        <f t="shared" si="182"/>
        <v>-1</v>
      </c>
      <c r="AM458" s="108"/>
      <c r="AQ458" s="104" t="str">
        <f>$V$77</f>
        <v>-</v>
      </c>
      <c r="AR458" s="54">
        <v>0</v>
      </c>
      <c r="AS458" s="54">
        <v>0</v>
      </c>
      <c r="AT458" s="54">
        <v>0</v>
      </c>
      <c r="AU458" s="54">
        <v>0</v>
      </c>
      <c r="AV458" s="54">
        <v>0</v>
      </c>
      <c r="AW458" s="54">
        <v>0</v>
      </c>
      <c r="AX458" s="54">
        <v>0</v>
      </c>
      <c r="AY458" s="54">
        <v>0</v>
      </c>
      <c r="AZ458" s="54">
        <v>0</v>
      </c>
      <c r="BA458" s="54">
        <v>0</v>
      </c>
      <c r="BB458" s="54">
        <v>0</v>
      </c>
      <c r="BC458" s="54">
        <v>0</v>
      </c>
      <c r="BD458" s="54">
        <v>0</v>
      </c>
      <c r="BE458" s="54">
        <v>0</v>
      </c>
      <c r="BF458" s="54">
        <v>0</v>
      </c>
      <c r="BG458" s="54">
        <v>0</v>
      </c>
      <c r="BH458" s="54">
        <v>0</v>
      </c>
      <c r="BK458" s="104" t="str">
        <f>$V$82</f>
        <v>-</v>
      </c>
      <c r="BL458" s="108">
        <v>0</v>
      </c>
      <c r="BM458" s="108">
        <v>0</v>
      </c>
      <c r="BN458" s="108">
        <v>0</v>
      </c>
      <c r="BO458" s="108">
        <v>0</v>
      </c>
      <c r="BP458" s="108">
        <v>0</v>
      </c>
      <c r="BQ458" s="108">
        <v>0</v>
      </c>
      <c r="BR458" s="108">
        <v>0</v>
      </c>
      <c r="BS458" s="108">
        <v>0</v>
      </c>
      <c r="BT458" s="108">
        <v>0</v>
      </c>
      <c r="BU458" s="108">
        <v>0</v>
      </c>
      <c r="BV458" s="108">
        <v>0</v>
      </c>
      <c r="BW458" s="108">
        <v>0</v>
      </c>
      <c r="BX458" s="108">
        <v>0</v>
      </c>
      <c r="BY458" s="108">
        <v>0</v>
      </c>
      <c r="BZ458" s="108">
        <v>0</v>
      </c>
      <c r="CA458" s="108">
        <v>0</v>
      </c>
      <c r="CB458" s="108">
        <v>0</v>
      </c>
    </row>
    <row r="459" spans="3:80" x14ac:dyDescent="0.55000000000000004">
      <c r="C459" s="104" t="str">
        <f>$V$68</f>
        <v>Beatriz</v>
      </c>
      <c r="D459" s="108">
        <f t="shared" ref="D459:S459" si="197">D68</f>
        <v>0</v>
      </c>
      <c r="E459" s="108">
        <f t="shared" si="197"/>
        <v>0</v>
      </c>
      <c r="F459" s="108">
        <f t="shared" si="197"/>
        <v>0</v>
      </c>
      <c r="G459" s="108">
        <f t="shared" si="197"/>
        <v>0</v>
      </c>
      <c r="H459" s="108">
        <f t="shared" si="197"/>
        <v>0</v>
      </c>
      <c r="I459" s="108">
        <f t="shared" si="197"/>
        <v>0</v>
      </c>
      <c r="J459" s="108">
        <f t="shared" si="197"/>
        <v>0</v>
      </c>
      <c r="K459" s="108">
        <f t="shared" si="197"/>
        <v>0</v>
      </c>
      <c r="L459" s="108">
        <f t="shared" si="197"/>
        <v>0</v>
      </c>
      <c r="M459" s="108">
        <f t="shared" si="197"/>
        <v>0</v>
      </c>
      <c r="N459" s="108">
        <f t="shared" si="197"/>
        <v>0</v>
      </c>
      <c r="O459" s="108">
        <f t="shared" si="197"/>
        <v>0</v>
      </c>
      <c r="P459" s="108">
        <f t="shared" si="197"/>
        <v>0</v>
      </c>
      <c r="Q459" s="108">
        <f t="shared" si="197"/>
        <v>0</v>
      </c>
      <c r="R459" s="108">
        <f t="shared" si="197"/>
        <v>0</v>
      </c>
      <c r="S459" s="108">
        <f t="shared" si="197"/>
        <v>0</v>
      </c>
      <c r="T459" s="28" t="s">
        <v>26</v>
      </c>
      <c r="V459" s="104" t="str">
        <f>$V$68</f>
        <v>Beatriz</v>
      </c>
      <c r="W459" s="108">
        <f t="shared" si="167"/>
        <v>-1</v>
      </c>
      <c r="X459" s="108">
        <f t="shared" si="168"/>
        <v>-1</v>
      </c>
      <c r="Y459" s="108">
        <f t="shared" si="169"/>
        <v>-1</v>
      </c>
      <c r="Z459" s="108">
        <f t="shared" si="170"/>
        <v>-1</v>
      </c>
      <c r="AA459" s="108">
        <f t="shared" si="171"/>
        <v>-1</v>
      </c>
      <c r="AB459" s="108">
        <f t="shared" si="172"/>
        <v>-1</v>
      </c>
      <c r="AC459" s="108">
        <f t="shared" si="173"/>
        <v>-1</v>
      </c>
      <c r="AD459" s="108">
        <f t="shared" si="174"/>
        <v>-1</v>
      </c>
      <c r="AE459" s="108">
        <f t="shared" si="175"/>
        <v>-1</v>
      </c>
      <c r="AF459" s="108">
        <f t="shared" si="176"/>
        <v>-1</v>
      </c>
      <c r="AG459" s="108">
        <f t="shared" si="177"/>
        <v>-1</v>
      </c>
      <c r="AH459" s="108">
        <f t="shared" si="178"/>
        <v>-1</v>
      </c>
      <c r="AI459" s="108">
        <f t="shared" si="179"/>
        <v>-1</v>
      </c>
      <c r="AJ459" s="108">
        <f t="shared" si="180"/>
        <v>-1</v>
      </c>
      <c r="AK459" s="108">
        <f t="shared" si="181"/>
        <v>-1</v>
      </c>
      <c r="AL459" s="108">
        <f t="shared" si="182"/>
        <v>-1</v>
      </c>
      <c r="AM459" s="108"/>
      <c r="AQ459" s="104" t="str">
        <f>$V$78</f>
        <v>-</v>
      </c>
      <c r="AR459" s="54">
        <v>0</v>
      </c>
      <c r="AS459" s="54">
        <v>0</v>
      </c>
      <c r="AT459" s="54">
        <v>0</v>
      </c>
      <c r="AU459" s="54">
        <v>0</v>
      </c>
      <c r="AV459" s="54">
        <v>0</v>
      </c>
      <c r="AW459" s="54">
        <v>0</v>
      </c>
      <c r="AX459" s="54">
        <v>0</v>
      </c>
      <c r="AY459" s="54">
        <v>0</v>
      </c>
      <c r="AZ459" s="54">
        <v>0</v>
      </c>
      <c r="BA459" s="54">
        <v>-2</v>
      </c>
      <c r="BB459" s="54">
        <v>0</v>
      </c>
      <c r="BC459" s="54">
        <v>0</v>
      </c>
      <c r="BD459" s="54">
        <v>0</v>
      </c>
      <c r="BE459" s="54">
        <v>0</v>
      </c>
      <c r="BF459" s="54">
        <v>0</v>
      </c>
      <c r="BG459" s="54">
        <v>0</v>
      </c>
      <c r="BH459" s="54">
        <v>0</v>
      </c>
      <c r="BK459" s="104" t="str">
        <f>$V$83</f>
        <v>-</v>
      </c>
      <c r="BL459" s="108">
        <v>0</v>
      </c>
      <c r="BM459" s="108">
        <v>0</v>
      </c>
      <c r="BN459" s="108">
        <v>0</v>
      </c>
      <c r="BO459" s="108">
        <v>0</v>
      </c>
      <c r="BP459" s="108">
        <v>0</v>
      </c>
      <c r="BQ459" s="108">
        <v>0</v>
      </c>
      <c r="BR459" s="108">
        <v>0</v>
      </c>
      <c r="BS459" s="108">
        <v>0</v>
      </c>
      <c r="BT459" s="108">
        <v>0</v>
      </c>
      <c r="BU459" s="108">
        <v>0</v>
      </c>
      <c r="BV459" s="108">
        <v>0</v>
      </c>
      <c r="BW459" s="108">
        <v>0</v>
      </c>
      <c r="BX459" s="108">
        <v>0</v>
      </c>
      <c r="BY459" s="108">
        <v>0</v>
      </c>
      <c r="BZ459" s="108">
        <v>0</v>
      </c>
      <c r="CA459" s="108">
        <v>0</v>
      </c>
      <c r="CB459" s="108">
        <v>0</v>
      </c>
    </row>
    <row r="460" spans="3:80" x14ac:dyDescent="0.55000000000000004">
      <c r="C460" s="104" t="str">
        <f>$V$69</f>
        <v>Charelle</v>
      </c>
      <c r="D460" s="108">
        <f t="shared" ref="D460:S460" si="198">D69</f>
        <v>0</v>
      </c>
      <c r="E460" s="108">
        <f t="shared" si="198"/>
        <v>0</v>
      </c>
      <c r="F460" s="108">
        <f t="shared" si="198"/>
        <v>0</v>
      </c>
      <c r="G460" s="108">
        <f t="shared" si="198"/>
        <v>0</v>
      </c>
      <c r="H460" s="108">
        <f t="shared" si="198"/>
        <v>0</v>
      </c>
      <c r="I460" s="108">
        <f t="shared" si="198"/>
        <v>0</v>
      </c>
      <c r="J460" s="108">
        <f t="shared" si="198"/>
        <v>0</v>
      </c>
      <c r="K460" s="108">
        <f t="shared" si="198"/>
        <v>0</v>
      </c>
      <c r="L460" s="108">
        <f t="shared" si="198"/>
        <v>0</v>
      </c>
      <c r="M460" s="108">
        <f t="shared" si="198"/>
        <v>0</v>
      </c>
      <c r="N460" s="108">
        <f t="shared" si="198"/>
        <v>0</v>
      </c>
      <c r="O460" s="108">
        <f t="shared" si="198"/>
        <v>0</v>
      </c>
      <c r="P460" s="108">
        <f t="shared" si="198"/>
        <v>0</v>
      </c>
      <c r="Q460" s="108">
        <f t="shared" si="198"/>
        <v>0</v>
      </c>
      <c r="R460" s="108">
        <f t="shared" si="198"/>
        <v>0</v>
      </c>
      <c r="S460" s="108">
        <f t="shared" si="198"/>
        <v>0</v>
      </c>
      <c r="T460" s="28" t="s">
        <v>26</v>
      </c>
      <c r="V460" s="104" t="str">
        <f>$V$69</f>
        <v>Charelle</v>
      </c>
      <c r="W460" s="108">
        <f t="shared" si="167"/>
        <v>-1</v>
      </c>
      <c r="X460" s="108">
        <f t="shared" si="168"/>
        <v>-1</v>
      </c>
      <c r="Y460" s="108">
        <f t="shared" si="169"/>
        <v>-1</v>
      </c>
      <c r="Z460" s="108">
        <f t="shared" si="170"/>
        <v>-1</v>
      </c>
      <c r="AA460" s="108">
        <f t="shared" si="171"/>
        <v>-1</v>
      </c>
      <c r="AB460" s="108">
        <f t="shared" si="172"/>
        <v>-1</v>
      </c>
      <c r="AC460" s="108">
        <f t="shared" si="173"/>
        <v>-1</v>
      </c>
      <c r="AD460" s="108">
        <f t="shared" si="174"/>
        <v>-1</v>
      </c>
      <c r="AE460" s="108">
        <f t="shared" si="175"/>
        <v>-1</v>
      </c>
      <c r="AF460" s="108">
        <f t="shared" si="176"/>
        <v>-1</v>
      </c>
      <c r="AG460" s="108">
        <f t="shared" si="177"/>
        <v>-1</v>
      </c>
      <c r="AH460" s="108">
        <f t="shared" si="178"/>
        <v>-1</v>
      </c>
      <c r="AI460" s="108">
        <f t="shared" si="179"/>
        <v>-1</v>
      </c>
      <c r="AJ460" s="108">
        <f t="shared" si="180"/>
        <v>-1</v>
      </c>
      <c r="AK460" s="108">
        <f t="shared" si="181"/>
        <v>-1</v>
      </c>
      <c r="AL460" s="108">
        <f t="shared" si="182"/>
        <v>-1</v>
      </c>
      <c r="AM460" s="108"/>
      <c r="AQ460" s="104" t="str">
        <f>$V$79</f>
        <v>-</v>
      </c>
      <c r="AR460" s="54">
        <v>0</v>
      </c>
      <c r="AS460" s="54">
        <v>-2</v>
      </c>
      <c r="AT460" s="54">
        <v>0</v>
      </c>
      <c r="AU460" s="54">
        <v>0</v>
      </c>
      <c r="AV460" s="54">
        <v>0</v>
      </c>
      <c r="AW460" s="54">
        <v>0</v>
      </c>
      <c r="AX460" s="54">
        <v>0</v>
      </c>
      <c r="AY460" s="54">
        <v>0</v>
      </c>
      <c r="AZ460" s="54">
        <v>0</v>
      </c>
      <c r="BA460" s="54">
        <v>0</v>
      </c>
      <c r="BB460" s="54">
        <v>0</v>
      </c>
      <c r="BC460" s="54">
        <v>0</v>
      </c>
      <c r="BD460" s="54">
        <v>0</v>
      </c>
      <c r="BE460" s="54">
        <v>0</v>
      </c>
      <c r="BF460" s="54">
        <v>0</v>
      </c>
      <c r="BG460" s="54">
        <v>0</v>
      </c>
      <c r="BH460" s="54">
        <v>0</v>
      </c>
      <c r="BK460" s="104" t="str">
        <f>$V$84</f>
        <v>-</v>
      </c>
      <c r="BL460" s="108">
        <v>0</v>
      </c>
      <c r="BM460" s="108">
        <v>0</v>
      </c>
      <c r="BN460" s="108">
        <v>0</v>
      </c>
      <c r="BO460" s="108">
        <v>0</v>
      </c>
      <c r="BP460" s="108">
        <v>0</v>
      </c>
      <c r="BQ460" s="108">
        <v>0</v>
      </c>
      <c r="BR460" s="108">
        <v>0</v>
      </c>
      <c r="BS460" s="108">
        <v>0</v>
      </c>
      <c r="BT460" s="108">
        <v>0</v>
      </c>
      <c r="BU460" s="108">
        <v>0</v>
      </c>
      <c r="BV460" s="108">
        <v>0</v>
      </c>
      <c r="BW460" s="108">
        <v>0</v>
      </c>
      <c r="BX460" s="108">
        <v>0</v>
      </c>
      <c r="BY460" s="108">
        <v>0</v>
      </c>
      <c r="BZ460" s="108">
        <v>0</v>
      </c>
      <c r="CA460" s="108">
        <v>0</v>
      </c>
      <c r="CB460" s="108">
        <v>0</v>
      </c>
    </row>
    <row r="461" spans="3:80" x14ac:dyDescent="0.55000000000000004">
      <c r="C461" s="104" t="str">
        <f>$V$70</f>
        <v>Dimitri</v>
      </c>
      <c r="D461" s="108">
        <f t="shared" ref="D461:S461" si="199">D70</f>
        <v>0</v>
      </c>
      <c r="E461" s="108">
        <f t="shared" si="199"/>
        <v>0</v>
      </c>
      <c r="F461" s="108">
        <f t="shared" si="199"/>
        <v>0</v>
      </c>
      <c r="G461" s="108">
        <f t="shared" si="199"/>
        <v>0</v>
      </c>
      <c r="H461" s="108">
        <f t="shared" si="199"/>
        <v>0</v>
      </c>
      <c r="I461" s="108">
        <f t="shared" si="199"/>
        <v>0</v>
      </c>
      <c r="J461" s="108">
        <f t="shared" si="199"/>
        <v>0</v>
      </c>
      <c r="K461" s="108">
        <f t="shared" si="199"/>
        <v>0</v>
      </c>
      <c r="L461" s="108">
        <f t="shared" si="199"/>
        <v>0</v>
      </c>
      <c r="M461" s="108">
        <f t="shared" si="199"/>
        <v>0</v>
      </c>
      <c r="N461" s="108">
        <f t="shared" si="199"/>
        <v>0</v>
      </c>
      <c r="O461" s="108">
        <f t="shared" si="199"/>
        <v>0</v>
      </c>
      <c r="P461" s="108">
        <f t="shared" si="199"/>
        <v>0</v>
      </c>
      <c r="Q461" s="108">
        <f t="shared" si="199"/>
        <v>0</v>
      </c>
      <c r="R461" s="108">
        <f t="shared" si="199"/>
        <v>0</v>
      </c>
      <c r="S461" s="108">
        <f t="shared" si="199"/>
        <v>0</v>
      </c>
      <c r="T461" s="28" t="s">
        <v>26</v>
      </c>
      <c r="V461" s="104" t="str">
        <f>$V$70</f>
        <v>Dimitri</v>
      </c>
      <c r="W461" s="108">
        <f t="shared" si="167"/>
        <v>-1</v>
      </c>
      <c r="X461" s="108">
        <f t="shared" si="168"/>
        <v>-1</v>
      </c>
      <c r="Y461" s="108">
        <f t="shared" si="169"/>
        <v>-1</v>
      </c>
      <c r="Z461" s="108">
        <f t="shared" si="170"/>
        <v>-1</v>
      </c>
      <c r="AA461" s="108">
        <f t="shared" si="171"/>
        <v>-1</v>
      </c>
      <c r="AB461" s="108">
        <f t="shared" si="172"/>
        <v>-1</v>
      </c>
      <c r="AC461" s="108">
        <f t="shared" si="173"/>
        <v>-1</v>
      </c>
      <c r="AD461" s="108">
        <f t="shared" si="174"/>
        <v>-1</v>
      </c>
      <c r="AE461" s="108">
        <f t="shared" si="175"/>
        <v>-1</v>
      </c>
      <c r="AF461" s="108">
        <f t="shared" si="176"/>
        <v>-1</v>
      </c>
      <c r="AG461" s="108">
        <f t="shared" si="177"/>
        <v>-1</v>
      </c>
      <c r="AH461" s="108">
        <f t="shared" si="178"/>
        <v>-1</v>
      </c>
      <c r="AI461" s="108">
        <f t="shared" si="179"/>
        <v>-1</v>
      </c>
      <c r="AJ461" s="108">
        <f t="shared" si="180"/>
        <v>-1</v>
      </c>
      <c r="AK461" s="108">
        <f t="shared" si="181"/>
        <v>-1</v>
      </c>
      <c r="AL461" s="108">
        <f t="shared" si="182"/>
        <v>-1</v>
      </c>
      <c r="AM461" s="108"/>
      <c r="AQ461" s="104" t="str">
        <f>$V$80</f>
        <v>-</v>
      </c>
      <c r="AR461" s="54">
        <v>0</v>
      </c>
      <c r="AS461" s="54">
        <v>0</v>
      </c>
      <c r="AT461" s="54">
        <v>0</v>
      </c>
      <c r="AU461" s="54">
        <v>0</v>
      </c>
      <c r="AV461" s="54">
        <v>0</v>
      </c>
      <c r="AW461" s="54">
        <v>0</v>
      </c>
      <c r="AX461" s="54">
        <v>0</v>
      </c>
      <c r="AY461" s="54">
        <v>0</v>
      </c>
      <c r="AZ461" s="54">
        <v>0</v>
      </c>
      <c r="BA461" s="54">
        <v>0</v>
      </c>
      <c r="BB461" s="54">
        <v>0</v>
      </c>
      <c r="BC461" s="54">
        <v>0</v>
      </c>
      <c r="BD461" s="54">
        <v>0</v>
      </c>
      <c r="BE461" s="54">
        <v>0</v>
      </c>
      <c r="BF461" s="54">
        <v>0</v>
      </c>
      <c r="BG461" s="54">
        <v>0</v>
      </c>
      <c r="BH461" s="54">
        <v>0</v>
      </c>
      <c r="BK461" s="104" t="str">
        <f>$V$85</f>
        <v>-</v>
      </c>
      <c r="BL461" s="108">
        <v>0</v>
      </c>
      <c r="BM461" s="108">
        <v>0</v>
      </c>
      <c r="BN461" s="108">
        <v>0</v>
      </c>
      <c r="BO461" s="108">
        <v>0</v>
      </c>
      <c r="BP461" s="108">
        <v>0</v>
      </c>
      <c r="BQ461" s="108">
        <v>0</v>
      </c>
      <c r="BR461" s="108">
        <v>0</v>
      </c>
      <c r="BS461" s="108">
        <v>0</v>
      </c>
      <c r="BT461" s="108">
        <v>0</v>
      </c>
      <c r="BU461" s="108">
        <v>0</v>
      </c>
      <c r="BV461" s="108">
        <v>0</v>
      </c>
      <c r="BW461" s="108">
        <v>0</v>
      </c>
      <c r="BX461" s="108">
        <v>0</v>
      </c>
      <c r="BY461" s="108">
        <v>0</v>
      </c>
      <c r="BZ461" s="108">
        <v>0</v>
      </c>
      <c r="CA461" s="108">
        <v>0</v>
      </c>
      <c r="CB461" s="108">
        <v>0</v>
      </c>
    </row>
    <row r="462" spans="3:80" x14ac:dyDescent="0.55000000000000004">
      <c r="C462" s="104" t="str">
        <f>$V$71</f>
        <v>Marina</v>
      </c>
      <c r="D462" s="108">
        <f t="shared" ref="D462:S462" si="200">D71</f>
        <v>0</v>
      </c>
      <c r="E462" s="108">
        <f t="shared" si="200"/>
        <v>0</v>
      </c>
      <c r="F462" s="108">
        <f t="shared" si="200"/>
        <v>0</v>
      </c>
      <c r="G462" s="108">
        <f t="shared" si="200"/>
        <v>0</v>
      </c>
      <c r="H462" s="108">
        <f t="shared" si="200"/>
        <v>0</v>
      </c>
      <c r="I462" s="108">
        <f t="shared" si="200"/>
        <v>0</v>
      </c>
      <c r="J462" s="108">
        <f t="shared" si="200"/>
        <v>0</v>
      </c>
      <c r="K462" s="108">
        <f t="shared" si="200"/>
        <v>0</v>
      </c>
      <c r="L462" s="108">
        <f t="shared" si="200"/>
        <v>0</v>
      </c>
      <c r="M462" s="108">
        <f t="shared" si="200"/>
        <v>0</v>
      </c>
      <c r="N462" s="108">
        <f t="shared" si="200"/>
        <v>0</v>
      </c>
      <c r="O462" s="108">
        <f t="shared" si="200"/>
        <v>0</v>
      </c>
      <c r="P462" s="108">
        <f t="shared" si="200"/>
        <v>0</v>
      </c>
      <c r="Q462" s="108">
        <f t="shared" si="200"/>
        <v>0</v>
      </c>
      <c r="R462" s="108">
        <f t="shared" si="200"/>
        <v>0</v>
      </c>
      <c r="S462" s="108">
        <f t="shared" si="200"/>
        <v>0</v>
      </c>
      <c r="T462" s="28" t="s">
        <v>26</v>
      </c>
      <c r="V462" s="104" t="str">
        <f>$V$71</f>
        <v>Marina</v>
      </c>
      <c r="W462" s="108">
        <f t="shared" si="167"/>
        <v>-1</v>
      </c>
      <c r="X462" s="108">
        <f t="shared" si="168"/>
        <v>-1</v>
      </c>
      <c r="Y462" s="108">
        <f t="shared" si="169"/>
        <v>-1</v>
      </c>
      <c r="Z462" s="108">
        <f t="shared" si="170"/>
        <v>-1</v>
      </c>
      <c r="AA462" s="108">
        <f t="shared" si="171"/>
        <v>-1</v>
      </c>
      <c r="AB462" s="108">
        <f t="shared" si="172"/>
        <v>-1</v>
      </c>
      <c r="AC462" s="108">
        <f t="shared" si="173"/>
        <v>-1</v>
      </c>
      <c r="AD462" s="108">
        <f t="shared" si="174"/>
        <v>-1</v>
      </c>
      <c r="AE462" s="108">
        <f t="shared" si="175"/>
        <v>-1</v>
      </c>
      <c r="AF462" s="108">
        <f t="shared" si="176"/>
        <v>-1</v>
      </c>
      <c r="AG462" s="108">
        <f t="shared" si="177"/>
        <v>-1</v>
      </c>
      <c r="AH462" s="108">
        <f t="shared" si="178"/>
        <v>-1</v>
      </c>
      <c r="AI462" s="108">
        <f t="shared" si="179"/>
        <v>-1</v>
      </c>
      <c r="AJ462" s="108">
        <f t="shared" si="180"/>
        <v>-1</v>
      </c>
      <c r="AK462" s="108">
        <f t="shared" si="181"/>
        <v>-1</v>
      </c>
      <c r="AL462" s="108">
        <f t="shared" si="182"/>
        <v>-1</v>
      </c>
      <c r="AM462" s="108"/>
      <c r="AQ462" s="104" t="str">
        <f>$V$81</f>
        <v>-</v>
      </c>
      <c r="AR462" s="54">
        <v>0</v>
      </c>
      <c r="AS462" s="54">
        <v>0</v>
      </c>
      <c r="AT462" s="54">
        <v>0</v>
      </c>
      <c r="AU462" s="54">
        <v>0</v>
      </c>
      <c r="AV462" s="54">
        <v>0</v>
      </c>
      <c r="AW462" s="54">
        <v>0</v>
      </c>
      <c r="AX462" s="54">
        <v>0</v>
      </c>
      <c r="AY462" s="54">
        <v>0</v>
      </c>
      <c r="AZ462" s="54">
        <v>0</v>
      </c>
      <c r="BA462" s="54">
        <v>0</v>
      </c>
      <c r="BB462" s="54">
        <v>0</v>
      </c>
      <c r="BC462" s="54">
        <v>0</v>
      </c>
      <c r="BD462" s="54">
        <v>0</v>
      </c>
      <c r="BE462" s="54">
        <v>0</v>
      </c>
      <c r="BF462" s="54">
        <v>0</v>
      </c>
      <c r="BG462" s="54">
        <v>0</v>
      </c>
      <c r="BH462" s="54">
        <v>0</v>
      </c>
      <c r="BK462" s="104" t="str">
        <f>$V$86</f>
        <v>-</v>
      </c>
      <c r="BL462" s="108">
        <v>0</v>
      </c>
      <c r="BM462" s="108">
        <v>0</v>
      </c>
      <c r="BN462" s="108">
        <v>0</v>
      </c>
      <c r="BO462" s="108">
        <v>0</v>
      </c>
      <c r="BP462" s="108">
        <v>0</v>
      </c>
      <c r="BQ462" s="108">
        <v>0</v>
      </c>
      <c r="BR462" s="108">
        <v>0</v>
      </c>
      <c r="BS462" s="108">
        <v>0</v>
      </c>
      <c r="BT462" s="108">
        <v>0</v>
      </c>
      <c r="BU462" s="108">
        <v>0</v>
      </c>
      <c r="BV462" s="108">
        <v>0</v>
      </c>
      <c r="BW462" s="108">
        <v>0</v>
      </c>
      <c r="BX462" s="108">
        <v>0</v>
      </c>
      <c r="BY462" s="108">
        <v>0</v>
      </c>
      <c r="BZ462" s="108">
        <v>0</v>
      </c>
      <c r="CA462" s="108">
        <v>0</v>
      </c>
      <c r="CB462" s="108">
        <v>0</v>
      </c>
    </row>
    <row r="463" spans="3:80" x14ac:dyDescent="0.55000000000000004">
      <c r="C463" s="104" t="str">
        <f>$V$72</f>
        <v>Michel</v>
      </c>
      <c r="D463" s="108">
        <f t="shared" ref="D463:S463" si="201">D72</f>
        <v>0</v>
      </c>
      <c r="E463" s="108">
        <f t="shared" si="201"/>
        <v>0</v>
      </c>
      <c r="F463" s="108">
        <f t="shared" si="201"/>
        <v>0</v>
      </c>
      <c r="G463" s="108">
        <f t="shared" si="201"/>
        <v>0</v>
      </c>
      <c r="H463" s="108">
        <f t="shared" si="201"/>
        <v>0</v>
      </c>
      <c r="I463" s="108">
        <f t="shared" si="201"/>
        <v>0</v>
      </c>
      <c r="J463" s="108">
        <f t="shared" si="201"/>
        <v>0</v>
      </c>
      <c r="K463" s="108">
        <f t="shared" si="201"/>
        <v>0</v>
      </c>
      <c r="L463" s="108">
        <f t="shared" si="201"/>
        <v>0</v>
      </c>
      <c r="M463" s="108">
        <f t="shared" si="201"/>
        <v>0</v>
      </c>
      <c r="N463" s="108">
        <f t="shared" si="201"/>
        <v>0</v>
      </c>
      <c r="O463" s="108">
        <f t="shared" si="201"/>
        <v>0</v>
      </c>
      <c r="P463" s="108">
        <f t="shared" si="201"/>
        <v>0</v>
      </c>
      <c r="Q463" s="108">
        <f t="shared" si="201"/>
        <v>0</v>
      </c>
      <c r="R463" s="108">
        <f t="shared" si="201"/>
        <v>0</v>
      </c>
      <c r="S463" s="108">
        <f t="shared" si="201"/>
        <v>0</v>
      </c>
      <c r="T463" s="28" t="s">
        <v>26</v>
      </c>
      <c r="V463" s="104" t="str">
        <f>$V$72</f>
        <v>Michel</v>
      </c>
      <c r="W463" s="108">
        <f t="shared" si="167"/>
        <v>-1</v>
      </c>
      <c r="X463" s="108">
        <f t="shared" si="168"/>
        <v>-1</v>
      </c>
      <c r="Y463" s="108">
        <f t="shared" si="169"/>
        <v>-1</v>
      </c>
      <c r="Z463" s="108">
        <f t="shared" si="170"/>
        <v>-1</v>
      </c>
      <c r="AA463" s="108">
        <f t="shared" si="171"/>
        <v>-1</v>
      </c>
      <c r="AB463" s="108">
        <f t="shared" si="172"/>
        <v>-1</v>
      </c>
      <c r="AC463" s="108">
        <f t="shared" si="173"/>
        <v>-1</v>
      </c>
      <c r="AD463" s="108">
        <f t="shared" si="174"/>
        <v>-1</v>
      </c>
      <c r="AE463" s="108">
        <f t="shared" si="175"/>
        <v>-1</v>
      </c>
      <c r="AF463" s="108">
        <f t="shared" si="176"/>
        <v>-1</v>
      </c>
      <c r="AG463" s="108">
        <f t="shared" si="177"/>
        <v>-1</v>
      </c>
      <c r="AH463" s="108">
        <f t="shared" si="178"/>
        <v>-1</v>
      </c>
      <c r="AI463" s="108">
        <f t="shared" si="179"/>
        <v>-1</v>
      </c>
      <c r="AJ463" s="108">
        <f t="shared" si="180"/>
        <v>-1</v>
      </c>
      <c r="AK463" s="108">
        <f t="shared" si="181"/>
        <v>-1</v>
      </c>
      <c r="AL463" s="108">
        <f t="shared" si="182"/>
        <v>-1</v>
      </c>
      <c r="AM463" s="108"/>
      <c r="AQ463" s="104" t="str">
        <f>$V$82</f>
        <v>-</v>
      </c>
      <c r="AR463" s="54">
        <v>0</v>
      </c>
      <c r="AS463" s="54">
        <v>0</v>
      </c>
      <c r="AT463" s="54">
        <v>0</v>
      </c>
      <c r="AU463" s="54">
        <v>0</v>
      </c>
      <c r="AV463" s="54">
        <v>0</v>
      </c>
      <c r="AW463" s="54">
        <v>0</v>
      </c>
      <c r="AX463" s="54">
        <v>0</v>
      </c>
      <c r="AY463" s="54">
        <v>0</v>
      </c>
      <c r="AZ463" s="54">
        <v>0</v>
      </c>
      <c r="BA463" s="54">
        <v>0</v>
      </c>
      <c r="BB463" s="54">
        <v>0</v>
      </c>
      <c r="BC463" s="54">
        <v>0</v>
      </c>
      <c r="BD463" s="54">
        <v>0</v>
      </c>
      <c r="BE463" s="54">
        <v>0</v>
      </c>
      <c r="BF463" s="54">
        <v>0</v>
      </c>
      <c r="BG463" s="54">
        <v>0</v>
      </c>
      <c r="BH463" s="54">
        <v>0</v>
      </c>
      <c r="BK463" s="104" t="str">
        <f>$V$87</f>
        <v>-</v>
      </c>
      <c r="BL463" s="108">
        <v>0</v>
      </c>
      <c r="BM463" s="108">
        <v>0</v>
      </c>
      <c r="BN463" s="108">
        <v>0</v>
      </c>
      <c r="BO463" s="108">
        <v>0</v>
      </c>
      <c r="BP463" s="108">
        <v>0</v>
      </c>
      <c r="BQ463" s="108">
        <v>0</v>
      </c>
      <c r="BR463" s="108">
        <v>0</v>
      </c>
      <c r="BS463" s="108">
        <v>0</v>
      </c>
      <c r="BT463" s="108">
        <v>0</v>
      </c>
      <c r="BU463" s="108">
        <v>0</v>
      </c>
      <c r="BV463" s="108">
        <v>0</v>
      </c>
      <c r="BW463" s="108">
        <v>0</v>
      </c>
      <c r="BX463" s="108">
        <v>0</v>
      </c>
      <c r="BY463" s="108">
        <v>0</v>
      </c>
      <c r="BZ463" s="108">
        <v>0</v>
      </c>
      <c r="CA463" s="108">
        <v>0</v>
      </c>
      <c r="CB463" s="108">
        <v>0</v>
      </c>
    </row>
    <row r="464" spans="3:80" x14ac:dyDescent="0.55000000000000004">
      <c r="C464" s="104" t="str">
        <f>$V$73</f>
        <v>Nour</v>
      </c>
      <c r="D464" s="108">
        <f t="shared" ref="D464:S464" si="202">D73</f>
        <v>0</v>
      </c>
      <c r="E464" s="108">
        <f t="shared" si="202"/>
        <v>0</v>
      </c>
      <c r="F464" s="108">
        <f t="shared" si="202"/>
        <v>0</v>
      </c>
      <c r="G464" s="108">
        <f t="shared" si="202"/>
        <v>0</v>
      </c>
      <c r="H464" s="108">
        <f t="shared" si="202"/>
        <v>0</v>
      </c>
      <c r="I464" s="108">
        <f t="shared" si="202"/>
        <v>0</v>
      </c>
      <c r="J464" s="108">
        <f t="shared" si="202"/>
        <v>0</v>
      </c>
      <c r="K464" s="108">
        <f t="shared" si="202"/>
        <v>0</v>
      </c>
      <c r="L464" s="108">
        <f t="shared" si="202"/>
        <v>0</v>
      </c>
      <c r="M464" s="108">
        <f t="shared" si="202"/>
        <v>0</v>
      </c>
      <c r="N464" s="108">
        <f t="shared" si="202"/>
        <v>0</v>
      </c>
      <c r="O464" s="108">
        <f t="shared" si="202"/>
        <v>0</v>
      </c>
      <c r="P464" s="108">
        <f t="shared" si="202"/>
        <v>0</v>
      </c>
      <c r="Q464" s="108">
        <f t="shared" si="202"/>
        <v>0</v>
      </c>
      <c r="R464" s="108">
        <f t="shared" si="202"/>
        <v>0</v>
      </c>
      <c r="S464" s="108">
        <f t="shared" si="202"/>
        <v>0</v>
      </c>
      <c r="T464" s="28" t="s">
        <v>26</v>
      </c>
      <c r="V464" s="104" t="str">
        <f>$V$73</f>
        <v>Nour</v>
      </c>
      <c r="W464" s="108">
        <f t="shared" si="167"/>
        <v>-1</v>
      </c>
      <c r="X464" s="108">
        <f t="shared" si="168"/>
        <v>-1</v>
      </c>
      <c r="Y464" s="108">
        <f t="shared" si="169"/>
        <v>-1</v>
      </c>
      <c r="Z464" s="108">
        <f t="shared" si="170"/>
        <v>-1</v>
      </c>
      <c r="AA464" s="108">
        <f t="shared" si="171"/>
        <v>-1</v>
      </c>
      <c r="AB464" s="108">
        <f t="shared" si="172"/>
        <v>-1</v>
      </c>
      <c r="AC464" s="108">
        <f t="shared" si="173"/>
        <v>-1</v>
      </c>
      <c r="AD464" s="108">
        <f t="shared" si="174"/>
        <v>-1</v>
      </c>
      <c r="AE464" s="108">
        <f t="shared" si="175"/>
        <v>-1</v>
      </c>
      <c r="AF464" s="108">
        <f t="shared" si="176"/>
        <v>-1</v>
      </c>
      <c r="AG464" s="108">
        <f t="shared" si="177"/>
        <v>-1</v>
      </c>
      <c r="AH464" s="108">
        <f t="shared" si="178"/>
        <v>-1</v>
      </c>
      <c r="AI464" s="108">
        <f t="shared" si="179"/>
        <v>-1</v>
      </c>
      <c r="AJ464" s="108">
        <f t="shared" si="180"/>
        <v>-1</v>
      </c>
      <c r="AK464" s="108">
        <f t="shared" si="181"/>
        <v>-1</v>
      </c>
      <c r="AL464" s="108">
        <f t="shared" si="182"/>
        <v>-1</v>
      </c>
      <c r="AM464" s="108"/>
      <c r="AQ464" s="104" t="str">
        <f>$V$83</f>
        <v>-</v>
      </c>
      <c r="AR464" s="54">
        <v>0</v>
      </c>
      <c r="AS464" s="54">
        <v>0</v>
      </c>
      <c r="AT464" s="54">
        <v>0</v>
      </c>
      <c r="AU464" s="54">
        <v>0</v>
      </c>
      <c r="AV464" s="54">
        <v>0</v>
      </c>
      <c r="AW464" s="54">
        <v>0</v>
      </c>
      <c r="AX464" s="54">
        <v>0</v>
      </c>
      <c r="AY464" s="54">
        <v>0</v>
      </c>
      <c r="AZ464" s="54">
        <v>0</v>
      </c>
      <c r="BA464" s="54">
        <v>0</v>
      </c>
      <c r="BB464" s="54">
        <v>0</v>
      </c>
      <c r="BC464" s="54">
        <v>0</v>
      </c>
      <c r="BD464" s="54">
        <v>0</v>
      </c>
      <c r="BE464" s="54">
        <v>0</v>
      </c>
      <c r="BF464" s="54">
        <v>0</v>
      </c>
      <c r="BG464" s="54">
        <v>0</v>
      </c>
      <c r="BH464" s="54">
        <v>0</v>
      </c>
      <c r="BK464" s="104" t="str">
        <f>$V$88</f>
        <v>-</v>
      </c>
      <c r="BL464" s="108">
        <v>0</v>
      </c>
      <c r="BM464" s="108">
        <v>0</v>
      </c>
      <c r="BN464" s="108">
        <v>0</v>
      </c>
      <c r="BO464" s="108">
        <v>0</v>
      </c>
      <c r="BP464" s="108">
        <v>0</v>
      </c>
      <c r="BQ464" s="108">
        <v>0</v>
      </c>
      <c r="BR464" s="108">
        <v>0</v>
      </c>
      <c r="BS464" s="108">
        <v>0</v>
      </c>
      <c r="BT464" s="108">
        <v>0</v>
      </c>
      <c r="BU464" s="108">
        <v>0</v>
      </c>
      <c r="BV464" s="108">
        <v>0</v>
      </c>
      <c r="BW464" s="108">
        <v>0</v>
      </c>
      <c r="BX464" s="108">
        <v>0</v>
      </c>
      <c r="BY464" s="108">
        <v>0</v>
      </c>
      <c r="BZ464" s="108">
        <v>0</v>
      </c>
      <c r="CA464" s="108">
        <v>0</v>
      </c>
      <c r="CB464" s="108">
        <v>0</v>
      </c>
    </row>
    <row r="465" spans="3:80" x14ac:dyDescent="0.55000000000000004">
      <c r="C465" s="104" t="str">
        <f>$V$74</f>
        <v>Samuel</v>
      </c>
      <c r="D465" s="108">
        <f t="shared" ref="D465:S465" si="203">D74</f>
        <v>0</v>
      </c>
      <c r="E465" s="108">
        <f t="shared" si="203"/>
        <v>0</v>
      </c>
      <c r="F465" s="108">
        <f t="shared" si="203"/>
        <v>0</v>
      </c>
      <c r="G465" s="108">
        <f t="shared" si="203"/>
        <v>0</v>
      </c>
      <c r="H465" s="108">
        <f t="shared" si="203"/>
        <v>0</v>
      </c>
      <c r="I465" s="108">
        <f t="shared" si="203"/>
        <v>0</v>
      </c>
      <c r="J465" s="108">
        <f t="shared" si="203"/>
        <v>0</v>
      </c>
      <c r="K465" s="108">
        <f t="shared" si="203"/>
        <v>0</v>
      </c>
      <c r="L465" s="108">
        <f t="shared" si="203"/>
        <v>0</v>
      </c>
      <c r="M465" s="108">
        <f t="shared" si="203"/>
        <v>0</v>
      </c>
      <c r="N465" s="108">
        <f t="shared" si="203"/>
        <v>0</v>
      </c>
      <c r="O465" s="108">
        <f t="shared" si="203"/>
        <v>0</v>
      </c>
      <c r="P465" s="108">
        <f t="shared" si="203"/>
        <v>0</v>
      </c>
      <c r="Q465" s="108">
        <f t="shared" si="203"/>
        <v>0</v>
      </c>
      <c r="R465" s="108">
        <f t="shared" si="203"/>
        <v>0</v>
      </c>
      <c r="S465" s="108">
        <f t="shared" si="203"/>
        <v>0</v>
      </c>
      <c r="T465" s="28" t="s">
        <v>26</v>
      </c>
      <c r="V465" s="104" t="str">
        <f>$V$74</f>
        <v>Samuel</v>
      </c>
      <c r="W465" s="108">
        <f t="shared" si="167"/>
        <v>-1</v>
      </c>
      <c r="X465" s="108">
        <f t="shared" si="168"/>
        <v>-1</v>
      </c>
      <c r="Y465" s="108">
        <f t="shared" si="169"/>
        <v>-1</v>
      </c>
      <c r="Z465" s="108">
        <f t="shared" si="170"/>
        <v>-1</v>
      </c>
      <c r="AA465" s="108">
        <f t="shared" si="171"/>
        <v>-1</v>
      </c>
      <c r="AB465" s="108">
        <f t="shared" si="172"/>
        <v>-1</v>
      </c>
      <c r="AC465" s="108">
        <f t="shared" si="173"/>
        <v>-1</v>
      </c>
      <c r="AD465" s="108">
        <f t="shared" si="174"/>
        <v>-1</v>
      </c>
      <c r="AE465" s="108">
        <f t="shared" si="175"/>
        <v>-1</v>
      </c>
      <c r="AF465" s="108">
        <f t="shared" si="176"/>
        <v>-1</v>
      </c>
      <c r="AG465" s="108">
        <f t="shared" si="177"/>
        <v>-1</v>
      </c>
      <c r="AH465" s="108">
        <f t="shared" si="178"/>
        <v>-1</v>
      </c>
      <c r="AI465" s="108">
        <f t="shared" si="179"/>
        <v>-1</v>
      </c>
      <c r="AJ465" s="108">
        <f t="shared" si="180"/>
        <v>-1</v>
      </c>
      <c r="AK465" s="108">
        <f t="shared" si="181"/>
        <v>-1</v>
      </c>
      <c r="AL465" s="108">
        <f t="shared" si="182"/>
        <v>-1</v>
      </c>
      <c r="AM465" s="108"/>
      <c r="AQ465" s="104" t="str">
        <f>$V$84</f>
        <v>-</v>
      </c>
      <c r="AR465" s="54">
        <v>0</v>
      </c>
      <c r="AS465" s="54">
        <v>0</v>
      </c>
      <c r="AT465" s="54">
        <v>0</v>
      </c>
      <c r="AU465" s="54">
        <v>0</v>
      </c>
      <c r="AV465" s="54">
        <v>0</v>
      </c>
      <c r="AW465" s="54">
        <v>0</v>
      </c>
      <c r="AX465" s="54">
        <v>0</v>
      </c>
      <c r="AY465" s="54">
        <v>0</v>
      </c>
      <c r="AZ465" s="54">
        <v>0</v>
      </c>
      <c r="BA465" s="54">
        <v>0</v>
      </c>
      <c r="BB465" s="54">
        <v>0</v>
      </c>
      <c r="BC465" s="54">
        <v>0</v>
      </c>
      <c r="BD465" s="54">
        <v>0</v>
      </c>
      <c r="BE465" s="54">
        <v>0</v>
      </c>
      <c r="BF465" s="54">
        <v>0</v>
      </c>
      <c r="BG465" s="54">
        <v>0</v>
      </c>
      <c r="BH465" s="54">
        <v>0</v>
      </c>
      <c r="BK465" s="104" t="str">
        <f>$V$89</f>
        <v>-</v>
      </c>
      <c r="BL465" s="108">
        <v>0</v>
      </c>
      <c r="BM465" s="108">
        <v>0</v>
      </c>
      <c r="BN465" s="108">
        <v>0</v>
      </c>
      <c r="BO465" s="108">
        <v>0</v>
      </c>
      <c r="BP465" s="108">
        <v>0</v>
      </c>
      <c r="BQ465" s="108">
        <v>0</v>
      </c>
      <c r="BR465" s="108">
        <v>0</v>
      </c>
      <c r="BS465" s="108">
        <v>0</v>
      </c>
      <c r="BT465" s="108">
        <v>0</v>
      </c>
      <c r="BU465" s="108">
        <v>0</v>
      </c>
      <c r="BV465" s="108">
        <v>0</v>
      </c>
      <c r="BW465" s="108">
        <v>0</v>
      </c>
      <c r="BX465" s="108">
        <v>0</v>
      </c>
      <c r="BY465" s="108">
        <v>0</v>
      </c>
      <c r="BZ465" s="108">
        <v>0</v>
      </c>
      <c r="CA465" s="108">
        <v>0</v>
      </c>
      <c r="CB465" s="108">
        <v>0</v>
      </c>
    </row>
    <row r="466" spans="3:80" x14ac:dyDescent="0.55000000000000004">
      <c r="C466" s="104" t="str">
        <f>$V$75</f>
        <v>Yassin</v>
      </c>
      <c r="D466" s="108">
        <f t="shared" ref="D466:S466" si="204">D75</f>
        <v>0</v>
      </c>
      <c r="E466" s="108">
        <f t="shared" si="204"/>
        <v>0</v>
      </c>
      <c r="F466" s="108">
        <f t="shared" si="204"/>
        <v>0</v>
      </c>
      <c r="G466" s="108">
        <f t="shared" si="204"/>
        <v>0</v>
      </c>
      <c r="H466" s="108">
        <f t="shared" si="204"/>
        <v>0</v>
      </c>
      <c r="I466" s="108">
        <f t="shared" si="204"/>
        <v>0</v>
      </c>
      <c r="J466" s="108">
        <f t="shared" si="204"/>
        <v>0</v>
      </c>
      <c r="K466" s="108">
        <f t="shared" si="204"/>
        <v>0</v>
      </c>
      <c r="L466" s="108">
        <f t="shared" si="204"/>
        <v>0</v>
      </c>
      <c r="M466" s="108">
        <f t="shared" si="204"/>
        <v>0</v>
      </c>
      <c r="N466" s="108">
        <f t="shared" si="204"/>
        <v>0</v>
      </c>
      <c r="O466" s="108">
        <f t="shared" si="204"/>
        <v>0</v>
      </c>
      <c r="P466" s="108">
        <f t="shared" si="204"/>
        <v>0</v>
      </c>
      <c r="Q466" s="108">
        <f t="shared" si="204"/>
        <v>0</v>
      </c>
      <c r="R466" s="108">
        <f t="shared" si="204"/>
        <v>0</v>
      </c>
      <c r="S466" s="108">
        <f t="shared" si="204"/>
        <v>0</v>
      </c>
      <c r="T466" s="28" t="s">
        <v>26</v>
      </c>
      <c r="V466" s="104" t="str">
        <f>$V$75</f>
        <v>Yassin</v>
      </c>
      <c r="W466" s="108">
        <f t="shared" si="167"/>
        <v>-1</v>
      </c>
      <c r="X466" s="108">
        <f t="shared" si="168"/>
        <v>-1</v>
      </c>
      <c r="Y466" s="108">
        <f t="shared" si="169"/>
        <v>-1</v>
      </c>
      <c r="Z466" s="108">
        <f t="shared" si="170"/>
        <v>-1</v>
      </c>
      <c r="AA466" s="108">
        <f t="shared" si="171"/>
        <v>-1</v>
      </c>
      <c r="AB466" s="108">
        <f t="shared" si="172"/>
        <v>-1</v>
      </c>
      <c r="AC466" s="108">
        <f t="shared" si="173"/>
        <v>-1</v>
      </c>
      <c r="AD466" s="108">
        <f t="shared" si="174"/>
        <v>-1</v>
      </c>
      <c r="AE466" s="108">
        <f t="shared" si="175"/>
        <v>-1</v>
      </c>
      <c r="AF466" s="108">
        <f t="shared" si="176"/>
        <v>-1</v>
      </c>
      <c r="AG466" s="108">
        <f t="shared" si="177"/>
        <v>-1</v>
      </c>
      <c r="AH466" s="108">
        <f t="shared" si="178"/>
        <v>-1</v>
      </c>
      <c r="AI466" s="108">
        <f t="shared" si="179"/>
        <v>-1</v>
      </c>
      <c r="AJ466" s="108">
        <f t="shared" si="180"/>
        <v>-1</v>
      </c>
      <c r="AK466" s="108">
        <f t="shared" si="181"/>
        <v>-1</v>
      </c>
      <c r="AL466" s="108">
        <f t="shared" si="182"/>
        <v>-1</v>
      </c>
      <c r="AM466" s="108"/>
      <c r="AQ466" s="104" t="str">
        <f>$V$85</f>
        <v>-</v>
      </c>
      <c r="AR466" s="54">
        <v>0</v>
      </c>
      <c r="AS466" s="54">
        <v>0</v>
      </c>
      <c r="AT466" s="54">
        <v>0</v>
      </c>
      <c r="AU466" s="54">
        <v>0</v>
      </c>
      <c r="AV466" s="54">
        <v>0</v>
      </c>
      <c r="AW466" s="54">
        <v>0</v>
      </c>
      <c r="AX466" s="54">
        <v>0</v>
      </c>
      <c r="AY466" s="54">
        <v>0</v>
      </c>
      <c r="AZ466" s="54">
        <v>0</v>
      </c>
      <c r="BA466" s="54">
        <v>0</v>
      </c>
      <c r="BB466" s="54">
        <v>0</v>
      </c>
      <c r="BC466" s="54">
        <v>0</v>
      </c>
      <c r="BD466" s="54">
        <v>0</v>
      </c>
      <c r="BE466" s="54">
        <v>0</v>
      </c>
      <c r="BF466" s="54">
        <v>0</v>
      </c>
      <c r="BG466" s="54">
        <v>0</v>
      </c>
      <c r="BH466" s="54">
        <v>0</v>
      </c>
      <c r="BK466" s="104" t="str">
        <f>$V$90</f>
        <v>-</v>
      </c>
      <c r="BL466" s="108">
        <v>0</v>
      </c>
      <c r="BM466" s="108">
        <v>0</v>
      </c>
      <c r="BN466" s="108">
        <v>0</v>
      </c>
      <c r="BO466" s="108">
        <v>0</v>
      </c>
      <c r="BP466" s="108">
        <v>0</v>
      </c>
      <c r="BQ466" s="108">
        <v>0</v>
      </c>
      <c r="BR466" s="108">
        <v>0</v>
      </c>
      <c r="BS466" s="108">
        <v>0</v>
      </c>
      <c r="BT466" s="108">
        <v>0</v>
      </c>
      <c r="BU466" s="108">
        <v>0</v>
      </c>
      <c r="BV466" s="108">
        <v>0</v>
      </c>
      <c r="BW466" s="108">
        <v>0</v>
      </c>
      <c r="BX466" s="108">
        <v>0</v>
      </c>
      <c r="BY466" s="108">
        <v>0</v>
      </c>
      <c r="BZ466" s="108">
        <v>0</v>
      </c>
      <c r="CA466" s="108">
        <v>0</v>
      </c>
      <c r="CB466" s="108">
        <v>0</v>
      </c>
    </row>
    <row r="467" spans="3:80" x14ac:dyDescent="0.55000000000000004">
      <c r="C467" s="104" t="str">
        <f>$V$76</f>
        <v>Kamar</v>
      </c>
      <c r="D467" s="108">
        <f t="shared" ref="D467:S467" si="205">D76</f>
        <v>0</v>
      </c>
      <c r="E467" s="108">
        <f t="shared" si="205"/>
        <v>0</v>
      </c>
      <c r="F467" s="108">
        <f t="shared" si="205"/>
        <v>0</v>
      </c>
      <c r="G467" s="108">
        <f t="shared" si="205"/>
        <v>0</v>
      </c>
      <c r="H467" s="108">
        <f t="shared" si="205"/>
        <v>0</v>
      </c>
      <c r="I467" s="108">
        <f t="shared" si="205"/>
        <v>0</v>
      </c>
      <c r="J467" s="108">
        <f t="shared" si="205"/>
        <v>0</v>
      </c>
      <c r="K467" s="108">
        <f t="shared" si="205"/>
        <v>0</v>
      </c>
      <c r="L467" s="108">
        <f t="shared" si="205"/>
        <v>0</v>
      </c>
      <c r="M467" s="108">
        <f t="shared" si="205"/>
        <v>0</v>
      </c>
      <c r="N467" s="108">
        <f t="shared" si="205"/>
        <v>0</v>
      </c>
      <c r="O467" s="108">
        <f t="shared" si="205"/>
        <v>0</v>
      </c>
      <c r="P467" s="108">
        <f t="shared" si="205"/>
        <v>0</v>
      </c>
      <c r="Q467" s="108">
        <f t="shared" si="205"/>
        <v>0</v>
      </c>
      <c r="R467" s="108">
        <f t="shared" si="205"/>
        <v>0</v>
      </c>
      <c r="S467" s="108">
        <f t="shared" si="205"/>
        <v>0</v>
      </c>
      <c r="T467" s="28" t="s">
        <v>26</v>
      </c>
      <c r="V467" s="104" t="str">
        <f>$V$76</f>
        <v>Kamar</v>
      </c>
      <c r="W467" s="108">
        <f t="shared" si="167"/>
        <v>-1</v>
      </c>
      <c r="X467" s="108">
        <f t="shared" si="168"/>
        <v>-1</v>
      </c>
      <c r="Y467" s="108">
        <f t="shared" si="169"/>
        <v>-1</v>
      </c>
      <c r="Z467" s="108">
        <f t="shared" si="170"/>
        <v>-1</v>
      </c>
      <c r="AA467" s="108">
        <f t="shared" si="171"/>
        <v>-1</v>
      </c>
      <c r="AB467" s="108">
        <f t="shared" si="172"/>
        <v>-1</v>
      </c>
      <c r="AC467" s="108">
        <f t="shared" si="173"/>
        <v>-1</v>
      </c>
      <c r="AD467" s="108">
        <f t="shared" si="174"/>
        <v>-1</v>
      </c>
      <c r="AE467" s="108">
        <f t="shared" si="175"/>
        <v>-1</v>
      </c>
      <c r="AF467" s="108">
        <f t="shared" si="176"/>
        <v>-1</v>
      </c>
      <c r="AG467" s="108">
        <f t="shared" si="177"/>
        <v>-1</v>
      </c>
      <c r="AH467" s="108">
        <f t="shared" si="178"/>
        <v>-1</v>
      </c>
      <c r="AI467" s="108">
        <f t="shared" si="179"/>
        <v>-1</v>
      </c>
      <c r="AJ467" s="108">
        <f t="shared" si="180"/>
        <v>-1</v>
      </c>
      <c r="AK467" s="108">
        <f t="shared" si="181"/>
        <v>-1</v>
      </c>
      <c r="AL467" s="108">
        <f t="shared" si="182"/>
        <v>-1</v>
      </c>
      <c r="AM467" s="108"/>
      <c r="AQ467" s="104" t="str">
        <f>$V$86</f>
        <v>-</v>
      </c>
      <c r="AR467" s="54">
        <v>0</v>
      </c>
      <c r="AS467" s="54">
        <v>0</v>
      </c>
      <c r="AT467" s="54">
        <v>0</v>
      </c>
      <c r="AU467" s="54">
        <v>0</v>
      </c>
      <c r="AV467" s="54">
        <v>0</v>
      </c>
      <c r="AW467" s="54">
        <v>0</v>
      </c>
      <c r="AX467" s="54">
        <v>0</v>
      </c>
      <c r="AY467" s="54">
        <v>0</v>
      </c>
      <c r="AZ467" s="54">
        <v>0</v>
      </c>
      <c r="BA467" s="54">
        <v>0</v>
      </c>
      <c r="BB467" s="54">
        <v>0</v>
      </c>
      <c r="BC467" s="54">
        <v>0</v>
      </c>
      <c r="BD467" s="54">
        <v>0</v>
      </c>
      <c r="BE467" s="54">
        <v>0</v>
      </c>
      <c r="BF467" s="54">
        <v>0</v>
      </c>
      <c r="BG467" s="54">
        <v>0</v>
      </c>
      <c r="BH467" s="54">
        <v>0</v>
      </c>
      <c r="BK467" s="104" t="str">
        <f>$V$91</f>
        <v>-</v>
      </c>
      <c r="BL467" s="108">
        <v>0</v>
      </c>
      <c r="BM467" s="108">
        <v>0</v>
      </c>
      <c r="BN467" s="108">
        <v>0</v>
      </c>
      <c r="BO467" s="108">
        <v>0</v>
      </c>
      <c r="BP467" s="108">
        <v>0</v>
      </c>
      <c r="BQ467" s="108">
        <v>0</v>
      </c>
      <c r="BR467" s="108">
        <v>0</v>
      </c>
      <c r="BS467" s="108">
        <v>0</v>
      </c>
      <c r="BT467" s="108">
        <v>0</v>
      </c>
      <c r="BU467" s="108">
        <v>0</v>
      </c>
      <c r="BV467" s="108">
        <v>0</v>
      </c>
      <c r="BW467" s="108">
        <v>0</v>
      </c>
      <c r="BX467" s="108">
        <v>0</v>
      </c>
      <c r="BY467" s="108">
        <v>0</v>
      </c>
      <c r="BZ467" s="108">
        <v>0</v>
      </c>
      <c r="CA467" s="108">
        <v>0</v>
      </c>
      <c r="CB467" s="108">
        <v>0</v>
      </c>
    </row>
    <row r="468" spans="3:80" x14ac:dyDescent="0.55000000000000004">
      <c r="C468" s="104" t="str">
        <f>$V$77</f>
        <v>-</v>
      </c>
      <c r="D468" s="108">
        <f t="shared" ref="D468:S468" si="206">D77</f>
        <v>0</v>
      </c>
      <c r="E468" s="108">
        <f t="shared" si="206"/>
        <v>0</v>
      </c>
      <c r="F468" s="108">
        <f t="shared" si="206"/>
        <v>0</v>
      </c>
      <c r="G468" s="108">
        <f t="shared" si="206"/>
        <v>0</v>
      </c>
      <c r="H468" s="108">
        <f t="shared" si="206"/>
        <v>0</v>
      </c>
      <c r="I468" s="108">
        <f t="shared" si="206"/>
        <v>0</v>
      </c>
      <c r="J468" s="108">
        <f t="shared" si="206"/>
        <v>0</v>
      </c>
      <c r="K468" s="108">
        <f t="shared" si="206"/>
        <v>0</v>
      </c>
      <c r="L468" s="108">
        <f t="shared" si="206"/>
        <v>0</v>
      </c>
      <c r="M468" s="108">
        <f t="shared" si="206"/>
        <v>0</v>
      </c>
      <c r="N468" s="108">
        <f t="shared" si="206"/>
        <v>0</v>
      </c>
      <c r="O468" s="108">
        <f t="shared" si="206"/>
        <v>0</v>
      </c>
      <c r="P468" s="108">
        <f t="shared" si="206"/>
        <v>0</v>
      </c>
      <c r="Q468" s="108">
        <f t="shared" si="206"/>
        <v>0</v>
      </c>
      <c r="R468" s="108">
        <f t="shared" si="206"/>
        <v>0</v>
      </c>
      <c r="S468" s="108">
        <f t="shared" si="206"/>
        <v>0</v>
      </c>
      <c r="T468" s="28" t="s">
        <v>26</v>
      </c>
      <c r="V468" s="104" t="str">
        <f>$V$77</f>
        <v>-</v>
      </c>
      <c r="W468" s="108">
        <f t="shared" si="167"/>
        <v>-1</v>
      </c>
      <c r="X468" s="108">
        <f t="shared" si="168"/>
        <v>-1</v>
      </c>
      <c r="Y468" s="108">
        <f t="shared" si="169"/>
        <v>-1</v>
      </c>
      <c r="Z468" s="108">
        <f t="shared" si="170"/>
        <v>-1</v>
      </c>
      <c r="AA468" s="108">
        <f t="shared" si="171"/>
        <v>-1</v>
      </c>
      <c r="AB468" s="108">
        <f t="shared" si="172"/>
        <v>-1</v>
      </c>
      <c r="AC468" s="108">
        <f t="shared" si="173"/>
        <v>-1</v>
      </c>
      <c r="AD468" s="108">
        <f t="shared" si="174"/>
        <v>-1</v>
      </c>
      <c r="AE468" s="108">
        <f t="shared" si="175"/>
        <v>-1</v>
      </c>
      <c r="AF468" s="108">
        <f t="shared" si="176"/>
        <v>-1</v>
      </c>
      <c r="AG468" s="108">
        <f t="shared" si="177"/>
        <v>-1</v>
      </c>
      <c r="AH468" s="108">
        <f t="shared" si="178"/>
        <v>-1</v>
      </c>
      <c r="AI468" s="108">
        <f t="shared" si="179"/>
        <v>-1</v>
      </c>
      <c r="AJ468" s="108">
        <f t="shared" si="180"/>
        <v>-1</v>
      </c>
      <c r="AK468" s="108">
        <f t="shared" si="181"/>
        <v>-1</v>
      </c>
      <c r="AL468" s="108">
        <f t="shared" si="182"/>
        <v>-1</v>
      </c>
      <c r="AQ468" s="104" t="str">
        <f>$V$87</f>
        <v>-</v>
      </c>
      <c r="AR468" s="54">
        <v>0</v>
      </c>
      <c r="AS468" s="54">
        <v>0</v>
      </c>
      <c r="AT468" s="54">
        <v>0</v>
      </c>
      <c r="AU468" s="54">
        <v>0</v>
      </c>
      <c r="AV468" s="54">
        <v>0</v>
      </c>
      <c r="AW468" s="54">
        <v>0</v>
      </c>
      <c r="AX468" s="54">
        <v>0</v>
      </c>
      <c r="AY468" s="54">
        <v>0</v>
      </c>
      <c r="AZ468" s="54">
        <v>0</v>
      </c>
      <c r="BA468" s="54">
        <v>0</v>
      </c>
      <c r="BB468" s="54">
        <v>0</v>
      </c>
      <c r="BC468" s="54">
        <v>0</v>
      </c>
      <c r="BD468" s="54">
        <v>0</v>
      </c>
      <c r="BE468" s="54">
        <v>0</v>
      </c>
      <c r="BF468" s="54">
        <v>0</v>
      </c>
      <c r="BG468" s="54">
        <v>0</v>
      </c>
      <c r="BH468" s="54">
        <v>0</v>
      </c>
      <c r="BK468" s="104" t="str">
        <f>$V$92</f>
        <v>-</v>
      </c>
      <c r="BL468" s="108">
        <v>0</v>
      </c>
      <c r="BM468" s="108">
        <v>0</v>
      </c>
      <c r="BN468" s="108">
        <v>0</v>
      </c>
      <c r="BO468" s="108">
        <v>0</v>
      </c>
      <c r="BP468" s="108">
        <v>0</v>
      </c>
      <c r="BQ468" s="108">
        <v>0</v>
      </c>
      <c r="BR468" s="108">
        <v>0</v>
      </c>
      <c r="BS468" s="108">
        <v>0</v>
      </c>
      <c r="BT468" s="108">
        <v>0</v>
      </c>
      <c r="BU468" s="108">
        <v>0</v>
      </c>
      <c r="BV468" s="108">
        <v>0</v>
      </c>
      <c r="BW468" s="108">
        <v>0</v>
      </c>
      <c r="BX468" s="108">
        <v>0</v>
      </c>
      <c r="BY468" s="108">
        <v>0</v>
      </c>
      <c r="BZ468" s="108">
        <v>0</v>
      </c>
      <c r="CA468" s="108">
        <v>0</v>
      </c>
      <c r="CB468" s="108">
        <v>0</v>
      </c>
    </row>
    <row r="469" spans="3:80" x14ac:dyDescent="0.55000000000000004">
      <c r="C469" s="104" t="str">
        <f>$V$78</f>
        <v>-</v>
      </c>
      <c r="D469" s="108">
        <f t="shared" ref="D469:S469" si="207">D78</f>
        <v>0</v>
      </c>
      <c r="E469" s="108">
        <f t="shared" si="207"/>
        <v>0</v>
      </c>
      <c r="F469" s="108">
        <f t="shared" si="207"/>
        <v>0</v>
      </c>
      <c r="G469" s="108">
        <f t="shared" si="207"/>
        <v>0</v>
      </c>
      <c r="H469" s="108">
        <f t="shared" si="207"/>
        <v>0</v>
      </c>
      <c r="I469" s="108">
        <f t="shared" si="207"/>
        <v>0</v>
      </c>
      <c r="J469" s="108">
        <f t="shared" si="207"/>
        <v>0</v>
      </c>
      <c r="K469" s="108">
        <f t="shared" si="207"/>
        <v>0</v>
      </c>
      <c r="L469" s="108">
        <f t="shared" si="207"/>
        <v>0</v>
      </c>
      <c r="M469" s="108">
        <f t="shared" si="207"/>
        <v>0</v>
      </c>
      <c r="N469" s="108">
        <f t="shared" si="207"/>
        <v>0</v>
      </c>
      <c r="O469" s="108">
        <f t="shared" si="207"/>
        <v>0</v>
      </c>
      <c r="P469" s="108">
        <f t="shared" si="207"/>
        <v>0</v>
      </c>
      <c r="Q469" s="108">
        <f t="shared" si="207"/>
        <v>0</v>
      </c>
      <c r="R469" s="108">
        <f t="shared" si="207"/>
        <v>0</v>
      </c>
      <c r="S469" s="108">
        <f t="shared" si="207"/>
        <v>0</v>
      </c>
      <c r="T469" s="28" t="s">
        <v>26</v>
      </c>
      <c r="V469" s="104" t="str">
        <f>$V$78</f>
        <v>-</v>
      </c>
      <c r="W469" s="108">
        <f t="shared" si="167"/>
        <v>-1</v>
      </c>
      <c r="X469" s="108">
        <f t="shared" si="168"/>
        <v>-1</v>
      </c>
      <c r="Y469" s="108">
        <f t="shared" si="169"/>
        <v>-1</v>
      </c>
      <c r="Z469" s="108">
        <f t="shared" si="170"/>
        <v>-1</v>
      </c>
      <c r="AA469" s="108">
        <f t="shared" si="171"/>
        <v>-1</v>
      </c>
      <c r="AB469" s="108">
        <f t="shared" si="172"/>
        <v>-1</v>
      </c>
      <c r="AC469" s="108">
        <f t="shared" si="173"/>
        <v>-1</v>
      </c>
      <c r="AD469" s="108">
        <f t="shared" si="174"/>
        <v>-1</v>
      </c>
      <c r="AE469" s="108">
        <f t="shared" si="175"/>
        <v>-1</v>
      </c>
      <c r="AF469" s="108">
        <f t="shared" si="176"/>
        <v>-1</v>
      </c>
      <c r="AG469" s="108">
        <f t="shared" si="177"/>
        <v>-1</v>
      </c>
      <c r="AH469" s="108">
        <f t="shared" si="178"/>
        <v>-1</v>
      </c>
      <c r="AI469" s="108">
        <f t="shared" si="179"/>
        <v>-1</v>
      </c>
      <c r="AJ469" s="108">
        <f t="shared" si="180"/>
        <v>-1</v>
      </c>
      <c r="AK469" s="108">
        <f t="shared" si="181"/>
        <v>-1</v>
      </c>
      <c r="AL469" s="108">
        <f t="shared" si="182"/>
        <v>-1</v>
      </c>
      <c r="AQ469" s="104" t="str">
        <f>$V$88</f>
        <v>-</v>
      </c>
      <c r="AR469" s="54">
        <v>0</v>
      </c>
      <c r="AS469" s="54">
        <v>0</v>
      </c>
      <c r="AT469" s="54">
        <v>0</v>
      </c>
      <c r="AU469" s="54">
        <v>0</v>
      </c>
      <c r="AV469" s="54">
        <v>0</v>
      </c>
      <c r="AW469" s="54">
        <v>0</v>
      </c>
      <c r="AX469" s="54">
        <v>0</v>
      </c>
      <c r="AY469" s="54">
        <v>0</v>
      </c>
      <c r="AZ469" s="54">
        <v>0</v>
      </c>
      <c r="BA469" s="54">
        <v>0</v>
      </c>
      <c r="BB469" s="54">
        <v>0</v>
      </c>
      <c r="BC469" s="54">
        <v>0</v>
      </c>
      <c r="BD469" s="54">
        <v>0</v>
      </c>
      <c r="BE469" s="54">
        <v>0</v>
      </c>
      <c r="BF469" s="54">
        <v>0</v>
      </c>
      <c r="BG469" s="54">
        <v>0</v>
      </c>
      <c r="BH469" s="54">
        <v>0</v>
      </c>
    </row>
    <row r="470" spans="3:80" x14ac:dyDescent="0.55000000000000004">
      <c r="C470" s="104" t="str">
        <f>$V$79</f>
        <v>-</v>
      </c>
      <c r="D470" s="108">
        <f t="shared" ref="D470:S470" si="208">D79</f>
        <v>0</v>
      </c>
      <c r="E470" s="108">
        <f t="shared" si="208"/>
        <v>0</v>
      </c>
      <c r="F470" s="108">
        <f t="shared" si="208"/>
        <v>0</v>
      </c>
      <c r="G470" s="108">
        <f t="shared" si="208"/>
        <v>0</v>
      </c>
      <c r="H470" s="108">
        <f t="shared" si="208"/>
        <v>0</v>
      </c>
      <c r="I470" s="108">
        <f t="shared" si="208"/>
        <v>0</v>
      </c>
      <c r="J470" s="108">
        <f t="shared" si="208"/>
        <v>0</v>
      </c>
      <c r="K470" s="108">
        <f t="shared" si="208"/>
        <v>0</v>
      </c>
      <c r="L470" s="108">
        <f t="shared" si="208"/>
        <v>0</v>
      </c>
      <c r="M470" s="108">
        <f t="shared" si="208"/>
        <v>0</v>
      </c>
      <c r="N470" s="108">
        <f t="shared" si="208"/>
        <v>0</v>
      </c>
      <c r="O470" s="108">
        <f t="shared" si="208"/>
        <v>0</v>
      </c>
      <c r="P470" s="108">
        <f t="shared" si="208"/>
        <v>0</v>
      </c>
      <c r="Q470" s="108">
        <f t="shared" si="208"/>
        <v>0</v>
      </c>
      <c r="R470" s="108">
        <f t="shared" si="208"/>
        <v>0</v>
      </c>
      <c r="S470" s="108">
        <f t="shared" si="208"/>
        <v>0</v>
      </c>
      <c r="T470" s="28" t="s">
        <v>26</v>
      </c>
      <c r="V470" s="104" t="str">
        <f>$V$79</f>
        <v>-</v>
      </c>
      <c r="W470" s="108">
        <f t="shared" si="167"/>
        <v>-1</v>
      </c>
      <c r="X470" s="108">
        <f t="shared" si="168"/>
        <v>-1</v>
      </c>
      <c r="Y470" s="108">
        <f t="shared" si="169"/>
        <v>-1</v>
      </c>
      <c r="Z470" s="108">
        <f t="shared" si="170"/>
        <v>-1</v>
      </c>
      <c r="AA470" s="108">
        <f t="shared" si="171"/>
        <v>-1</v>
      </c>
      <c r="AB470" s="108">
        <f t="shared" si="172"/>
        <v>-1</v>
      </c>
      <c r="AC470" s="108">
        <f t="shared" si="173"/>
        <v>-1</v>
      </c>
      <c r="AD470" s="108">
        <f t="shared" si="174"/>
        <v>-1</v>
      </c>
      <c r="AE470" s="108">
        <f t="shared" si="175"/>
        <v>-1</v>
      </c>
      <c r="AF470" s="108">
        <f t="shared" si="176"/>
        <v>-1</v>
      </c>
      <c r="AG470" s="108">
        <f t="shared" si="177"/>
        <v>-1</v>
      </c>
      <c r="AH470" s="108">
        <f t="shared" si="178"/>
        <v>-1</v>
      </c>
      <c r="AI470" s="108">
        <f t="shared" si="179"/>
        <v>-1</v>
      </c>
      <c r="AJ470" s="108">
        <f t="shared" si="180"/>
        <v>-1</v>
      </c>
      <c r="AK470" s="108">
        <f t="shared" si="181"/>
        <v>-1</v>
      </c>
      <c r="AL470" s="108">
        <f t="shared" si="182"/>
        <v>-1</v>
      </c>
      <c r="AQ470" s="104" t="str">
        <f>$V$89</f>
        <v>-</v>
      </c>
      <c r="AR470" s="54">
        <v>0</v>
      </c>
      <c r="AS470" s="54">
        <v>0</v>
      </c>
      <c r="AT470" s="54">
        <v>0</v>
      </c>
      <c r="AU470" s="54">
        <v>0</v>
      </c>
      <c r="AV470" s="54">
        <v>0</v>
      </c>
      <c r="AW470" s="54">
        <v>0</v>
      </c>
      <c r="AX470" s="54">
        <v>0</v>
      </c>
      <c r="AY470" s="54">
        <v>0</v>
      </c>
      <c r="AZ470" s="54">
        <v>0</v>
      </c>
      <c r="BA470" s="54">
        <v>0</v>
      </c>
      <c r="BB470" s="54">
        <v>0</v>
      </c>
      <c r="BC470" s="54">
        <v>0</v>
      </c>
      <c r="BD470" s="54">
        <v>0</v>
      </c>
      <c r="BE470" s="54">
        <v>0</v>
      </c>
      <c r="BF470" s="54">
        <v>0</v>
      </c>
      <c r="BG470" s="54">
        <v>0</v>
      </c>
      <c r="BH470" s="54">
        <v>0</v>
      </c>
    </row>
    <row r="471" spans="3:80" x14ac:dyDescent="0.55000000000000004">
      <c r="C471" s="104" t="str">
        <f>$V$80</f>
        <v>-</v>
      </c>
      <c r="D471" s="108">
        <f t="shared" ref="D471:S471" si="209">D80</f>
        <v>0</v>
      </c>
      <c r="E471" s="108">
        <f t="shared" si="209"/>
        <v>0</v>
      </c>
      <c r="F471" s="108">
        <f t="shared" si="209"/>
        <v>0</v>
      </c>
      <c r="G471" s="108">
        <f t="shared" si="209"/>
        <v>0</v>
      </c>
      <c r="H471" s="108">
        <f t="shared" si="209"/>
        <v>0</v>
      </c>
      <c r="I471" s="108">
        <f t="shared" si="209"/>
        <v>0</v>
      </c>
      <c r="J471" s="108">
        <f t="shared" si="209"/>
        <v>0</v>
      </c>
      <c r="K471" s="108">
        <f t="shared" si="209"/>
        <v>0</v>
      </c>
      <c r="L471" s="108">
        <f t="shared" si="209"/>
        <v>0</v>
      </c>
      <c r="M471" s="108">
        <f t="shared" si="209"/>
        <v>0</v>
      </c>
      <c r="N471" s="108">
        <f t="shared" si="209"/>
        <v>0</v>
      </c>
      <c r="O471" s="108">
        <f t="shared" si="209"/>
        <v>0</v>
      </c>
      <c r="P471" s="108">
        <f t="shared" si="209"/>
        <v>0</v>
      </c>
      <c r="Q471" s="108">
        <f t="shared" si="209"/>
        <v>0</v>
      </c>
      <c r="R471" s="108">
        <f t="shared" si="209"/>
        <v>0</v>
      </c>
      <c r="S471" s="108">
        <f t="shared" si="209"/>
        <v>0</v>
      </c>
      <c r="T471" s="28" t="s">
        <v>26</v>
      </c>
      <c r="V471" s="104" t="str">
        <f>$V$80</f>
        <v>-</v>
      </c>
      <c r="W471" s="108">
        <f t="shared" si="167"/>
        <v>-1</v>
      </c>
      <c r="X471" s="108">
        <f t="shared" si="168"/>
        <v>-1</v>
      </c>
      <c r="Y471" s="108">
        <f t="shared" si="169"/>
        <v>-1</v>
      </c>
      <c r="Z471" s="108">
        <f t="shared" si="170"/>
        <v>-1</v>
      </c>
      <c r="AA471" s="108">
        <f t="shared" si="171"/>
        <v>-1</v>
      </c>
      <c r="AB471" s="108">
        <f t="shared" si="172"/>
        <v>-1</v>
      </c>
      <c r="AC471" s="108">
        <f t="shared" si="173"/>
        <v>-1</v>
      </c>
      <c r="AD471" s="108">
        <f t="shared" si="174"/>
        <v>-1</v>
      </c>
      <c r="AE471" s="108">
        <f t="shared" si="175"/>
        <v>-1</v>
      </c>
      <c r="AF471" s="108">
        <f t="shared" si="176"/>
        <v>-1</v>
      </c>
      <c r="AG471" s="108">
        <f t="shared" si="177"/>
        <v>-1</v>
      </c>
      <c r="AH471" s="108">
        <f t="shared" si="178"/>
        <v>-1</v>
      </c>
      <c r="AI471" s="108">
        <f t="shared" si="179"/>
        <v>-1</v>
      </c>
      <c r="AJ471" s="108">
        <f t="shared" si="180"/>
        <v>-1</v>
      </c>
      <c r="AK471" s="108">
        <f t="shared" si="181"/>
        <v>-1</v>
      </c>
      <c r="AL471" s="108">
        <f t="shared" si="182"/>
        <v>-1</v>
      </c>
      <c r="AQ471" s="104" t="str">
        <f>$V$90</f>
        <v>-</v>
      </c>
      <c r="AR471" s="54">
        <v>0</v>
      </c>
      <c r="AS471" s="54">
        <v>0</v>
      </c>
      <c r="AT471" s="54">
        <v>0</v>
      </c>
      <c r="AU471" s="54">
        <v>0</v>
      </c>
      <c r="AV471" s="54">
        <v>0</v>
      </c>
      <c r="AW471" s="54">
        <v>0</v>
      </c>
      <c r="AX471" s="54">
        <v>0</v>
      </c>
      <c r="AY471" s="54">
        <v>0</v>
      </c>
      <c r="AZ471" s="54">
        <v>0</v>
      </c>
      <c r="BA471" s="54">
        <v>0</v>
      </c>
      <c r="BB471" s="54">
        <v>0</v>
      </c>
      <c r="BC471" s="54">
        <v>0</v>
      </c>
      <c r="BD471" s="54">
        <v>0</v>
      </c>
      <c r="BE471" s="54">
        <v>0</v>
      </c>
      <c r="BF471" s="54">
        <v>0</v>
      </c>
      <c r="BG471" s="54">
        <v>0</v>
      </c>
      <c r="BH471" s="54">
        <v>0</v>
      </c>
      <c r="BK471" s="104" t="str">
        <f>CONCATENATE("OBLIGATORIEDAD DE (",BK472,")")</f>
        <v>OBLIGATORIEDAD DE (Volante)</v>
      </c>
    </row>
    <row r="472" spans="3:80" x14ac:dyDescent="0.55000000000000004">
      <c r="C472" s="104" t="str">
        <f>$V$81</f>
        <v>-</v>
      </c>
      <c r="D472" s="108">
        <f t="shared" ref="D472:S472" si="210">D81</f>
        <v>0</v>
      </c>
      <c r="E472" s="108">
        <f t="shared" si="210"/>
        <v>0</v>
      </c>
      <c r="F472" s="108">
        <f t="shared" si="210"/>
        <v>0</v>
      </c>
      <c r="G472" s="108">
        <f t="shared" si="210"/>
        <v>0</v>
      </c>
      <c r="H472" s="108">
        <f t="shared" si="210"/>
        <v>0</v>
      </c>
      <c r="I472" s="108">
        <f t="shared" si="210"/>
        <v>0</v>
      </c>
      <c r="J472" s="108">
        <f t="shared" si="210"/>
        <v>0</v>
      </c>
      <c r="K472" s="108">
        <f t="shared" si="210"/>
        <v>0</v>
      </c>
      <c r="L472" s="108">
        <f t="shared" si="210"/>
        <v>0</v>
      </c>
      <c r="M472" s="108">
        <f t="shared" si="210"/>
        <v>0</v>
      </c>
      <c r="N472" s="108">
        <f t="shared" si="210"/>
        <v>0</v>
      </c>
      <c r="O472" s="108">
        <f t="shared" si="210"/>
        <v>0</v>
      </c>
      <c r="P472" s="108">
        <f t="shared" si="210"/>
        <v>0</v>
      </c>
      <c r="Q472" s="108">
        <f t="shared" si="210"/>
        <v>0</v>
      </c>
      <c r="R472" s="108">
        <f t="shared" si="210"/>
        <v>0</v>
      </c>
      <c r="S472" s="108">
        <f t="shared" si="210"/>
        <v>0</v>
      </c>
      <c r="T472" s="28" t="s">
        <v>26</v>
      </c>
      <c r="V472" s="104" t="str">
        <f>$V$81</f>
        <v>-</v>
      </c>
      <c r="W472" s="108">
        <f t="shared" si="167"/>
        <v>-1</v>
      </c>
      <c r="X472" s="108">
        <f t="shared" si="168"/>
        <v>-1</v>
      </c>
      <c r="Y472" s="108">
        <f t="shared" si="169"/>
        <v>-1</v>
      </c>
      <c r="Z472" s="108">
        <f t="shared" si="170"/>
        <v>-1</v>
      </c>
      <c r="AA472" s="108">
        <f t="shared" si="171"/>
        <v>-1</v>
      </c>
      <c r="AB472" s="108">
        <f t="shared" si="172"/>
        <v>-1</v>
      </c>
      <c r="AC472" s="108">
        <f t="shared" si="173"/>
        <v>-1</v>
      </c>
      <c r="AD472" s="108">
        <f t="shared" si="174"/>
        <v>-1</v>
      </c>
      <c r="AE472" s="108">
        <f t="shared" si="175"/>
        <v>-1</v>
      </c>
      <c r="AF472" s="108">
        <f t="shared" si="176"/>
        <v>-1</v>
      </c>
      <c r="AG472" s="108">
        <f t="shared" si="177"/>
        <v>-1</v>
      </c>
      <c r="AH472" s="108">
        <f t="shared" si="178"/>
        <v>-1</v>
      </c>
      <c r="AI472" s="108">
        <f t="shared" si="179"/>
        <v>-1</v>
      </c>
      <c r="AJ472" s="108">
        <f t="shared" si="180"/>
        <v>-1</v>
      </c>
      <c r="AK472" s="108">
        <f t="shared" si="181"/>
        <v>-1</v>
      </c>
      <c r="AL472" s="108">
        <f t="shared" si="182"/>
        <v>-1</v>
      </c>
      <c r="AM472" s="108"/>
      <c r="AQ472" s="104" t="str">
        <f>$V$91</f>
        <v>-</v>
      </c>
      <c r="AR472" s="54">
        <v>0</v>
      </c>
      <c r="AS472" s="54">
        <v>0</v>
      </c>
      <c r="AT472" s="54">
        <v>0</v>
      </c>
      <c r="AU472" s="54">
        <v>0</v>
      </c>
      <c r="AV472" s="54">
        <v>0</v>
      </c>
      <c r="AW472" s="54">
        <v>0</v>
      </c>
      <c r="AX472" s="54">
        <v>0</v>
      </c>
      <c r="AY472" s="54">
        <v>0</v>
      </c>
      <c r="AZ472" s="54">
        <v>0</v>
      </c>
      <c r="BA472" s="54">
        <v>0</v>
      </c>
      <c r="BB472" s="54">
        <v>0</v>
      </c>
      <c r="BC472" s="54">
        <v>0</v>
      </c>
      <c r="BD472" s="54">
        <v>0</v>
      </c>
      <c r="BE472" s="54">
        <v>0</v>
      </c>
      <c r="BF472" s="54">
        <v>0</v>
      </c>
      <c r="BG472" s="54">
        <v>0</v>
      </c>
      <c r="BH472" s="54">
        <v>0</v>
      </c>
      <c r="BK472" s="104" t="str">
        <f>V44</f>
        <v>Volante</v>
      </c>
      <c r="BL472" s="104" t="str">
        <f>$W$33</f>
        <v>16h</v>
      </c>
      <c r="BM472" s="104" t="str">
        <f>$X$33</f>
        <v>17h</v>
      </c>
      <c r="BN472" s="104" t="str">
        <f>$Y$33</f>
        <v>18h</v>
      </c>
      <c r="BO472" s="104" t="str">
        <f>$Z$33</f>
        <v>19h</v>
      </c>
      <c r="BP472" s="104" t="str">
        <f>$AA$33</f>
        <v>20h</v>
      </c>
      <c r="BQ472" s="104" t="str">
        <f>$AB$33</f>
        <v>21h</v>
      </c>
      <c r="BR472" s="104" t="str">
        <f>$AC$33</f>
        <v>22h</v>
      </c>
      <c r="BS472" s="104" t="str">
        <f>$AD$33</f>
        <v>23h</v>
      </c>
      <c r="BT472" s="104" t="str">
        <f>$AE$33</f>
        <v>00h</v>
      </c>
      <c r="BU472" s="104" t="str">
        <f>$AF$33</f>
        <v>01h</v>
      </c>
      <c r="BV472" s="104" t="str">
        <f>$AG$33</f>
        <v>02h</v>
      </c>
      <c r="BW472" s="104" t="str">
        <f>$AH$33</f>
        <v>03h</v>
      </c>
      <c r="BX472" s="104" t="str">
        <f>$AI$33</f>
        <v>04h</v>
      </c>
      <c r="BY472" s="104" t="str">
        <f>$AJ$33</f>
        <v>05h</v>
      </c>
      <c r="BZ472" s="104" t="str">
        <f>$AK$33</f>
        <v>06h</v>
      </c>
      <c r="CA472" s="104" t="str">
        <f>$AL$33</f>
        <v>07h</v>
      </c>
      <c r="CB472" s="104" t="str">
        <f>$AM$33</f>
        <v>08h</v>
      </c>
    </row>
    <row r="473" spans="3:80" x14ac:dyDescent="0.55000000000000004">
      <c r="C473" s="104" t="str">
        <f>$V$82</f>
        <v>-</v>
      </c>
      <c r="D473" s="108">
        <f t="shared" ref="D473:S473" si="211">D82</f>
        <v>0</v>
      </c>
      <c r="E473" s="108">
        <f t="shared" si="211"/>
        <v>0</v>
      </c>
      <c r="F473" s="108">
        <f t="shared" si="211"/>
        <v>0</v>
      </c>
      <c r="G473" s="108">
        <f t="shared" si="211"/>
        <v>0</v>
      </c>
      <c r="H473" s="108">
        <f t="shared" si="211"/>
        <v>0</v>
      </c>
      <c r="I473" s="108">
        <f t="shared" si="211"/>
        <v>0</v>
      </c>
      <c r="J473" s="108">
        <f t="shared" si="211"/>
        <v>0</v>
      </c>
      <c r="K473" s="108">
        <f t="shared" si="211"/>
        <v>0</v>
      </c>
      <c r="L473" s="108">
        <f t="shared" si="211"/>
        <v>0</v>
      </c>
      <c r="M473" s="108">
        <f t="shared" si="211"/>
        <v>0</v>
      </c>
      <c r="N473" s="108">
        <f t="shared" si="211"/>
        <v>0</v>
      </c>
      <c r="O473" s="108">
        <f t="shared" si="211"/>
        <v>0</v>
      </c>
      <c r="P473" s="108">
        <f t="shared" si="211"/>
        <v>0</v>
      </c>
      <c r="Q473" s="108">
        <f t="shared" si="211"/>
        <v>0</v>
      </c>
      <c r="R473" s="108">
        <f t="shared" si="211"/>
        <v>0</v>
      </c>
      <c r="S473" s="108">
        <f t="shared" si="211"/>
        <v>0</v>
      </c>
      <c r="T473" s="28" t="s">
        <v>26</v>
      </c>
      <c r="V473" s="104" t="str">
        <f>$V$82</f>
        <v>-</v>
      </c>
      <c r="W473" s="108">
        <f t="shared" si="167"/>
        <v>-1</v>
      </c>
      <c r="X473" s="108">
        <f t="shared" si="168"/>
        <v>-1</v>
      </c>
      <c r="Y473" s="108">
        <f t="shared" si="169"/>
        <v>-1</v>
      </c>
      <c r="Z473" s="108">
        <f t="shared" si="170"/>
        <v>-1</v>
      </c>
      <c r="AA473" s="108">
        <f t="shared" si="171"/>
        <v>-1</v>
      </c>
      <c r="AB473" s="108">
        <f t="shared" si="172"/>
        <v>-1</v>
      </c>
      <c r="AC473" s="108">
        <f t="shared" si="173"/>
        <v>-1</v>
      </c>
      <c r="AD473" s="108">
        <f t="shared" si="174"/>
        <v>-1</v>
      </c>
      <c r="AE473" s="108">
        <f t="shared" si="175"/>
        <v>-1</v>
      </c>
      <c r="AF473" s="108">
        <f t="shared" si="176"/>
        <v>-1</v>
      </c>
      <c r="AG473" s="108">
        <f t="shared" si="177"/>
        <v>-1</v>
      </c>
      <c r="AH473" s="108">
        <f t="shared" si="178"/>
        <v>-1</v>
      </c>
      <c r="AI473" s="108">
        <f t="shared" si="179"/>
        <v>-1</v>
      </c>
      <c r="AJ473" s="108">
        <f t="shared" si="180"/>
        <v>-1</v>
      </c>
      <c r="AK473" s="108">
        <f t="shared" si="181"/>
        <v>-1</v>
      </c>
      <c r="AL473" s="108">
        <f t="shared" si="182"/>
        <v>-1</v>
      </c>
      <c r="AM473" s="108"/>
      <c r="AQ473" s="104" t="str">
        <f>$V$92</f>
        <v>-</v>
      </c>
      <c r="AR473" s="54">
        <v>0</v>
      </c>
      <c r="AS473" s="54">
        <v>0</v>
      </c>
      <c r="AT473" s="54">
        <v>0</v>
      </c>
      <c r="AU473" s="54">
        <v>0</v>
      </c>
      <c r="AV473" s="54">
        <v>0</v>
      </c>
      <c r="AW473" s="54">
        <v>0</v>
      </c>
      <c r="AX473" s="54">
        <v>0</v>
      </c>
      <c r="AY473" s="54">
        <v>0</v>
      </c>
      <c r="AZ473" s="54">
        <v>0</v>
      </c>
      <c r="BA473" s="54">
        <v>0</v>
      </c>
      <c r="BB473" s="54">
        <v>0</v>
      </c>
      <c r="BC473" s="54">
        <v>0</v>
      </c>
      <c r="BD473" s="54">
        <v>0</v>
      </c>
      <c r="BE473" s="54">
        <v>0</v>
      </c>
      <c r="BF473" s="54">
        <v>0</v>
      </c>
      <c r="BG473" s="54">
        <v>0</v>
      </c>
      <c r="BH473" s="54">
        <v>0</v>
      </c>
      <c r="BK473" s="104" t="str">
        <f>$V$53</f>
        <v>Jennifer</v>
      </c>
      <c r="BL473" s="108">
        <v>0</v>
      </c>
      <c r="BM473" s="108">
        <v>0</v>
      </c>
      <c r="BN473" s="108">
        <v>0</v>
      </c>
      <c r="BO473" s="108">
        <v>0</v>
      </c>
      <c r="BP473" s="108">
        <v>0</v>
      </c>
      <c r="BQ473" s="108">
        <v>0</v>
      </c>
      <c r="BR473" s="108">
        <v>0</v>
      </c>
      <c r="BS473" s="108">
        <v>0</v>
      </c>
      <c r="BT473" s="108">
        <v>0</v>
      </c>
      <c r="BU473" s="108">
        <v>0</v>
      </c>
      <c r="BV473" s="108">
        <v>0</v>
      </c>
      <c r="BW473" s="108">
        <v>0</v>
      </c>
      <c r="BX473" s="108">
        <v>0</v>
      </c>
      <c r="BY473" s="108">
        <v>0</v>
      </c>
      <c r="BZ473" s="108">
        <v>0</v>
      </c>
      <c r="CA473" s="108">
        <v>0</v>
      </c>
      <c r="CB473" s="108">
        <v>0</v>
      </c>
    </row>
    <row r="474" spans="3:80" x14ac:dyDescent="0.55000000000000004">
      <c r="C474" s="104" t="str">
        <f>$V$83</f>
        <v>-</v>
      </c>
      <c r="D474" s="108">
        <f t="shared" ref="D474:S474" si="212">D83</f>
        <v>0</v>
      </c>
      <c r="E474" s="108">
        <f t="shared" si="212"/>
        <v>0</v>
      </c>
      <c r="F474" s="108">
        <f t="shared" si="212"/>
        <v>0</v>
      </c>
      <c r="G474" s="108">
        <f t="shared" si="212"/>
        <v>0</v>
      </c>
      <c r="H474" s="108">
        <f t="shared" si="212"/>
        <v>0</v>
      </c>
      <c r="I474" s="108">
        <f t="shared" si="212"/>
        <v>0</v>
      </c>
      <c r="J474" s="108">
        <f t="shared" si="212"/>
        <v>0</v>
      </c>
      <c r="K474" s="108">
        <f t="shared" si="212"/>
        <v>0</v>
      </c>
      <c r="L474" s="108">
        <f t="shared" si="212"/>
        <v>0</v>
      </c>
      <c r="M474" s="108">
        <f t="shared" si="212"/>
        <v>0</v>
      </c>
      <c r="N474" s="108">
        <f t="shared" si="212"/>
        <v>0</v>
      </c>
      <c r="O474" s="108">
        <f t="shared" si="212"/>
        <v>0</v>
      </c>
      <c r="P474" s="108">
        <f t="shared" si="212"/>
        <v>0</v>
      </c>
      <c r="Q474" s="108">
        <f t="shared" si="212"/>
        <v>0</v>
      </c>
      <c r="R474" s="108">
        <f t="shared" si="212"/>
        <v>0</v>
      </c>
      <c r="S474" s="108">
        <f t="shared" si="212"/>
        <v>0</v>
      </c>
      <c r="T474" s="28" t="s">
        <v>26</v>
      </c>
      <c r="V474" s="104" t="str">
        <f>$V$83</f>
        <v>-</v>
      </c>
      <c r="W474" s="108">
        <f t="shared" si="167"/>
        <v>-1</v>
      </c>
      <c r="X474" s="108">
        <f t="shared" si="168"/>
        <v>-1</v>
      </c>
      <c r="Y474" s="108">
        <f t="shared" si="169"/>
        <v>-1</v>
      </c>
      <c r="Z474" s="108">
        <f t="shared" si="170"/>
        <v>-1</v>
      </c>
      <c r="AA474" s="108">
        <f t="shared" si="171"/>
        <v>-1</v>
      </c>
      <c r="AB474" s="108">
        <f t="shared" si="172"/>
        <v>-1</v>
      </c>
      <c r="AC474" s="108">
        <f t="shared" si="173"/>
        <v>-1</v>
      </c>
      <c r="AD474" s="108">
        <f t="shared" si="174"/>
        <v>-1</v>
      </c>
      <c r="AE474" s="108">
        <f t="shared" si="175"/>
        <v>-1</v>
      </c>
      <c r="AF474" s="108">
        <f t="shared" si="176"/>
        <v>-1</v>
      </c>
      <c r="AG474" s="108">
        <f t="shared" si="177"/>
        <v>-1</v>
      </c>
      <c r="AH474" s="108">
        <f t="shared" si="178"/>
        <v>-1</v>
      </c>
      <c r="AI474" s="108">
        <f t="shared" si="179"/>
        <v>-1</v>
      </c>
      <c r="AJ474" s="108">
        <f t="shared" si="180"/>
        <v>-1</v>
      </c>
      <c r="AK474" s="108">
        <f t="shared" si="181"/>
        <v>-1</v>
      </c>
      <c r="AL474" s="108">
        <f t="shared" si="182"/>
        <v>-1</v>
      </c>
      <c r="AM474" s="108"/>
      <c r="AP474" t="str">
        <f>$V$45</f>
        <v>Dummy 1</v>
      </c>
      <c r="AQ474" s="104" t="str">
        <f>$V$53</f>
        <v>Jennifer</v>
      </c>
      <c r="AR474" s="54">
        <v>0</v>
      </c>
      <c r="AS474" s="54">
        <v>0</v>
      </c>
      <c r="AT474" s="54">
        <v>0</v>
      </c>
      <c r="AU474" s="54">
        <v>0</v>
      </c>
      <c r="AV474" s="54">
        <v>0</v>
      </c>
      <c r="AW474" s="54">
        <v>0</v>
      </c>
      <c r="AX474" s="54">
        <v>0</v>
      </c>
      <c r="AY474" s="54">
        <v>0</v>
      </c>
      <c r="AZ474" s="54">
        <v>0</v>
      </c>
      <c r="BA474" s="54">
        <v>0</v>
      </c>
      <c r="BB474" s="54">
        <v>0</v>
      </c>
      <c r="BC474" s="54">
        <v>0</v>
      </c>
      <c r="BD474" s="54">
        <v>0</v>
      </c>
      <c r="BE474" s="54">
        <v>0</v>
      </c>
      <c r="BF474" s="54">
        <v>0</v>
      </c>
      <c r="BG474" s="54">
        <v>0</v>
      </c>
      <c r="BH474" s="54">
        <v>0</v>
      </c>
      <c r="BK474" s="104" t="str">
        <f>$V$54</f>
        <v>Galileo</v>
      </c>
      <c r="BL474" s="108">
        <v>0</v>
      </c>
      <c r="BM474" s="108">
        <v>0</v>
      </c>
      <c r="BN474" s="108">
        <v>0</v>
      </c>
      <c r="BO474" s="108">
        <v>0</v>
      </c>
      <c r="BP474" s="108">
        <v>0</v>
      </c>
      <c r="BQ474" s="108">
        <v>0</v>
      </c>
      <c r="BR474" s="108">
        <v>0</v>
      </c>
      <c r="BS474" s="108">
        <v>0</v>
      </c>
      <c r="BT474" s="108">
        <v>0</v>
      </c>
      <c r="BU474" s="108">
        <v>0</v>
      </c>
      <c r="BV474" s="108">
        <v>0</v>
      </c>
      <c r="BW474" s="108">
        <v>0</v>
      </c>
      <c r="BX474" s="108">
        <v>0</v>
      </c>
      <c r="BY474" s="108">
        <v>0</v>
      </c>
      <c r="BZ474" s="108">
        <v>0</v>
      </c>
      <c r="CA474" s="108">
        <v>0</v>
      </c>
      <c r="CB474" s="108">
        <v>0</v>
      </c>
    </row>
    <row r="475" spans="3:80" x14ac:dyDescent="0.55000000000000004">
      <c r="C475" s="104" t="str">
        <f>$V$84</f>
        <v>-</v>
      </c>
      <c r="D475" s="108">
        <f t="shared" ref="D475:S475" si="213">D84</f>
        <v>0</v>
      </c>
      <c r="E475" s="108">
        <f t="shared" si="213"/>
        <v>0</v>
      </c>
      <c r="F475" s="108">
        <f t="shared" si="213"/>
        <v>0</v>
      </c>
      <c r="G475" s="108">
        <f t="shared" si="213"/>
        <v>0</v>
      </c>
      <c r="H475" s="108">
        <f t="shared" si="213"/>
        <v>0</v>
      </c>
      <c r="I475" s="108">
        <f t="shared" si="213"/>
        <v>0</v>
      </c>
      <c r="J475" s="108">
        <f t="shared" si="213"/>
        <v>0</v>
      </c>
      <c r="K475" s="108">
        <f t="shared" si="213"/>
        <v>0</v>
      </c>
      <c r="L475" s="108">
        <f t="shared" si="213"/>
        <v>0</v>
      </c>
      <c r="M475" s="108">
        <f t="shared" si="213"/>
        <v>0</v>
      </c>
      <c r="N475" s="108">
        <f t="shared" si="213"/>
        <v>0</v>
      </c>
      <c r="O475" s="108">
        <f t="shared" si="213"/>
        <v>0</v>
      </c>
      <c r="P475" s="108">
        <f t="shared" si="213"/>
        <v>0</v>
      </c>
      <c r="Q475" s="108">
        <f t="shared" si="213"/>
        <v>0</v>
      </c>
      <c r="R475" s="108">
        <f t="shared" si="213"/>
        <v>0</v>
      </c>
      <c r="S475" s="108">
        <f t="shared" si="213"/>
        <v>0</v>
      </c>
      <c r="T475" s="28" t="s">
        <v>26</v>
      </c>
      <c r="V475" s="104" t="str">
        <f>$V$84</f>
        <v>-</v>
      </c>
      <c r="W475" s="108">
        <f t="shared" si="167"/>
        <v>-1</v>
      </c>
      <c r="X475" s="108">
        <f t="shared" si="168"/>
        <v>-1</v>
      </c>
      <c r="Y475" s="108">
        <f t="shared" si="169"/>
        <v>-1</v>
      </c>
      <c r="Z475" s="108">
        <f t="shared" si="170"/>
        <v>-1</v>
      </c>
      <c r="AA475" s="108">
        <f t="shared" si="171"/>
        <v>-1</v>
      </c>
      <c r="AB475" s="108">
        <f t="shared" si="172"/>
        <v>-1</v>
      </c>
      <c r="AC475" s="108">
        <f t="shared" si="173"/>
        <v>-1</v>
      </c>
      <c r="AD475" s="108">
        <f t="shared" si="174"/>
        <v>-1</v>
      </c>
      <c r="AE475" s="108">
        <f t="shared" si="175"/>
        <v>-1</v>
      </c>
      <c r="AF475" s="108">
        <f t="shared" si="176"/>
        <v>-1</v>
      </c>
      <c r="AG475" s="108">
        <f t="shared" si="177"/>
        <v>-1</v>
      </c>
      <c r="AH475" s="108">
        <f t="shared" si="178"/>
        <v>-1</v>
      </c>
      <c r="AI475" s="108">
        <f t="shared" si="179"/>
        <v>-1</v>
      </c>
      <c r="AJ475" s="108">
        <f t="shared" si="180"/>
        <v>-1</v>
      </c>
      <c r="AK475" s="108">
        <f t="shared" si="181"/>
        <v>-1</v>
      </c>
      <c r="AL475" s="108">
        <f t="shared" si="182"/>
        <v>-1</v>
      </c>
      <c r="AM475" s="108"/>
      <c r="AQ475" s="104" t="str">
        <f>$V$54</f>
        <v>Galileo</v>
      </c>
      <c r="AR475" s="54">
        <v>0</v>
      </c>
      <c r="AS475" s="54">
        <v>0</v>
      </c>
      <c r="AT475" s="54">
        <v>0</v>
      </c>
      <c r="AU475" s="54">
        <v>0</v>
      </c>
      <c r="AV475" s="54">
        <v>0</v>
      </c>
      <c r="AW475" s="54">
        <v>0</v>
      </c>
      <c r="AX475" s="54">
        <v>0</v>
      </c>
      <c r="AY475" s="54">
        <v>0</v>
      </c>
      <c r="AZ475" s="54">
        <v>0</v>
      </c>
      <c r="BA475" s="54">
        <v>0</v>
      </c>
      <c r="BB475" s="54">
        <v>0</v>
      </c>
      <c r="BC475" s="54">
        <v>0</v>
      </c>
      <c r="BD475" s="54">
        <v>0</v>
      </c>
      <c r="BE475" s="54">
        <v>0</v>
      </c>
      <c r="BF475" s="54">
        <v>0</v>
      </c>
      <c r="BG475" s="54">
        <v>0</v>
      </c>
      <c r="BH475" s="54">
        <v>0</v>
      </c>
      <c r="BK475" s="104" t="str">
        <f>$V$55</f>
        <v>Óscar</v>
      </c>
      <c r="BL475" s="108">
        <v>0</v>
      </c>
      <c r="BM475" s="108">
        <v>0</v>
      </c>
      <c r="BN475" s="108">
        <v>0</v>
      </c>
      <c r="BO475" s="108">
        <v>0</v>
      </c>
      <c r="BP475" s="108">
        <v>0</v>
      </c>
      <c r="BQ475" s="108">
        <v>0</v>
      </c>
      <c r="BR475" s="108">
        <v>0</v>
      </c>
      <c r="BS475" s="108">
        <v>0</v>
      </c>
      <c r="BT475" s="108">
        <v>0</v>
      </c>
      <c r="BU475" s="108">
        <v>0</v>
      </c>
      <c r="BV475" s="108">
        <v>0</v>
      </c>
      <c r="BW475" s="108">
        <v>0</v>
      </c>
      <c r="BX475" s="108">
        <v>0</v>
      </c>
      <c r="BY475" s="108">
        <v>0</v>
      </c>
      <c r="BZ475" s="108">
        <v>0</v>
      </c>
      <c r="CA475" s="108">
        <v>0</v>
      </c>
      <c r="CB475" s="108">
        <v>0</v>
      </c>
    </row>
    <row r="476" spans="3:80" x14ac:dyDescent="0.55000000000000004">
      <c r="C476" s="104" t="str">
        <f>$V$85</f>
        <v>-</v>
      </c>
      <c r="D476" s="108">
        <f t="shared" ref="D476:S476" si="214">D85</f>
        <v>0</v>
      </c>
      <c r="E476" s="108">
        <f t="shared" si="214"/>
        <v>0</v>
      </c>
      <c r="F476" s="108">
        <f t="shared" si="214"/>
        <v>0</v>
      </c>
      <c r="G476" s="108">
        <f t="shared" si="214"/>
        <v>0</v>
      </c>
      <c r="H476" s="108">
        <f t="shared" si="214"/>
        <v>0</v>
      </c>
      <c r="I476" s="108">
        <f t="shared" si="214"/>
        <v>0</v>
      </c>
      <c r="J476" s="108">
        <f t="shared" si="214"/>
        <v>0</v>
      </c>
      <c r="K476" s="108">
        <f t="shared" si="214"/>
        <v>0</v>
      </c>
      <c r="L476" s="108">
        <f t="shared" si="214"/>
        <v>0</v>
      </c>
      <c r="M476" s="108">
        <f t="shared" si="214"/>
        <v>0</v>
      </c>
      <c r="N476" s="108">
        <f t="shared" si="214"/>
        <v>0</v>
      </c>
      <c r="O476" s="108">
        <f t="shared" si="214"/>
        <v>0</v>
      </c>
      <c r="P476" s="108">
        <f t="shared" si="214"/>
        <v>0</v>
      </c>
      <c r="Q476" s="108">
        <f t="shared" si="214"/>
        <v>0</v>
      </c>
      <c r="R476" s="108">
        <f t="shared" si="214"/>
        <v>0</v>
      </c>
      <c r="S476" s="108">
        <f t="shared" si="214"/>
        <v>0</v>
      </c>
      <c r="T476" s="28" t="s">
        <v>26</v>
      </c>
      <c r="V476" s="104" t="str">
        <f>$V$85</f>
        <v>-</v>
      </c>
      <c r="W476" s="108">
        <f t="shared" si="167"/>
        <v>-1</v>
      </c>
      <c r="X476" s="108">
        <f t="shared" si="168"/>
        <v>-1</v>
      </c>
      <c r="Y476" s="108">
        <f t="shared" si="169"/>
        <v>-1</v>
      </c>
      <c r="Z476" s="108">
        <f t="shared" si="170"/>
        <v>-1</v>
      </c>
      <c r="AA476" s="108">
        <f t="shared" si="171"/>
        <v>-1</v>
      </c>
      <c r="AB476" s="108">
        <f t="shared" si="172"/>
        <v>-1</v>
      </c>
      <c r="AC476" s="108">
        <f t="shared" si="173"/>
        <v>-1</v>
      </c>
      <c r="AD476" s="108">
        <f t="shared" si="174"/>
        <v>-1</v>
      </c>
      <c r="AE476" s="108">
        <f t="shared" si="175"/>
        <v>-1</v>
      </c>
      <c r="AF476" s="108">
        <f t="shared" si="176"/>
        <v>-1</v>
      </c>
      <c r="AG476" s="108">
        <f t="shared" si="177"/>
        <v>-1</v>
      </c>
      <c r="AH476" s="108">
        <f t="shared" si="178"/>
        <v>-1</v>
      </c>
      <c r="AI476" s="108">
        <f t="shared" si="179"/>
        <v>-1</v>
      </c>
      <c r="AJ476" s="108">
        <f t="shared" si="180"/>
        <v>-1</v>
      </c>
      <c r="AK476" s="108">
        <f t="shared" si="181"/>
        <v>-1</v>
      </c>
      <c r="AL476" s="108">
        <f t="shared" si="182"/>
        <v>-1</v>
      </c>
      <c r="AM476" s="108"/>
      <c r="AQ476" s="104" t="str">
        <f>$V$55</f>
        <v>Óscar</v>
      </c>
      <c r="AR476" s="54">
        <v>0</v>
      </c>
      <c r="AS476" s="54">
        <v>0</v>
      </c>
      <c r="AT476" s="54">
        <v>0</v>
      </c>
      <c r="AU476" s="54">
        <v>0</v>
      </c>
      <c r="AV476" s="54">
        <v>0</v>
      </c>
      <c r="AW476" s="54">
        <v>0</v>
      </c>
      <c r="AX476" s="54">
        <v>0</v>
      </c>
      <c r="AY476" s="54">
        <v>0</v>
      </c>
      <c r="AZ476" s="54">
        <v>0</v>
      </c>
      <c r="BA476" s="54">
        <v>0</v>
      </c>
      <c r="BB476" s="54">
        <v>0</v>
      </c>
      <c r="BC476" s="54">
        <v>1</v>
      </c>
      <c r="BD476" s="54">
        <v>0</v>
      </c>
      <c r="BE476" s="54">
        <v>0</v>
      </c>
      <c r="BF476" s="54">
        <v>0</v>
      </c>
      <c r="BG476" s="54">
        <v>0</v>
      </c>
      <c r="BH476" s="54">
        <v>0</v>
      </c>
      <c r="BK476" s="104" t="str">
        <f>$V$56</f>
        <v>Sebastián</v>
      </c>
      <c r="BL476" s="108">
        <v>0</v>
      </c>
      <c r="BM476" s="108">
        <v>0</v>
      </c>
      <c r="BN476" s="108">
        <v>0</v>
      </c>
      <c r="BO476" s="108">
        <v>0</v>
      </c>
      <c r="BP476" s="108">
        <v>0</v>
      </c>
      <c r="BQ476" s="108">
        <v>0</v>
      </c>
      <c r="BR476" s="108">
        <v>0</v>
      </c>
      <c r="BS476" s="108">
        <v>0</v>
      </c>
      <c r="BT476" s="108">
        <v>0</v>
      </c>
      <c r="BU476" s="108">
        <v>0</v>
      </c>
      <c r="BV476" s="108">
        <v>0</v>
      </c>
      <c r="BW476" s="108">
        <v>0</v>
      </c>
      <c r="BX476" s="108">
        <v>0</v>
      </c>
      <c r="BY476" s="108">
        <v>0</v>
      </c>
      <c r="BZ476" s="108">
        <v>0</v>
      </c>
      <c r="CA476" s="108">
        <v>0</v>
      </c>
      <c r="CB476" s="108">
        <v>0</v>
      </c>
    </row>
    <row r="477" spans="3:80" x14ac:dyDescent="0.55000000000000004">
      <c r="C477" s="104" t="str">
        <f>$V$86</f>
        <v>-</v>
      </c>
      <c r="D477" s="108">
        <f t="shared" ref="D477:S477" si="215">D86</f>
        <v>0</v>
      </c>
      <c r="E477" s="108">
        <f t="shared" si="215"/>
        <v>0</v>
      </c>
      <c r="F477" s="108">
        <f t="shared" si="215"/>
        <v>0</v>
      </c>
      <c r="G477" s="108">
        <f t="shared" si="215"/>
        <v>0</v>
      </c>
      <c r="H477" s="108">
        <f t="shared" si="215"/>
        <v>0</v>
      </c>
      <c r="I477" s="108">
        <f t="shared" si="215"/>
        <v>0</v>
      </c>
      <c r="J477" s="108">
        <f t="shared" si="215"/>
        <v>0</v>
      </c>
      <c r="K477" s="108">
        <f t="shared" si="215"/>
        <v>0</v>
      </c>
      <c r="L477" s="108">
        <f t="shared" si="215"/>
        <v>0</v>
      </c>
      <c r="M477" s="108">
        <f t="shared" si="215"/>
        <v>0</v>
      </c>
      <c r="N477" s="108">
        <f t="shared" si="215"/>
        <v>0</v>
      </c>
      <c r="O477" s="108">
        <f t="shared" si="215"/>
        <v>0</v>
      </c>
      <c r="P477" s="108">
        <f t="shared" si="215"/>
        <v>0</v>
      </c>
      <c r="Q477" s="108">
        <f t="shared" si="215"/>
        <v>0</v>
      </c>
      <c r="R477" s="108">
        <f t="shared" si="215"/>
        <v>0</v>
      </c>
      <c r="S477" s="108">
        <f t="shared" si="215"/>
        <v>0</v>
      </c>
      <c r="T477" s="28" t="s">
        <v>26</v>
      </c>
      <c r="V477" s="104" t="str">
        <f>$V$86</f>
        <v>-</v>
      </c>
      <c r="W477" s="108">
        <f t="shared" si="167"/>
        <v>-1</v>
      </c>
      <c r="X477" s="108">
        <f t="shared" si="168"/>
        <v>-1</v>
      </c>
      <c r="Y477" s="108">
        <f t="shared" si="169"/>
        <v>-1</v>
      </c>
      <c r="Z477" s="108">
        <f t="shared" si="170"/>
        <v>-1</v>
      </c>
      <c r="AA477" s="108">
        <f t="shared" si="171"/>
        <v>-1</v>
      </c>
      <c r="AB477" s="108">
        <f t="shared" si="172"/>
        <v>-1</v>
      </c>
      <c r="AC477" s="108">
        <f t="shared" si="173"/>
        <v>-1</v>
      </c>
      <c r="AD477" s="108">
        <f t="shared" si="174"/>
        <v>-1</v>
      </c>
      <c r="AE477" s="108">
        <f t="shared" si="175"/>
        <v>-1</v>
      </c>
      <c r="AF477" s="108">
        <f t="shared" si="176"/>
        <v>-1</v>
      </c>
      <c r="AG477" s="108">
        <f t="shared" si="177"/>
        <v>-1</v>
      </c>
      <c r="AH477" s="108">
        <f t="shared" si="178"/>
        <v>-1</v>
      </c>
      <c r="AI477" s="108">
        <f t="shared" si="179"/>
        <v>-1</v>
      </c>
      <c r="AJ477" s="108">
        <f t="shared" si="180"/>
        <v>-1</v>
      </c>
      <c r="AK477" s="108">
        <f t="shared" si="181"/>
        <v>-1</v>
      </c>
      <c r="AL477" s="108">
        <f t="shared" si="182"/>
        <v>-1</v>
      </c>
      <c r="AM477" s="108"/>
      <c r="AQ477" s="104" t="str">
        <f>$V$56</f>
        <v>Sebastián</v>
      </c>
      <c r="AR477" s="54">
        <v>0</v>
      </c>
      <c r="AS477" s="54">
        <v>0</v>
      </c>
      <c r="AT477" s="54">
        <v>0</v>
      </c>
      <c r="AU477" s="54">
        <v>1</v>
      </c>
      <c r="AV477" s="54">
        <v>0</v>
      </c>
      <c r="AW477" s="54">
        <v>0</v>
      </c>
      <c r="AX477" s="54">
        <v>0</v>
      </c>
      <c r="AY477" s="54">
        <v>0</v>
      </c>
      <c r="AZ477" s="54">
        <v>0</v>
      </c>
      <c r="BA477" s="54">
        <v>0</v>
      </c>
      <c r="BB477" s="54">
        <v>0</v>
      </c>
      <c r="BC477" s="54">
        <v>0</v>
      </c>
      <c r="BD477" s="54">
        <v>0</v>
      </c>
      <c r="BE477" s="54">
        <v>0</v>
      </c>
      <c r="BF477" s="54">
        <v>0</v>
      </c>
      <c r="BG477" s="54">
        <v>0</v>
      </c>
      <c r="BH477" s="54">
        <v>0</v>
      </c>
      <c r="BK477" s="104" t="str">
        <f>$V$57</f>
        <v>Marcos</v>
      </c>
      <c r="BL477" s="108">
        <v>0</v>
      </c>
      <c r="BM477" s="108">
        <v>0</v>
      </c>
      <c r="BN477" s="108">
        <v>0</v>
      </c>
      <c r="BO477" s="108">
        <v>0</v>
      </c>
      <c r="BP477" s="108">
        <v>0</v>
      </c>
      <c r="BQ477" s="108">
        <v>0</v>
      </c>
      <c r="BR477" s="108">
        <v>0</v>
      </c>
      <c r="BS477" s="108">
        <v>0</v>
      </c>
      <c r="BT477" s="108">
        <v>0</v>
      </c>
      <c r="BU477" s="108">
        <v>0</v>
      </c>
      <c r="BV477" s="108">
        <v>0</v>
      </c>
      <c r="BW477" s="108">
        <v>0</v>
      </c>
      <c r="BX477" s="108">
        <v>0</v>
      </c>
      <c r="BY477" s="108">
        <v>0</v>
      </c>
      <c r="BZ477" s="108">
        <v>0</v>
      </c>
      <c r="CA477" s="108">
        <v>0</v>
      </c>
      <c r="CB477" s="108">
        <v>0</v>
      </c>
    </row>
    <row r="478" spans="3:80" x14ac:dyDescent="0.55000000000000004">
      <c r="C478" s="104" t="str">
        <f>$V$87</f>
        <v>-</v>
      </c>
      <c r="D478" s="108">
        <f t="shared" ref="D478:S478" si="216">D87</f>
        <v>0</v>
      </c>
      <c r="E478" s="108">
        <f t="shared" si="216"/>
        <v>0</v>
      </c>
      <c r="F478" s="108">
        <f t="shared" si="216"/>
        <v>0</v>
      </c>
      <c r="G478" s="108">
        <f t="shared" si="216"/>
        <v>0</v>
      </c>
      <c r="H478" s="108">
        <f t="shared" si="216"/>
        <v>0</v>
      </c>
      <c r="I478" s="108">
        <f t="shared" si="216"/>
        <v>0</v>
      </c>
      <c r="J478" s="108">
        <f t="shared" si="216"/>
        <v>0</v>
      </c>
      <c r="K478" s="108">
        <f t="shared" si="216"/>
        <v>0</v>
      </c>
      <c r="L478" s="108">
        <f t="shared" si="216"/>
        <v>0</v>
      </c>
      <c r="M478" s="108">
        <f t="shared" si="216"/>
        <v>0</v>
      </c>
      <c r="N478" s="108">
        <f t="shared" si="216"/>
        <v>0</v>
      </c>
      <c r="O478" s="108">
        <f t="shared" si="216"/>
        <v>0</v>
      </c>
      <c r="P478" s="108">
        <f t="shared" si="216"/>
        <v>0</v>
      </c>
      <c r="Q478" s="108">
        <f t="shared" si="216"/>
        <v>0</v>
      </c>
      <c r="R478" s="108">
        <f t="shared" si="216"/>
        <v>0</v>
      </c>
      <c r="S478" s="108">
        <f t="shared" si="216"/>
        <v>0</v>
      </c>
      <c r="T478" s="28" t="s">
        <v>26</v>
      </c>
      <c r="V478" s="104" t="str">
        <f>$V$87</f>
        <v>-</v>
      </c>
      <c r="W478" s="108">
        <f t="shared" si="167"/>
        <v>-1</v>
      </c>
      <c r="X478" s="108">
        <f t="shared" si="168"/>
        <v>-1</v>
      </c>
      <c r="Y478" s="108">
        <f t="shared" si="169"/>
        <v>-1</v>
      </c>
      <c r="Z478" s="108">
        <f t="shared" si="170"/>
        <v>-1</v>
      </c>
      <c r="AA478" s="108">
        <f t="shared" si="171"/>
        <v>-1</v>
      </c>
      <c r="AB478" s="108">
        <f t="shared" si="172"/>
        <v>-1</v>
      </c>
      <c r="AC478" s="108">
        <f t="shared" si="173"/>
        <v>-1</v>
      </c>
      <c r="AD478" s="108">
        <f t="shared" si="174"/>
        <v>-1</v>
      </c>
      <c r="AE478" s="108">
        <f t="shared" si="175"/>
        <v>-1</v>
      </c>
      <c r="AF478" s="108">
        <f t="shared" si="176"/>
        <v>-1</v>
      </c>
      <c r="AG478" s="108">
        <f t="shared" si="177"/>
        <v>-1</v>
      </c>
      <c r="AH478" s="108">
        <f t="shared" si="178"/>
        <v>-1</v>
      </c>
      <c r="AI478" s="108">
        <f t="shared" si="179"/>
        <v>-1</v>
      </c>
      <c r="AJ478" s="108">
        <f t="shared" si="180"/>
        <v>-1</v>
      </c>
      <c r="AK478" s="108">
        <f t="shared" si="181"/>
        <v>-1</v>
      </c>
      <c r="AL478" s="108">
        <f t="shared" si="182"/>
        <v>-1</v>
      </c>
      <c r="AM478" s="108"/>
      <c r="AQ478" s="104" t="str">
        <f>$V$57</f>
        <v>Marcos</v>
      </c>
      <c r="AR478" s="54">
        <v>0</v>
      </c>
      <c r="AS478" s="54">
        <v>0</v>
      </c>
      <c r="AT478" s="54">
        <v>0</v>
      </c>
      <c r="AU478" s="54">
        <v>1</v>
      </c>
      <c r="AV478" s="54">
        <v>0</v>
      </c>
      <c r="AW478" s="54">
        <v>0</v>
      </c>
      <c r="AX478" s="54">
        <v>0</v>
      </c>
      <c r="AY478" s="54">
        <v>0</v>
      </c>
      <c r="AZ478" s="54">
        <v>0</v>
      </c>
      <c r="BA478" s="54">
        <v>0</v>
      </c>
      <c r="BB478" s="54">
        <v>0</v>
      </c>
      <c r="BC478" s="54">
        <v>1</v>
      </c>
      <c r="BD478" s="54">
        <v>0</v>
      </c>
      <c r="BE478" s="54">
        <v>0</v>
      </c>
      <c r="BF478" s="54">
        <v>0</v>
      </c>
      <c r="BG478" s="54">
        <v>0</v>
      </c>
      <c r="BH478" s="54">
        <v>0</v>
      </c>
      <c r="BK478" s="104" t="str">
        <f>$V$58</f>
        <v>Weixin</v>
      </c>
      <c r="BL478" s="108">
        <v>0</v>
      </c>
      <c r="BM478" s="108">
        <v>0</v>
      </c>
      <c r="BN478" s="108">
        <v>0</v>
      </c>
      <c r="BO478" s="108">
        <v>0</v>
      </c>
      <c r="BP478" s="108">
        <v>0</v>
      </c>
      <c r="BQ478" s="108">
        <v>0</v>
      </c>
      <c r="BR478" s="108">
        <v>0</v>
      </c>
      <c r="BS478" s="108">
        <v>0</v>
      </c>
      <c r="BT478" s="108">
        <v>0</v>
      </c>
      <c r="BU478" s="108">
        <v>0</v>
      </c>
      <c r="BV478" s="108">
        <v>0</v>
      </c>
      <c r="BW478" s="108">
        <v>0</v>
      </c>
      <c r="BX478" s="108">
        <v>0</v>
      </c>
      <c r="BY478" s="108">
        <v>0</v>
      </c>
      <c r="BZ478" s="108">
        <v>0</v>
      </c>
      <c r="CA478" s="108">
        <v>0</v>
      </c>
      <c r="CB478" s="108">
        <v>0</v>
      </c>
    </row>
    <row r="479" spans="3:80" x14ac:dyDescent="0.55000000000000004">
      <c r="C479" s="104" t="str">
        <f>$V$88</f>
        <v>-</v>
      </c>
      <c r="D479" s="108">
        <f t="shared" ref="D479:S479" si="217">D88</f>
        <v>0</v>
      </c>
      <c r="E479" s="108">
        <f t="shared" si="217"/>
        <v>0</v>
      </c>
      <c r="F479" s="108">
        <f t="shared" si="217"/>
        <v>0</v>
      </c>
      <c r="G479" s="108">
        <f t="shared" si="217"/>
        <v>0</v>
      </c>
      <c r="H479" s="108">
        <f t="shared" si="217"/>
        <v>0</v>
      </c>
      <c r="I479" s="108">
        <f t="shared" si="217"/>
        <v>0</v>
      </c>
      <c r="J479" s="108">
        <f t="shared" si="217"/>
        <v>0</v>
      </c>
      <c r="K479" s="108">
        <f t="shared" si="217"/>
        <v>0</v>
      </c>
      <c r="L479" s="108">
        <f t="shared" si="217"/>
        <v>0</v>
      </c>
      <c r="M479" s="108">
        <f t="shared" si="217"/>
        <v>0</v>
      </c>
      <c r="N479" s="108">
        <f t="shared" si="217"/>
        <v>0</v>
      </c>
      <c r="O479" s="108">
        <f t="shared" si="217"/>
        <v>0</v>
      </c>
      <c r="P479" s="108">
        <f t="shared" si="217"/>
        <v>0</v>
      </c>
      <c r="Q479" s="108">
        <f t="shared" si="217"/>
        <v>0</v>
      </c>
      <c r="R479" s="108">
        <f t="shared" si="217"/>
        <v>0</v>
      </c>
      <c r="S479" s="108">
        <f t="shared" si="217"/>
        <v>0</v>
      </c>
      <c r="T479" s="28" t="s">
        <v>26</v>
      </c>
      <c r="V479" s="104" t="str">
        <f>$V$88</f>
        <v>-</v>
      </c>
      <c r="W479" s="108">
        <f t="shared" si="167"/>
        <v>-1</v>
      </c>
      <c r="X479" s="108">
        <f t="shared" si="168"/>
        <v>-1</v>
      </c>
      <c r="Y479" s="108">
        <f t="shared" si="169"/>
        <v>-1</v>
      </c>
      <c r="Z479" s="108">
        <f t="shared" si="170"/>
        <v>-1</v>
      </c>
      <c r="AA479" s="108">
        <f t="shared" si="171"/>
        <v>-1</v>
      </c>
      <c r="AB479" s="108">
        <f t="shared" si="172"/>
        <v>-1</v>
      </c>
      <c r="AC479" s="108">
        <f t="shared" si="173"/>
        <v>-1</v>
      </c>
      <c r="AD479" s="108">
        <f t="shared" si="174"/>
        <v>-1</v>
      </c>
      <c r="AE479" s="108">
        <f t="shared" si="175"/>
        <v>-1</v>
      </c>
      <c r="AF479" s="108">
        <f t="shared" si="176"/>
        <v>-1</v>
      </c>
      <c r="AG479" s="108">
        <f t="shared" si="177"/>
        <v>-1</v>
      </c>
      <c r="AH479" s="108">
        <f t="shared" si="178"/>
        <v>-1</v>
      </c>
      <c r="AI479" s="108">
        <f t="shared" si="179"/>
        <v>-1</v>
      </c>
      <c r="AJ479" s="108">
        <f t="shared" si="180"/>
        <v>-1</v>
      </c>
      <c r="AK479" s="108">
        <f t="shared" si="181"/>
        <v>-1</v>
      </c>
      <c r="AL479" s="108">
        <f t="shared" si="182"/>
        <v>-1</v>
      </c>
      <c r="AM479" s="108"/>
      <c r="AQ479" s="104" t="str">
        <f>$V$58</f>
        <v>Weixin</v>
      </c>
      <c r="AR479" s="54">
        <v>0</v>
      </c>
      <c r="AS479" s="54">
        <v>0</v>
      </c>
      <c r="AT479" s="54">
        <v>0</v>
      </c>
      <c r="AU479" s="54">
        <v>0</v>
      </c>
      <c r="AV479" s="54">
        <v>0</v>
      </c>
      <c r="AW479" s="54">
        <v>0</v>
      </c>
      <c r="AX479" s="54">
        <v>0</v>
      </c>
      <c r="AY479" s="54">
        <v>0</v>
      </c>
      <c r="AZ479" s="54">
        <v>0</v>
      </c>
      <c r="BA479" s="54">
        <v>0</v>
      </c>
      <c r="BB479" s="54">
        <v>0</v>
      </c>
      <c r="BC479" s="54">
        <v>0</v>
      </c>
      <c r="BD479" s="54">
        <v>0</v>
      </c>
      <c r="BE479" s="54">
        <v>0</v>
      </c>
      <c r="BF479" s="54">
        <v>0</v>
      </c>
      <c r="BG479" s="54">
        <v>0</v>
      </c>
      <c r="BH479" s="54">
        <v>0</v>
      </c>
      <c r="BK479" s="104" t="str">
        <f>$V$59</f>
        <v>Benjamin</v>
      </c>
      <c r="BL479" s="108">
        <v>0</v>
      </c>
      <c r="BM479" s="108">
        <v>0</v>
      </c>
      <c r="BN479" s="108">
        <v>0</v>
      </c>
      <c r="BO479" s="108">
        <v>0</v>
      </c>
      <c r="BP479" s="108">
        <v>0</v>
      </c>
      <c r="BQ479" s="108">
        <v>0</v>
      </c>
      <c r="BR479" s="108">
        <v>0</v>
      </c>
      <c r="BS479" s="108">
        <v>0</v>
      </c>
      <c r="BT479" s="108">
        <v>0</v>
      </c>
      <c r="BU479" s="108">
        <v>0</v>
      </c>
      <c r="BV479" s="108">
        <v>0</v>
      </c>
      <c r="BW479" s="108">
        <v>0</v>
      </c>
      <c r="BX479" s="108">
        <v>0</v>
      </c>
      <c r="BY479" s="108">
        <v>0</v>
      </c>
      <c r="BZ479" s="108">
        <v>0</v>
      </c>
      <c r="CA479" s="108">
        <v>0</v>
      </c>
      <c r="CB479" s="108">
        <v>0</v>
      </c>
    </row>
    <row r="480" spans="3:80" x14ac:dyDescent="0.55000000000000004">
      <c r="C480" s="104" t="str">
        <f>$V$89</f>
        <v>-</v>
      </c>
      <c r="D480" s="108">
        <f t="shared" ref="D480:S480" si="218">D89</f>
        <v>0</v>
      </c>
      <c r="E480" s="108">
        <f t="shared" si="218"/>
        <v>0</v>
      </c>
      <c r="F480" s="108">
        <f t="shared" si="218"/>
        <v>0</v>
      </c>
      <c r="G480" s="108">
        <f t="shared" si="218"/>
        <v>0</v>
      </c>
      <c r="H480" s="108">
        <f t="shared" si="218"/>
        <v>0</v>
      </c>
      <c r="I480" s="108">
        <f t="shared" si="218"/>
        <v>0</v>
      </c>
      <c r="J480" s="108">
        <f t="shared" si="218"/>
        <v>0</v>
      </c>
      <c r="K480" s="108">
        <f t="shared" si="218"/>
        <v>0</v>
      </c>
      <c r="L480" s="108">
        <f t="shared" si="218"/>
        <v>0</v>
      </c>
      <c r="M480" s="108">
        <f t="shared" si="218"/>
        <v>0</v>
      </c>
      <c r="N480" s="108">
        <f t="shared" si="218"/>
        <v>0</v>
      </c>
      <c r="O480" s="108">
        <f t="shared" si="218"/>
        <v>0</v>
      </c>
      <c r="P480" s="108">
        <f t="shared" si="218"/>
        <v>0</v>
      </c>
      <c r="Q480" s="108">
        <f t="shared" si="218"/>
        <v>0</v>
      </c>
      <c r="R480" s="108">
        <f t="shared" si="218"/>
        <v>0</v>
      </c>
      <c r="S480" s="108">
        <f t="shared" si="218"/>
        <v>0</v>
      </c>
      <c r="T480" s="28" t="s">
        <v>26</v>
      </c>
      <c r="V480" s="104" t="str">
        <f>$V$89</f>
        <v>-</v>
      </c>
      <c r="W480" s="108">
        <f t="shared" si="167"/>
        <v>-1</v>
      </c>
      <c r="X480" s="108">
        <f t="shared" si="168"/>
        <v>-1</v>
      </c>
      <c r="Y480" s="108">
        <f t="shared" si="169"/>
        <v>-1</v>
      </c>
      <c r="Z480" s="108">
        <f t="shared" si="170"/>
        <v>-1</v>
      </c>
      <c r="AA480" s="108">
        <f t="shared" si="171"/>
        <v>-1</v>
      </c>
      <c r="AB480" s="108">
        <f t="shared" si="172"/>
        <v>-1</v>
      </c>
      <c r="AC480" s="108">
        <f t="shared" si="173"/>
        <v>-1</v>
      </c>
      <c r="AD480" s="108">
        <f t="shared" si="174"/>
        <v>-1</v>
      </c>
      <c r="AE480" s="108">
        <f t="shared" si="175"/>
        <v>-1</v>
      </c>
      <c r="AF480" s="108">
        <f t="shared" si="176"/>
        <v>-1</v>
      </c>
      <c r="AG480" s="108">
        <f t="shared" si="177"/>
        <v>-1</v>
      </c>
      <c r="AH480" s="108">
        <f t="shared" si="178"/>
        <v>-1</v>
      </c>
      <c r="AI480" s="108">
        <f t="shared" si="179"/>
        <v>-1</v>
      </c>
      <c r="AJ480" s="108">
        <f t="shared" si="180"/>
        <v>-1</v>
      </c>
      <c r="AK480" s="108">
        <f t="shared" si="181"/>
        <v>-1</v>
      </c>
      <c r="AL480" s="108">
        <f t="shared" si="182"/>
        <v>-1</v>
      </c>
      <c r="AM480" s="108"/>
      <c r="AQ480" s="104" t="str">
        <f>$V$59</f>
        <v>Benjamin</v>
      </c>
      <c r="AR480" s="54">
        <v>0</v>
      </c>
      <c r="AS480" s="54">
        <v>0</v>
      </c>
      <c r="AT480" s="54">
        <v>0</v>
      </c>
      <c r="AU480" s="54">
        <v>0</v>
      </c>
      <c r="AV480" s="54">
        <v>0</v>
      </c>
      <c r="AW480" s="54">
        <v>0</v>
      </c>
      <c r="AX480" s="54">
        <v>0</v>
      </c>
      <c r="AY480" s="54">
        <v>0</v>
      </c>
      <c r="AZ480" s="54">
        <v>0</v>
      </c>
      <c r="BA480" s="54">
        <v>0</v>
      </c>
      <c r="BB480" s="54">
        <v>0</v>
      </c>
      <c r="BC480" s="54">
        <v>0</v>
      </c>
      <c r="BD480" s="54">
        <v>0</v>
      </c>
      <c r="BE480" s="54">
        <v>0</v>
      </c>
      <c r="BF480" s="54">
        <v>0</v>
      </c>
      <c r="BG480" s="54">
        <v>0</v>
      </c>
      <c r="BH480" s="54">
        <v>0</v>
      </c>
      <c r="BK480" s="104" t="str">
        <f>$V$60</f>
        <v>Joelle</v>
      </c>
      <c r="BL480" s="108">
        <v>0</v>
      </c>
      <c r="BM480" s="108">
        <v>0</v>
      </c>
      <c r="BN480" s="108">
        <v>0</v>
      </c>
      <c r="BO480" s="108">
        <v>0</v>
      </c>
      <c r="BP480" s="108">
        <v>0</v>
      </c>
      <c r="BQ480" s="108">
        <v>0</v>
      </c>
      <c r="BR480" s="108">
        <v>0</v>
      </c>
      <c r="BS480" s="108">
        <v>0</v>
      </c>
      <c r="BT480" s="108">
        <v>0</v>
      </c>
      <c r="BU480" s="108">
        <v>0</v>
      </c>
      <c r="BV480" s="108">
        <v>0</v>
      </c>
      <c r="BW480" s="108">
        <v>0</v>
      </c>
      <c r="BX480" s="108">
        <v>0</v>
      </c>
      <c r="BY480" s="108">
        <v>0</v>
      </c>
      <c r="BZ480" s="108">
        <v>0</v>
      </c>
      <c r="CA480" s="108">
        <v>0</v>
      </c>
      <c r="CB480" s="108">
        <v>0</v>
      </c>
    </row>
    <row r="481" spans="3:80" x14ac:dyDescent="0.55000000000000004">
      <c r="C481" s="104" t="str">
        <f>$V$90</f>
        <v>-</v>
      </c>
      <c r="D481" s="108">
        <f t="shared" ref="D481:S481" si="219">D90</f>
        <v>0</v>
      </c>
      <c r="E481" s="108">
        <f t="shared" si="219"/>
        <v>0</v>
      </c>
      <c r="F481" s="108">
        <f t="shared" si="219"/>
        <v>0</v>
      </c>
      <c r="G481" s="108">
        <f t="shared" si="219"/>
        <v>0</v>
      </c>
      <c r="H481" s="108">
        <f t="shared" si="219"/>
        <v>0</v>
      </c>
      <c r="I481" s="108">
        <f t="shared" si="219"/>
        <v>0</v>
      </c>
      <c r="J481" s="108">
        <f t="shared" si="219"/>
        <v>0</v>
      </c>
      <c r="K481" s="108">
        <f t="shared" si="219"/>
        <v>0</v>
      </c>
      <c r="L481" s="108">
        <f t="shared" si="219"/>
        <v>0</v>
      </c>
      <c r="M481" s="108">
        <f t="shared" si="219"/>
        <v>0</v>
      </c>
      <c r="N481" s="108">
        <f t="shared" si="219"/>
        <v>0</v>
      </c>
      <c r="O481" s="108">
        <f t="shared" si="219"/>
        <v>0</v>
      </c>
      <c r="P481" s="108">
        <f t="shared" si="219"/>
        <v>0</v>
      </c>
      <c r="Q481" s="108">
        <f t="shared" si="219"/>
        <v>0</v>
      </c>
      <c r="R481" s="108">
        <f t="shared" si="219"/>
        <v>0</v>
      </c>
      <c r="S481" s="108">
        <f t="shared" si="219"/>
        <v>0</v>
      </c>
      <c r="T481" s="28" t="s">
        <v>26</v>
      </c>
      <c r="V481" s="104" t="str">
        <f>$V$90</f>
        <v>-</v>
      </c>
      <c r="W481" s="108">
        <f t="shared" si="167"/>
        <v>-1</v>
      </c>
      <c r="X481" s="108">
        <f t="shared" si="168"/>
        <v>-1</v>
      </c>
      <c r="Y481" s="108">
        <f t="shared" si="169"/>
        <v>-1</v>
      </c>
      <c r="Z481" s="108">
        <f t="shared" si="170"/>
        <v>-1</v>
      </c>
      <c r="AA481" s="108">
        <f t="shared" si="171"/>
        <v>-1</v>
      </c>
      <c r="AB481" s="108">
        <f t="shared" si="172"/>
        <v>-1</v>
      </c>
      <c r="AC481" s="108">
        <f t="shared" si="173"/>
        <v>-1</v>
      </c>
      <c r="AD481" s="108">
        <f t="shared" si="174"/>
        <v>-1</v>
      </c>
      <c r="AE481" s="108">
        <f t="shared" si="175"/>
        <v>-1</v>
      </c>
      <c r="AF481" s="108">
        <f t="shared" si="176"/>
        <v>-1</v>
      </c>
      <c r="AG481" s="108">
        <f t="shared" si="177"/>
        <v>-1</v>
      </c>
      <c r="AH481" s="108">
        <f t="shared" si="178"/>
        <v>-1</v>
      </c>
      <c r="AI481" s="108">
        <f t="shared" si="179"/>
        <v>-1</v>
      </c>
      <c r="AJ481" s="108">
        <f t="shared" si="180"/>
        <v>-1</v>
      </c>
      <c r="AK481" s="108">
        <f t="shared" si="181"/>
        <v>-1</v>
      </c>
      <c r="AL481" s="108">
        <f t="shared" si="182"/>
        <v>-1</v>
      </c>
      <c r="AM481" s="108"/>
      <c r="AQ481" s="104" t="str">
        <f>$V$60</f>
        <v>Joelle</v>
      </c>
      <c r="AR481" s="54">
        <v>0</v>
      </c>
      <c r="AS481" s="54">
        <v>0</v>
      </c>
      <c r="AT481" s="54">
        <v>0</v>
      </c>
      <c r="AU481" s="54">
        <v>0</v>
      </c>
      <c r="AV481" s="54">
        <v>0</v>
      </c>
      <c r="AW481" s="54">
        <v>0</v>
      </c>
      <c r="AX481" s="54">
        <v>0</v>
      </c>
      <c r="AY481" s="54">
        <v>0</v>
      </c>
      <c r="AZ481" s="54">
        <v>0</v>
      </c>
      <c r="BA481" s="54">
        <v>0</v>
      </c>
      <c r="BB481" s="54">
        <v>0</v>
      </c>
      <c r="BC481" s="54">
        <v>0</v>
      </c>
      <c r="BD481" s="54">
        <v>0</v>
      </c>
      <c r="BE481" s="54">
        <v>0</v>
      </c>
      <c r="BF481" s="54">
        <v>0</v>
      </c>
      <c r="BG481" s="54">
        <v>0</v>
      </c>
      <c r="BH481" s="54">
        <v>0</v>
      </c>
      <c r="BK481" s="104" t="str">
        <f>$V$61</f>
        <v>Alexia</v>
      </c>
      <c r="BL481" s="108">
        <v>0</v>
      </c>
      <c r="BM481" s="108">
        <v>0</v>
      </c>
      <c r="BN481" s="108">
        <v>0</v>
      </c>
      <c r="BO481" s="108">
        <v>0</v>
      </c>
      <c r="BP481" s="108">
        <v>0</v>
      </c>
      <c r="BQ481" s="108">
        <v>0</v>
      </c>
      <c r="BR481" s="108">
        <v>0</v>
      </c>
      <c r="BS481" s="108">
        <v>0</v>
      </c>
      <c r="BT481" s="108">
        <v>0</v>
      </c>
      <c r="BU481" s="108">
        <v>0</v>
      </c>
      <c r="BV481" s="108">
        <v>0</v>
      </c>
      <c r="BW481" s="108">
        <v>0</v>
      </c>
      <c r="BX481" s="108">
        <v>0</v>
      </c>
      <c r="BY481" s="108">
        <v>0</v>
      </c>
      <c r="BZ481" s="108">
        <v>0</v>
      </c>
      <c r="CA481" s="108">
        <v>0</v>
      </c>
      <c r="CB481" s="108">
        <v>0</v>
      </c>
    </row>
    <row r="482" spans="3:80" x14ac:dyDescent="0.55000000000000004">
      <c r="C482" s="104" t="str">
        <f>$V$91</f>
        <v>-</v>
      </c>
      <c r="D482" s="108">
        <f t="shared" ref="D482:S482" si="220">D91</f>
        <v>0</v>
      </c>
      <c r="E482" s="108">
        <f t="shared" si="220"/>
        <v>0</v>
      </c>
      <c r="F482" s="108">
        <f t="shared" si="220"/>
        <v>0</v>
      </c>
      <c r="G482" s="108">
        <f t="shared" si="220"/>
        <v>0</v>
      </c>
      <c r="H482" s="108">
        <f t="shared" si="220"/>
        <v>0</v>
      </c>
      <c r="I482" s="108">
        <f t="shared" si="220"/>
        <v>0</v>
      </c>
      <c r="J482" s="108">
        <f t="shared" si="220"/>
        <v>0</v>
      </c>
      <c r="K482" s="108">
        <f t="shared" si="220"/>
        <v>0</v>
      </c>
      <c r="L482" s="108">
        <f t="shared" si="220"/>
        <v>0</v>
      </c>
      <c r="M482" s="108">
        <f t="shared" si="220"/>
        <v>0</v>
      </c>
      <c r="N482" s="108">
        <f t="shared" si="220"/>
        <v>0</v>
      </c>
      <c r="O482" s="108">
        <f t="shared" si="220"/>
        <v>0</v>
      </c>
      <c r="P482" s="108">
        <f t="shared" si="220"/>
        <v>0</v>
      </c>
      <c r="Q482" s="108">
        <f t="shared" si="220"/>
        <v>0</v>
      </c>
      <c r="R482" s="108">
        <f t="shared" si="220"/>
        <v>0</v>
      </c>
      <c r="S482" s="108">
        <f t="shared" si="220"/>
        <v>0</v>
      </c>
      <c r="T482" s="28" t="s">
        <v>26</v>
      </c>
      <c r="V482" s="104" t="str">
        <f>$V$91</f>
        <v>-</v>
      </c>
      <c r="W482" s="108">
        <f t="shared" si="167"/>
        <v>-1</v>
      </c>
      <c r="X482" s="108">
        <f t="shared" si="168"/>
        <v>-1</v>
      </c>
      <c r="Y482" s="108">
        <f t="shared" si="169"/>
        <v>-1</v>
      </c>
      <c r="Z482" s="108">
        <f t="shared" si="170"/>
        <v>-1</v>
      </c>
      <c r="AA482" s="108">
        <f t="shared" si="171"/>
        <v>-1</v>
      </c>
      <c r="AB482" s="108">
        <f t="shared" si="172"/>
        <v>-1</v>
      </c>
      <c r="AC482" s="108">
        <f t="shared" si="173"/>
        <v>-1</v>
      </c>
      <c r="AD482" s="108">
        <f t="shared" si="174"/>
        <v>-1</v>
      </c>
      <c r="AE482" s="108">
        <f t="shared" si="175"/>
        <v>-1</v>
      </c>
      <c r="AF482" s="108">
        <f t="shared" si="176"/>
        <v>-1</v>
      </c>
      <c r="AG482" s="108">
        <f t="shared" si="177"/>
        <v>-1</v>
      </c>
      <c r="AH482" s="108">
        <f t="shared" si="178"/>
        <v>-1</v>
      </c>
      <c r="AI482" s="108">
        <f t="shared" si="179"/>
        <v>-1</v>
      </c>
      <c r="AJ482" s="108">
        <f t="shared" si="180"/>
        <v>-1</v>
      </c>
      <c r="AK482" s="108">
        <f t="shared" si="181"/>
        <v>-1</v>
      </c>
      <c r="AL482" s="108">
        <f t="shared" si="182"/>
        <v>-1</v>
      </c>
      <c r="AM482" s="108"/>
      <c r="AQ482" s="104" t="str">
        <f>$V$61</f>
        <v>Alexia</v>
      </c>
      <c r="AR482" s="54">
        <v>0</v>
      </c>
      <c r="AS482" s="54">
        <v>0</v>
      </c>
      <c r="AT482" s="54">
        <v>0</v>
      </c>
      <c r="AU482" s="54">
        <v>0</v>
      </c>
      <c r="AV482" s="54">
        <v>0</v>
      </c>
      <c r="AW482" s="54">
        <v>0</v>
      </c>
      <c r="AX482" s="54">
        <v>0</v>
      </c>
      <c r="AY482" s="54">
        <v>0</v>
      </c>
      <c r="AZ482" s="54">
        <v>0</v>
      </c>
      <c r="BA482" s="54">
        <v>0</v>
      </c>
      <c r="BB482" s="54">
        <v>0</v>
      </c>
      <c r="BC482" s="54">
        <v>0</v>
      </c>
      <c r="BD482" s="54">
        <v>0</v>
      </c>
      <c r="BE482" s="54">
        <v>0</v>
      </c>
      <c r="BF482" s="54">
        <v>0</v>
      </c>
      <c r="BG482" s="54">
        <v>0</v>
      </c>
      <c r="BH482" s="54">
        <v>0</v>
      </c>
      <c r="BK482" s="104" t="str">
        <f>$V$62</f>
        <v>Joao</v>
      </c>
      <c r="BL482" s="108">
        <v>0</v>
      </c>
      <c r="BM482" s="108">
        <v>0</v>
      </c>
      <c r="BN482" s="108">
        <v>0</v>
      </c>
      <c r="BO482" s="108">
        <v>0</v>
      </c>
      <c r="BP482" s="108">
        <v>0</v>
      </c>
      <c r="BQ482" s="108">
        <v>0</v>
      </c>
      <c r="BR482" s="108">
        <v>0</v>
      </c>
      <c r="BS482" s="108">
        <v>0</v>
      </c>
      <c r="BT482" s="108">
        <v>0</v>
      </c>
      <c r="BU482" s="108">
        <v>0</v>
      </c>
      <c r="BV482" s="108">
        <v>0</v>
      </c>
      <c r="BW482" s="108">
        <v>0</v>
      </c>
      <c r="BX482" s="108">
        <v>0</v>
      </c>
      <c r="BY482" s="108">
        <v>0</v>
      </c>
      <c r="BZ482" s="108">
        <v>0</v>
      </c>
      <c r="CA482" s="108">
        <v>0</v>
      </c>
      <c r="CB482" s="108">
        <v>0</v>
      </c>
    </row>
    <row r="483" spans="3:80" x14ac:dyDescent="0.55000000000000004">
      <c r="C483" s="104" t="str">
        <f>$V$92</f>
        <v>-</v>
      </c>
      <c r="D483" s="108">
        <f t="shared" ref="D483:S483" si="221">D92</f>
        <v>0</v>
      </c>
      <c r="E483" s="108">
        <f t="shared" si="221"/>
        <v>0</v>
      </c>
      <c r="F483" s="108">
        <f t="shared" si="221"/>
        <v>0</v>
      </c>
      <c r="G483" s="108">
        <f t="shared" si="221"/>
        <v>0</v>
      </c>
      <c r="H483" s="108">
        <f t="shared" si="221"/>
        <v>0</v>
      </c>
      <c r="I483" s="108">
        <f t="shared" si="221"/>
        <v>0</v>
      </c>
      <c r="J483" s="108">
        <f t="shared" si="221"/>
        <v>0</v>
      </c>
      <c r="K483" s="108">
        <f t="shared" si="221"/>
        <v>0</v>
      </c>
      <c r="L483" s="108">
        <f t="shared" si="221"/>
        <v>0</v>
      </c>
      <c r="M483" s="108">
        <f t="shared" si="221"/>
        <v>0</v>
      </c>
      <c r="N483" s="108">
        <f t="shared" si="221"/>
        <v>0</v>
      </c>
      <c r="O483" s="108">
        <f t="shared" si="221"/>
        <v>0</v>
      </c>
      <c r="P483" s="108">
        <f t="shared" si="221"/>
        <v>0</v>
      </c>
      <c r="Q483" s="108">
        <f t="shared" si="221"/>
        <v>0</v>
      </c>
      <c r="R483" s="108">
        <f t="shared" si="221"/>
        <v>0</v>
      </c>
      <c r="S483" s="108">
        <f t="shared" si="221"/>
        <v>0</v>
      </c>
      <c r="T483" s="28" t="s">
        <v>26</v>
      </c>
      <c r="V483" s="104" t="str">
        <f>$V$92</f>
        <v>-</v>
      </c>
      <c r="W483" s="108">
        <f t="shared" si="167"/>
        <v>-1</v>
      </c>
      <c r="X483" s="108">
        <f t="shared" si="168"/>
        <v>-1</v>
      </c>
      <c r="Y483" s="108">
        <f t="shared" si="169"/>
        <v>-1</v>
      </c>
      <c r="Z483" s="108">
        <f t="shared" si="170"/>
        <v>-1</v>
      </c>
      <c r="AA483" s="108">
        <f t="shared" si="171"/>
        <v>-1</v>
      </c>
      <c r="AB483" s="108">
        <f t="shared" si="172"/>
        <v>-1</v>
      </c>
      <c r="AC483" s="108">
        <f t="shared" si="173"/>
        <v>-1</v>
      </c>
      <c r="AD483" s="108">
        <f t="shared" si="174"/>
        <v>-1</v>
      </c>
      <c r="AE483" s="108">
        <f t="shared" si="175"/>
        <v>-1</v>
      </c>
      <c r="AF483" s="108">
        <f t="shared" si="176"/>
        <v>-1</v>
      </c>
      <c r="AG483" s="108">
        <f t="shared" si="177"/>
        <v>-1</v>
      </c>
      <c r="AH483" s="108">
        <f t="shared" si="178"/>
        <v>-1</v>
      </c>
      <c r="AI483" s="108">
        <f t="shared" si="179"/>
        <v>-1</v>
      </c>
      <c r="AJ483" s="108">
        <f t="shared" si="180"/>
        <v>-1</v>
      </c>
      <c r="AK483" s="108">
        <f t="shared" si="181"/>
        <v>-1</v>
      </c>
      <c r="AL483" s="108">
        <f t="shared" si="182"/>
        <v>-1</v>
      </c>
      <c r="AM483" s="108"/>
      <c r="AQ483" s="104" t="str">
        <f>$V$62</f>
        <v>Joao</v>
      </c>
      <c r="AR483" s="54">
        <v>0</v>
      </c>
      <c r="AS483" s="54">
        <v>0</v>
      </c>
      <c r="AT483" s="54">
        <v>0</v>
      </c>
      <c r="AU483" s="54">
        <v>0</v>
      </c>
      <c r="AV483" s="54">
        <v>0</v>
      </c>
      <c r="AW483" s="54">
        <v>0</v>
      </c>
      <c r="AX483" s="54">
        <v>0</v>
      </c>
      <c r="AY483" s="54">
        <v>0</v>
      </c>
      <c r="AZ483" s="54">
        <v>0</v>
      </c>
      <c r="BA483" s="54">
        <v>0</v>
      </c>
      <c r="BB483" s="54">
        <v>0</v>
      </c>
      <c r="BC483" s="54">
        <v>0</v>
      </c>
      <c r="BD483" s="54">
        <v>0</v>
      </c>
      <c r="BE483" s="54">
        <v>0</v>
      </c>
      <c r="BF483" s="54">
        <v>0</v>
      </c>
      <c r="BG483" s="54">
        <v>0</v>
      </c>
      <c r="BH483" s="54">
        <v>0</v>
      </c>
      <c r="BK483" s="104" t="str">
        <f>$V$63</f>
        <v>Maxime</v>
      </c>
      <c r="BL483" s="108">
        <v>0</v>
      </c>
      <c r="BM483" s="108">
        <v>0</v>
      </c>
      <c r="BN483" s="108">
        <v>0</v>
      </c>
      <c r="BO483" s="108">
        <v>0</v>
      </c>
      <c r="BP483" s="108">
        <v>0</v>
      </c>
      <c r="BQ483" s="108">
        <v>0</v>
      </c>
      <c r="BR483" s="108">
        <v>0</v>
      </c>
      <c r="BS483" s="108">
        <v>0</v>
      </c>
      <c r="BT483" s="108">
        <v>0</v>
      </c>
      <c r="BU483" s="108">
        <v>0</v>
      </c>
      <c r="BV483" s="108">
        <v>0</v>
      </c>
      <c r="BW483" s="108">
        <v>0</v>
      </c>
      <c r="BX483" s="108">
        <v>0</v>
      </c>
      <c r="BY483" s="108">
        <v>0</v>
      </c>
      <c r="BZ483" s="108">
        <v>0</v>
      </c>
      <c r="CA483" s="108">
        <v>0</v>
      </c>
      <c r="CB483" s="108">
        <v>0</v>
      </c>
    </row>
    <row r="484" spans="3:80" x14ac:dyDescent="0.55000000000000004">
      <c r="AM484" s="108"/>
      <c r="AQ484" s="104" t="str">
        <f>$V$63</f>
        <v>Maxime</v>
      </c>
      <c r="AR484" s="54">
        <v>0</v>
      </c>
      <c r="AS484" s="54">
        <v>0</v>
      </c>
      <c r="AT484" s="54">
        <v>0</v>
      </c>
      <c r="AU484" s="54">
        <v>0</v>
      </c>
      <c r="AV484" s="54">
        <v>0</v>
      </c>
      <c r="AW484" s="54">
        <v>0</v>
      </c>
      <c r="AX484" s="54">
        <v>0</v>
      </c>
      <c r="AY484" s="54">
        <v>0</v>
      </c>
      <c r="AZ484" s="54">
        <v>0</v>
      </c>
      <c r="BA484" s="54">
        <v>0</v>
      </c>
      <c r="BB484" s="54">
        <v>0</v>
      </c>
      <c r="BC484" s="54">
        <v>0</v>
      </c>
      <c r="BD484" s="54">
        <v>0</v>
      </c>
      <c r="BE484" s="54">
        <v>0</v>
      </c>
      <c r="BF484" s="54">
        <v>0</v>
      </c>
      <c r="BG484" s="54">
        <v>0</v>
      </c>
      <c r="BH484" s="54">
        <v>0</v>
      </c>
      <c r="BK484" s="104" t="str">
        <f>$V$64</f>
        <v>Alex</v>
      </c>
      <c r="BL484" s="108">
        <v>0</v>
      </c>
      <c r="BM484" s="108">
        <v>0</v>
      </c>
      <c r="BN484" s="108">
        <v>0</v>
      </c>
      <c r="BO484" s="108">
        <v>0</v>
      </c>
      <c r="BP484" s="108">
        <v>0</v>
      </c>
      <c r="BQ484" s="108">
        <v>0</v>
      </c>
      <c r="BR484" s="108">
        <v>0</v>
      </c>
      <c r="BS484" s="108">
        <v>0</v>
      </c>
      <c r="BT484" s="108">
        <v>0</v>
      </c>
      <c r="BU484" s="108">
        <v>0</v>
      </c>
      <c r="BV484" s="108">
        <v>0</v>
      </c>
      <c r="BW484" s="108">
        <v>0</v>
      </c>
      <c r="BX484" s="108">
        <v>0</v>
      </c>
      <c r="BY484" s="108">
        <v>0</v>
      </c>
      <c r="BZ484" s="108">
        <v>0</v>
      </c>
      <c r="CA484" s="108">
        <v>0</v>
      </c>
      <c r="CB484" s="108">
        <v>0</v>
      </c>
    </row>
    <row r="485" spans="3:80" x14ac:dyDescent="0.55000000000000004">
      <c r="AM485" s="108"/>
      <c r="AQ485" s="104" t="str">
        <f>$V$64</f>
        <v>Alex</v>
      </c>
      <c r="AR485" s="54">
        <v>0</v>
      </c>
      <c r="AS485" s="54">
        <v>0</v>
      </c>
      <c r="AT485" s="54">
        <v>0</v>
      </c>
      <c r="AU485" s="54">
        <v>0</v>
      </c>
      <c r="AV485" s="54">
        <v>0</v>
      </c>
      <c r="AW485" s="54">
        <v>0</v>
      </c>
      <c r="AX485" s="54">
        <v>0</v>
      </c>
      <c r="AY485" s="54">
        <v>0</v>
      </c>
      <c r="AZ485" s="54">
        <v>0</v>
      </c>
      <c r="BA485" s="54">
        <v>0</v>
      </c>
      <c r="BB485" s="54">
        <v>0</v>
      </c>
      <c r="BC485" s="54">
        <v>0</v>
      </c>
      <c r="BD485" s="54">
        <v>0</v>
      </c>
      <c r="BE485" s="54">
        <v>0</v>
      </c>
      <c r="BF485" s="54">
        <v>0</v>
      </c>
      <c r="BG485" s="54">
        <v>0</v>
      </c>
      <c r="BH485" s="54">
        <v>0</v>
      </c>
      <c r="BK485" s="104" t="str">
        <f>$V$65</f>
        <v>Alyssa</v>
      </c>
      <c r="BL485" s="108">
        <v>0</v>
      </c>
      <c r="BM485" s="108">
        <v>0</v>
      </c>
      <c r="BN485" s="108">
        <v>0</v>
      </c>
      <c r="BO485" s="108">
        <v>0</v>
      </c>
      <c r="BP485" s="108">
        <v>0</v>
      </c>
      <c r="BQ485" s="108">
        <v>0</v>
      </c>
      <c r="BR485" s="108">
        <v>0</v>
      </c>
      <c r="BS485" s="108">
        <v>0</v>
      </c>
      <c r="BT485" s="108">
        <v>0</v>
      </c>
      <c r="BU485" s="108">
        <v>0</v>
      </c>
      <c r="BV485" s="108">
        <v>0</v>
      </c>
      <c r="BW485" s="108">
        <v>0</v>
      </c>
      <c r="BX485" s="108">
        <v>0</v>
      </c>
      <c r="BY485" s="108">
        <v>0</v>
      </c>
      <c r="BZ485" s="108">
        <v>0</v>
      </c>
      <c r="CA485" s="108">
        <v>0</v>
      </c>
      <c r="CB485" s="108">
        <v>0</v>
      </c>
    </row>
    <row r="486" spans="3:80" x14ac:dyDescent="0.55000000000000004">
      <c r="C486" s="104" t="str">
        <f>$BK$76</f>
        <v>Entry</v>
      </c>
      <c r="D486" s="104" t="str">
        <f>$W$33</f>
        <v>16h</v>
      </c>
      <c r="E486" s="104" t="str">
        <f>$X$33</f>
        <v>17h</v>
      </c>
      <c r="F486" s="104" t="str">
        <f>$Y$33</f>
        <v>18h</v>
      </c>
      <c r="G486" s="104" t="str">
        <f>$Z$33</f>
        <v>19h</v>
      </c>
      <c r="H486" s="104" t="str">
        <f>$AA$33</f>
        <v>20h</v>
      </c>
      <c r="I486" s="104" t="str">
        <f>$AB$33</f>
        <v>21h</v>
      </c>
      <c r="J486" s="104" t="str">
        <f>$AC$33</f>
        <v>22h</v>
      </c>
      <c r="K486" s="104" t="str">
        <f>$AD$33</f>
        <v>23h</v>
      </c>
      <c r="L486" s="104" t="str">
        <f>$AE$33</f>
        <v>00h</v>
      </c>
      <c r="M486" s="104" t="str">
        <f>$AF$33</f>
        <v>01h</v>
      </c>
      <c r="N486" s="104" t="str">
        <f>$AG$33</f>
        <v>02h</v>
      </c>
      <c r="O486" s="104" t="str">
        <f>$AH$33</f>
        <v>03h</v>
      </c>
      <c r="P486" s="104" t="str">
        <f>$AI$33</f>
        <v>04h</v>
      </c>
      <c r="Q486" s="104" t="str">
        <f>$AJ$33</f>
        <v>05h</v>
      </c>
      <c r="R486" s="104" t="str">
        <f>$AK$33</f>
        <v>06h</v>
      </c>
      <c r="S486" s="104" t="str">
        <f>$AL$33</f>
        <v>07h</v>
      </c>
      <c r="V486" s="104" t="str">
        <f>$BK$76</f>
        <v>Entry</v>
      </c>
      <c r="W486" s="104" t="str">
        <f>$W$33</f>
        <v>16h</v>
      </c>
      <c r="X486" s="104" t="str">
        <f>$X$33</f>
        <v>17h</v>
      </c>
      <c r="Y486" s="104" t="str">
        <f>$Y$33</f>
        <v>18h</v>
      </c>
      <c r="Z486" s="104" t="str">
        <f>$Z$33</f>
        <v>19h</v>
      </c>
      <c r="AA486" s="104" t="str">
        <f>$AA$33</f>
        <v>20h</v>
      </c>
      <c r="AB486" s="104" t="str">
        <f>$AB$33</f>
        <v>21h</v>
      </c>
      <c r="AC486" s="104" t="str">
        <f>$AC$33</f>
        <v>22h</v>
      </c>
      <c r="AD486" s="104" t="str">
        <f>$AD$33</f>
        <v>23h</v>
      </c>
      <c r="AE486" s="104" t="str">
        <f>$AE$33</f>
        <v>00h</v>
      </c>
      <c r="AF486" s="104" t="str">
        <f>$AF$33</f>
        <v>01h</v>
      </c>
      <c r="AG486" s="104" t="str">
        <f>$AG$33</f>
        <v>02h</v>
      </c>
      <c r="AH486" s="104" t="str">
        <f>$AH$33</f>
        <v>03h</v>
      </c>
      <c r="AI486" s="104" t="str">
        <f>$AI$33</f>
        <v>04h</v>
      </c>
      <c r="AJ486" s="104" t="str">
        <f>$AJ$33</f>
        <v>05h</v>
      </c>
      <c r="AK486" s="104" t="str">
        <f>$AK$33</f>
        <v>06h</v>
      </c>
      <c r="AL486" s="104" t="str">
        <f>$AL$33</f>
        <v>07h</v>
      </c>
      <c r="AM486" s="108"/>
      <c r="AQ486" s="104" t="str">
        <f>$V$65</f>
        <v>Alyssa</v>
      </c>
      <c r="AR486" s="54">
        <v>0</v>
      </c>
      <c r="AS486" s="54">
        <v>0</v>
      </c>
      <c r="AT486" s="54">
        <v>0</v>
      </c>
      <c r="AU486" s="54">
        <v>0</v>
      </c>
      <c r="AV486" s="54">
        <v>0</v>
      </c>
      <c r="AW486" s="54">
        <v>0</v>
      </c>
      <c r="AX486" s="54">
        <v>0</v>
      </c>
      <c r="AY486" s="54">
        <v>0</v>
      </c>
      <c r="AZ486" s="54">
        <v>0</v>
      </c>
      <c r="BA486" s="54">
        <v>0</v>
      </c>
      <c r="BB486" s="54">
        <v>0</v>
      </c>
      <c r="BC486" s="54">
        <v>0</v>
      </c>
      <c r="BD486" s="54">
        <v>0</v>
      </c>
      <c r="BE486" s="54">
        <v>0</v>
      </c>
      <c r="BF486" s="54">
        <v>0</v>
      </c>
      <c r="BG486" s="54">
        <v>0</v>
      </c>
      <c r="BH486" s="54">
        <v>0</v>
      </c>
      <c r="BK486" s="104" t="str">
        <f>$V$66</f>
        <v>Amanda</v>
      </c>
      <c r="BL486" s="108">
        <v>0</v>
      </c>
      <c r="BM486" s="108">
        <v>0</v>
      </c>
      <c r="BN486" s="108">
        <v>0</v>
      </c>
      <c r="BO486" s="108">
        <v>0</v>
      </c>
      <c r="BP486" s="108">
        <v>0</v>
      </c>
      <c r="BQ486" s="108">
        <v>0</v>
      </c>
      <c r="BR486" s="108">
        <v>0</v>
      </c>
      <c r="BS486" s="108">
        <v>0</v>
      </c>
      <c r="BT486" s="108">
        <v>0</v>
      </c>
      <c r="BU486" s="108">
        <v>0</v>
      </c>
      <c r="BV486" s="108">
        <v>0</v>
      </c>
      <c r="BW486" s="108">
        <v>0</v>
      </c>
      <c r="BX486" s="108">
        <v>0</v>
      </c>
      <c r="BY486" s="108">
        <v>0</v>
      </c>
      <c r="BZ486" s="108">
        <v>0</v>
      </c>
      <c r="CA486" s="108">
        <v>0</v>
      </c>
      <c r="CB486" s="108">
        <v>0</v>
      </c>
    </row>
    <row r="487" spans="3:80" x14ac:dyDescent="0.55000000000000004">
      <c r="C487" s="104" t="str">
        <f>$V$53</f>
        <v>Jennifer</v>
      </c>
      <c r="D487" s="108">
        <f t="shared" ref="D487:S487" si="222">D53</f>
        <v>0</v>
      </c>
      <c r="E487" s="108">
        <f t="shared" si="222"/>
        <v>0</v>
      </c>
      <c r="F487" s="108">
        <f t="shared" si="222"/>
        <v>0</v>
      </c>
      <c r="G487" s="108">
        <f t="shared" si="222"/>
        <v>0</v>
      </c>
      <c r="H487" s="108">
        <f t="shared" si="222"/>
        <v>0</v>
      </c>
      <c r="I487" s="108">
        <f t="shared" si="222"/>
        <v>0</v>
      </c>
      <c r="J487" s="108">
        <f t="shared" si="222"/>
        <v>0</v>
      </c>
      <c r="K487" s="108">
        <f t="shared" si="222"/>
        <v>0</v>
      </c>
      <c r="L487" s="108">
        <f t="shared" si="222"/>
        <v>0</v>
      </c>
      <c r="M487" s="108">
        <f t="shared" si="222"/>
        <v>0</v>
      </c>
      <c r="N487" s="108">
        <f t="shared" si="222"/>
        <v>0</v>
      </c>
      <c r="O487" s="108">
        <f t="shared" si="222"/>
        <v>0</v>
      </c>
      <c r="P487" s="108">
        <f t="shared" si="222"/>
        <v>0</v>
      </c>
      <c r="Q487" s="108">
        <f t="shared" si="222"/>
        <v>0</v>
      </c>
      <c r="R487" s="108">
        <f t="shared" si="222"/>
        <v>0</v>
      </c>
      <c r="S487" s="108">
        <f t="shared" si="222"/>
        <v>0</v>
      </c>
      <c r="T487" s="28" t="s">
        <v>26</v>
      </c>
      <c r="V487" s="104" t="str">
        <f>$V$53</f>
        <v>Jennifer</v>
      </c>
      <c r="W487" s="108">
        <f t="shared" ref="W487:W526" si="223">AR74+AS74-1</f>
        <v>0</v>
      </c>
      <c r="X487" s="108">
        <f t="shared" ref="X487:X526" si="224">AS74+AT74-1</f>
        <v>-1</v>
      </c>
      <c r="Y487" s="108">
        <f t="shared" ref="Y487:Y526" si="225">AT74+AU74-1</f>
        <v>0</v>
      </c>
      <c r="Z487" s="108">
        <f t="shared" ref="Z487:Z526" si="226">AU74+AV74-1</f>
        <v>0</v>
      </c>
      <c r="AA487" s="108">
        <f t="shared" ref="AA487:AA526" si="227">AV74+AW74-1</f>
        <v>-1</v>
      </c>
      <c r="AB487" s="108">
        <f t="shared" ref="AB487:AB526" si="228">AW74+AX74-1</f>
        <v>-1</v>
      </c>
      <c r="AC487" s="108">
        <f t="shared" ref="AC487:AC526" si="229">AX74+AY74-1</f>
        <v>-1</v>
      </c>
      <c r="AD487" s="108">
        <f t="shared" ref="AD487:AD526" si="230">AY74+AZ74-1</f>
        <v>0</v>
      </c>
      <c r="AE487" s="108">
        <f t="shared" ref="AE487:AE526" si="231">AZ74+BA74-1</f>
        <v>0</v>
      </c>
      <c r="AF487" s="108">
        <f t="shared" ref="AF487:AF526" si="232">BA74+BB74-1</f>
        <v>-1</v>
      </c>
      <c r="AG487" s="108">
        <f t="shared" ref="AG487:AG526" si="233">BB74+BC74-1</f>
        <v>-1</v>
      </c>
      <c r="AH487" s="108">
        <f t="shared" ref="AH487:AH526" si="234">BC74+BD74-1</f>
        <v>-1</v>
      </c>
      <c r="AI487" s="108">
        <f t="shared" ref="AI487:AI526" si="235">BD74+BE74-1</f>
        <v>-1</v>
      </c>
      <c r="AJ487" s="108">
        <f t="shared" ref="AJ487:AJ526" si="236">BE74+BF74-1</f>
        <v>-1</v>
      </c>
      <c r="AK487" s="108">
        <f t="shared" ref="AK487:AK526" si="237">BF74+BG74-1</f>
        <v>-1</v>
      </c>
      <c r="AL487" s="108">
        <f t="shared" ref="AL487:AL526" si="238">BG74+BH74-1</f>
        <v>-1</v>
      </c>
      <c r="AM487" s="108"/>
      <c r="AQ487" s="104" t="str">
        <f>$V$66</f>
        <v>Amanda</v>
      </c>
      <c r="AR487" s="54">
        <v>0</v>
      </c>
      <c r="AS487" s="54">
        <v>0</v>
      </c>
      <c r="AT487" s="54">
        <v>0</v>
      </c>
      <c r="AU487" s="54">
        <v>0</v>
      </c>
      <c r="AV487" s="54">
        <v>0</v>
      </c>
      <c r="AW487" s="54">
        <v>0</v>
      </c>
      <c r="AX487" s="54">
        <v>0</v>
      </c>
      <c r="AY487" s="54">
        <v>0</v>
      </c>
      <c r="AZ487" s="54">
        <v>0</v>
      </c>
      <c r="BA487" s="54">
        <v>0</v>
      </c>
      <c r="BB487" s="54">
        <v>0</v>
      </c>
      <c r="BC487" s="54">
        <v>0</v>
      </c>
      <c r="BD487" s="54">
        <v>0</v>
      </c>
      <c r="BE487" s="54">
        <v>0</v>
      </c>
      <c r="BF487" s="54">
        <v>0</v>
      </c>
      <c r="BG487" s="54">
        <v>0</v>
      </c>
      <c r="BH487" s="54">
        <v>0</v>
      </c>
      <c r="BK487" s="104" t="str">
        <f>$V$67</f>
        <v>Antoine</v>
      </c>
      <c r="BL487" s="108">
        <v>0</v>
      </c>
      <c r="BM487" s="108">
        <v>0</v>
      </c>
      <c r="BN487" s="108">
        <v>0</v>
      </c>
      <c r="BO487" s="108">
        <v>0</v>
      </c>
      <c r="BP487" s="108">
        <v>0</v>
      </c>
      <c r="BQ487" s="108">
        <v>0</v>
      </c>
      <c r="BR487" s="108">
        <v>0</v>
      </c>
      <c r="BS487" s="108">
        <v>0</v>
      </c>
      <c r="BT487" s="108">
        <v>0</v>
      </c>
      <c r="BU487" s="108">
        <v>0</v>
      </c>
      <c r="BV487" s="108">
        <v>0</v>
      </c>
      <c r="BW487" s="108">
        <v>0</v>
      </c>
      <c r="BX487" s="108">
        <v>0</v>
      </c>
      <c r="BY487" s="108">
        <v>0</v>
      </c>
      <c r="BZ487" s="108">
        <v>0</v>
      </c>
      <c r="CA487" s="108">
        <v>0</v>
      </c>
      <c r="CB487" s="108">
        <v>0</v>
      </c>
    </row>
    <row r="488" spans="3:80" x14ac:dyDescent="0.55000000000000004">
      <c r="C488" s="104" t="str">
        <f>$V$54</f>
        <v>Galileo</v>
      </c>
      <c r="D488" s="108">
        <f t="shared" ref="D488:S488" si="239">D54</f>
        <v>0</v>
      </c>
      <c r="E488" s="108">
        <f t="shared" si="239"/>
        <v>0</v>
      </c>
      <c r="F488" s="108">
        <f t="shared" si="239"/>
        <v>0</v>
      </c>
      <c r="G488" s="108">
        <f t="shared" si="239"/>
        <v>0</v>
      </c>
      <c r="H488" s="108">
        <f t="shared" si="239"/>
        <v>0</v>
      </c>
      <c r="I488" s="108">
        <f t="shared" si="239"/>
        <v>0</v>
      </c>
      <c r="J488" s="108">
        <f t="shared" si="239"/>
        <v>0</v>
      </c>
      <c r="K488" s="108">
        <f t="shared" si="239"/>
        <v>0</v>
      </c>
      <c r="L488" s="108">
        <f t="shared" si="239"/>
        <v>0</v>
      </c>
      <c r="M488" s="108">
        <f t="shared" si="239"/>
        <v>0</v>
      </c>
      <c r="N488" s="108">
        <f t="shared" si="239"/>
        <v>0</v>
      </c>
      <c r="O488" s="108">
        <f t="shared" si="239"/>
        <v>0</v>
      </c>
      <c r="P488" s="108">
        <f t="shared" si="239"/>
        <v>0</v>
      </c>
      <c r="Q488" s="108">
        <f t="shared" si="239"/>
        <v>0</v>
      </c>
      <c r="R488" s="108">
        <f t="shared" si="239"/>
        <v>0</v>
      </c>
      <c r="S488" s="108">
        <f t="shared" si="239"/>
        <v>0</v>
      </c>
      <c r="T488" s="28" t="s">
        <v>26</v>
      </c>
      <c r="V488" s="104" t="str">
        <f>$V$54</f>
        <v>Galileo</v>
      </c>
      <c r="W488" s="108">
        <f t="shared" si="223"/>
        <v>0</v>
      </c>
      <c r="X488" s="108">
        <f t="shared" si="224"/>
        <v>0</v>
      </c>
      <c r="Y488" s="108">
        <f t="shared" si="225"/>
        <v>-1</v>
      </c>
      <c r="Z488" s="108">
        <f t="shared" si="226"/>
        <v>-1</v>
      </c>
      <c r="AA488" s="108">
        <f t="shared" si="227"/>
        <v>-1</v>
      </c>
      <c r="AB488" s="108">
        <f t="shared" si="228"/>
        <v>-1</v>
      </c>
      <c r="AC488" s="108">
        <f t="shared" si="229"/>
        <v>-1</v>
      </c>
      <c r="AD488" s="108">
        <f t="shared" si="230"/>
        <v>-1</v>
      </c>
      <c r="AE488" s="108">
        <f t="shared" si="231"/>
        <v>-1</v>
      </c>
      <c r="AF488" s="108">
        <f t="shared" si="232"/>
        <v>-1</v>
      </c>
      <c r="AG488" s="108">
        <f t="shared" si="233"/>
        <v>-1</v>
      </c>
      <c r="AH488" s="108">
        <f t="shared" si="234"/>
        <v>-1</v>
      </c>
      <c r="AI488" s="108">
        <f t="shared" si="235"/>
        <v>-1</v>
      </c>
      <c r="AJ488" s="108">
        <f t="shared" si="236"/>
        <v>-1</v>
      </c>
      <c r="AK488" s="108">
        <f t="shared" si="237"/>
        <v>-1</v>
      </c>
      <c r="AL488" s="108">
        <f t="shared" si="238"/>
        <v>-1</v>
      </c>
      <c r="AM488" s="108"/>
      <c r="AQ488" s="104" t="str">
        <f>$V$67</f>
        <v>Antoine</v>
      </c>
      <c r="AR488" s="54">
        <v>0</v>
      </c>
      <c r="AS488" s="54">
        <v>0</v>
      </c>
      <c r="AT488" s="54">
        <v>0</v>
      </c>
      <c r="AU488" s="54">
        <v>0</v>
      </c>
      <c r="AV488" s="54">
        <v>0</v>
      </c>
      <c r="AW488" s="54">
        <v>0</v>
      </c>
      <c r="AX488" s="54">
        <v>0</v>
      </c>
      <c r="AY488" s="54">
        <v>0</v>
      </c>
      <c r="AZ488" s="54">
        <v>0</v>
      </c>
      <c r="BA488" s="54">
        <v>0</v>
      </c>
      <c r="BB488" s="54">
        <v>0</v>
      </c>
      <c r="BC488" s="54">
        <v>0</v>
      </c>
      <c r="BD488" s="54">
        <v>0</v>
      </c>
      <c r="BE488" s="54">
        <v>0</v>
      </c>
      <c r="BF488" s="54">
        <v>0</v>
      </c>
      <c r="BG488" s="54">
        <v>0</v>
      </c>
      <c r="BH488" s="54">
        <v>0</v>
      </c>
      <c r="BK488" s="104" t="str">
        <f>$V$68</f>
        <v>Beatriz</v>
      </c>
      <c r="BL488" s="108">
        <v>0</v>
      </c>
      <c r="BM488" s="108">
        <v>0</v>
      </c>
      <c r="BN488" s="108">
        <v>0</v>
      </c>
      <c r="BO488" s="108">
        <v>0</v>
      </c>
      <c r="BP488" s="108">
        <v>0</v>
      </c>
      <c r="BQ488" s="108">
        <v>0</v>
      </c>
      <c r="BR488" s="108">
        <v>0</v>
      </c>
      <c r="BS488" s="108">
        <v>0</v>
      </c>
      <c r="BT488" s="108">
        <v>0</v>
      </c>
      <c r="BU488" s="108">
        <v>0</v>
      </c>
      <c r="BV488" s="108">
        <v>0</v>
      </c>
      <c r="BW488" s="108">
        <v>0</v>
      </c>
      <c r="BX488" s="108">
        <v>0</v>
      </c>
      <c r="BY488" s="108">
        <v>0</v>
      </c>
      <c r="BZ488" s="108">
        <v>0</v>
      </c>
      <c r="CA488" s="108">
        <v>0</v>
      </c>
      <c r="CB488" s="108">
        <v>0</v>
      </c>
    </row>
    <row r="489" spans="3:80" x14ac:dyDescent="0.55000000000000004">
      <c r="C489" s="104" t="str">
        <f>$V$55</f>
        <v>Óscar</v>
      </c>
      <c r="D489" s="108">
        <f t="shared" ref="D489:S489" si="240">D55</f>
        <v>0</v>
      </c>
      <c r="E489" s="108">
        <f t="shared" si="240"/>
        <v>0</v>
      </c>
      <c r="F489" s="108">
        <f t="shared" si="240"/>
        <v>0</v>
      </c>
      <c r="G489" s="108">
        <f t="shared" si="240"/>
        <v>0</v>
      </c>
      <c r="H489" s="108">
        <f t="shared" si="240"/>
        <v>0</v>
      </c>
      <c r="I489" s="108">
        <f t="shared" si="240"/>
        <v>0</v>
      </c>
      <c r="J489" s="108">
        <f t="shared" si="240"/>
        <v>0</v>
      </c>
      <c r="K489" s="108">
        <f t="shared" si="240"/>
        <v>0</v>
      </c>
      <c r="L489" s="108">
        <f t="shared" si="240"/>
        <v>0</v>
      </c>
      <c r="M489" s="108">
        <f t="shared" si="240"/>
        <v>0</v>
      </c>
      <c r="N489" s="108">
        <f t="shared" si="240"/>
        <v>0</v>
      </c>
      <c r="O489" s="108">
        <f t="shared" si="240"/>
        <v>0</v>
      </c>
      <c r="P489" s="108">
        <f t="shared" si="240"/>
        <v>0</v>
      </c>
      <c r="Q489" s="108">
        <f t="shared" si="240"/>
        <v>0</v>
      </c>
      <c r="R489" s="108">
        <f t="shared" si="240"/>
        <v>0</v>
      </c>
      <c r="S489" s="108">
        <f t="shared" si="240"/>
        <v>0</v>
      </c>
      <c r="T489" s="28" t="s">
        <v>26</v>
      </c>
      <c r="V489" s="104" t="str">
        <f>$V$55</f>
        <v>Óscar</v>
      </c>
      <c r="W489" s="108">
        <f t="shared" si="223"/>
        <v>-1</v>
      </c>
      <c r="X489" s="108">
        <f t="shared" si="224"/>
        <v>0</v>
      </c>
      <c r="Y489" s="108">
        <f t="shared" si="225"/>
        <v>0</v>
      </c>
      <c r="Z489" s="108">
        <f t="shared" si="226"/>
        <v>-1</v>
      </c>
      <c r="AA489" s="108">
        <f t="shared" si="227"/>
        <v>-1</v>
      </c>
      <c r="AB489" s="108">
        <f t="shared" si="228"/>
        <v>-1</v>
      </c>
      <c r="AC489" s="108">
        <f t="shared" si="229"/>
        <v>-1</v>
      </c>
      <c r="AD489" s="108">
        <f t="shared" si="230"/>
        <v>-1</v>
      </c>
      <c r="AE489" s="108">
        <f t="shared" si="231"/>
        <v>-1</v>
      </c>
      <c r="AF489" s="108">
        <f t="shared" si="232"/>
        <v>-1</v>
      </c>
      <c r="AG489" s="108">
        <f t="shared" si="233"/>
        <v>-1</v>
      </c>
      <c r="AH489" s="108">
        <f t="shared" si="234"/>
        <v>-1</v>
      </c>
      <c r="AI489" s="108">
        <f t="shared" si="235"/>
        <v>-1</v>
      </c>
      <c r="AJ489" s="108">
        <f t="shared" si="236"/>
        <v>-1</v>
      </c>
      <c r="AK489" s="108">
        <f t="shared" si="237"/>
        <v>-1</v>
      </c>
      <c r="AL489" s="108">
        <f t="shared" si="238"/>
        <v>-1</v>
      </c>
      <c r="AM489" s="108"/>
      <c r="AQ489" s="104" t="str">
        <f>$V$68</f>
        <v>Beatriz</v>
      </c>
      <c r="AR489" s="54">
        <v>0</v>
      </c>
      <c r="AS489" s="54">
        <v>0</v>
      </c>
      <c r="AT489" s="54">
        <v>0</v>
      </c>
      <c r="AU489" s="54">
        <v>0</v>
      </c>
      <c r="AV489" s="54">
        <v>0</v>
      </c>
      <c r="AW489" s="54">
        <v>0</v>
      </c>
      <c r="AX489" s="54">
        <v>0</v>
      </c>
      <c r="AY489" s="54">
        <v>0</v>
      </c>
      <c r="AZ489" s="54">
        <v>0</v>
      </c>
      <c r="BA489" s="54">
        <v>0</v>
      </c>
      <c r="BB489" s="54">
        <v>0</v>
      </c>
      <c r="BC489" s="54">
        <v>0</v>
      </c>
      <c r="BD489" s="54">
        <v>0</v>
      </c>
      <c r="BE489" s="54">
        <v>0</v>
      </c>
      <c r="BF489" s="54">
        <v>0</v>
      </c>
      <c r="BG489" s="54">
        <v>0</v>
      </c>
      <c r="BH489" s="54">
        <v>0</v>
      </c>
      <c r="BK489" s="104" t="str">
        <f>$V$69</f>
        <v>Charelle</v>
      </c>
      <c r="BL489" s="108">
        <v>0</v>
      </c>
      <c r="BM489" s="108">
        <v>0</v>
      </c>
      <c r="BN489" s="108">
        <v>0</v>
      </c>
      <c r="BO489" s="108">
        <v>0</v>
      </c>
      <c r="BP489" s="108">
        <v>0</v>
      </c>
      <c r="BQ489" s="108">
        <v>0</v>
      </c>
      <c r="BR489" s="108">
        <v>0</v>
      </c>
      <c r="BS489" s="108">
        <v>0</v>
      </c>
      <c r="BT489" s="108">
        <v>0</v>
      </c>
      <c r="BU489" s="108">
        <v>0</v>
      </c>
      <c r="BV489" s="108">
        <v>0</v>
      </c>
      <c r="BW489" s="108">
        <v>0</v>
      </c>
      <c r="BX489" s="108">
        <v>0</v>
      </c>
      <c r="BY489" s="108">
        <v>0</v>
      </c>
      <c r="BZ489" s="108">
        <v>0</v>
      </c>
      <c r="CA489" s="108">
        <v>0</v>
      </c>
      <c r="CB489" s="108">
        <v>0</v>
      </c>
    </row>
    <row r="490" spans="3:80" x14ac:dyDescent="0.55000000000000004">
      <c r="C490" s="104" t="str">
        <f>$V$56</f>
        <v>Sebastián</v>
      </c>
      <c r="D490" s="108">
        <f t="shared" ref="D490:S490" si="241">D56</f>
        <v>0</v>
      </c>
      <c r="E490" s="108">
        <f t="shared" si="241"/>
        <v>0</v>
      </c>
      <c r="F490" s="108">
        <f t="shared" si="241"/>
        <v>0</v>
      </c>
      <c r="G490" s="108">
        <f t="shared" si="241"/>
        <v>0</v>
      </c>
      <c r="H490" s="108">
        <f t="shared" si="241"/>
        <v>0</v>
      </c>
      <c r="I490" s="108">
        <f t="shared" si="241"/>
        <v>0</v>
      </c>
      <c r="J490" s="108">
        <f t="shared" si="241"/>
        <v>0</v>
      </c>
      <c r="K490" s="108">
        <f t="shared" si="241"/>
        <v>0</v>
      </c>
      <c r="L490" s="108">
        <f t="shared" si="241"/>
        <v>0</v>
      </c>
      <c r="M490" s="108">
        <f t="shared" si="241"/>
        <v>0</v>
      </c>
      <c r="N490" s="108">
        <f t="shared" si="241"/>
        <v>0</v>
      </c>
      <c r="O490" s="108">
        <f t="shared" si="241"/>
        <v>0</v>
      </c>
      <c r="P490" s="108">
        <f t="shared" si="241"/>
        <v>0</v>
      </c>
      <c r="Q490" s="108">
        <f t="shared" si="241"/>
        <v>0</v>
      </c>
      <c r="R490" s="108">
        <f t="shared" si="241"/>
        <v>0</v>
      </c>
      <c r="S490" s="108">
        <f t="shared" si="241"/>
        <v>0</v>
      </c>
      <c r="T490" s="28" t="s">
        <v>26</v>
      </c>
      <c r="V490" s="104" t="str">
        <f>$V$56</f>
        <v>Sebastián</v>
      </c>
      <c r="W490" s="108">
        <f t="shared" si="223"/>
        <v>-1</v>
      </c>
      <c r="X490" s="108">
        <f t="shared" si="224"/>
        <v>-1</v>
      </c>
      <c r="Y490" s="108">
        <f t="shared" si="225"/>
        <v>-1</v>
      </c>
      <c r="Z490" s="108">
        <f t="shared" si="226"/>
        <v>-1</v>
      </c>
      <c r="AA490" s="108">
        <f t="shared" si="227"/>
        <v>0</v>
      </c>
      <c r="AB490" s="108">
        <f t="shared" si="228"/>
        <v>0</v>
      </c>
      <c r="AC490" s="108">
        <f t="shared" si="229"/>
        <v>0</v>
      </c>
      <c r="AD490" s="108">
        <f t="shared" si="230"/>
        <v>0</v>
      </c>
      <c r="AE490" s="108">
        <f t="shared" si="231"/>
        <v>-1</v>
      </c>
      <c r="AF490" s="108">
        <f t="shared" si="232"/>
        <v>-1</v>
      </c>
      <c r="AG490" s="108">
        <f t="shared" si="233"/>
        <v>0</v>
      </c>
      <c r="AH490" s="108">
        <f t="shared" si="234"/>
        <v>0</v>
      </c>
      <c r="AI490" s="108">
        <f t="shared" si="235"/>
        <v>-1</v>
      </c>
      <c r="AJ490" s="108">
        <f t="shared" si="236"/>
        <v>-1</v>
      </c>
      <c r="AK490" s="108">
        <f t="shared" si="237"/>
        <v>-1</v>
      </c>
      <c r="AL490" s="108">
        <f t="shared" si="238"/>
        <v>-1</v>
      </c>
      <c r="AM490" s="108"/>
      <c r="AQ490" s="104" t="str">
        <f>$V$69</f>
        <v>Charelle</v>
      </c>
      <c r="AR490" s="54">
        <v>0</v>
      </c>
      <c r="AS490" s="54">
        <v>0</v>
      </c>
      <c r="AT490" s="54">
        <v>0</v>
      </c>
      <c r="AU490" s="54">
        <v>0</v>
      </c>
      <c r="AV490" s="54">
        <v>0</v>
      </c>
      <c r="AW490" s="54">
        <v>0</v>
      </c>
      <c r="AX490" s="54">
        <v>0</v>
      </c>
      <c r="AY490" s="54">
        <v>0</v>
      </c>
      <c r="AZ490" s="54">
        <v>0</v>
      </c>
      <c r="BA490" s="54">
        <v>0</v>
      </c>
      <c r="BB490" s="54">
        <v>0</v>
      </c>
      <c r="BC490" s="54">
        <v>0</v>
      </c>
      <c r="BD490" s="54">
        <v>0</v>
      </c>
      <c r="BE490" s="54">
        <v>0</v>
      </c>
      <c r="BF490" s="54">
        <v>0</v>
      </c>
      <c r="BG490" s="54">
        <v>0</v>
      </c>
      <c r="BH490" s="54">
        <v>0</v>
      </c>
      <c r="BK490" s="104" t="str">
        <f>$V$70</f>
        <v>Dimitri</v>
      </c>
      <c r="BL490" s="108">
        <v>0</v>
      </c>
      <c r="BM490" s="108">
        <v>0</v>
      </c>
      <c r="BN490" s="108">
        <v>0</v>
      </c>
      <c r="BO490" s="108">
        <v>0</v>
      </c>
      <c r="BP490" s="108">
        <v>0</v>
      </c>
      <c r="BQ490" s="108">
        <v>0</v>
      </c>
      <c r="BR490" s="108">
        <v>0</v>
      </c>
      <c r="BS490" s="108">
        <v>0</v>
      </c>
      <c r="BT490" s="108">
        <v>0</v>
      </c>
      <c r="BU490" s="108">
        <v>0</v>
      </c>
      <c r="BV490" s="108">
        <v>0</v>
      </c>
      <c r="BW490" s="108">
        <v>0</v>
      </c>
      <c r="BX490" s="108">
        <v>0</v>
      </c>
      <c r="BY490" s="108">
        <v>0</v>
      </c>
      <c r="BZ490" s="108">
        <v>0</v>
      </c>
      <c r="CA490" s="108">
        <v>0</v>
      </c>
      <c r="CB490" s="108">
        <v>0</v>
      </c>
    </row>
    <row r="491" spans="3:80" x14ac:dyDescent="0.55000000000000004">
      <c r="C491" s="104" t="str">
        <f>$V$57</f>
        <v>Marcos</v>
      </c>
      <c r="D491" s="108">
        <f t="shared" ref="D491:S491" si="242">D57</f>
        <v>0</v>
      </c>
      <c r="E491" s="108">
        <f t="shared" si="242"/>
        <v>0</v>
      </c>
      <c r="F491" s="108">
        <f t="shared" si="242"/>
        <v>0</v>
      </c>
      <c r="G491" s="108">
        <f t="shared" si="242"/>
        <v>0</v>
      </c>
      <c r="H491" s="108">
        <f t="shared" si="242"/>
        <v>0</v>
      </c>
      <c r="I491" s="108">
        <f t="shared" si="242"/>
        <v>0</v>
      </c>
      <c r="J491" s="108">
        <f t="shared" si="242"/>
        <v>0</v>
      </c>
      <c r="K491" s="108">
        <f t="shared" si="242"/>
        <v>0</v>
      </c>
      <c r="L491" s="108">
        <f t="shared" si="242"/>
        <v>0</v>
      </c>
      <c r="M491" s="108">
        <f t="shared" si="242"/>
        <v>0</v>
      </c>
      <c r="N491" s="108">
        <f t="shared" si="242"/>
        <v>0</v>
      </c>
      <c r="O491" s="108">
        <f t="shared" si="242"/>
        <v>0</v>
      </c>
      <c r="P491" s="108">
        <f t="shared" si="242"/>
        <v>0</v>
      </c>
      <c r="Q491" s="108">
        <f t="shared" si="242"/>
        <v>0</v>
      </c>
      <c r="R491" s="108">
        <f t="shared" si="242"/>
        <v>0</v>
      </c>
      <c r="S491" s="108">
        <f t="shared" si="242"/>
        <v>0</v>
      </c>
      <c r="T491" s="28" t="s">
        <v>26</v>
      </c>
      <c r="V491" s="104" t="str">
        <f>$V$57</f>
        <v>Marcos</v>
      </c>
      <c r="W491" s="108">
        <f t="shared" si="223"/>
        <v>-1</v>
      </c>
      <c r="X491" s="108">
        <f t="shared" si="224"/>
        <v>-1</v>
      </c>
      <c r="Y491" s="108">
        <f t="shared" si="225"/>
        <v>-1</v>
      </c>
      <c r="Z491" s="108">
        <f t="shared" si="226"/>
        <v>-1</v>
      </c>
      <c r="AA491" s="108">
        <f t="shared" si="227"/>
        <v>-1</v>
      </c>
      <c r="AB491" s="108">
        <f t="shared" si="228"/>
        <v>-1</v>
      </c>
      <c r="AC491" s="108">
        <f t="shared" si="229"/>
        <v>-1</v>
      </c>
      <c r="AD491" s="108">
        <f t="shared" si="230"/>
        <v>-1</v>
      </c>
      <c r="AE491" s="108">
        <f t="shared" si="231"/>
        <v>-1</v>
      </c>
      <c r="AF491" s="108">
        <f t="shared" si="232"/>
        <v>0</v>
      </c>
      <c r="AG491" s="108">
        <f t="shared" si="233"/>
        <v>0</v>
      </c>
      <c r="AH491" s="108">
        <f t="shared" si="234"/>
        <v>-1</v>
      </c>
      <c r="AI491" s="108">
        <f t="shared" si="235"/>
        <v>-1</v>
      </c>
      <c r="AJ491" s="108">
        <f t="shared" si="236"/>
        <v>-1</v>
      </c>
      <c r="AK491" s="108">
        <f t="shared" si="237"/>
        <v>-1</v>
      </c>
      <c r="AL491" s="108">
        <f t="shared" si="238"/>
        <v>-1</v>
      </c>
      <c r="AM491" s="108"/>
      <c r="AQ491" s="104" t="str">
        <f>$V$70</f>
        <v>Dimitri</v>
      </c>
      <c r="AR491" s="54">
        <v>0</v>
      </c>
      <c r="AS491" s="54">
        <v>0</v>
      </c>
      <c r="AT491" s="54">
        <v>0</v>
      </c>
      <c r="AU491" s="54">
        <v>0</v>
      </c>
      <c r="AV491" s="54">
        <v>0</v>
      </c>
      <c r="AW491" s="54">
        <v>0</v>
      </c>
      <c r="AX491" s="54">
        <v>0</v>
      </c>
      <c r="AY491" s="54">
        <v>0</v>
      </c>
      <c r="AZ491" s="54">
        <v>0</v>
      </c>
      <c r="BA491" s="54">
        <v>0</v>
      </c>
      <c r="BB491" s="54">
        <v>0</v>
      </c>
      <c r="BC491" s="54">
        <v>0</v>
      </c>
      <c r="BD491" s="54">
        <v>0</v>
      </c>
      <c r="BE491" s="54">
        <v>0</v>
      </c>
      <c r="BF491" s="54">
        <v>0</v>
      </c>
      <c r="BG491" s="54">
        <v>0</v>
      </c>
      <c r="BH491" s="54">
        <v>0</v>
      </c>
      <c r="BK491" s="104" t="str">
        <f>$V$71</f>
        <v>Marina</v>
      </c>
      <c r="BL491" s="108">
        <v>0</v>
      </c>
      <c r="BM491" s="108">
        <v>0</v>
      </c>
      <c r="BN491" s="108">
        <v>0</v>
      </c>
      <c r="BO491" s="108">
        <v>0</v>
      </c>
      <c r="BP491" s="108">
        <v>0</v>
      </c>
      <c r="BQ491" s="108">
        <v>0</v>
      </c>
      <c r="BR491" s="108">
        <v>0</v>
      </c>
      <c r="BS491" s="108">
        <v>0</v>
      </c>
      <c r="BT491" s="108">
        <v>0</v>
      </c>
      <c r="BU491" s="108">
        <v>0</v>
      </c>
      <c r="BV491" s="108">
        <v>0</v>
      </c>
      <c r="BW491" s="108">
        <v>0</v>
      </c>
      <c r="BX491" s="108">
        <v>0</v>
      </c>
      <c r="BY491" s="108">
        <v>0</v>
      </c>
      <c r="BZ491" s="108">
        <v>0</v>
      </c>
      <c r="CA491" s="108">
        <v>0</v>
      </c>
      <c r="CB491" s="108">
        <v>0</v>
      </c>
    </row>
    <row r="492" spans="3:80" x14ac:dyDescent="0.55000000000000004">
      <c r="C492" s="104" t="str">
        <f>$V$58</f>
        <v>Weixin</v>
      </c>
      <c r="D492" s="108">
        <f t="shared" ref="D492:S492" si="243">D58</f>
        <v>0</v>
      </c>
      <c r="E492" s="108">
        <f t="shared" si="243"/>
        <v>0</v>
      </c>
      <c r="F492" s="108">
        <f t="shared" si="243"/>
        <v>0</v>
      </c>
      <c r="G492" s="108">
        <f t="shared" si="243"/>
        <v>0</v>
      </c>
      <c r="H492" s="108">
        <f t="shared" si="243"/>
        <v>0</v>
      </c>
      <c r="I492" s="108">
        <f t="shared" si="243"/>
        <v>0</v>
      </c>
      <c r="J492" s="108">
        <f t="shared" si="243"/>
        <v>0</v>
      </c>
      <c r="K492" s="108">
        <f t="shared" si="243"/>
        <v>0</v>
      </c>
      <c r="L492" s="108">
        <f t="shared" si="243"/>
        <v>0</v>
      </c>
      <c r="M492" s="108">
        <f t="shared" si="243"/>
        <v>0</v>
      </c>
      <c r="N492" s="108">
        <f t="shared" si="243"/>
        <v>0</v>
      </c>
      <c r="O492" s="108">
        <f t="shared" si="243"/>
        <v>0</v>
      </c>
      <c r="P492" s="108">
        <f t="shared" si="243"/>
        <v>0</v>
      </c>
      <c r="Q492" s="108">
        <f t="shared" si="243"/>
        <v>0</v>
      </c>
      <c r="R492" s="108">
        <f t="shared" si="243"/>
        <v>0</v>
      </c>
      <c r="S492" s="108">
        <f t="shared" si="243"/>
        <v>0</v>
      </c>
      <c r="T492" s="28" t="s">
        <v>26</v>
      </c>
      <c r="V492" s="104" t="str">
        <f>$V$58</f>
        <v>Weixin</v>
      </c>
      <c r="W492" s="108">
        <f t="shared" si="223"/>
        <v>-1</v>
      </c>
      <c r="X492" s="108">
        <f t="shared" si="224"/>
        <v>-1</v>
      </c>
      <c r="Y492" s="108">
        <f t="shared" si="225"/>
        <v>-1</v>
      </c>
      <c r="Z492" s="108">
        <f t="shared" si="226"/>
        <v>0</v>
      </c>
      <c r="AA492" s="108">
        <f t="shared" si="227"/>
        <v>0</v>
      </c>
      <c r="AB492" s="108">
        <f t="shared" si="228"/>
        <v>0</v>
      </c>
      <c r="AC492" s="108">
        <f t="shared" si="229"/>
        <v>0</v>
      </c>
      <c r="AD492" s="108">
        <f t="shared" si="230"/>
        <v>-1</v>
      </c>
      <c r="AE492" s="108">
        <f t="shared" si="231"/>
        <v>0</v>
      </c>
      <c r="AF492" s="108">
        <f t="shared" si="232"/>
        <v>0</v>
      </c>
      <c r="AG492" s="108">
        <f t="shared" si="233"/>
        <v>-1</v>
      </c>
      <c r="AH492" s="108">
        <f t="shared" si="234"/>
        <v>-1</v>
      </c>
      <c r="AI492" s="108">
        <f t="shared" si="235"/>
        <v>-1</v>
      </c>
      <c r="AJ492" s="108">
        <f t="shared" si="236"/>
        <v>-1</v>
      </c>
      <c r="AK492" s="108">
        <f t="shared" si="237"/>
        <v>-1</v>
      </c>
      <c r="AL492" s="108">
        <f t="shared" si="238"/>
        <v>-1</v>
      </c>
      <c r="AM492" s="108"/>
      <c r="AQ492" s="104" t="str">
        <f>$V$71</f>
        <v>Marina</v>
      </c>
      <c r="AR492" s="54">
        <v>0</v>
      </c>
      <c r="AS492" s="54">
        <v>0</v>
      </c>
      <c r="AT492" s="54">
        <v>0</v>
      </c>
      <c r="AU492" s="54">
        <v>0</v>
      </c>
      <c r="AV492" s="54">
        <v>0</v>
      </c>
      <c r="AW492" s="54">
        <v>0</v>
      </c>
      <c r="AX492" s="54">
        <v>0</v>
      </c>
      <c r="AY492" s="54">
        <v>0</v>
      </c>
      <c r="AZ492" s="54">
        <v>0</v>
      </c>
      <c r="BA492" s="54">
        <v>0</v>
      </c>
      <c r="BB492" s="54">
        <v>0</v>
      </c>
      <c r="BC492" s="54">
        <v>0</v>
      </c>
      <c r="BD492" s="54">
        <v>0</v>
      </c>
      <c r="BE492" s="54">
        <v>0</v>
      </c>
      <c r="BF492" s="54">
        <v>0</v>
      </c>
      <c r="BG492" s="54">
        <v>0</v>
      </c>
      <c r="BH492" s="54">
        <v>0</v>
      </c>
      <c r="BK492" s="104" t="str">
        <f>$V$72</f>
        <v>Michel</v>
      </c>
      <c r="BL492" s="108">
        <v>0</v>
      </c>
      <c r="BM492" s="108">
        <v>0</v>
      </c>
      <c r="BN492" s="108">
        <v>0</v>
      </c>
      <c r="BO492" s="108">
        <v>0</v>
      </c>
      <c r="BP492" s="108">
        <v>0</v>
      </c>
      <c r="BQ492" s="108">
        <v>0</v>
      </c>
      <c r="BR492" s="108">
        <v>0</v>
      </c>
      <c r="BS492" s="108">
        <v>0</v>
      </c>
      <c r="BT492" s="108">
        <v>0</v>
      </c>
      <c r="BU492" s="108">
        <v>0</v>
      </c>
      <c r="BV492" s="108">
        <v>0</v>
      </c>
      <c r="BW492" s="108">
        <v>0</v>
      </c>
      <c r="BX492" s="108">
        <v>0</v>
      </c>
      <c r="BY492" s="108">
        <v>0</v>
      </c>
      <c r="BZ492" s="108">
        <v>0</v>
      </c>
      <c r="CA492" s="108">
        <v>0</v>
      </c>
      <c r="CB492" s="108">
        <v>0</v>
      </c>
    </row>
    <row r="493" spans="3:80" x14ac:dyDescent="0.55000000000000004">
      <c r="C493" s="104" t="str">
        <f>$V$59</f>
        <v>Benjamin</v>
      </c>
      <c r="D493" s="108">
        <f t="shared" ref="D493:S493" si="244">D59</f>
        <v>0</v>
      </c>
      <c r="E493" s="108">
        <f t="shared" si="244"/>
        <v>0</v>
      </c>
      <c r="F493" s="108">
        <f t="shared" si="244"/>
        <v>0</v>
      </c>
      <c r="G493" s="108">
        <f t="shared" si="244"/>
        <v>0</v>
      </c>
      <c r="H493" s="108">
        <f t="shared" si="244"/>
        <v>0</v>
      </c>
      <c r="I493" s="108">
        <f t="shared" si="244"/>
        <v>0</v>
      </c>
      <c r="J493" s="108">
        <f t="shared" si="244"/>
        <v>0</v>
      </c>
      <c r="K493" s="108">
        <f t="shared" si="244"/>
        <v>0</v>
      </c>
      <c r="L493" s="108">
        <f t="shared" si="244"/>
        <v>0</v>
      </c>
      <c r="M493" s="108">
        <f t="shared" si="244"/>
        <v>0</v>
      </c>
      <c r="N493" s="108">
        <f t="shared" si="244"/>
        <v>0</v>
      </c>
      <c r="O493" s="108">
        <f t="shared" si="244"/>
        <v>0</v>
      </c>
      <c r="P493" s="108">
        <f t="shared" si="244"/>
        <v>0</v>
      </c>
      <c r="Q493" s="108">
        <f t="shared" si="244"/>
        <v>0</v>
      </c>
      <c r="R493" s="108">
        <f t="shared" si="244"/>
        <v>0</v>
      </c>
      <c r="S493" s="108">
        <f t="shared" si="244"/>
        <v>0</v>
      </c>
      <c r="T493" s="28" t="s">
        <v>26</v>
      </c>
      <c r="V493" s="104" t="str">
        <f>$V$59</f>
        <v>Benjamin</v>
      </c>
      <c r="W493" s="108">
        <f t="shared" si="223"/>
        <v>-1</v>
      </c>
      <c r="X493" s="108">
        <f t="shared" si="224"/>
        <v>-1</v>
      </c>
      <c r="Y493" s="108">
        <f t="shared" si="225"/>
        <v>-1</v>
      </c>
      <c r="Z493" s="108">
        <f t="shared" si="226"/>
        <v>-1</v>
      </c>
      <c r="AA493" s="108">
        <f t="shared" si="227"/>
        <v>-1</v>
      </c>
      <c r="AB493" s="108">
        <f t="shared" si="228"/>
        <v>-1</v>
      </c>
      <c r="AC493" s="108">
        <f t="shared" si="229"/>
        <v>-1</v>
      </c>
      <c r="AD493" s="108">
        <f t="shared" si="230"/>
        <v>-1</v>
      </c>
      <c r="AE493" s="108">
        <f t="shared" si="231"/>
        <v>-1</v>
      </c>
      <c r="AF493" s="108">
        <f t="shared" si="232"/>
        <v>-1</v>
      </c>
      <c r="AG493" s="108">
        <f t="shared" si="233"/>
        <v>-1</v>
      </c>
      <c r="AH493" s="108">
        <f t="shared" si="234"/>
        <v>-1</v>
      </c>
      <c r="AI493" s="108">
        <f t="shared" si="235"/>
        <v>-1</v>
      </c>
      <c r="AJ493" s="108">
        <f t="shared" si="236"/>
        <v>-1</v>
      </c>
      <c r="AK493" s="108">
        <f t="shared" si="237"/>
        <v>-1</v>
      </c>
      <c r="AL493" s="108">
        <f t="shared" si="238"/>
        <v>-1</v>
      </c>
      <c r="AM493" s="108"/>
      <c r="AQ493" s="104" t="str">
        <f>$V$72</f>
        <v>Michel</v>
      </c>
      <c r="AR493" s="54">
        <v>0</v>
      </c>
      <c r="AS493" s="54">
        <v>0</v>
      </c>
      <c r="AT493" s="54">
        <v>0</v>
      </c>
      <c r="AU493" s="54">
        <v>0</v>
      </c>
      <c r="AV493" s="54">
        <v>0</v>
      </c>
      <c r="AW493" s="54">
        <v>0</v>
      </c>
      <c r="AX493" s="54">
        <v>0</v>
      </c>
      <c r="AY493" s="54">
        <v>0</v>
      </c>
      <c r="AZ493" s="54">
        <v>0</v>
      </c>
      <c r="BA493" s="54">
        <v>0</v>
      </c>
      <c r="BB493" s="54">
        <v>0</v>
      </c>
      <c r="BC493" s="54">
        <v>0</v>
      </c>
      <c r="BD493" s="54">
        <v>0</v>
      </c>
      <c r="BE493" s="54">
        <v>0</v>
      </c>
      <c r="BF493" s="54">
        <v>0</v>
      </c>
      <c r="BG493" s="54">
        <v>0</v>
      </c>
      <c r="BH493" s="54">
        <v>0</v>
      </c>
      <c r="BK493" s="104" t="str">
        <f>$V$73</f>
        <v>Nour</v>
      </c>
      <c r="BL493" s="108">
        <v>0</v>
      </c>
      <c r="BM493" s="108">
        <v>0</v>
      </c>
      <c r="BN493" s="108">
        <v>0</v>
      </c>
      <c r="BO493" s="108">
        <v>0</v>
      </c>
      <c r="BP493" s="108">
        <v>0</v>
      </c>
      <c r="BQ493" s="108">
        <v>0</v>
      </c>
      <c r="BR493" s="108">
        <v>0</v>
      </c>
      <c r="BS493" s="108">
        <v>0</v>
      </c>
      <c r="BT493" s="108">
        <v>0</v>
      </c>
      <c r="BU493" s="108">
        <v>0</v>
      </c>
      <c r="BV493" s="108">
        <v>0</v>
      </c>
      <c r="BW493" s="108">
        <v>0</v>
      </c>
      <c r="BX493" s="108">
        <v>0</v>
      </c>
      <c r="BY493" s="108">
        <v>0</v>
      </c>
      <c r="BZ493" s="108">
        <v>0</v>
      </c>
      <c r="CA493" s="108">
        <v>0</v>
      </c>
      <c r="CB493" s="108">
        <v>0</v>
      </c>
    </row>
    <row r="494" spans="3:80" x14ac:dyDescent="0.55000000000000004">
      <c r="C494" s="104" t="str">
        <f>$V$60</f>
        <v>Joelle</v>
      </c>
      <c r="D494" s="108">
        <f t="shared" ref="D494:S494" si="245">D60</f>
        <v>0</v>
      </c>
      <c r="E494" s="108">
        <f t="shared" si="245"/>
        <v>0</v>
      </c>
      <c r="F494" s="108">
        <f t="shared" si="245"/>
        <v>0</v>
      </c>
      <c r="G494" s="108">
        <f t="shared" si="245"/>
        <v>0</v>
      </c>
      <c r="H494" s="108">
        <f t="shared" si="245"/>
        <v>0</v>
      </c>
      <c r="I494" s="108">
        <f t="shared" si="245"/>
        <v>0</v>
      </c>
      <c r="J494" s="108">
        <f t="shared" si="245"/>
        <v>0</v>
      </c>
      <c r="K494" s="108">
        <f t="shared" si="245"/>
        <v>0</v>
      </c>
      <c r="L494" s="108">
        <f t="shared" si="245"/>
        <v>0</v>
      </c>
      <c r="M494" s="108">
        <f t="shared" si="245"/>
        <v>0</v>
      </c>
      <c r="N494" s="108">
        <f t="shared" si="245"/>
        <v>0</v>
      </c>
      <c r="O494" s="108">
        <f t="shared" si="245"/>
        <v>0</v>
      </c>
      <c r="P494" s="108">
        <f t="shared" si="245"/>
        <v>0</v>
      </c>
      <c r="Q494" s="108">
        <f t="shared" si="245"/>
        <v>0</v>
      </c>
      <c r="R494" s="108">
        <f t="shared" si="245"/>
        <v>0</v>
      </c>
      <c r="S494" s="108">
        <f t="shared" si="245"/>
        <v>0</v>
      </c>
      <c r="T494" s="28" t="s">
        <v>26</v>
      </c>
      <c r="V494" s="104" t="str">
        <f>$V$60</f>
        <v>Joelle</v>
      </c>
      <c r="W494" s="108">
        <f t="shared" si="223"/>
        <v>-1</v>
      </c>
      <c r="X494" s="108">
        <f t="shared" si="224"/>
        <v>-1</v>
      </c>
      <c r="Y494" s="108">
        <f t="shared" si="225"/>
        <v>-1</v>
      </c>
      <c r="Z494" s="108">
        <f t="shared" si="226"/>
        <v>-1</v>
      </c>
      <c r="AA494" s="108">
        <f t="shared" si="227"/>
        <v>-1</v>
      </c>
      <c r="AB494" s="108">
        <f t="shared" si="228"/>
        <v>-1</v>
      </c>
      <c r="AC494" s="108">
        <f t="shared" si="229"/>
        <v>-1</v>
      </c>
      <c r="AD494" s="108">
        <f t="shared" si="230"/>
        <v>-1</v>
      </c>
      <c r="AE494" s="108">
        <f t="shared" si="231"/>
        <v>-1</v>
      </c>
      <c r="AF494" s="108">
        <f t="shared" si="232"/>
        <v>-1</v>
      </c>
      <c r="AG494" s="108">
        <f t="shared" si="233"/>
        <v>-1</v>
      </c>
      <c r="AH494" s="108">
        <f t="shared" si="234"/>
        <v>-1</v>
      </c>
      <c r="AI494" s="108">
        <f t="shared" si="235"/>
        <v>-1</v>
      </c>
      <c r="AJ494" s="108">
        <f t="shared" si="236"/>
        <v>-1</v>
      </c>
      <c r="AK494" s="108">
        <f t="shared" si="237"/>
        <v>-1</v>
      </c>
      <c r="AL494" s="108">
        <f t="shared" si="238"/>
        <v>-1</v>
      </c>
      <c r="AM494" s="108"/>
      <c r="AQ494" s="104" t="str">
        <f>$V$73</f>
        <v>Nour</v>
      </c>
      <c r="AR494" s="54">
        <v>0</v>
      </c>
      <c r="AS494" s="54">
        <v>0</v>
      </c>
      <c r="AT494" s="54">
        <v>0</v>
      </c>
      <c r="AU494" s="54">
        <v>0</v>
      </c>
      <c r="AV494" s="54">
        <v>0</v>
      </c>
      <c r="AW494" s="54">
        <v>0</v>
      </c>
      <c r="AX494" s="54">
        <v>0</v>
      </c>
      <c r="AY494" s="54">
        <v>0</v>
      </c>
      <c r="AZ494" s="54">
        <v>0</v>
      </c>
      <c r="BA494" s="54">
        <v>0</v>
      </c>
      <c r="BB494" s="54">
        <v>0</v>
      </c>
      <c r="BC494" s="54">
        <v>0</v>
      </c>
      <c r="BD494" s="54">
        <v>0</v>
      </c>
      <c r="BE494" s="54">
        <v>0</v>
      </c>
      <c r="BF494" s="54">
        <v>0</v>
      </c>
      <c r="BG494" s="54">
        <v>0</v>
      </c>
      <c r="BH494" s="54">
        <v>0</v>
      </c>
      <c r="BK494" s="104" t="str">
        <f>$V$74</f>
        <v>Samuel</v>
      </c>
      <c r="BL494" s="108">
        <v>0</v>
      </c>
      <c r="BM494" s="108">
        <v>0</v>
      </c>
      <c r="BN494" s="108">
        <v>0</v>
      </c>
      <c r="BO494" s="108">
        <v>0</v>
      </c>
      <c r="BP494" s="108">
        <v>0</v>
      </c>
      <c r="BQ494" s="108">
        <v>0</v>
      </c>
      <c r="BR494" s="108">
        <v>0</v>
      </c>
      <c r="BS494" s="108">
        <v>0</v>
      </c>
      <c r="BT494" s="108">
        <v>0</v>
      </c>
      <c r="BU494" s="108">
        <v>0</v>
      </c>
      <c r="BV494" s="108">
        <v>0</v>
      </c>
      <c r="BW494" s="108">
        <v>0</v>
      </c>
      <c r="BX494" s="108">
        <v>0</v>
      </c>
      <c r="BY494" s="108">
        <v>0</v>
      </c>
      <c r="BZ494" s="108">
        <v>0</v>
      </c>
      <c r="CA494" s="108">
        <v>0</v>
      </c>
      <c r="CB494" s="108">
        <v>0</v>
      </c>
    </row>
    <row r="495" spans="3:80" x14ac:dyDescent="0.55000000000000004">
      <c r="C495" s="104" t="str">
        <f>$V$61</f>
        <v>Alexia</v>
      </c>
      <c r="D495" s="108">
        <f t="shared" ref="D495:S495" si="246">D61</f>
        <v>0</v>
      </c>
      <c r="E495" s="108">
        <f t="shared" si="246"/>
        <v>0</v>
      </c>
      <c r="F495" s="108">
        <f t="shared" si="246"/>
        <v>0</v>
      </c>
      <c r="G495" s="108">
        <f t="shared" si="246"/>
        <v>0</v>
      </c>
      <c r="H495" s="108">
        <f t="shared" si="246"/>
        <v>0</v>
      </c>
      <c r="I495" s="108">
        <f t="shared" si="246"/>
        <v>0</v>
      </c>
      <c r="J495" s="108">
        <f t="shared" si="246"/>
        <v>0</v>
      </c>
      <c r="K495" s="108">
        <f t="shared" si="246"/>
        <v>0</v>
      </c>
      <c r="L495" s="108">
        <f t="shared" si="246"/>
        <v>0</v>
      </c>
      <c r="M495" s="108">
        <f t="shared" si="246"/>
        <v>0</v>
      </c>
      <c r="N495" s="108">
        <f t="shared" si="246"/>
        <v>0</v>
      </c>
      <c r="O495" s="108">
        <f t="shared" si="246"/>
        <v>0</v>
      </c>
      <c r="P495" s="108">
        <f t="shared" si="246"/>
        <v>0</v>
      </c>
      <c r="Q495" s="108">
        <f t="shared" si="246"/>
        <v>0</v>
      </c>
      <c r="R495" s="108">
        <f t="shared" si="246"/>
        <v>0</v>
      </c>
      <c r="S495" s="108">
        <f t="shared" si="246"/>
        <v>0</v>
      </c>
      <c r="T495" s="28" t="s">
        <v>26</v>
      </c>
      <c r="V495" s="104" t="str">
        <f>$V$61</f>
        <v>Alexia</v>
      </c>
      <c r="W495" s="108">
        <f t="shared" si="223"/>
        <v>-1</v>
      </c>
      <c r="X495" s="108">
        <f t="shared" si="224"/>
        <v>-1</v>
      </c>
      <c r="Y495" s="108">
        <f t="shared" si="225"/>
        <v>-1</v>
      </c>
      <c r="Z495" s="108">
        <f t="shared" si="226"/>
        <v>-1</v>
      </c>
      <c r="AA495" s="108">
        <f t="shared" si="227"/>
        <v>-1</v>
      </c>
      <c r="AB495" s="108">
        <f t="shared" si="228"/>
        <v>-1</v>
      </c>
      <c r="AC495" s="108">
        <f t="shared" si="229"/>
        <v>-1</v>
      </c>
      <c r="AD495" s="108">
        <f t="shared" si="230"/>
        <v>-1</v>
      </c>
      <c r="AE495" s="108">
        <f t="shared" si="231"/>
        <v>-1</v>
      </c>
      <c r="AF495" s="108">
        <f t="shared" si="232"/>
        <v>-1</v>
      </c>
      <c r="AG495" s="108">
        <f t="shared" si="233"/>
        <v>-1</v>
      </c>
      <c r="AH495" s="108">
        <f t="shared" si="234"/>
        <v>-1</v>
      </c>
      <c r="AI495" s="108">
        <f t="shared" si="235"/>
        <v>-1</v>
      </c>
      <c r="AJ495" s="108">
        <f t="shared" si="236"/>
        <v>-1</v>
      </c>
      <c r="AK495" s="108">
        <f t="shared" si="237"/>
        <v>-1</v>
      </c>
      <c r="AL495" s="108">
        <f t="shared" si="238"/>
        <v>-1</v>
      </c>
      <c r="AM495" s="108"/>
      <c r="AQ495" s="104" t="str">
        <f>$V$74</f>
        <v>Samuel</v>
      </c>
      <c r="AR495" s="54">
        <v>0</v>
      </c>
      <c r="AS495" s="54">
        <v>0</v>
      </c>
      <c r="AT495" s="54">
        <v>0</v>
      </c>
      <c r="AU495" s="54">
        <v>0</v>
      </c>
      <c r="AV495" s="54">
        <v>0</v>
      </c>
      <c r="AW495" s="54">
        <v>0</v>
      </c>
      <c r="AX495" s="54">
        <v>0</v>
      </c>
      <c r="AY495" s="54">
        <v>0</v>
      </c>
      <c r="AZ495" s="54">
        <v>0</v>
      </c>
      <c r="BA495" s="54">
        <v>0</v>
      </c>
      <c r="BB495" s="54">
        <v>0</v>
      </c>
      <c r="BC495" s="54">
        <v>0</v>
      </c>
      <c r="BD495" s="54">
        <v>0</v>
      </c>
      <c r="BE495" s="54">
        <v>0</v>
      </c>
      <c r="BF495" s="54">
        <v>0</v>
      </c>
      <c r="BG495" s="54">
        <v>0</v>
      </c>
      <c r="BH495" s="54">
        <v>0</v>
      </c>
      <c r="BK495" s="104" t="str">
        <f>$V$75</f>
        <v>Yassin</v>
      </c>
      <c r="BL495" s="108">
        <v>0</v>
      </c>
      <c r="BM495" s="108">
        <v>0</v>
      </c>
      <c r="BN495" s="108">
        <v>0</v>
      </c>
      <c r="BO495" s="108">
        <v>0</v>
      </c>
      <c r="BP495" s="108">
        <v>0</v>
      </c>
      <c r="BQ495" s="108">
        <v>0</v>
      </c>
      <c r="BR495" s="108">
        <v>0</v>
      </c>
      <c r="BS495" s="108">
        <v>0</v>
      </c>
      <c r="BT495" s="108">
        <v>0</v>
      </c>
      <c r="BU495" s="108">
        <v>0</v>
      </c>
      <c r="BV495" s="108">
        <v>0</v>
      </c>
      <c r="BW495" s="108">
        <v>0</v>
      </c>
      <c r="BX495" s="108">
        <v>0</v>
      </c>
      <c r="BY495" s="108">
        <v>0</v>
      </c>
      <c r="BZ495" s="108">
        <v>0</v>
      </c>
      <c r="CA495" s="108">
        <v>0</v>
      </c>
      <c r="CB495" s="108">
        <v>0</v>
      </c>
    </row>
    <row r="496" spans="3:80" x14ac:dyDescent="0.55000000000000004">
      <c r="C496" s="104" t="str">
        <f>$V$62</f>
        <v>Joao</v>
      </c>
      <c r="D496" s="108">
        <f t="shared" ref="D496:S496" si="247">D62</f>
        <v>0</v>
      </c>
      <c r="E496" s="108">
        <f t="shared" si="247"/>
        <v>0</v>
      </c>
      <c r="F496" s="108">
        <f t="shared" si="247"/>
        <v>0</v>
      </c>
      <c r="G496" s="108">
        <f t="shared" si="247"/>
        <v>0</v>
      </c>
      <c r="H496" s="108">
        <f t="shared" si="247"/>
        <v>0</v>
      </c>
      <c r="I496" s="108">
        <f t="shared" si="247"/>
        <v>0</v>
      </c>
      <c r="J496" s="108">
        <f t="shared" si="247"/>
        <v>0</v>
      </c>
      <c r="K496" s="108">
        <f t="shared" si="247"/>
        <v>0</v>
      </c>
      <c r="L496" s="108">
        <f t="shared" si="247"/>
        <v>0</v>
      </c>
      <c r="M496" s="108">
        <f t="shared" si="247"/>
        <v>0</v>
      </c>
      <c r="N496" s="108">
        <f t="shared" si="247"/>
        <v>0</v>
      </c>
      <c r="O496" s="108">
        <f t="shared" si="247"/>
        <v>0</v>
      </c>
      <c r="P496" s="108">
        <f t="shared" si="247"/>
        <v>0</v>
      </c>
      <c r="Q496" s="108">
        <f t="shared" si="247"/>
        <v>0</v>
      </c>
      <c r="R496" s="108">
        <f t="shared" si="247"/>
        <v>0</v>
      </c>
      <c r="S496" s="108">
        <f t="shared" si="247"/>
        <v>0</v>
      </c>
      <c r="T496" s="28" t="s">
        <v>26</v>
      </c>
      <c r="V496" s="104" t="str">
        <f>$V$62</f>
        <v>Joao</v>
      </c>
      <c r="W496" s="108">
        <f t="shared" si="223"/>
        <v>-1</v>
      </c>
      <c r="X496" s="108">
        <f t="shared" si="224"/>
        <v>-1</v>
      </c>
      <c r="Y496" s="108">
        <f t="shared" si="225"/>
        <v>-1</v>
      </c>
      <c r="Z496" s="108">
        <f t="shared" si="226"/>
        <v>-1</v>
      </c>
      <c r="AA496" s="108">
        <f t="shared" si="227"/>
        <v>-1</v>
      </c>
      <c r="AB496" s="108">
        <f t="shared" si="228"/>
        <v>-1</v>
      </c>
      <c r="AC496" s="108">
        <f t="shared" si="229"/>
        <v>-1</v>
      </c>
      <c r="AD496" s="108">
        <f t="shared" si="230"/>
        <v>-1</v>
      </c>
      <c r="AE496" s="108">
        <f t="shared" si="231"/>
        <v>-1</v>
      </c>
      <c r="AF496" s="108">
        <f t="shared" si="232"/>
        <v>-1</v>
      </c>
      <c r="AG496" s="108">
        <f t="shared" si="233"/>
        <v>-1</v>
      </c>
      <c r="AH496" s="108">
        <f t="shared" si="234"/>
        <v>-1</v>
      </c>
      <c r="AI496" s="108">
        <f t="shared" si="235"/>
        <v>-1</v>
      </c>
      <c r="AJ496" s="108">
        <f t="shared" si="236"/>
        <v>-1</v>
      </c>
      <c r="AK496" s="108">
        <f t="shared" si="237"/>
        <v>-1</v>
      </c>
      <c r="AL496" s="108">
        <f t="shared" si="238"/>
        <v>-1</v>
      </c>
      <c r="AM496" s="108"/>
      <c r="AQ496" s="104" t="str">
        <f>$V$75</f>
        <v>Yassin</v>
      </c>
      <c r="AR496" s="54">
        <v>0</v>
      </c>
      <c r="AS496" s="54">
        <v>0</v>
      </c>
      <c r="AT496" s="54">
        <v>0</v>
      </c>
      <c r="AU496" s="54">
        <v>0</v>
      </c>
      <c r="AV496" s="54">
        <v>0</v>
      </c>
      <c r="AW496" s="54">
        <v>0</v>
      </c>
      <c r="AX496" s="54">
        <v>0</v>
      </c>
      <c r="AY496" s="54">
        <v>0</v>
      </c>
      <c r="AZ496" s="54">
        <v>0</v>
      </c>
      <c r="BA496" s="54">
        <v>0</v>
      </c>
      <c r="BB496" s="54">
        <v>0</v>
      </c>
      <c r="BC496" s="54">
        <v>0</v>
      </c>
      <c r="BD496" s="54">
        <v>0</v>
      </c>
      <c r="BE496" s="54">
        <v>0</v>
      </c>
      <c r="BF496" s="54">
        <v>0</v>
      </c>
      <c r="BG496" s="54">
        <v>0</v>
      </c>
      <c r="BH496" s="54">
        <v>0</v>
      </c>
      <c r="BK496" s="104" t="str">
        <f>$V$76</f>
        <v>Kamar</v>
      </c>
      <c r="BL496" s="108">
        <v>0</v>
      </c>
      <c r="BM496" s="108">
        <v>0</v>
      </c>
      <c r="BN496" s="108">
        <v>0</v>
      </c>
      <c r="BO496" s="108">
        <v>0</v>
      </c>
      <c r="BP496" s="108">
        <v>0</v>
      </c>
      <c r="BQ496" s="108">
        <v>0</v>
      </c>
      <c r="BR496" s="108">
        <v>0</v>
      </c>
      <c r="BS496" s="108">
        <v>0</v>
      </c>
      <c r="BT496" s="108">
        <v>0</v>
      </c>
      <c r="BU496" s="108">
        <v>0</v>
      </c>
      <c r="BV496" s="108">
        <v>0</v>
      </c>
      <c r="BW496" s="108">
        <v>0</v>
      </c>
      <c r="BX496" s="108">
        <v>0</v>
      </c>
      <c r="BY496" s="108">
        <v>0</v>
      </c>
      <c r="BZ496" s="108">
        <v>0</v>
      </c>
      <c r="CA496" s="108">
        <v>0</v>
      </c>
      <c r="CB496" s="108">
        <v>0</v>
      </c>
    </row>
    <row r="497" spans="3:80" x14ac:dyDescent="0.55000000000000004">
      <c r="C497" s="104" t="str">
        <f>$V$63</f>
        <v>Maxime</v>
      </c>
      <c r="D497" s="108">
        <f t="shared" ref="D497:S497" si="248">D63</f>
        <v>0</v>
      </c>
      <c r="E497" s="108">
        <f t="shared" si="248"/>
        <v>0</v>
      </c>
      <c r="F497" s="108">
        <f t="shared" si="248"/>
        <v>0</v>
      </c>
      <c r="G497" s="108">
        <f t="shared" si="248"/>
        <v>0</v>
      </c>
      <c r="H497" s="108">
        <f t="shared" si="248"/>
        <v>0</v>
      </c>
      <c r="I497" s="108">
        <f t="shared" si="248"/>
        <v>0</v>
      </c>
      <c r="J497" s="108">
        <f t="shared" si="248"/>
        <v>0</v>
      </c>
      <c r="K497" s="108">
        <f t="shared" si="248"/>
        <v>0</v>
      </c>
      <c r="L497" s="108">
        <f t="shared" si="248"/>
        <v>0</v>
      </c>
      <c r="M497" s="108">
        <f t="shared" si="248"/>
        <v>0</v>
      </c>
      <c r="N497" s="108">
        <f t="shared" si="248"/>
        <v>0</v>
      </c>
      <c r="O497" s="108">
        <f t="shared" si="248"/>
        <v>0</v>
      </c>
      <c r="P497" s="108">
        <f t="shared" si="248"/>
        <v>0</v>
      </c>
      <c r="Q497" s="108">
        <f t="shared" si="248"/>
        <v>0</v>
      </c>
      <c r="R497" s="108">
        <f t="shared" si="248"/>
        <v>0</v>
      </c>
      <c r="S497" s="108">
        <f t="shared" si="248"/>
        <v>0</v>
      </c>
      <c r="T497" s="28" t="s">
        <v>26</v>
      </c>
      <c r="V497" s="104" t="str">
        <f>$V$63</f>
        <v>Maxime</v>
      </c>
      <c r="W497" s="108">
        <f t="shared" si="223"/>
        <v>-1</v>
      </c>
      <c r="X497" s="108">
        <f t="shared" si="224"/>
        <v>-1</v>
      </c>
      <c r="Y497" s="108">
        <f t="shared" si="225"/>
        <v>-1</v>
      </c>
      <c r="Z497" s="108">
        <f t="shared" si="226"/>
        <v>-1</v>
      </c>
      <c r="AA497" s="108">
        <f t="shared" si="227"/>
        <v>-1</v>
      </c>
      <c r="AB497" s="108">
        <f t="shared" si="228"/>
        <v>-1</v>
      </c>
      <c r="AC497" s="108">
        <f t="shared" si="229"/>
        <v>-1</v>
      </c>
      <c r="AD497" s="108">
        <f t="shared" si="230"/>
        <v>-1</v>
      </c>
      <c r="AE497" s="108">
        <f t="shared" si="231"/>
        <v>-1</v>
      </c>
      <c r="AF497" s="108">
        <f t="shared" si="232"/>
        <v>-1</v>
      </c>
      <c r="AG497" s="108">
        <f t="shared" si="233"/>
        <v>-1</v>
      </c>
      <c r="AH497" s="108">
        <f t="shared" si="234"/>
        <v>-1</v>
      </c>
      <c r="AI497" s="108">
        <f t="shared" si="235"/>
        <v>-1</v>
      </c>
      <c r="AJ497" s="108">
        <f t="shared" si="236"/>
        <v>-1</v>
      </c>
      <c r="AK497" s="108">
        <f t="shared" si="237"/>
        <v>-1</v>
      </c>
      <c r="AL497" s="108">
        <f t="shared" si="238"/>
        <v>-1</v>
      </c>
      <c r="AM497" s="108"/>
      <c r="AQ497" s="104" t="str">
        <f>$V$76</f>
        <v>Kamar</v>
      </c>
      <c r="AR497" s="54">
        <v>0</v>
      </c>
      <c r="AS497" s="54">
        <v>0</v>
      </c>
      <c r="AT497" s="54">
        <v>0</v>
      </c>
      <c r="AU497" s="54">
        <v>0</v>
      </c>
      <c r="AV497" s="54">
        <v>0</v>
      </c>
      <c r="AW497" s="54">
        <v>0</v>
      </c>
      <c r="AX497" s="54">
        <v>0</v>
      </c>
      <c r="AY497" s="54">
        <v>0</v>
      </c>
      <c r="AZ497" s="54">
        <v>0</v>
      </c>
      <c r="BA497" s="54">
        <v>0</v>
      </c>
      <c r="BB497" s="54">
        <v>0</v>
      </c>
      <c r="BC497" s="54">
        <v>0</v>
      </c>
      <c r="BD497" s="54">
        <v>0</v>
      </c>
      <c r="BE497" s="54">
        <v>0</v>
      </c>
      <c r="BF497" s="54">
        <v>0</v>
      </c>
      <c r="BG497" s="54">
        <v>0</v>
      </c>
      <c r="BH497" s="54">
        <v>0</v>
      </c>
      <c r="BK497" s="104" t="str">
        <f>$V$77</f>
        <v>-</v>
      </c>
      <c r="BL497" s="108">
        <v>0</v>
      </c>
      <c r="BM497" s="108">
        <v>0</v>
      </c>
      <c r="BN497" s="108">
        <v>0</v>
      </c>
      <c r="BO497" s="108">
        <v>0</v>
      </c>
      <c r="BP497" s="108">
        <v>0</v>
      </c>
      <c r="BQ497" s="108">
        <v>0</v>
      </c>
      <c r="BR497" s="108">
        <v>0</v>
      </c>
      <c r="BS497" s="108">
        <v>0</v>
      </c>
      <c r="BT497" s="108">
        <v>0</v>
      </c>
      <c r="BU497" s="108">
        <v>0</v>
      </c>
      <c r="BV497" s="108">
        <v>0</v>
      </c>
      <c r="BW497" s="108">
        <v>0</v>
      </c>
      <c r="BX497" s="108">
        <v>0</v>
      </c>
      <c r="BY497" s="108">
        <v>0</v>
      </c>
      <c r="BZ497" s="108">
        <v>0</v>
      </c>
      <c r="CA497" s="108">
        <v>0</v>
      </c>
      <c r="CB497" s="108">
        <v>0</v>
      </c>
    </row>
    <row r="498" spans="3:80" x14ac:dyDescent="0.55000000000000004">
      <c r="C498" s="104" t="str">
        <f>$V$64</f>
        <v>Alex</v>
      </c>
      <c r="D498" s="108">
        <f t="shared" ref="D498:S498" si="249">D64</f>
        <v>0</v>
      </c>
      <c r="E498" s="108">
        <f t="shared" si="249"/>
        <v>0</v>
      </c>
      <c r="F498" s="108">
        <f t="shared" si="249"/>
        <v>0</v>
      </c>
      <c r="G498" s="108">
        <f t="shared" si="249"/>
        <v>0</v>
      </c>
      <c r="H498" s="108">
        <f t="shared" si="249"/>
        <v>0</v>
      </c>
      <c r="I498" s="108">
        <f t="shared" si="249"/>
        <v>0</v>
      </c>
      <c r="J498" s="108">
        <f t="shared" si="249"/>
        <v>0</v>
      </c>
      <c r="K498" s="108">
        <f t="shared" si="249"/>
        <v>0</v>
      </c>
      <c r="L498" s="108">
        <f t="shared" si="249"/>
        <v>0</v>
      </c>
      <c r="M498" s="108">
        <f t="shared" si="249"/>
        <v>0</v>
      </c>
      <c r="N498" s="108">
        <f t="shared" si="249"/>
        <v>0</v>
      </c>
      <c r="O498" s="108">
        <f t="shared" si="249"/>
        <v>0</v>
      </c>
      <c r="P498" s="108">
        <f t="shared" si="249"/>
        <v>0</v>
      </c>
      <c r="Q498" s="108">
        <f t="shared" si="249"/>
        <v>0</v>
      </c>
      <c r="R498" s="108">
        <f t="shared" si="249"/>
        <v>0</v>
      </c>
      <c r="S498" s="108">
        <f t="shared" si="249"/>
        <v>0</v>
      </c>
      <c r="T498" s="28" t="s">
        <v>26</v>
      </c>
      <c r="V498" s="104" t="str">
        <f>$V$64</f>
        <v>Alex</v>
      </c>
      <c r="W498" s="108">
        <f t="shared" si="223"/>
        <v>-1</v>
      </c>
      <c r="X498" s="108">
        <f t="shared" si="224"/>
        <v>-1</v>
      </c>
      <c r="Y498" s="108">
        <f t="shared" si="225"/>
        <v>-1</v>
      </c>
      <c r="Z498" s="108">
        <f t="shared" si="226"/>
        <v>-1</v>
      </c>
      <c r="AA498" s="108">
        <f t="shared" si="227"/>
        <v>-1</v>
      </c>
      <c r="AB498" s="108">
        <f t="shared" si="228"/>
        <v>-1</v>
      </c>
      <c r="AC498" s="108">
        <f t="shared" si="229"/>
        <v>-1</v>
      </c>
      <c r="AD498" s="108">
        <f t="shared" si="230"/>
        <v>-1</v>
      </c>
      <c r="AE498" s="108">
        <f t="shared" si="231"/>
        <v>-1</v>
      </c>
      <c r="AF498" s="108">
        <f t="shared" si="232"/>
        <v>-1</v>
      </c>
      <c r="AG498" s="108">
        <f t="shared" si="233"/>
        <v>-1</v>
      </c>
      <c r="AH498" s="108">
        <f t="shared" si="234"/>
        <v>-1</v>
      </c>
      <c r="AI498" s="108">
        <f t="shared" si="235"/>
        <v>-1</v>
      </c>
      <c r="AJ498" s="108">
        <f t="shared" si="236"/>
        <v>-1</v>
      </c>
      <c r="AK498" s="108">
        <f t="shared" si="237"/>
        <v>-1</v>
      </c>
      <c r="AL498" s="108">
        <f t="shared" si="238"/>
        <v>-1</v>
      </c>
      <c r="AM498" s="108"/>
      <c r="AQ498" s="104" t="str">
        <f>$V$77</f>
        <v>-</v>
      </c>
      <c r="AR498" s="54">
        <v>0</v>
      </c>
      <c r="AS498" s="54">
        <v>0</v>
      </c>
      <c r="AT498" s="54">
        <v>0</v>
      </c>
      <c r="AU498" s="54">
        <v>0</v>
      </c>
      <c r="AV498" s="54">
        <v>0</v>
      </c>
      <c r="AW498" s="54">
        <v>0</v>
      </c>
      <c r="AX498" s="54">
        <v>0</v>
      </c>
      <c r="AY498" s="54">
        <v>0</v>
      </c>
      <c r="AZ498" s="54">
        <v>0</v>
      </c>
      <c r="BA498" s="54">
        <v>0</v>
      </c>
      <c r="BB498" s="54">
        <v>0</v>
      </c>
      <c r="BC498" s="54">
        <v>0</v>
      </c>
      <c r="BD498" s="54">
        <v>0</v>
      </c>
      <c r="BE498" s="54">
        <v>0</v>
      </c>
      <c r="BF498" s="54">
        <v>0</v>
      </c>
      <c r="BG498" s="54">
        <v>0</v>
      </c>
      <c r="BH498" s="54">
        <v>0</v>
      </c>
      <c r="BK498" s="104" t="str">
        <f>$V$78</f>
        <v>-</v>
      </c>
      <c r="BL498" s="108">
        <v>0</v>
      </c>
      <c r="BM498" s="108">
        <v>0</v>
      </c>
      <c r="BN498" s="108">
        <v>0</v>
      </c>
      <c r="BO498" s="108">
        <v>0</v>
      </c>
      <c r="BP498" s="108">
        <v>0</v>
      </c>
      <c r="BQ498" s="108">
        <v>0</v>
      </c>
      <c r="BR498" s="108">
        <v>0</v>
      </c>
      <c r="BS498" s="108">
        <v>0</v>
      </c>
      <c r="BT498" s="108">
        <v>0</v>
      </c>
      <c r="BU498" s="108">
        <v>0</v>
      </c>
      <c r="BV498" s="108">
        <v>0</v>
      </c>
      <c r="BW498" s="108">
        <v>0</v>
      </c>
      <c r="BX498" s="108">
        <v>0</v>
      </c>
      <c r="BY498" s="108">
        <v>0</v>
      </c>
      <c r="BZ498" s="108">
        <v>0</v>
      </c>
      <c r="CA498" s="108">
        <v>0</v>
      </c>
      <c r="CB498" s="108">
        <v>0</v>
      </c>
    </row>
    <row r="499" spans="3:80" x14ac:dyDescent="0.55000000000000004">
      <c r="C499" s="104" t="str">
        <f>$V$65</f>
        <v>Alyssa</v>
      </c>
      <c r="D499" s="108">
        <f t="shared" ref="D499:S499" si="250">D65</f>
        <v>0</v>
      </c>
      <c r="E499" s="108">
        <f t="shared" si="250"/>
        <v>0</v>
      </c>
      <c r="F499" s="108">
        <f t="shared" si="250"/>
        <v>0</v>
      </c>
      <c r="G499" s="108">
        <f t="shared" si="250"/>
        <v>0</v>
      </c>
      <c r="H499" s="108">
        <f t="shared" si="250"/>
        <v>0</v>
      </c>
      <c r="I499" s="108">
        <f t="shared" si="250"/>
        <v>0</v>
      </c>
      <c r="J499" s="108">
        <f t="shared" si="250"/>
        <v>0</v>
      </c>
      <c r="K499" s="108">
        <f t="shared" si="250"/>
        <v>0</v>
      </c>
      <c r="L499" s="108">
        <f t="shared" si="250"/>
        <v>0</v>
      </c>
      <c r="M499" s="108">
        <f t="shared" si="250"/>
        <v>0</v>
      </c>
      <c r="N499" s="108">
        <f t="shared" si="250"/>
        <v>0</v>
      </c>
      <c r="O499" s="108">
        <f t="shared" si="250"/>
        <v>0</v>
      </c>
      <c r="P499" s="108">
        <f t="shared" si="250"/>
        <v>0</v>
      </c>
      <c r="Q499" s="108">
        <f t="shared" si="250"/>
        <v>0</v>
      </c>
      <c r="R499" s="108">
        <f t="shared" si="250"/>
        <v>0</v>
      </c>
      <c r="S499" s="108">
        <f t="shared" si="250"/>
        <v>0</v>
      </c>
      <c r="T499" s="28" t="s">
        <v>26</v>
      </c>
      <c r="V499" s="104" t="str">
        <f>$V$65</f>
        <v>Alyssa</v>
      </c>
      <c r="W499" s="108">
        <f t="shared" si="223"/>
        <v>-1</v>
      </c>
      <c r="X499" s="108">
        <f t="shared" si="224"/>
        <v>-1</v>
      </c>
      <c r="Y499" s="108">
        <f t="shared" si="225"/>
        <v>-1</v>
      </c>
      <c r="Z499" s="108">
        <f t="shared" si="226"/>
        <v>-1</v>
      </c>
      <c r="AA499" s="108">
        <f t="shared" si="227"/>
        <v>-1</v>
      </c>
      <c r="AB499" s="108">
        <f t="shared" si="228"/>
        <v>-1</v>
      </c>
      <c r="AC499" s="108">
        <f t="shared" si="229"/>
        <v>-1</v>
      </c>
      <c r="AD499" s="108">
        <f t="shared" si="230"/>
        <v>-1</v>
      </c>
      <c r="AE499" s="108">
        <f t="shared" si="231"/>
        <v>-1</v>
      </c>
      <c r="AF499" s="108">
        <f t="shared" si="232"/>
        <v>-1</v>
      </c>
      <c r="AG499" s="108">
        <f t="shared" si="233"/>
        <v>-1</v>
      </c>
      <c r="AH499" s="108">
        <f t="shared" si="234"/>
        <v>-1</v>
      </c>
      <c r="AI499" s="108">
        <f t="shared" si="235"/>
        <v>-1</v>
      </c>
      <c r="AJ499" s="108">
        <f t="shared" si="236"/>
        <v>-1</v>
      </c>
      <c r="AK499" s="108">
        <f t="shared" si="237"/>
        <v>-1</v>
      </c>
      <c r="AL499" s="108">
        <f t="shared" si="238"/>
        <v>-1</v>
      </c>
      <c r="AM499" s="108"/>
      <c r="AQ499" s="104" t="str">
        <f>$V$78</f>
        <v>-</v>
      </c>
      <c r="AR499" s="54">
        <v>0</v>
      </c>
      <c r="AS499" s="54">
        <v>0</v>
      </c>
      <c r="AT499" s="54">
        <v>0</v>
      </c>
      <c r="AU499" s="54">
        <v>0</v>
      </c>
      <c r="AV499" s="54">
        <v>0</v>
      </c>
      <c r="AW499" s="54">
        <v>0</v>
      </c>
      <c r="AX499" s="54">
        <v>0</v>
      </c>
      <c r="AY499" s="54">
        <v>0</v>
      </c>
      <c r="AZ499" s="54">
        <v>0</v>
      </c>
      <c r="BA499" s="54">
        <v>0</v>
      </c>
      <c r="BB499" s="54">
        <v>0</v>
      </c>
      <c r="BC499" s="54">
        <v>0</v>
      </c>
      <c r="BD499" s="54">
        <v>0</v>
      </c>
      <c r="BE499" s="54">
        <v>0</v>
      </c>
      <c r="BF499" s="54">
        <v>0</v>
      </c>
      <c r="BG499" s="54">
        <v>0</v>
      </c>
      <c r="BH499" s="54">
        <v>0</v>
      </c>
      <c r="BK499" s="104" t="str">
        <f>$V$79</f>
        <v>-</v>
      </c>
      <c r="BL499" s="108">
        <v>0</v>
      </c>
      <c r="BM499" s="108">
        <v>0</v>
      </c>
      <c r="BN499" s="108">
        <v>0</v>
      </c>
      <c r="BO499" s="108">
        <v>0</v>
      </c>
      <c r="BP499" s="108">
        <v>0</v>
      </c>
      <c r="BQ499" s="108">
        <v>0</v>
      </c>
      <c r="BR499" s="108">
        <v>0</v>
      </c>
      <c r="BS499" s="108">
        <v>0</v>
      </c>
      <c r="BT499" s="108">
        <v>0</v>
      </c>
      <c r="BU499" s="108">
        <v>0</v>
      </c>
      <c r="BV499" s="108">
        <v>0</v>
      </c>
      <c r="BW499" s="108">
        <v>0</v>
      </c>
      <c r="BX499" s="108">
        <v>0</v>
      </c>
      <c r="BY499" s="108">
        <v>0</v>
      </c>
      <c r="BZ499" s="108">
        <v>0</v>
      </c>
      <c r="CA499" s="108">
        <v>0</v>
      </c>
      <c r="CB499" s="108">
        <v>0</v>
      </c>
    </row>
    <row r="500" spans="3:80" x14ac:dyDescent="0.55000000000000004">
      <c r="C500" s="104" t="str">
        <f>$V$66</f>
        <v>Amanda</v>
      </c>
      <c r="D500" s="108">
        <f t="shared" ref="D500:S500" si="251">D66</f>
        <v>0</v>
      </c>
      <c r="E500" s="108">
        <f t="shared" si="251"/>
        <v>0</v>
      </c>
      <c r="F500" s="108">
        <f t="shared" si="251"/>
        <v>0</v>
      </c>
      <c r="G500" s="108">
        <f t="shared" si="251"/>
        <v>0</v>
      </c>
      <c r="H500" s="108">
        <f t="shared" si="251"/>
        <v>0</v>
      </c>
      <c r="I500" s="108">
        <f t="shared" si="251"/>
        <v>0</v>
      </c>
      <c r="J500" s="108">
        <f t="shared" si="251"/>
        <v>0</v>
      </c>
      <c r="K500" s="108">
        <f t="shared" si="251"/>
        <v>0</v>
      </c>
      <c r="L500" s="108">
        <f t="shared" si="251"/>
        <v>0</v>
      </c>
      <c r="M500" s="108">
        <f t="shared" si="251"/>
        <v>0</v>
      </c>
      <c r="N500" s="108">
        <f t="shared" si="251"/>
        <v>0</v>
      </c>
      <c r="O500" s="108">
        <f t="shared" si="251"/>
        <v>0</v>
      </c>
      <c r="P500" s="108">
        <f t="shared" si="251"/>
        <v>0</v>
      </c>
      <c r="Q500" s="108">
        <f t="shared" si="251"/>
        <v>0</v>
      </c>
      <c r="R500" s="108">
        <f t="shared" si="251"/>
        <v>0</v>
      </c>
      <c r="S500" s="108">
        <f t="shared" si="251"/>
        <v>0</v>
      </c>
      <c r="T500" s="28" t="s">
        <v>26</v>
      </c>
      <c r="V500" s="104" t="str">
        <f>$V$66</f>
        <v>Amanda</v>
      </c>
      <c r="W500" s="108">
        <f t="shared" si="223"/>
        <v>-1</v>
      </c>
      <c r="X500" s="108">
        <f t="shared" si="224"/>
        <v>-1</v>
      </c>
      <c r="Y500" s="108">
        <f t="shared" si="225"/>
        <v>-1</v>
      </c>
      <c r="Z500" s="108">
        <f t="shared" si="226"/>
        <v>-1</v>
      </c>
      <c r="AA500" s="108">
        <f t="shared" si="227"/>
        <v>-1</v>
      </c>
      <c r="AB500" s="108">
        <f t="shared" si="228"/>
        <v>-1</v>
      </c>
      <c r="AC500" s="108">
        <f t="shared" si="229"/>
        <v>-1</v>
      </c>
      <c r="AD500" s="108">
        <f t="shared" si="230"/>
        <v>-1</v>
      </c>
      <c r="AE500" s="108">
        <f t="shared" si="231"/>
        <v>-1</v>
      </c>
      <c r="AF500" s="108">
        <f t="shared" si="232"/>
        <v>-1</v>
      </c>
      <c r="AG500" s="108">
        <f t="shared" si="233"/>
        <v>-1</v>
      </c>
      <c r="AH500" s="108">
        <f t="shared" si="234"/>
        <v>-1</v>
      </c>
      <c r="AI500" s="108">
        <f t="shared" si="235"/>
        <v>-1</v>
      </c>
      <c r="AJ500" s="108">
        <f t="shared" si="236"/>
        <v>-1</v>
      </c>
      <c r="AK500" s="108">
        <f t="shared" si="237"/>
        <v>-1</v>
      </c>
      <c r="AL500" s="108">
        <f t="shared" si="238"/>
        <v>-1</v>
      </c>
      <c r="AM500" s="108"/>
      <c r="AQ500" s="104" t="str">
        <f>$V$79</f>
        <v>-</v>
      </c>
      <c r="AR500" s="54">
        <v>0</v>
      </c>
      <c r="AS500" s="54">
        <v>0</v>
      </c>
      <c r="AT500" s="54">
        <v>0</v>
      </c>
      <c r="AU500" s="54">
        <v>0</v>
      </c>
      <c r="AV500" s="54">
        <v>0</v>
      </c>
      <c r="AW500" s="54">
        <v>0</v>
      </c>
      <c r="AX500" s="54">
        <v>0</v>
      </c>
      <c r="AY500" s="54">
        <v>0</v>
      </c>
      <c r="AZ500" s="54">
        <v>0</v>
      </c>
      <c r="BA500" s="54">
        <v>0</v>
      </c>
      <c r="BB500" s="54">
        <v>0</v>
      </c>
      <c r="BC500" s="54">
        <v>0</v>
      </c>
      <c r="BD500" s="54">
        <v>0</v>
      </c>
      <c r="BE500" s="54">
        <v>0</v>
      </c>
      <c r="BF500" s="54">
        <v>0</v>
      </c>
      <c r="BG500" s="54">
        <v>0</v>
      </c>
      <c r="BH500" s="54">
        <v>0</v>
      </c>
      <c r="BK500" s="104" t="str">
        <f>$V$80</f>
        <v>-</v>
      </c>
      <c r="BL500" s="108">
        <v>0</v>
      </c>
      <c r="BM500" s="108">
        <v>0</v>
      </c>
      <c r="BN500" s="108">
        <v>0</v>
      </c>
      <c r="BO500" s="108">
        <v>0</v>
      </c>
      <c r="BP500" s="108">
        <v>0</v>
      </c>
      <c r="BQ500" s="108">
        <v>0</v>
      </c>
      <c r="BR500" s="108">
        <v>0</v>
      </c>
      <c r="BS500" s="108">
        <v>0</v>
      </c>
      <c r="BT500" s="108">
        <v>0</v>
      </c>
      <c r="BU500" s="108">
        <v>0</v>
      </c>
      <c r="BV500" s="108">
        <v>0</v>
      </c>
      <c r="BW500" s="108">
        <v>0</v>
      </c>
      <c r="BX500" s="108">
        <v>0</v>
      </c>
      <c r="BY500" s="108">
        <v>0</v>
      </c>
      <c r="BZ500" s="108">
        <v>0</v>
      </c>
      <c r="CA500" s="108">
        <v>0</v>
      </c>
      <c r="CB500" s="108">
        <v>0</v>
      </c>
    </row>
    <row r="501" spans="3:80" x14ac:dyDescent="0.55000000000000004">
      <c r="C501" s="104" t="str">
        <f>$V$67</f>
        <v>Antoine</v>
      </c>
      <c r="D501" s="108">
        <f t="shared" ref="D501:S501" si="252">D67</f>
        <v>0</v>
      </c>
      <c r="E501" s="108">
        <f t="shared" si="252"/>
        <v>0</v>
      </c>
      <c r="F501" s="108">
        <f t="shared" si="252"/>
        <v>0</v>
      </c>
      <c r="G501" s="108">
        <f t="shared" si="252"/>
        <v>0</v>
      </c>
      <c r="H501" s="108">
        <f t="shared" si="252"/>
        <v>0</v>
      </c>
      <c r="I501" s="108">
        <f t="shared" si="252"/>
        <v>0</v>
      </c>
      <c r="J501" s="108">
        <f t="shared" si="252"/>
        <v>0</v>
      </c>
      <c r="K501" s="108">
        <f t="shared" si="252"/>
        <v>0</v>
      </c>
      <c r="L501" s="108">
        <f t="shared" si="252"/>
        <v>0</v>
      </c>
      <c r="M501" s="108">
        <f t="shared" si="252"/>
        <v>0</v>
      </c>
      <c r="N501" s="108">
        <f t="shared" si="252"/>
        <v>0</v>
      </c>
      <c r="O501" s="108">
        <f t="shared" si="252"/>
        <v>0</v>
      </c>
      <c r="P501" s="108">
        <f t="shared" si="252"/>
        <v>0</v>
      </c>
      <c r="Q501" s="108">
        <f t="shared" si="252"/>
        <v>0</v>
      </c>
      <c r="R501" s="108">
        <f t="shared" si="252"/>
        <v>0</v>
      </c>
      <c r="S501" s="108">
        <f t="shared" si="252"/>
        <v>0</v>
      </c>
      <c r="T501" s="28" t="s">
        <v>26</v>
      </c>
      <c r="V501" s="104" t="str">
        <f>$V$67</f>
        <v>Antoine</v>
      </c>
      <c r="W501" s="108">
        <f t="shared" si="223"/>
        <v>-1</v>
      </c>
      <c r="X501" s="108">
        <f t="shared" si="224"/>
        <v>-1</v>
      </c>
      <c r="Y501" s="108">
        <f t="shared" si="225"/>
        <v>-1</v>
      </c>
      <c r="Z501" s="108">
        <f t="shared" si="226"/>
        <v>-1</v>
      </c>
      <c r="AA501" s="108">
        <f t="shared" si="227"/>
        <v>-1</v>
      </c>
      <c r="AB501" s="108">
        <f t="shared" si="228"/>
        <v>-1</v>
      </c>
      <c r="AC501" s="108">
        <f t="shared" si="229"/>
        <v>-1</v>
      </c>
      <c r="AD501" s="108">
        <f t="shared" si="230"/>
        <v>-1</v>
      </c>
      <c r="AE501" s="108">
        <f t="shared" si="231"/>
        <v>-1</v>
      </c>
      <c r="AF501" s="108">
        <f t="shared" si="232"/>
        <v>-1</v>
      </c>
      <c r="AG501" s="108">
        <f t="shared" si="233"/>
        <v>-1</v>
      </c>
      <c r="AH501" s="108">
        <f t="shared" si="234"/>
        <v>-1</v>
      </c>
      <c r="AI501" s="108">
        <f t="shared" si="235"/>
        <v>-1</v>
      </c>
      <c r="AJ501" s="108">
        <f t="shared" si="236"/>
        <v>-1</v>
      </c>
      <c r="AK501" s="108">
        <f t="shared" si="237"/>
        <v>-1</v>
      </c>
      <c r="AL501" s="108">
        <f t="shared" si="238"/>
        <v>-1</v>
      </c>
      <c r="AM501" s="108"/>
      <c r="AQ501" s="104" t="str">
        <f>$V$80</f>
        <v>-</v>
      </c>
      <c r="AR501" s="54">
        <v>0</v>
      </c>
      <c r="AS501" s="54">
        <v>0</v>
      </c>
      <c r="AT501" s="54">
        <v>0</v>
      </c>
      <c r="AU501" s="54">
        <v>0</v>
      </c>
      <c r="AV501" s="54">
        <v>0</v>
      </c>
      <c r="AW501" s="54">
        <v>0</v>
      </c>
      <c r="AX501" s="54">
        <v>0</v>
      </c>
      <c r="AY501" s="54">
        <v>0</v>
      </c>
      <c r="AZ501" s="54">
        <v>0</v>
      </c>
      <c r="BA501" s="54">
        <v>0</v>
      </c>
      <c r="BB501" s="54">
        <v>0</v>
      </c>
      <c r="BC501" s="54">
        <v>0</v>
      </c>
      <c r="BD501" s="54">
        <v>0</v>
      </c>
      <c r="BE501" s="54">
        <v>0</v>
      </c>
      <c r="BF501" s="54">
        <v>0</v>
      </c>
      <c r="BG501" s="54">
        <v>0</v>
      </c>
      <c r="BH501" s="54">
        <v>0</v>
      </c>
      <c r="BK501" s="104" t="str">
        <f>$V$81</f>
        <v>-</v>
      </c>
      <c r="BL501" s="108">
        <v>0</v>
      </c>
      <c r="BM501" s="108">
        <v>0</v>
      </c>
      <c r="BN501" s="108">
        <v>0</v>
      </c>
      <c r="BO501" s="108">
        <v>0</v>
      </c>
      <c r="BP501" s="108">
        <v>0</v>
      </c>
      <c r="BQ501" s="108">
        <v>0</v>
      </c>
      <c r="BR501" s="108">
        <v>0</v>
      </c>
      <c r="BS501" s="108">
        <v>0</v>
      </c>
      <c r="BT501" s="108">
        <v>0</v>
      </c>
      <c r="BU501" s="108">
        <v>0</v>
      </c>
      <c r="BV501" s="108">
        <v>0</v>
      </c>
      <c r="BW501" s="108">
        <v>0</v>
      </c>
      <c r="BX501" s="108">
        <v>0</v>
      </c>
      <c r="BY501" s="108">
        <v>0</v>
      </c>
      <c r="BZ501" s="108">
        <v>0</v>
      </c>
      <c r="CA501" s="108">
        <v>0</v>
      </c>
      <c r="CB501" s="108">
        <v>0</v>
      </c>
    </row>
    <row r="502" spans="3:80" x14ac:dyDescent="0.55000000000000004">
      <c r="C502" s="104" t="str">
        <f>$V$68</f>
        <v>Beatriz</v>
      </c>
      <c r="D502" s="108">
        <f t="shared" ref="D502:S502" si="253">D68</f>
        <v>0</v>
      </c>
      <c r="E502" s="108">
        <f t="shared" si="253"/>
        <v>0</v>
      </c>
      <c r="F502" s="108">
        <f t="shared" si="253"/>
        <v>0</v>
      </c>
      <c r="G502" s="108">
        <f t="shared" si="253"/>
        <v>0</v>
      </c>
      <c r="H502" s="108">
        <f t="shared" si="253"/>
        <v>0</v>
      </c>
      <c r="I502" s="108">
        <f t="shared" si="253"/>
        <v>0</v>
      </c>
      <c r="J502" s="108">
        <f t="shared" si="253"/>
        <v>0</v>
      </c>
      <c r="K502" s="108">
        <f t="shared" si="253"/>
        <v>0</v>
      </c>
      <c r="L502" s="108">
        <f t="shared" si="253"/>
        <v>0</v>
      </c>
      <c r="M502" s="108">
        <f t="shared" si="253"/>
        <v>0</v>
      </c>
      <c r="N502" s="108">
        <f t="shared" si="253"/>
        <v>0</v>
      </c>
      <c r="O502" s="108">
        <f t="shared" si="253"/>
        <v>0</v>
      </c>
      <c r="P502" s="108">
        <f t="shared" si="253"/>
        <v>0</v>
      </c>
      <c r="Q502" s="108">
        <f t="shared" si="253"/>
        <v>0</v>
      </c>
      <c r="R502" s="108">
        <f t="shared" si="253"/>
        <v>0</v>
      </c>
      <c r="S502" s="108">
        <f t="shared" si="253"/>
        <v>0</v>
      </c>
      <c r="T502" s="28" t="s">
        <v>26</v>
      </c>
      <c r="V502" s="104" t="str">
        <f>$V$68</f>
        <v>Beatriz</v>
      </c>
      <c r="W502" s="108">
        <f t="shared" si="223"/>
        <v>-1</v>
      </c>
      <c r="X502" s="108">
        <f t="shared" si="224"/>
        <v>-1</v>
      </c>
      <c r="Y502" s="108">
        <f t="shared" si="225"/>
        <v>-1</v>
      </c>
      <c r="Z502" s="108">
        <f t="shared" si="226"/>
        <v>-1</v>
      </c>
      <c r="AA502" s="108">
        <f t="shared" si="227"/>
        <v>-1</v>
      </c>
      <c r="AB502" s="108">
        <f t="shared" si="228"/>
        <v>-1</v>
      </c>
      <c r="AC502" s="108">
        <f t="shared" si="229"/>
        <v>-1</v>
      </c>
      <c r="AD502" s="108">
        <f t="shared" si="230"/>
        <v>-1</v>
      </c>
      <c r="AE502" s="108">
        <f t="shared" si="231"/>
        <v>-1</v>
      </c>
      <c r="AF502" s="108">
        <f t="shared" si="232"/>
        <v>-1</v>
      </c>
      <c r="AG502" s="108">
        <f t="shared" si="233"/>
        <v>-1</v>
      </c>
      <c r="AH502" s="108">
        <f t="shared" si="234"/>
        <v>-1</v>
      </c>
      <c r="AI502" s="108">
        <f t="shared" si="235"/>
        <v>-1</v>
      </c>
      <c r="AJ502" s="108">
        <f t="shared" si="236"/>
        <v>-1</v>
      </c>
      <c r="AK502" s="108">
        <f t="shared" si="237"/>
        <v>-1</v>
      </c>
      <c r="AL502" s="108">
        <f t="shared" si="238"/>
        <v>-1</v>
      </c>
      <c r="AM502" s="108"/>
      <c r="AQ502" s="104" t="str">
        <f>$V$81</f>
        <v>-</v>
      </c>
      <c r="AR502" s="54">
        <v>0</v>
      </c>
      <c r="AS502" s="54">
        <v>0</v>
      </c>
      <c r="AT502" s="54">
        <v>0</v>
      </c>
      <c r="AU502" s="54">
        <v>0</v>
      </c>
      <c r="AV502" s="54">
        <v>0</v>
      </c>
      <c r="AW502" s="54">
        <v>0</v>
      </c>
      <c r="AX502" s="54">
        <v>0</v>
      </c>
      <c r="AY502" s="54">
        <v>0</v>
      </c>
      <c r="AZ502" s="54">
        <v>0</v>
      </c>
      <c r="BA502" s="54">
        <v>0</v>
      </c>
      <c r="BB502" s="54">
        <v>0</v>
      </c>
      <c r="BC502" s="54">
        <v>0</v>
      </c>
      <c r="BD502" s="54">
        <v>0</v>
      </c>
      <c r="BE502" s="54">
        <v>0</v>
      </c>
      <c r="BF502" s="54">
        <v>0</v>
      </c>
      <c r="BG502" s="54">
        <v>0</v>
      </c>
      <c r="BH502" s="54">
        <v>0</v>
      </c>
      <c r="BK502" s="104" t="str">
        <f>$V$82</f>
        <v>-</v>
      </c>
      <c r="BL502" s="108">
        <v>0</v>
      </c>
      <c r="BM502" s="108">
        <v>0</v>
      </c>
      <c r="BN502" s="108">
        <v>0</v>
      </c>
      <c r="BO502" s="108">
        <v>0</v>
      </c>
      <c r="BP502" s="108">
        <v>0</v>
      </c>
      <c r="BQ502" s="108">
        <v>0</v>
      </c>
      <c r="BR502" s="108">
        <v>0</v>
      </c>
      <c r="BS502" s="108">
        <v>0</v>
      </c>
      <c r="BT502" s="108">
        <v>0</v>
      </c>
      <c r="BU502" s="108">
        <v>0</v>
      </c>
      <c r="BV502" s="108">
        <v>0</v>
      </c>
      <c r="BW502" s="108">
        <v>0</v>
      </c>
      <c r="BX502" s="108">
        <v>0</v>
      </c>
      <c r="BY502" s="108">
        <v>0</v>
      </c>
      <c r="BZ502" s="108">
        <v>0</v>
      </c>
      <c r="CA502" s="108">
        <v>0</v>
      </c>
      <c r="CB502" s="108">
        <v>0</v>
      </c>
    </row>
    <row r="503" spans="3:80" x14ac:dyDescent="0.55000000000000004">
      <c r="C503" s="104" t="str">
        <f>$V$69</f>
        <v>Charelle</v>
      </c>
      <c r="D503" s="108">
        <f t="shared" ref="D503:S503" si="254">D69</f>
        <v>0</v>
      </c>
      <c r="E503" s="108">
        <f t="shared" si="254"/>
        <v>0</v>
      </c>
      <c r="F503" s="108">
        <f t="shared" si="254"/>
        <v>0</v>
      </c>
      <c r="G503" s="108">
        <f t="shared" si="254"/>
        <v>0</v>
      </c>
      <c r="H503" s="108">
        <f t="shared" si="254"/>
        <v>0</v>
      </c>
      <c r="I503" s="108">
        <f t="shared" si="254"/>
        <v>0</v>
      </c>
      <c r="J503" s="108">
        <f t="shared" si="254"/>
        <v>0</v>
      </c>
      <c r="K503" s="108">
        <f t="shared" si="254"/>
        <v>0</v>
      </c>
      <c r="L503" s="108">
        <f t="shared" si="254"/>
        <v>0</v>
      </c>
      <c r="M503" s="108">
        <f t="shared" si="254"/>
        <v>0</v>
      </c>
      <c r="N503" s="108">
        <f t="shared" si="254"/>
        <v>0</v>
      </c>
      <c r="O503" s="108">
        <f t="shared" si="254"/>
        <v>0</v>
      </c>
      <c r="P503" s="108">
        <f t="shared" si="254"/>
        <v>0</v>
      </c>
      <c r="Q503" s="108">
        <f t="shared" si="254"/>
        <v>0</v>
      </c>
      <c r="R503" s="108">
        <f t="shared" si="254"/>
        <v>0</v>
      </c>
      <c r="S503" s="108">
        <f t="shared" si="254"/>
        <v>0</v>
      </c>
      <c r="T503" s="28" t="s">
        <v>26</v>
      </c>
      <c r="V503" s="104" t="str">
        <f>$V$69</f>
        <v>Charelle</v>
      </c>
      <c r="W503" s="108">
        <f t="shared" si="223"/>
        <v>-1</v>
      </c>
      <c r="X503" s="108">
        <f t="shared" si="224"/>
        <v>-1</v>
      </c>
      <c r="Y503" s="108">
        <f t="shared" si="225"/>
        <v>-1</v>
      </c>
      <c r="Z503" s="108">
        <f t="shared" si="226"/>
        <v>-1</v>
      </c>
      <c r="AA503" s="108">
        <f t="shared" si="227"/>
        <v>-1</v>
      </c>
      <c r="AB503" s="108">
        <f t="shared" si="228"/>
        <v>-1</v>
      </c>
      <c r="AC503" s="108">
        <f t="shared" si="229"/>
        <v>-1</v>
      </c>
      <c r="AD503" s="108">
        <f t="shared" si="230"/>
        <v>-1</v>
      </c>
      <c r="AE503" s="108">
        <f t="shared" si="231"/>
        <v>-1</v>
      </c>
      <c r="AF503" s="108">
        <f t="shared" si="232"/>
        <v>-1</v>
      </c>
      <c r="AG503" s="108">
        <f t="shared" si="233"/>
        <v>-1</v>
      </c>
      <c r="AH503" s="108">
        <f t="shared" si="234"/>
        <v>-1</v>
      </c>
      <c r="AI503" s="108">
        <f t="shared" si="235"/>
        <v>-1</v>
      </c>
      <c r="AJ503" s="108">
        <f t="shared" si="236"/>
        <v>-1</v>
      </c>
      <c r="AK503" s="108">
        <f t="shared" si="237"/>
        <v>-1</v>
      </c>
      <c r="AL503" s="108">
        <f t="shared" si="238"/>
        <v>-1</v>
      </c>
      <c r="AM503" s="108"/>
      <c r="AQ503" s="104" t="str">
        <f>$V$82</f>
        <v>-</v>
      </c>
      <c r="AR503" s="54">
        <v>0</v>
      </c>
      <c r="AS503" s="54">
        <v>0</v>
      </c>
      <c r="AT503" s="54">
        <v>0</v>
      </c>
      <c r="AU503" s="54">
        <v>0</v>
      </c>
      <c r="AV503" s="54">
        <v>0</v>
      </c>
      <c r="AW503" s="54">
        <v>0</v>
      </c>
      <c r="AX503" s="54">
        <v>0</v>
      </c>
      <c r="AY503" s="54">
        <v>0</v>
      </c>
      <c r="AZ503" s="54">
        <v>0</v>
      </c>
      <c r="BA503" s="54">
        <v>0</v>
      </c>
      <c r="BB503" s="54">
        <v>0</v>
      </c>
      <c r="BC503" s="54">
        <v>0</v>
      </c>
      <c r="BD503" s="54">
        <v>0</v>
      </c>
      <c r="BE503" s="54">
        <v>0</v>
      </c>
      <c r="BF503" s="54">
        <v>0</v>
      </c>
      <c r="BG503" s="54">
        <v>0</v>
      </c>
      <c r="BH503" s="54">
        <v>0</v>
      </c>
      <c r="BK503" s="104" t="str">
        <f>$V$83</f>
        <v>-</v>
      </c>
      <c r="BL503" s="108">
        <v>0</v>
      </c>
      <c r="BM503" s="108">
        <v>0</v>
      </c>
      <c r="BN503" s="108">
        <v>0</v>
      </c>
      <c r="BO503" s="108">
        <v>0</v>
      </c>
      <c r="BP503" s="108">
        <v>0</v>
      </c>
      <c r="BQ503" s="108">
        <v>0</v>
      </c>
      <c r="BR503" s="108">
        <v>0</v>
      </c>
      <c r="BS503" s="108">
        <v>0</v>
      </c>
      <c r="BT503" s="108">
        <v>0</v>
      </c>
      <c r="BU503" s="108">
        <v>0</v>
      </c>
      <c r="BV503" s="108">
        <v>0</v>
      </c>
      <c r="BW503" s="108">
        <v>0</v>
      </c>
      <c r="BX503" s="108">
        <v>0</v>
      </c>
      <c r="BY503" s="108">
        <v>0</v>
      </c>
      <c r="BZ503" s="108">
        <v>0</v>
      </c>
      <c r="CA503" s="108">
        <v>0</v>
      </c>
      <c r="CB503" s="108">
        <v>0</v>
      </c>
    </row>
    <row r="504" spans="3:80" x14ac:dyDescent="0.55000000000000004">
      <c r="C504" s="104" t="str">
        <f>$V$70</f>
        <v>Dimitri</v>
      </c>
      <c r="D504" s="108">
        <f t="shared" ref="D504:S504" si="255">D70</f>
        <v>0</v>
      </c>
      <c r="E504" s="108">
        <f t="shared" si="255"/>
        <v>0</v>
      </c>
      <c r="F504" s="108">
        <f t="shared" si="255"/>
        <v>0</v>
      </c>
      <c r="G504" s="108">
        <f t="shared" si="255"/>
        <v>0</v>
      </c>
      <c r="H504" s="108">
        <f t="shared" si="255"/>
        <v>0</v>
      </c>
      <c r="I504" s="108">
        <f t="shared" si="255"/>
        <v>0</v>
      </c>
      <c r="J504" s="108">
        <f t="shared" si="255"/>
        <v>0</v>
      </c>
      <c r="K504" s="108">
        <f t="shared" si="255"/>
        <v>0</v>
      </c>
      <c r="L504" s="108">
        <f t="shared" si="255"/>
        <v>0</v>
      </c>
      <c r="M504" s="108">
        <f t="shared" si="255"/>
        <v>0</v>
      </c>
      <c r="N504" s="108">
        <f t="shared" si="255"/>
        <v>0</v>
      </c>
      <c r="O504" s="108">
        <f t="shared" si="255"/>
        <v>0</v>
      </c>
      <c r="P504" s="108">
        <f t="shared" si="255"/>
        <v>0</v>
      </c>
      <c r="Q504" s="108">
        <f t="shared" si="255"/>
        <v>0</v>
      </c>
      <c r="R504" s="108">
        <f t="shared" si="255"/>
        <v>0</v>
      </c>
      <c r="S504" s="108">
        <f t="shared" si="255"/>
        <v>0</v>
      </c>
      <c r="T504" s="28" t="s">
        <v>26</v>
      </c>
      <c r="V504" s="104" t="str">
        <f>$V$70</f>
        <v>Dimitri</v>
      </c>
      <c r="W504" s="108">
        <f t="shared" si="223"/>
        <v>-1</v>
      </c>
      <c r="X504" s="108">
        <f t="shared" si="224"/>
        <v>-1</v>
      </c>
      <c r="Y504" s="108">
        <f t="shared" si="225"/>
        <v>-1</v>
      </c>
      <c r="Z504" s="108">
        <f t="shared" si="226"/>
        <v>-1</v>
      </c>
      <c r="AA504" s="108">
        <f t="shared" si="227"/>
        <v>-1</v>
      </c>
      <c r="AB504" s="108">
        <f t="shared" si="228"/>
        <v>-1</v>
      </c>
      <c r="AC504" s="108">
        <f t="shared" si="229"/>
        <v>-1</v>
      </c>
      <c r="AD504" s="108">
        <f t="shared" si="230"/>
        <v>-1</v>
      </c>
      <c r="AE504" s="108">
        <f t="shared" si="231"/>
        <v>-1</v>
      </c>
      <c r="AF504" s="108">
        <f t="shared" si="232"/>
        <v>-1</v>
      </c>
      <c r="AG504" s="108">
        <f t="shared" si="233"/>
        <v>-1</v>
      </c>
      <c r="AH504" s="108">
        <f t="shared" si="234"/>
        <v>-1</v>
      </c>
      <c r="AI504" s="108">
        <f t="shared" si="235"/>
        <v>-1</v>
      </c>
      <c r="AJ504" s="108">
        <f t="shared" si="236"/>
        <v>-1</v>
      </c>
      <c r="AK504" s="108">
        <f t="shared" si="237"/>
        <v>-1</v>
      </c>
      <c r="AL504" s="108">
        <f t="shared" si="238"/>
        <v>-1</v>
      </c>
      <c r="AM504" s="108"/>
      <c r="AQ504" s="104" t="str">
        <f>$V$83</f>
        <v>-</v>
      </c>
      <c r="AR504" s="54">
        <v>0</v>
      </c>
      <c r="AS504" s="54">
        <v>0</v>
      </c>
      <c r="AT504" s="54">
        <v>0</v>
      </c>
      <c r="AU504" s="54">
        <v>0</v>
      </c>
      <c r="AV504" s="54">
        <v>0</v>
      </c>
      <c r="AW504" s="54">
        <v>0</v>
      </c>
      <c r="AX504" s="54">
        <v>0</v>
      </c>
      <c r="AY504" s="54">
        <v>0</v>
      </c>
      <c r="AZ504" s="54">
        <v>0</v>
      </c>
      <c r="BA504" s="54">
        <v>0</v>
      </c>
      <c r="BB504" s="54">
        <v>0</v>
      </c>
      <c r="BC504" s="54">
        <v>-2</v>
      </c>
      <c r="BD504" s="54">
        <v>0</v>
      </c>
      <c r="BE504" s="54">
        <v>0</v>
      </c>
      <c r="BF504" s="54">
        <v>0</v>
      </c>
      <c r="BG504" s="54">
        <v>0</v>
      </c>
      <c r="BH504" s="54">
        <v>0</v>
      </c>
      <c r="BK504" s="104" t="str">
        <f>$V$84</f>
        <v>-</v>
      </c>
      <c r="BL504" s="108">
        <v>0</v>
      </c>
      <c r="BM504" s="108">
        <v>0</v>
      </c>
      <c r="BN504" s="108">
        <v>0</v>
      </c>
      <c r="BO504" s="108">
        <v>0</v>
      </c>
      <c r="BP504" s="108">
        <v>0</v>
      </c>
      <c r="BQ504" s="108">
        <v>0</v>
      </c>
      <c r="BR504" s="108">
        <v>0</v>
      </c>
      <c r="BS504" s="108">
        <v>0</v>
      </c>
      <c r="BT504" s="108">
        <v>0</v>
      </c>
      <c r="BU504" s="108">
        <v>0</v>
      </c>
      <c r="BV504" s="108">
        <v>0</v>
      </c>
      <c r="BW504" s="108">
        <v>0</v>
      </c>
      <c r="BX504" s="108">
        <v>0</v>
      </c>
      <c r="BY504" s="108">
        <v>0</v>
      </c>
      <c r="BZ504" s="108">
        <v>0</v>
      </c>
      <c r="CA504" s="108">
        <v>0</v>
      </c>
      <c r="CB504" s="108">
        <v>0</v>
      </c>
    </row>
    <row r="505" spans="3:80" x14ac:dyDescent="0.55000000000000004">
      <c r="C505" s="104" t="str">
        <f>$V$71</f>
        <v>Marina</v>
      </c>
      <c r="D505" s="108">
        <f t="shared" ref="D505:S505" si="256">D71</f>
        <v>0</v>
      </c>
      <c r="E505" s="108">
        <f t="shared" si="256"/>
        <v>0</v>
      </c>
      <c r="F505" s="108">
        <f t="shared" si="256"/>
        <v>0</v>
      </c>
      <c r="G505" s="108">
        <f t="shared" si="256"/>
        <v>0</v>
      </c>
      <c r="H505" s="108">
        <f t="shared" si="256"/>
        <v>0</v>
      </c>
      <c r="I505" s="108">
        <f t="shared" si="256"/>
        <v>0</v>
      </c>
      <c r="J505" s="108">
        <f t="shared" si="256"/>
        <v>0</v>
      </c>
      <c r="K505" s="108">
        <f t="shared" si="256"/>
        <v>0</v>
      </c>
      <c r="L505" s="108">
        <f t="shared" si="256"/>
        <v>0</v>
      </c>
      <c r="M505" s="108">
        <f t="shared" si="256"/>
        <v>0</v>
      </c>
      <c r="N505" s="108">
        <f t="shared" si="256"/>
        <v>0</v>
      </c>
      <c r="O505" s="108">
        <f t="shared" si="256"/>
        <v>0</v>
      </c>
      <c r="P505" s="108">
        <f t="shared" si="256"/>
        <v>0</v>
      </c>
      <c r="Q505" s="108">
        <f t="shared" si="256"/>
        <v>0</v>
      </c>
      <c r="R505" s="108">
        <f t="shared" si="256"/>
        <v>0</v>
      </c>
      <c r="S505" s="108">
        <f t="shared" si="256"/>
        <v>0</v>
      </c>
      <c r="T505" s="28" t="s">
        <v>26</v>
      </c>
      <c r="V505" s="104" t="str">
        <f>$V$71</f>
        <v>Marina</v>
      </c>
      <c r="W505" s="108">
        <f t="shared" si="223"/>
        <v>-1</v>
      </c>
      <c r="X505" s="108">
        <f t="shared" si="224"/>
        <v>-1</v>
      </c>
      <c r="Y505" s="108">
        <f t="shared" si="225"/>
        <v>-1</v>
      </c>
      <c r="Z505" s="108">
        <f t="shared" si="226"/>
        <v>-1</v>
      </c>
      <c r="AA505" s="108">
        <f t="shared" si="227"/>
        <v>-1</v>
      </c>
      <c r="AB505" s="108">
        <f t="shared" si="228"/>
        <v>-1</v>
      </c>
      <c r="AC505" s="108">
        <f t="shared" si="229"/>
        <v>-1</v>
      </c>
      <c r="AD505" s="108">
        <f t="shared" si="230"/>
        <v>-1</v>
      </c>
      <c r="AE505" s="108">
        <f t="shared" si="231"/>
        <v>-1</v>
      </c>
      <c r="AF505" s="108">
        <f t="shared" si="232"/>
        <v>-1</v>
      </c>
      <c r="AG505" s="108">
        <f t="shared" si="233"/>
        <v>-1</v>
      </c>
      <c r="AH505" s="108">
        <f t="shared" si="234"/>
        <v>-1</v>
      </c>
      <c r="AI505" s="108">
        <f t="shared" si="235"/>
        <v>-1</v>
      </c>
      <c r="AJ505" s="108">
        <f t="shared" si="236"/>
        <v>-1</v>
      </c>
      <c r="AK505" s="108">
        <f t="shared" si="237"/>
        <v>-1</v>
      </c>
      <c r="AL505" s="108">
        <f t="shared" si="238"/>
        <v>-1</v>
      </c>
      <c r="AM505" s="108"/>
      <c r="AQ505" s="104" t="str">
        <f>$V$84</f>
        <v>-</v>
      </c>
      <c r="AR505" s="54">
        <v>0</v>
      </c>
      <c r="AS505" s="54">
        <v>0</v>
      </c>
      <c r="AT505" s="54">
        <v>0</v>
      </c>
      <c r="AU505" s="54">
        <v>0</v>
      </c>
      <c r="AV505" s="54">
        <v>0</v>
      </c>
      <c r="AW505" s="54">
        <v>0</v>
      </c>
      <c r="AX505" s="54">
        <v>0</v>
      </c>
      <c r="AY505" s="54">
        <v>0</v>
      </c>
      <c r="AZ505" s="54">
        <v>0</v>
      </c>
      <c r="BA505" s="54">
        <v>0</v>
      </c>
      <c r="BB505" s="54">
        <v>0</v>
      </c>
      <c r="BC505" s="54">
        <v>0</v>
      </c>
      <c r="BD505" s="54">
        <v>0</v>
      </c>
      <c r="BE505" s="54">
        <v>0</v>
      </c>
      <c r="BF505" s="54">
        <v>0</v>
      </c>
      <c r="BG505" s="54">
        <v>0</v>
      </c>
      <c r="BH505" s="54">
        <v>0</v>
      </c>
      <c r="BK505" s="104" t="str">
        <f>$V$85</f>
        <v>-</v>
      </c>
      <c r="BL505" s="108">
        <v>0</v>
      </c>
      <c r="BM505" s="108">
        <v>0</v>
      </c>
      <c r="BN505" s="108">
        <v>0</v>
      </c>
      <c r="BO505" s="108">
        <v>0</v>
      </c>
      <c r="BP505" s="108">
        <v>0</v>
      </c>
      <c r="BQ505" s="108">
        <v>0</v>
      </c>
      <c r="BR505" s="108">
        <v>0</v>
      </c>
      <c r="BS505" s="108">
        <v>0</v>
      </c>
      <c r="BT505" s="108">
        <v>0</v>
      </c>
      <c r="BU505" s="108">
        <v>0</v>
      </c>
      <c r="BV505" s="108">
        <v>0</v>
      </c>
      <c r="BW505" s="108">
        <v>0</v>
      </c>
      <c r="BX505" s="108">
        <v>0</v>
      </c>
      <c r="BY505" s="108">
        <v>0</v>
      </c>
      <c r="BZ505" s="108">
        <v>0</v>
      </c>
      <c r="CA505" s="108">
        <v>0</v>
      </c>
      <c r="CB505" s="108">
        <v>0</v>
      </c>
    </row>
    <row r="506" spans="3:80" x14ac:dyDescent="0.55000000000000004">
      <c r="C506" s="104" t="str">
        <f>$V$72</f>
        <v>Michel</v>
      </c>
      <c r="D506" s="108">
        <f t="shared" ref="D506:S506" si="257">D72</f>
        <v>0</v>
      </c>
      <c r="E506" s="108">
        <f t="shared" si="257"/>
        <v>0</v>
      </c>
      <c r="F506" s="108">
        <f t="shared" si="257"/>
        <v>0</v>
      </c>
      <c r="G506" s="108">
        <f t="shared" si="257"/>
        <v>0</v>
      </c>
      <c r="H506" s="108">
        <f t="shared" si="257"/>
        <v>0</v>
      </c>
      <c r="I506" s="108">
        <f t="shared" si="257"/>
        <v>0</v>
      </c>
      <c r="J506" s="108">
        <f t="shared" si="257"/>
        <v>0</v>
      </c>
      <c r="K506" s="108">
        <f t="shared" si="257"/>
        <v>0</v>
      </c>
      <c r="L506" s="108">
        <f t="shared" si="257"/>
        <v>0</v>
      </c>
      <c r="M506" s="108">
        <f t="shared" si="257"/>
        <v>0</v>
      </c>
      <c r="N506" s="108">
        <f t="shared" si="257"/>
        <v>0</v>
      </c>
      <c r="O506" s="108">
        <f t="shared" si="257"/>
        <v>0</v>
      </c>
      <c r="P506" s="108">
        <f t="shared" si="257"/>
        <v>0</v>
      </c>
      <c r="Q506" s="108">
        <f t="shared" si="257"/>
        <v>0</v>
      </c>
      <c r="R506" s="108">
        <f t="shared" si="257"/>
        <v>0</v>
      </c>
      <c r="S506" s="108">
        <f t="shared" si="257"/>
        <v>0</v>
      </c>
      <c r="T506" s="28" t="s">
        <v>26</v>
      </c>
      <c r="V506" s="104" t="str">
        <f>$V$72</f>
        <v>Michel</v>
      </c>
      <c r="W506" s="108">
        <f t="shared" si="223"/>
        <v>-1</v>
      </c>
      <c r="X506" s="108">
        <f t="shared" si="224"/>
        <v>-1</v>
      </c>
      <c r="Y506" s="108">
        <f t="shared" si="225"/>
        <v>-1</v>
      </c>
      <c r="Z506" s="108">
        <f t="shared" si="226"/>
        <v>-1</v>
      </c>
      <c r="AA506" s="108">
        <f t="shared" si="227"/>
        <v>-1</v>
      </c>
      <c r="AB506" s="108">
        <f t="shared" si="228"/>
        <v>-1</v>
      </c>
      <c r="AC506" s="108">
        <f t="shared" si="229"/>
        <v>-1</v>
      </c>
      <c r="AD506" s="108">
        <f t="shared" si="230"/>
        <v>-1</v>
      </c>
      <c r="AE506" s="108">
        <f t="shared" si="231"/>
        <v>-1</v>
      </c>
      <c r="AF506" s="108">
        <f t="shared" si="232"/>
        <v>-1</v>
      </c>
      <c r="AG506" s="108">
        <f t="shared" si="233"/>
        <v>-1</v>
      </c>
      <c r="AH506" s="108">
        <f t="shared" si="234"/>
        <v>-1</v>
      </c>
      <c r="AI506" s="108">
        <f t="shared" si="235"/>
        <v>-1</v>
      </c>
      <c r="AJ506" s="108">
        <f t="shared" si="236"/>
        <v>-1</v>
      </c>
      <c r="AK506" s="108">
        <f t="shared" si="237"/>
        <v>-1</v>
      </c>
      <c r="AL506" s="108">
        <f t="shared" si="238"/>
        <v>-1</v>
      </c>
      <c r="AM506" s="108"/>
      <c r="AQ506" s="104" t="str">
        <f>$V$85</f>
        <v>-</v>
      </c>
      <c r="AR506" s="54">
        <v>0</v>
      </c>
      <c r="AS506" s="54">
        <v>0</v>
      </c>
      <c r="AT506" s="54">
        <v>0</v>
      </c>
      <c r="AU506" s="54">
        <v>0</v>
      </c>
      <c r="AV506" s="54">
        <v>0</v>
      </c>
      <c r="AW506" s="54">
        <v>0</v>
      </c>
      <c r="AX506" s="54">
        <v>0</v>
      </c>
      <c r="AY506" s="54">
        <v>0</v>
      </c>
      <c r="AZ506" s="54">
        <v>0</v>
      </c>
      <c r="BA506" s="54">
        <v>0</v>
      </c>
      <c r="BB506" s="54">
        <v>0</v>
      </c>
      <c r="BC506" s="54">
        <v>0</v>
      </c>
      <c r="BD506" s="54">
        <v>0</v>
      </c>
      <c r="BE506" s="54">
        <v>0</v>
      </c>
      <c r="BF506" s="54">
        <v>0</v>
      </c>
      <c r="BG506" s="54">
        <v>0</v>
      </c>
      <c r="BH506" s="54">
        <v>0</v>
      </c>
      <c r="BK506" s="104" t="str">
        <f>$V$86</f>
        <v>-</v>
      </c>
      <c r="BL506" s="108">
        <v>0</v>
      </c>
      <c r="BM506" s="108">
        <v>0</v>
      </c>
      <c r="BN506" s="108">
        <v>0</v>
      </c>
      <c r="BO506" s="108">
        <v>0</v>
      </c>
      <c r="BP506" s="108">
        <v>0</v>
      </c>
      <c r="BQ506" s="108">
        <v>0</v>
      </c>
      <c r="BR506" s="108">
        <v>0</v>
      </c>
      <c r="BS506" s="108">
        <v>0</v>
      </c>
      <c r="BT506" s="108">
        <v>0</v>
      </c>
      <c r="BU506" s="108">
        <v>0</v>
      </c>
      <c r="BV506" s="108">
        <v>0</v>
      </c>
      <c r="BW506" s="108">
        <v>0</v>
      </c>
      <c r="BX506" s="108">
        <v>0</v>
      </c>
      <c r="BY506" s="108">
        <v>0</v>
      </c>
      <c r="BZ506" s="108">
        <v>0</v>
      </c>
      <c r="CA506" s="108">
        <v>0</v>
      </c>
      <c r="CB506" s="108">
        <v>0</v>
      </c>
    </row>
    <row r="507" spans="3:80" x14ac:dyDescent="0.55000000000000004">
      <c r="C507" s="104" t="str">
        <f>$V$73</f>
        <v>Nour</v>
      </c>
      <c r="D507" s="108">
        <f t="shared" ref="D507:S507" si="258">D73</f>
        <v>0</v>
      </c>
      <c r="E507" s="108">
        <f t="shared" si="258"/>
        <v>0</v>
      </c>
      <c r="F507" s="108">
        <f t="shared" si="258"/>
        <v>0</v>
      </c>
      <c r="G507" s="108">
        <f t="shared" si="258"/>
        <v>0</v>
      </c>
      <c r="H507" s="108">
        <f t="shared" si="258"/>
        <v>0</v>
      </c>
      <c r="I507" s="108">
        <f t="shared" si="258"/>
        <v>0</v>
      </c>
      <c r="J507" s="108">
        <f t="shared" si="258"/>
        <v>0</v>
      </c>
      <c r="K507" s="108">
        <f t="shared" si="258"/>
        <v>0</v>
      </c>
      <c r="L507" s="108">
        <f t="shared" si="258"/>
        <v>0</v>
      </c>
      <c r="M507" s="108">
        <f t="shared" si="258"/>
        <v>0</v>
      </c>
      <c r="N507" s="108">
        <f t="shared" si="258"/>
        <v>0</v>
      </c>
      <c r="O507" s="108">
        <f t="shared" si="258"/>
        <v>0</v>
      </c>
      <c r="P507" s="108">
        <f t="shared" si="258"/>
        <v>0</v>
      </c>
      <c r="Q507" s="108">
        <f t="shared" si="258"/>
        <v>0</v>
      </c>
      <c r="R507" s="108">
        <f t="shared" si="258"/>
        <v>0</v>
      </c>
      <c r="S507" s="108">
        <f t="shared" si="258"/>
        <v>0</v>
      </c>
      <c r="T507" s="28" t="s">
        <v>26</v>
      </c>
      <c r="V507" s="104" t="str">
        <f>$V$73</f>
        <v>Nour</v>
      </c>
      <c r="W507" s="108">
        <f t="shared" si="223"/>
        <v>-1</v>
      </c>
      <c r="X507" s="108">
        <f t="shared" si="224"/>
        <v>-1</v>
      </c>
      <c r="Y507" s="108">
        <f t="shared" si="225"/>
        <v>-1</v>
      </c>
      <c r="Z507" s="108">
        <f t="shared" si="226"/>
        <v>-1</v>
      </c>
      <c r="AA507" s="108">
        <f t="shared" si="227"/>
        <v>-1</v>
      </c>
      <c r="AB507" s="108">
        <f t="shared" si="228"/>
        <v>-1</v>
      </c>
      <c r="AC507" s="108">
        <f t="shared" si="229"/>
        <v>-1</v>
      </c>
      <c r="AD507" s="108">
        <f t="shared" si="230"/>
        <v>-1</v>
      </c>
      <c r="AE507" s="108">
        <f t="shared" si="231"/>
        <v>-1</v>
      </c>
      <c r="AF507" s="108">
        <f t="shared" si="232"/>
        <v>-1</v>
      </c>
      <c r="AG507" s="108">
        <f t="shared" si="233"/>
        <v>-1</v>
      </c>
      <c r="AH507" s="108">
        <f t="shared" si="234"/>
        <v>-1</v>
      </c>
      <c r="AI507" s="108">
        <f t="shared" si="235"/>
        <v>-1</v>
      </c>
      <c r="AJ507" s="108">
        <f t="shared" si="236"/>
        <v>-1</v>
      </c>
      <c r="AK507" s="108">
        <f t="shared" si="237"/>
        <v>-1</v>
      </c>
      <c r="AL507" s="108">
        <f t="shared" si="238"/>
        <v>-1</v>
      </c>
      <c r="AM507" s="108"/>
      <c r="AQ507" s="104" t="str">
        <f>$V$86</f>
        <v>-</v>
      </c>
      <c r="AR507" s="54">
        <v>0</v>
      </c>
      <c r="AS507" s="54">
        <v>0</v>
      </c>
      <c r="AT507" s="54">
        <v>0</v>
      </c>
      <c r="AU507" s="54">
        <v>0</v>
      </c>
      <c r="AV507" s="54">
        <v>0</v>
      </c>
      <c r="AW507" s="54">
        <v>0</v>
      </c>
      <c r="AX507" s="54">
        <v>0</v>
      </c>
      <c r="AY507" s="54">
        <v>0</v>
      </c>
      <c r="AZ507" s="54">
        <v>0</v>
      </c>
      <c r="BA507" s="54">
        <v>0</v>
      </c>
      <c r="BB507" s="54">
        <v>0</v>
      </c>
      <c r="BC507" s="54">
        <v>0</v>
      </c>
      <c r="BD507" s="54">
        <v>0</v>
      </c>
      <c r="BE507" s="54">
        <v>0</v>
      </c>
      <c r="BF507" s="54">
        <v>0</v>
      </c>
      <c r="BG507" s="54">
        <v>0</v>
      </c>
      <c r="BH507" s="54">
        <v>0</v>
      </c>
      <c r="BK507" s="104" t="str">
        <f>$V$87</f>
        <v>-</v>
      </c>
      <c r="BL507" s="108">
        <v>0</v>
      </c>
      <c r="BM507" s="108">
        <v>0</v>
      </c>
      <c r="BN507" s="108">
        <v>0</v>
      </c>
      <c r="BO507" s="108">
        <v>0</v>
      </c>
      <c r="BP507" s="108">
        <v>0</v>
      </c>
      <c r="BQ507" s="108">
        <v>0</v>
      </c>
      <c r="BR507" s="108">
        <v>0</v>
      </c>
      <c r="BS507" s="108">
        <v>0</v>
      </c>
      <c r="BT507" s="108">
        <v>0</v>
      </c>
      <c r="BU507" s="108">
        <v>0</v>
      </c>
      <c r="BV507" s="108">
        <v>0</v>
      </c>
      <c r="BW507" s="108">
        <v>0</v>
      </c>
      <c r="BX507" s="108">
        <v>0</v>
      </c>
      <c r="BY507" s="108">
        <v>0</v>
      </c>
      <c r="BZ507" s="108">
        <v>0</v>
      </c>
      <c r="CA507" s="108">
        <v>0</v>
      </c>
      <c r="CB507" s="108">
        <v>0</v>
      </c>
    </row>
    <row r="508" spans="3:80" x14ac:dyDescent="0.55000000000000004">
      <c r="C508" s="104" t="str">
        <f>$V$74</f>
        <v>Samuel</v>
      </c>
      <c r="D508" s="108">
        <f t="shared" ref="D508:S508" si="259">D74</f>
        <v>0</v>
      </c>
      <c r="E508" s="108">
        <f t="shared" si="259"/>
        <v>0</v>
      </c>
      <c r="F508" s="108">
        <f t="shared" si="259"/>
        <v>0</v>
      </c>
      <c r="G508" s="108">
        <f t="shared" si="259"/>
        <v>0</v>
      </c>
      <c r="H508" s="108">
        <f t="shared" si="259"/>
        <v>0</v>
      </c>
      <c r="I508" s="108">
        <f t="shared" si="259"/>
        <v>0</v>
      </c>
      <c r="J508" s="108">
        <f t="shared" si="259"/>
        <v>0</v>
      </c>
      <c r="K508" s="108">
        <f t="shared" si="259"/>
        <v>0</v>
      </c>
      <c r="L508" s="108">
        <f t="shared" si="259"/>
        <v>0</v>
      </c>
      <c r="M508" s="108">
        <f t="shared" si="259"/>
        <v>0</v>
      </c>
      <c r="N508" s="108">
        <f t="shared" si="259"/>
        <v>0</v>
      </c>
      <c r="O508" s="108">
        <f t="shared" si="259"/>
        <v>0</v>
      </c>
      <c r="P508" s="108">
        <f t="shared" si="259"/>
        <v>0</v>
      </c>
      <c r="Q508" s="108">
        <f t="shared" si="259"/>
        <v>0</v>
      </c>
      <c r="R508" s="108">
        <f t="shared" si="259"/>
        <v>0</v>
      </c>
      <c r="S508" s="108">
        <f t="shared" si="259"/>
        <v>0</v>
      </c>
      <c r="T508" s="28" t="s">
        <v>26</v>
      </c>
      <c r="V508" s="104" t="str">
        <f>$V$74</f>
        <v>Samuel</v>
      </c>
      <c r="W508" s="108">
        <f t="shared" si="223"/>
        <v>-1</v>
      </c>
      <c r="X508" s="108">
        <f t="shared" si="224"/>
        <v>-1</v>
      </c>
      <c r="Y508" s="108">
        <f t="shared" si="225"/>
        <v>-1</v>
      </c>
      <c r="Z508" s="108">
        <f t="shared" si="226"/>
        <v>-1</v>
      </c>
      <c r="AA508" s="108">
        <f t="shared" si="227"/>
        <v>-1</v>
      </c>
      <c r="AB508" s="108">
        <f t="shared" si="228"/>
        <v>-1</v>
      </c>
      <c r="AC508" s="108">
        <f t="shared" si="229"/>
        <v>-1</v>
      </c>
      <c r="AD508" s="108">
        <f t="shared" si="230"/>
        <v>-1</v>
      </c>
      <c r="AE508" s="108">
        <f t="shared" si="231"/>
        <v>-1</v>
      </c>
      <c r="AF508" s="108">
        <f t="shared" si="232"/>
        <v>-1</v>
      </c>
      <c r="AG508" s="108">
        <f t="shared" si="233"/>
        <v>-1</v>
      </c>
      <c r="AH508" s="108">
        <f t="shared" si="234"/>
        <v>-1</v>
      </c>
      <c r="AI508" s="108">
        <f t="shared" si="235"/>
        <v>-1</v>
      </c>
      <c r="AJ508" s="108">
        <f t="shared" si="236"/>
        <v>-1</v>
      </c>
      <c r="AK508" s="108">
        <f t="shared" si="237"/>
        <v>-1</v>
      </c>
      <c r="AL508" s="108">
        <f t="shared" si="238"/>
        <v>-1</v>
      </c>
      <c r="AM508" s="108"/>
      <c r="AQ508" s="104" t="str">
        <f>$V$87</f>
        <v>-</v>
      </c>
      <c r="AR508" s="54">
        <v>0</v>
      </c>
      <c r="AS508" s="54">
        <v>0</v>
      </c>
      <c r="AT508" s="54">
        <v>0</v>
      </c>
      <c r="AU508" s="54">
        <v>-2</v>
      </c>
      <c r="AV508" s="54">
        <v>0</v>
      </c>
      <c r="AW508" s="54">
        <v>0</v>
      </c>
      <c r="AX508" s="54">
        <v>0</v>
      </c>
      <c r="AY508" s="54">
        <v>0</v>
      </c>
      <c r="AZ508" s="54">
        <v>0</v>
      </c>
      <c r="BA508" s="54">
        <v>0</v>
      </c>
      <c r="BB508" s="54">
        <v>0</v>
      </c>
      <c r="BC508" s="54">
        <v>0</v>
      </c>
      <c r="BD508" s="54">
        <v>0</v>
      </c>
      <c r="BE508" s="54">
        <v>0</v>
      </c>
      <c r="BF508" s="54">
        <v>0</v>
      </c>
      <c r="BG508" s="54">
        <v>0</v>
      </c>
      <c r="BH508" s="54">
        <v>0</v>
      </c>
      <c r="BK508" s="104" t="str">
        <f>$V$88</f>
        <v>-</v>
      </c>
      <c r="BL508" s="108">
        <v>0</v>
      </c>
      <c r="BM508" s="108">
        <v>0</v>
      </c>
      <c r="BN508" s="108">
        <v>0</v>
      </c>
      <c r="BO508" s="108">
        <v>0</v>
      </c>
      <c r="BP508" s="108">
        <v>0</v>
      </c>
      <c r="BQ508" s="108">
        <v>0</v>
      </c>
      <c r="BR508" s="108">
        <v>0</v>
      </c>
      <c r="BS508" s="108">
        <v>0</v>
      </c>
      <c r="BT508" s="108">
        <v>0</v>
      </c>
      <c r="BU508" s="108">
        <v>0</v>
      </c>
      <c r="BV508" s="108">
        <v>0</v>
      </c>
      <c r="BW508" s="108">
        <v>0</v>
      </c>
      <c r="BX508" s="108">
        <v>0</v>
      </c>
      <c r="BY508" s="108">
        <v>0</v>
      </c>
      <c r="BZ508" s="108">
        <v>0</v>
      </c>
      <c r="CA508" s="108">
        <v>0</v>
      </c>
      <c r="CB508" s="108">
        <v>0</v>
      </c>
    </row>
    <row r="509" spans="3:80" x14ac:dyDescent="0.55000000000000004">
      <c r="C509" s="104" t="str">
        <f>$V$75</f>
        <v>Yassin</v>
      </c>
      <c r="D509" s="108">
        <f t="shared" ref="D509:S509" si="260">D75</f>
        <v>0</v>
      </c>
      <c r="E509" s="108">
        <f t="shared" si="260"/>
        <v>0</v>
      </c>
      <c r="F509" s="108">
        <f t="shared" si="260"/>
        <v>0</v>
      </c>
      <c r="G509" s="108">
        <f t="shared" si="260"/>
        <v>0</v>
      </c>
      <c r="H509" s="108">
        <f t="shared" si="260"/>
        <v>0</v>
      </c>
      <c r="I509" s="108">
        <f t="shared" si="260"/>
        <v>0</v>
      </c>
      <c r="J509" s="108">
        <f t="shared" si="260"/>
        <v>0</v>
      </c>
      <c r="K509" s="108">
        <f t="shared" si="260"/>
        <v>0</v>
      </c>
      <c r="L509" s="108">
        <f t="shared" si="260"/>
        <v>0</v>
      </c>
      <c r="M509" s="108">
        <f t="shared" si="260"/>
        <v>0</v>
      </c>
      <c r="N509" s="108">
        <f t="shared" si="260"/>
        <v>0</v>
      </c>
      <c r="O509" s="108">
        <f t="shared" si="260"/>
        <v>0</v>
      </c>
      <c r="P509" s="108">
        <f t="shared" si="260"/>
        <v>0</v>
      </c>
      <c r="Q509" s="108">
        <f t="shared" si="260"/>
        <v>0</v>
      </c>
      <c r="R509" s="108">
        <f t="shared" si="260"/>
        <v>0</v>
      </c>
      <c r="S509" s="108">
        <f t="shared" si="260"/>
        <v>0</v>
      </c>
      <c r="T509" s="28" t="s">
        <v>26</v>
      </c>
      <c r="V509" s="104" t="str">
        <f>$V$75</f>
        <v>Yassin</v>
      </c>
      <c r="W509" s="108">
        <f t="shared" si="223"/>
        <v>-1</v>
      </c>
      <c r="X509" s="108">
        <f t="shared" si="224"/>
        <v>-1</v>
      </c>
      <c r="Y509" s="108">
        <f t="shared" si="225"/>
        <v>-1</v>
      </c>
      <c r="Z509" s="108">
        <f t="shared" si="226"/>
        <v>-1</v>
      </c>
      <c r="AA509" s="108">
        <f t="shared" si="227"/>
        <v>-1</v>
      </c>
      <c r="AB509" s="108">
        <f t="shared" si="228"/>
        <v>-1</v>
      </c>
      <c r="AC509" s="108">
        <f t="shared" si="229"/>
        <v>-1</v>
      </c>
      <c r="AD509" s="108">
        <f t="shared" si="230"/>
        <v>-1</v>
      </c>
      <c r="AE509" s="108">
        <f t="shared" si="231"/>
        <v>-1</v>
      </c>
      <c r="AF509" s="108">
        <f t="shared" si="232"/>
        <v>-1</v>
      </c>
      <c r="AG509" s="108">
        <f t="shared" si="233"/>
        <v>-1</v>
      </c>
      <c r="AH509" s="108">
        <f t="shared" si="234"/>
        <v>-1</v>
      </c>
      <c r="AI509" s="108">
        <f t="shared" si="235"/>
        <v>-1</v>
      </c>
      <c r="AJ509" s="108">
        <f t="shared" si="236"/>
        <v>-1</v>
      </c>
      <c r="AK509" s="108">
        <f t="shared" si="237"/>
        <v>-1</v>
      </c>
      <c r="AL509" s="108">
        <f t="shared" si="238"/>
        <v>-1</v>
      </c>
      <c r="AM509" s="108"/>
      <c r="AQ509" s="104" t="str">
        <f>$V$88</f>
        <v>-</v>
      </c>
      <c r="AR509" s="54">
        <v>0</v>
      </c>
      <c r="AS509" s="54">
        <v>0</v>
      </c>
      <c r="AT509" s="54">
        <v>0</v>
      </c>
      <c r="AU509" s="54">
        <v>0</v>
      </c>
      <c r="AV509" s="54">
        <v>0</v>
      </c>
      <c r="AW509" s="54">
        <v>0</v>
      </c>
      <c r="AX509" s="54">
        <v>0</v>
      </c>
      <c r="AY509" s="54">
        <v>0</v>
      </c>
      <c r="AZ509" s="54">
        <v>0</v>
      </c>
      <c r="BA509" s="54">
        <v>0</v>
      </c>
      <c r="BB509" s="54">
        <v>0</v>
      </c>
      <c r="BC509" s="54">
        <v>0</v>
      </c>
      <c r="BD509" s="54">
        <v>0</v>
      </c>
      <c r="BE509" s="54">
        <v>0</v>
      </c>
      <c r="BF509" s="54">
        <v>0</v>
      </c>
      <c r="BG509" s="54">
        <v>0</v>
      </c>
      <c r="BH509" s="54">
        <v>0</v>
      </c>
      <c r="BK509" s="104" t="str">
        <f>$V$89</f>
        <v>-</v>
      </c>
      <c r="BL509" s="108">
        <v>0</v>
      </c>
      <c r="BM509" s="108">
        <v>0</v>
      </c>
      <c r="BN509" s="108">
        <v>0</v>
      </c>
      <c r="BO509" s="108">
        <v>0</v>
      </c>
      <c r="BP509" s="108">
        <v>0</v>
      </c>
      <c r="BQ509" s="108">
        <v>0</v>
      </c>
      <c r="BR509" s="108">
        <v>0</v>
      </c>
      <c r="BS509" s="108">
        <v>0</v>
      </c>
      <c r="BT509" s="108">
        <v>0</v>
      </c>
      <c r="BU509" s="108">
        <v>0</v>
      </c>
      <c r="BV509" s="108">
        <v>0</v>
      </c>
      <c r="BW509" s="108">
        <v>0</v>
      </c>
      <c r="BX509" s="108">
        <v>0</v>
      </c>
      <c r="BY509" s="108">
        <v>0</v>
      </c>
      <c r="BZ509" s="108">
        <v>0</v>
      </c>
      <c r="CA509" s="108">
        <v>0</v>
      </c>
      <c r="CB509" s="108">
        <v>0</v>
      </c>
    </row>
    <row r="510" spans="3:80" x14ac:dyDescent="0.55000000000000004">
      <c r="C510" s="104" t="str">
        <f>$V$76</f>
        <v>Kamar</v>
      </c>
      <c r="D510" s="108">
        <f t="shared" ref="D510:S510" si="261">D76</f>
        <v>0</v>
      </c>
      <c r="E510" s="108">
        <f t="shared" si="261"/>
        <v>0</v>
      </c>
      <c r="F510" s="108">
        <f t="shared" si="261"/>
        <v>0</v>
      </c>
      <c r="G510" s="108">
        <f t="shared" si="261"/>
        <v>0</v>
      </c>
      <c r="H510" s="108">
        <f t="shared" si="261"/>
        <v>0</v>
      </c>
      <c r="I510" s="108">
        <f t="shared" si="261"/>
        <v>0</v>
      </c>
      <c r="J510" s="108">
        <f t="shared" si="261"/>
        <v>0</v>
      </c>
      <c r="K510" s="108">
        <f t="shared" si="261"/>
        <v>0</v>
      </c>
      <c r="L510" s="108">
        <f t="shared" si="261"/>
        <v>0</v>
      </c>
      <c r="M510" s="108">
        <f t="shared" si="261"/>
        <v>0</v>
      </c>
      <c r="N510" s="108">
        <f t="shared" si="261"/>
        <v>0</v>
      </c>
      <c r="O510" s="108">
        <f t="shared" si="261"/>
        <v>0</v>
      </c>
      <c r="P510" s="108">
        <f t="shared" si="261"/>
        <v>0</v>
      </c>
      <c r="Q510" s="108">
        <f t="shared" si="261"/>
        <v>0</v>
      </c>
      <c r="R510" s="108">
        <f t="shared" si="261"/>
        <v>0</v>
      </c>
      <c r="S510" s="108">
        <f t="shared" si="261"/>
        <v>0</v>
      </c>
      <c r="T510" s="28" t="s">
        <v>26</v>
      </c>
      <c r="V510" s="104" t="str">
        <f>$V$76</f>
        <v>Kamar</v>
      </c>
      <c r="W510" s="108">
        <f t="shared" si="223"/>
        <v>-1</v>
      </c>
      <c r="X510" s="108">
        <f t="shared" si="224"/>
        <v>-1</v>
      </c>
      <c r="Y510" s="108">
        <f t="shared" si="225"/>
        <v>-1</v>
      </c>
      <c r="Z510" s="108">
        <f t="shared" si="226"/>
        <v>-1</v>
      </c>
      <c r="AA510" s="108">
        <f t="shared" si="227"/>
        <v>-1</v>
      </c>
      <c r="AB510" s="108">
        <f t="shared" si="228"/>
        <v>-1</v>
      </c>
      <c r="AC510" s="108">
        <f t="shared" si="229"/>
        <v>-1</v>
      </c>
      <c r="AD510" s="108">
        <f t="shared" si="230"/>
        <v>-1</v>
      </c>
      <c r="AE510" s="108">
        <f t="shared" si="231"/>
        <v>-1</v>
      </c>
      <c r="AF510" s="108">
        <f t="shared" si="232"/>
        <v>-1</v>
      </c>
      <c r="AG510" s="108">
        <f t="shared" si="233"/>
        <v>-1</v>
      </c>
      <c r="AH510" s="108">
        <f t="shared" si="234"/>
        <v>-1</v>
      </c>
      <c r="AI510" s="108">
        <f t="shared" si="235"/>
        <v>-1</v>
      </c>
      <c r="AJ510" s="108">
        <f t="shared" si="236"/>
        <v>-1</v>
      </c>
      <c r="AK510" s="108">
        <f t="shared" si="237"/>
        <v>-1</v>
      </c>
      <c r="AL510" s="108">
        <f t="shared" si="238"/>
        <v>-1</v>
      </c>
      <c r="AM510" s="108"/>
      <c r="AQ510" s="104" t="str">
        <f>$V$89</f>
        <v>-</v>
      </c>
      <c r="AR510" s="54">
        <v>0</v>
      </c>
      <c r="AS510" s="54">
        <v>0</v>
      </c>
      <c r="AT510" s="54">
        <v>0</v>
      </c>
      <c r="AU510" s="54">
        <v>0</v>
      </c>
      <c r="AV510" s="54">
        <v>0</v>
      </c>
      <c r="AW510" s="54">
        <v>0</v>
      </c>
      <c r="AX510" s="54">
        <v>0</v>
      </c>
      <c r="AY510" s="54">
        <v>0</v>
      </c>
      <c r="AZ510" s="54">
        <v>0</v>
      </c>
      <c r="BA510" s="54">
        <v>0</v>
      </c>
      <c r="BB510" s="54">
        <v>0</v>
      </c>
      <c r="BC510" s="54">
        <v>0</v>
      </c>
      <c r="BD510" s="54">
        <v>0</v>
      </c>
      <c r="BE510" s="54">
        <v>0</v>
      </c>
      <c r="BF510" s="54">
        <v>0</v>
      </c>
      <c r="BG510" s="54">
        <v>0</v>
      </c>
      <c r="BH510" s="54">
        <v>0</v>
      </c>
      <c r="BK510" s="104" t="str">
        <f>$V$90</f>
        <v>-</v>
      </c>
      <c r="BL510" s="108">
        <v>0</v>
      </c>
      <c r="BM510" s="108">
        <v>0</v>
      </c>
      <c r="BN510" s="108">
        <v>0</v>
      </c>
      <c r="BO510" s="108">
        <v>0</v>
      </c>
      <c r="BP510" s="108">
        <v>0</v>
      </c>
      <c r="BQ510" s="108">
        <v>0</v>
      </c>
      <c r="BR510" s="108">
        <v>0</v>
      </c>
      <c r="BS510" s="108">
        <v>0</v>
      </c>
      <c r="BT510" s="108">
        <v>0</v>
      </c>
      <c r="BU510" s="108">
        <v>0</v>
      </c>
      <c r="BV510" s="108">
        <v>0</v>
      </c>
      <c r="BW510" s="108">
        <v>0</v>
      </c>
      <c r="BX510" s="108">
        <v>0</v>
      </c>
      <c r="BY510" s="108">
        <v>0</v>
      </c>
      <c r="BZ510" s="108">
        <v>0</v>
      </c>
      <c r="CA510" s="108">
        <v>0</v>
      </c>
      <c r="CB510" s="108">
        <v>0</v>
      </c>
    </row>
    <row r="511" spans="3:80" x14ac:dyDescent="0.55000000000000004">
      <c r="C511" s="104" t="str">
        <f>$V$77</f>
        <v>-</v>
      </c>
      <c r="D511" s="108">
        <f t="shared" ref="D511:S511" si="262">D77</f>
        <v>0</v>
      </c>
      <c r="E511" s="108">
        <f t="shared" si="262"/>
        <v>0</v>
      </c>
      <c r="F511" s="108">
        <f t="shared" si="262"/>
        <v>0</v>
      </c>
      <c r="G511" s="108">
        <f t="shared" si="262"/>
        <v>0</v>
      </c>
      <c r="H511" s="108">
        <f t="shared" si="262"/>
        <v>0</v>
      </c>
      <c r="I511" s="108">
        <f t="shared" si="262"/>
        <v>0</v>
      </c>
      <c r="J511" s="108">
        <f t="shared" si="262"/>
        <v>0</v>
      </c>
      <c r="K511" s="108">
        <f t="shared" si="262"/>
        <v>0</v>
      </c>
      <c r="L511" s="108">
        <f t="shared" si="262"/>
        <v>0</v>
      </c>
      <c r="M511" s="108">
        <f t="shared" si="262"/>
        <v>0</v>
      </c>
      <c r="N511" s="108">
        <f t="shared" si="262"/>
        <v>0</v>
      </c>
      <c r="O511" s="108">
        <f t="shared" si="262"/>
        <v>0</v>
      </c>
      <c r="P511" s="108">
        <f t="shared" si="262"/>
        <v>0</v>
      </c>
      <c r="Q511" s="108">
        <f t="shared" si="262"/>
        <v>0</v>
      </c>
      <c r="R511" s="108">
        <f t="shared" si="262"/>
        <v>0</v>
      </c>
      <c r="S511" s="108">
        <f t="shared" si="262"/>
        <v>0</v>
      </c>
      <c r="T511" s="28" t="s">
        <v>26</v>
      </c>
      <c r="V511" s="104" t="str">
        <f>$V$77</f>
        <v>-</v>
      </c>
      <c r="W511" s="108">
        <f t="shared" si="223"/>
        <v>-1</v>
      </c>
      <c r="X511" s="108">
        <f t="shared" si="224"/>
        <v>-1</v>
      </c>
      <c r="Y511" s="108">
        <f t="shared" si="225"/>
        <v>-1</v>
      </c>
      <c r="Z511" s="108">
        <f t="shared" si="226"/>
        <v>-1</v>
      </c>
      <c r="AA511" s="108">
        <f t="shared" si="227"/>
        <v>-1</v>
      </c>
      <c r="AB511" s="108">
        <f t="shared" si="228"/>
        <v>-1</v>
      </c>
      <c r="AC511" s="108">
        <f t="shared" si="229"/>
        <v>-1</v>
      </c>
      <c r="AD511" s="108">
        <f t="shared" si="230"/>
        <v>-1</v>
      </c>
      <c r="AE511" s="108">
        <f t="shared" si="231"/>
        <v>-1</v>
      </c>
      <c r="AF511" s="108">
        <f t="shared" si="232"/>
        <v>-1</v>
      </c>
      <c r="AG511" s="108">
        <f t="shared" si="233"/>
        <v>-1</v>
      </c>
      <c r="AH511" s="108">
        <f t="shared" si="234"/>
        <v>-1</v>
      </c>
      <c r="AI511" s="108">
        <f t="shared" si="235"/>
        <v>-1</v>
      </c>
      <c r="AJ511" s="108">
        <f t="shared" si="236"/>
        <v>-1</v>
      </c>
      <c r="AK511" s="108">
        <f t="shared" si="237"/>
        <v>-1</v>
      </c>
      <c r="AL511" s="108">
        <f t="shared" si="238"/>
        <v>-1</v>
      </c>
      <c r="AM511" s="108"/>
      <c r="AQ511" s="104" t="str">
        <f>$V$90</f>
        <v>-</v>
      </c>
      <c r="AR511" s="54">
        <v>0</v>
      </c>
      <c r="AS511" s="54">
        <v>0</v>
      </c>
      <c r="AT511" s="54">
        <v>0</v>
      </c>
      <c r="AU511" s="54">
        <v>0</v>
      </c>
      <c r="AV511" s="54">
        <v>0</v>
      </c>
      <c r="AW511" s="54">
        <v>0</v>
      </c>
      <c r="AX511" s="54">
        <v>0</v>
      </c>
      <c r="AY511" s="54">
        <v>0</v>
      </c>
      <c r="AZ511" s="54">
        <v>0</v>
      </c>
      <c r="BA511" s="54">
        <v>0</v>
      </c>
      <c r="BB511" s="54">
        <v>0</v>
      </c>
      <c r="BC511" s="54">
        <v>0</v>
      </c>
      <c r="BD511" s="54">
        <v>0</v>
      </c>
      <c r="BE511" s="54">
        <v>0</v>
      </c>
      <c r="BF511" s="54">
        <v>0</v>
      </c>
      <c r="BG511" s="54">
        <v>0</v>
      </c>
      <c r="BH511" s="54">
        <v>0</v>
      </c>
      <c r="BK511" s="104" t="str">
        <f>$V$91</f>
        <v>-</v>
      </c>
      <c r="BL511" s="108">
        <v>0</v>
      </c>
      <c r="BM511" s="108">
        <v>0</v>
      </c>
      <c r="BN511" s="108">
        <v>0</v>
      </c>
      <c r="BO511" s="108">
        <v>0</v>
      </c>
      <c r="BP511" s="108">
        <v>0</v>
      </c>
      <c r="BQ511" s="108">
        <v>0</v>
      </c>
      <c r="BR511" s="108">
        <v>0</v>
      </c>
      <c r="BS511" s="108">
        <v>0</v>
      </c>
      <c r="BT511" s="108">
        <v>0</v>
      </c>
      <c r="BU511" s="108">
        <v>0</v>
      </c>
      <c r="BV511" s="108">
        <v>0</v>
      </c>
      <c r="BW511" s="108">
        <v>0</v>
      </c>
      <c r="BX511" s="108">
        <v>0</v>
      </c>
      <c r="BY511" s="108">
        <v>0</v>
      </c>
      <c r="BZ511" s="108">
        <v>0</v>
      </c>
      <c r="CA511" s="108">
        <v>0</v>
      </c>
      <c r="CB511" s="108">
        <v>0</v>
      </c>
    </row>
    <row r="512" spans="3:80" x14ac:dyDescent="0.55000000000000004">
      <c r="C512" s="104" t="str">
        <f>$V$78</f>
        <v>-</v>
      </c>
      <c r="D512" s="108">
        <f t="shared" ref="D512:S512" si="263">D78</f>
        <v>0</v>
      </c>
      <c r="E512" s="108">
        <f t="shared" si="263"/>
        <v>0</v>
      </c>
      <c r="F512" s="108">
        <f t="shared" si="263"/>
        <v>0</v>
      </c>
      <c r="G512" s="108">
        <f t="shared" si="263"/>
        <v>0</v>
      </c>
      <c r="H512" s="108">
        <f t="shared" si="263"/>
        <v>0</v>
      </c>
      <c r="I512" s="108">
        <f t="shared" si="263"/>
        <v>0</v>
      </c>
      <c r="J512" s="108">
        <f t="shared" si="263"/>
        <v>0</v>
      </c>
      <c r="K512" s="108">
        <f t="shared" si="263"/>
        <v>0</v>
      </c>
      <c r="L512" s="108">
        <f t="shared" si="263"/>
        <v>0</v>
      </c>
      <c r="M512" s="108">
        <f t="shared" si="263"/>
        <v>0</v>
      </c>
      <c r="N512" s="108">
        <f t="shared" si="263"/>
        <v>0</v>
      </c>
      <c r="O512" s="108">
        <f t="shared" si="263"/>
        <v>0</v>
      </c>
      <c r="P512" s="108">
        <f t="shared" si="263"/>
        <v>0</v>
      </c>
      <c r="Q512" s="108">
        <f t="shared" si="263"/>
        <v>0</v>
      </c>
      <c r="R512" s="108">
        <f t="shared" si="263"/>
        <v>0</v>
      </c>
      <c r="S512" s="108">
        <f t="shared" si="263"/>
        <v>0</v>
      </c>
      <c r="T512" s="28" t="s">
        <v>26</v>
      </c>
      <c r="V512" s="104" t="str">
        <f>$V$78</f>
        <v>-</v>
      </c>
      <c r="W512" s="108">
        <f t="shared" si="223"/>
        <v>-1</v>
      </c>
      <c r="X512" s="108">
        <f t="shared" si="224"/>
        <v>-1</v>
      </c>
      <c r="Y512" s="108">
        <f t="shared" si="225"/>
        <v>-1</v>
      </c>
      <c r="Z512" s="108">
        <f t="shared" si="226"/>
        <v>-1</v>
      </c>
      <c r="AA512" s="108">
        <f t="shared" si="227"/>
        <v>-1</v>
      </c>
      <c r="AB512" s="108">
        <f t="shared" si="228"/>
        <v>-1</v>
      </c>
      <c r="AC512" s="108">
        <f t="shared" si="229"/>
        <v>-1</v>
      </c>
      <c r="AD512" s="108">
        <f t="shared" si="230"/>
        <v>-1</v>
      </c>
      <c r="AE512" s="108">
        <f t="shared" si="231"/>
        <v>-1</v>
      </c>
      <c r="AF512" s="108">
        <f t="shared" si="232"/>
        <v>-1</v>
      </c>
      <c r="AG512" s="108">
        <f t="shared" si="233"/>
        <v>-1</v>
      </c>
      <c r="AH512" s="108">
        <f t="shared" si="234"/>
        <v>-1</v>
      </c>
      <c r="AI512" s="108">
        <f t="shared" si="235"/>
        <v>-1</v>
      </c>
      <c r="AJ512" s="108">
        <f t="shared" si="236"/>
        <v>-1</v>
      </c>
      <c r="AK512" s="108">
        <f t="shared" si="237"/>
        <v>-1</v>
      </c>
      <c r="AL512" s="108">
        <f t="shared" si="238"/>
        <v>-1</v>
      </c>
      <c r="AQ512" s="104" t="str">
        <f>$V$91</f>
        <v>-</v>
      </c>
      <c r="AR512" s="54">
        <v>0</v>
      </c>
      <c r="AS512" s="54">
        <v>0</v>
      </c>
      <c r="AT512" s="54">
        <v>0</v>
      </c>
      <c r="AU512" s="54">
        <v>0</v>
      </c>
      <c r="AV512" s="54">
        <v>0</v>
      </c>
      <c r="AW512" s="54">
        <v>0</v>
      </c>
      <c r="AX512" s="54">
        <v>0</v>
      </c>
      <c r="AY512" s="54">
        <v>0</v>
      </c>
      <c r="AZ512" s="54">
        <v>0</v>
      </c>
      <c r="BA512" s="54">
        <v>0</v>
      </c>
      <c r="BB512" s="54">
        <v>0</v>
      </c>
      <c r="BC512" s="54">
        <v>0</v>
      </c>
      <c r="BD512" s="54">
        <v>0</v>
      </c>
      <c r="BE512" s="54">
        <v>0</v>
      </c>
      <c r="BF512" s="54">
        <v>0</v>
      </c>
      <c r="BG512" s="54">
        <v>0</v>
      </c>
      <c r="BH512" s="54">
        <v>0</v>
      </c>
      <c r="BK512" s="104" t="str">
        <f>$V$92</f>
        <v>-</v>
      </c>
      <c r="BL512" s="108">
        <v>0</v>
      </c>
      <c r="BM512" s="108">
        <v>0</v>
      </c>
      <c r="BN512" s="108">
        <v>0</v>
      </c>
      <c r="BO512" s="108">
        <v>0</v>
      </c>
      <c r="BP512" s="108">
        <v>0</v>
      </c>
      <c r="BQ512" s="108">
        <v>0</v>
      </c>
      <c r="BR512" s="108">
        <v>0</v>
      </c>
      <c r="BS512" s="108">
        <v>0</v>
      </c>
      <c r="BT512" s="108">
        <v>0</v>
      </c>
      <c r="BU512" s="108">
        <v>0</v>
      </c>
      <c r="BV512" s="108">
        <v>0</v>
      </c>
      <c r="BW512" s="108">
        <v>0</v>
      </c>
      <c r="BX512" s="108">
        <v>0</v>
      </c>
      <c r="BY512" s="108">
        <v>0</v>
      </c>
      <c r="BZ512" s="108">
        <v>0</v>
      </c>
      <c r="CA512" s="108">
        <v>0</v>
      </c>
      <c r="CB512" s="108">
        <v>0</v>
      </c>
    </row>
    <row r="513" spans="3:80" x14ac:dyDescent="0.55000000000000004">
      <c r="C513" s="104" t="str">
        <f>$V$79</f>
        <v>-</v>
      </c>
      <c r="D513" s="108">
        <f t="shared" ref="D513:S513" si="264">D79</f>
        <v>0</v>
      </c>
      <c r="E513" s="108">
        <f t="shared" si="264"/>
        <v>0</v>
      </c>
      <c r="F513" s="108">
        <f t="shared" si="264"/>
        <v>0</v>
      </c>
      <c r="G513" s="108">
        <f t="shared" si="264"/>
        <v>0</v>
      </c>
      <c r="H513" s="108">
        <f t="shared" si="264"/>
        <v>0</v>
      </c>
      <c r="I513" s="108">
        <f t="shared" si="264"/>
        <v>0</v>
      </c>
      <c r="J513" s="108">
        <f t="shared" si="264"/>
        <v>0</v>
      </c>
      <c r="K513" s="108">
        <f t="shared" si="264"/>
        <v>0</v>
      </c>
      <c r="L513" s="108">
        <f t="shared" si="264"/>
        <v>0</v>
      </c>
      <c r="M513" s="108">
        <f t="shared" si="264"/>
        <v>0</v>
      </c>
      <c r="N513" s="108">
        <f t="shared" si="264"/>
        <v>0</v>
      </c>
      <c r="O513" s="108">
        <f t="shared" si="264"/>
        <v>0</v>
      </c>
      <c r="P513" s="108">
        <f t="shared" si="264"/>
        <v>0</v>
      </c>
      <c r="Q513" s="108">
        <f t="shared" si="264"/>
        <v>0</v>
      </c>
      <c r="R513" s="108">
        <f t="shared" si="264"/>
        <v>0</v>
      </c>
      <c r="S513" s="108">
        <f t="shared" si="264"/>
        <v>0</v>
      </c>
      <c r="T513" s="28" t="s">
        <v>26</v>
      </c>
      <c r="V513" s="104" t="str">
        <f>$V$79</f>
        <v>-</v>
      </c>
      <c r="W513" s="108">
        <f t="shared" si="223"/>
        <v>-1</v>
      </c>
      <c r="X513" s="108">
        <f t="shared" si="224"/>
        <v>-1</v>
      </c>
      <c r="Y513" s="108">
        <f t="shared" si="225"/>
        <v>-1</v>
      </c>
      <c r="Z513" s="108">
        <f t="shared" si="226"/>
        <v>-1</v>
      </c>
      <c r="AA513" s="108">
        <f t="shared" si="227"/>
        <v>-1</v>
      </c>
      <c r="AB513" s="108">
        <f t="shared" si="228"/>
        <v>-1</v>
      </c>
      <c r="AC513" s="108">
        <f t="shared" si="229"/>
        <v>-1</v>
      </c>
      <c r="AD513" s="108">
        <f t="shared" si="230"/>
        <v>-1</v>
      </c>
      <c r="AE513" s="108">
        <f t="shared" si="231"/>
        <v>-1</v>
      </c>
      <c r="AF513" s="108">
        <f t="shared" si="232"/>
        <v>-1</v>
      </c>
      <c r="AG513" s="108">
        <f t="shared" si="233"/>
        <v>-1</v>
      </c>
      <c r="AH513" s="108">
        <f t="shared" si="234"/>
        <v>-1</v>
      </c>
      <c r="AI513" s="108">
        <f t="shared" si="235"/>
        <v>-1</v>
      </c>
      <c r="AJ513" s="108">
        <f t="shared" si="236"/>
        <v>-1</v>
      </c>
      <c r="AK513" s="108">
        <f t="shared" si="237"/>
        <v>-1</v>
      </c>
      <c r="AL513" s="108">
        <f t="shared" si="238"/>
        <v>-1</v>
      </c>
      <c r="AQ513" s="104" t="str">
        <f>$V$92</f>
        <v>-</v>
      </c>
      <c r="AR513" s="54">
        <v>0</v>
      </c>
      <c r="AS513" s="54">
        <v>0</v>
      </c>
      <c r="AT513" s="54">
        <v>0</v>
      </c>
      <c r="AU513" s="54">
        <v>0</v>
      </c>
      <c r="AV513" s="54">
        <v>0</v>
      </c>
      <c r="AW513" s="54">
        <v>0</v>
      </c>
      <c r="AX513" s="54">
        <v>0</v>
      </c>
      <c r="AY513" s="54">
        <v>0</v>
      </c>
      <c r="AZ513" s="54">
        <v>0</v>
      </c>
      <c r="BA513" s="54">
        <v>0</v>
      </c>
      <c r="BB513" s="54">
        <v>0</v>
      </c>
      <c r="BC513" s="54">
        <v>0</v>
      </c>
      <c r="BD513" s="54">
        <v>0</v>
      </c>
      <c r="BE513" s="54">
        <v>0</v>
      </c>
      <c r="BF513" s="54">
        <v>0</v>
      </c>
      <c r="BG513" s="54">
        <v>0</v>
      </c>
      <c r="BH513" s="54">
        <v>0</v>
      </c>
    </row>
    <row r="514" spans="3:80" x14ac:dyDescent="0.55000000000000004">
      <c r="C514" s="104" t="str">
        <f>$V$80</f>
        <v>-</v>
      </c>
      <c r="D514" s="108">
        <f t="shared" ref="D514:S514" si="265">D80</f>
        <v>0</v>
      </c>
      <c r="E514" s="108">
        <f t="shared" si="265"/>
        <v>0</v>
      </c>
      <c r="F514" s="108">
        <f t="shared" si="265"/>
        <v>0</v>
      </c>
      <c r="G514" s="108">
        <f t="shared" si="265"/>
        <v>0</v>
      </c>
      <c r="H514" s="108">
        <f t="shared" si="265"/>
        <v>0</v>
      </c>
      <c r="I514" s="108">
        <f t="shared" si="265"/>
        <v>0</v>
      </c>
      <c r="J514" s="108">
        <f t="shared" si="265"/>
        <v>0</v>
      </c>
      <c r="K514" s="108">
        <f t="shared" si="265"/>
        <v>0</v>
      </c>
      <c r="L514" s="108">
        <f t="shared" si="265"/>
        <v>0</v>
      </c>
      <c r="M514" s="108">
        <f t="shared" si="265"/>
        <v>0</v>
      </c>
      <c r="N514" s="108">
        <f t="shared" si="265"/>
        <v>0</v>
      </c>
      <c r="O514" s="108">
        <f t="shared" si="265"/>
        <v>0</v>
      </c>
      <c r="P514" s="108">
        <f t="shared" si="265"/>
        <v>0</v>
      </c>
      <c r="Q514" s="108">
        <f t="shared" si="265"/>
        <v>0</v>
      </c>
      <c r="R514" s="108">
        <f t="shared" si="265"/>
        <v>0</v>
      </c>
      <c r="S514" s="108">
        <f t="shared" si="265"/>
        <v>0</v>
      </c>
      <c r="T514" s="28" t="s">
        <v>26</v>
      </c>
      <c r="V514" s="104" t="str">
        <f>$V$80</f>
        <v>-</v>
      </c>
      <c r="W514" s="108">
        <f t="shared" si="223"/>
        <v>-1</v>
      </c>
      <c r="X514" s="108">
        <f t="shared" si="224"/>
        <v>-1</v>
      </c>
      <c r="Y514" s="108">
        <f t="shared" si="225"/>
        <v>-1</v>
      </c>
      <c r="Z514" s="108">
        <f t="shared" si="226"/>
        <v>-1</v>
      </c>
      <c r="AA514" s="108">
        <f t="shared" si="227"/>
        <v>-1</v>
      </c>
      <c r="AB514" s="108">
        <f t="shared" si="228"/>
        <v>-1</v>
      </c>
      <c r="AC514" s="108">
        <f t="shared" si="229"/>
        <v>-1</v>
      </c>
      <c r="AD514" s="108">
        <f t="shared" si="230"/>
        <v>-1</v>
      </c>
      <c r="AE514" s="108">
        <f t="shared" si="231"/>
        <v>-1</v>
      </c>
      <c r="AF514" s="108">
        <f t="shared" si="232"/>
        <v>-1</v>
      </c>
      <c r="AG514" s="108">
        <f t="shared" si="233"/>
        <v>-1</v>
      </c>
      <c r="AH514" s="108">
        <f t="shared" si="234"/>
        <v>-1</v>
      </c>
      <c r="AI514" s="108">
        <f t="shared" si="235"/>
        <v>-1</v>
      </c>
      <c r="AJ514" s="108">
        <f t="shared" si="236"/>
        <v>-1</v>
      </c>
      <c r="AK514" s="108">
        <f t="shared" si="237"/>
        <v>-1</v>
      </c>
      <c r="AL514" s="108">
        <f t="shared" si="238"/>
        <v>-1</v>
      </c>
      <c r="AP514" t="str">
        <f>$V$46</f>
        <v>Dummy 2</v>
      </c>
      <c r="AQ514" s="104" t="str">
        <f>$V$53</f>
        <v>Jennifer</v>
      </c>
      <c r="AR514" s="54">
        <v>0</v>
      </c>
      <c r="AS514" s="54">
        <v>0</v>
      </c>
      <c r="AT514" s="54">
        <v>0</v>
      </c>
      <c r="AU514" s="54">
        <v>0</v>
      </c>
      <c r="AV514" s="54">
        <v>0</v>
      </c>
      <c r="AW514" s="54">
        <v>0</v>
      </c>
      <c r="AX514" s="54">
        <v>0</v>
      </c>
      <c r="AY514" s="54">
        <v>0</v>
      </c>
      <c r="AZ514" s="54">
        <v>0</v>
      </c>
      <c r="BA514" s="54">
        <v>0</v>
      </c>
      <c r="BB514" s="54">
        <v>0</v>
      </c>
      <c r="BC514" s="54">
        <v>0</v>
      </c>
      <c r="BD514" s="54">
        <v>0</v>
      </c>
      <c r="BE514" s="54">
        <v>0</v>
      </c>
      <c r="BF514" s="54">
        <v>0</v>
      </c>
      <c r="BG514" s="54">
        <v>0</v>
      </c>
      <c r="BH514" s="54">
        <v>0</v>
      </c>
    </row>
    <row r="515" spans="3:80" x14ac:dyDescent="0.55000000000000004">
      <c r="C515" s="104" t="str">
        <f>$V$81</f>
        <v>-</v>
      </c>
      <c r="D515" s="108">
        <f t="shared" ref="D515:S515" si="266">D81</f>
        <v>0</v>
      </c>
      <c r="E515" s="108">
        <f t="shared" si="266"/>
        <v>0</v>
      </c>
      <c r="F515" s="108">
        <f t="shared" si="266"/>
        <v>0</v>
      </c>
      <c r="G515" s="108">
        <f t="shared" si="266"/>
        <v>0</v>
      </c>
      <c r="H515" s="108">
        <f t="shared" si="266"/>
        <v>0</v>
      </c>
      <c r="I515" s="108">
        <f t="shared" si="266"/>
        <v>0</v>
      </c>
      <c r="J515" s="108">
        <f t="shared" si="266"/>
        <v>0</v>
      </c>
      <c r="K515" s="108">
        <f t="shared" si="266"/>
        <v>0</v>
      </c>
      <c r="L515" s="108">
        <f t="shared" si="266"/>
        <v>0</v>
      </c>
      <c r="M515" s="108">
        <f t="shared" si="266"/>
        <v>0</v>
      </c>
      <c r="N515" s="108">
        <f t="shared" si="266"/>
        <v>0</v>
      </c>
      <c r="O515" s="108">
        <f t="shared" si="266"/>
        <v>0</v>
      </c>
      <c r="P515" s="108">
        <f t="shared" si="266"/>
        <v>0</v>
      </c>
      <c r="Q515" s="108">
        <f t="shared" si="266"/>
        <v>0</v>
      </c>
      <c r="R515" s="108">
        <f t="shared" si="266"/>
        <v>0</v>
      </c>
      <c r="S515" s="108">
        <f t="shared" si="266"/>
        <v>0</v>
      </c>
      <c r="T515" s="28" t="s">
        <v>26</v>
      </c>
      <c r="V515" s="104" t="str">
        <f>$V$81</f>
        <v>-</v>
      </c>
      <c r="W515" s="108">
        <f t="shared" si="223"/>
        <v>-1</v>
      </c>
      <c r="X515" s="108">
        <f t="shared" si="224"/>
        <v>-1</v>
      </c>
      <c r="Y515" s="108">
        <f t="shared" si="225"/>
        <v>-1</v>
      </c>
      <c r="Z515" s="108">
        <f t="shared" si="226"/>
        <v>-1</v>
      </c>
      <c r="AA515" s="108">
        <f t="shared" si="227"/>
        <v>-1</v>
      </c>
      <c r="AB515" s="108">
        <f t="shared" si="228"/>
        <v>-1</v>
      </c>
      <c r="AC515" s="108">
        <f t="shared" si="229"/>
        <v>-1</v>
      </c>
      <c r="AD515" s="108">
        <f t="shared" si="230"/>
        <v>-1</v>
      </c>
      <c r="AE515" s="108">
        <f t="shared" si="231"/>
        <v>-1</v>
      </c>
      <c r="AF515" s="108">
        <f t="shared" si="232"/>
        <v>-1</v>
      </c>
      <c r="AG515" s="108">
        <f t="shared" si="233"/>
        <v>-1</v>
      </c>
      <c r="AH515" s="108">
        <f t="shared" si="234"/>
        <v>-1</v>
      </c>
      <c r="AI515" s="108">
        <f t="shared" si="235"/>
        <v>-1</v>
      </c>
      <c r="AJ515" s="108">
        <f t="shared" si="236"/>
        <v>-1</v>
      </c>
      <c r="AK515" s="108">
        <f t="shared" si="237"/>
        <v>-1</v>
      </c>
      <c r="AL515" s="108">
        <f t="shared" si="238"/>
        <v>-1</v>
      </c>
      <c r="AQ515" s="104" t="str">
        <f>$V$54</f>
        <v>Galileo</v>
      </c>
      <c r="AR515" s="54">
        <v>0</v>
      </c>
      <c r="AS515" s="54">
        <v>0</v>
      </c>
      <c r="AT515" s="54">
        <v>0</v>
      </c>
      <c r="AU515" s="54">
        <v>0</v>
      </c>
      <c r="AV515" s="54">
        <v>0</v>
      </c>
      <c r="AW515" s="54">
        <v>0</v>
      </c>
      <c r="AX515" s="54">
        <v>0</v>
      </c>
      <c r="AY515" s="54">
        <v>0</v>
      </c>
      <c r="AZ515" s="54">
        <v>0</v>
      </c>
      <c r="BA515" s="54">
        <v>0</v>
      </c>
      <c r="BB515" s="54">
        <v>0</v>
      </c>
      <c r="BC515" s="54">
        <v>0</v>
      </c>
      <c r="BD515" s="54">
        <v>0</v>
      </c>
      <c r="BE515" s="54">
        <v>0</v>
      </c>
      <c r="BF515" s="54">
        <v>0</v>
      </c>
      <c r="BG515" s="54">
        <v>0</v>
      </c>
      <c r="BH515" s="54">
        <v>0</v>
      </c>
      <c r="BK515" s="104" t="str">
        <f>CONCATENATE("OBLIGATORIEDAD DE (",BK516,")")</f>
        <v>OBLIGATORIEDAD DE (Dummy 1)</v>
      </c>
    </row>
    <row r="516" spans="3:80" x14ac:dyDescent="0.55000000000000004">
      <c r="C516" s="104" t="str">
        <f>$V$82</f>
        <v>-</v>
      </c>
      <c r="D516" s="108">
        <f t="shared" ref="D516:S516" si="267">D82</f>
        <v>0</v>
      </c>
      <c r="E516" s="108">
        <f t="shared" si="267"/>
        <v>0</v>
      </c>
      <c r="F516" s="108">
        <f t="shared" si="267"/>
        <v>0</v>
      </c>
      <c r="G516" s="108">
        <f t="shared" si="267"/>
        <v>0</v>
      </c>
      <c r="H516" s="108">
        <f t="shared" si="267"/>
        <v>0</v>
      </c>
      <c r="I516" s="108">
        <f t="shared" si="267"/>
        <v>0</v>
      </c>
      <c r="J516" s="108">
        <f t="shared" si="267"/>
        <v>0</v>
      </c>
      <c r="K516" s="108">
        <f t="shared" si="267"/>
        <v>0</v>
      </c>
      <c r="L516" s="108">
        <f t="shared" si="267"/>
        <v>0</v>
      </c>
      <c r="M516" s="108">
        <f t="shared" si="267"/>
        <v>0</v>
      </c>
      <c r="N516" s="108">
        <f t="shared" si="267"/>
        <v>0</v>
      </c>
      <c r="O516" s="108">
        <f t="shared" si="267"/>
        <v>0</v>
      </c>
      <c r="P516" s="108">
        <f t="shared" si="267"/>
        <v>0</v>
      </c>
      <c r="Q516" s="108">
        <f t="shared" si="267"/>
        <v>0</v>
      </c>
      <c r="R516" s="108">
        <f t="shared" si="267"/>
        <v>0</v>
      </c>
      <c r="S516" s="108">
        <f t="shared" si="267"/>
        <v>0</v>
      </c>
      <c r="T516" s="28" t="s">
        <v>26</v>
      </c>
      <c r="V516" s="104" t="str">
        <f>$V$82</f>
        <v>-</v>
      </c>
      <c r="W516" s="108">
        <f t="shared" si="223"/>
        <v>-1</v>
      </c>
      <c r="X516" s="108">
        <f t="shared" si="224"/>
        <v>-1</v>
      </c>
      <c r="Y516" s="108">
        <f t="shared" si="225"/>
        <v>-1</v>
      </c>
      <c r="Z516" s="108">
        <f t="shared" si="226"/>
        <v>-1</v>
      </c>
      <c r="AA516" s="108">
        <f t="shared" si="227"/>
        <v>-1</v>
      </c>
      <c r="AB516" s="108">
        <f t="shared" si="228"/>
        <v>-1</v>
      </c>
      <c r="AC516" s="108">
        <f t="shared" si="229"/>
        <v>-1</v>
      </c>
      <c r="AD516" s="108">
        <f t="shared" si="230"/>
        <v>-1</v>
      </c>
      <c r="AE516" s="108">
        <f t="shared" si="231"/>
        <v>-1</v>
      </c>
      <c r="AF516" s="108">
        <f t="shared" si="232"/>
        <v>-1</v>
      </c>
      <c r="AG516" s="108">
        <f t="shared" si="233"/>
        <v>-1</v>
      </c>
      <c r="AH516" s="108">
        <f t="shared" si="234"/>
        <v>-1</v>
      </c>
      <c r="AI516" s="108">
        <f t="shared" si="235"/>
        <v>-1</v>
      </c>
      <c r="AJ516" s="108">
        <f t="shared" si="236"/>
        <v>-1</v>
      </c>
      <c r="AK516" s="108">
        <f t="shared" si="237"/>
        <v>-1</v>
      </c>
      <c r="AL516" s="108">
        <f t="shared" si="238"/>
        <v>-1</v>
      </c>
      <c r="AM516" s="108"/>
      <c r="AQ516" s="104" t="str">
        <f>$V$55</f>
        <v>Óscar</v>
      </c>
      <c r="AR516" s="54">
        <v>0</v>
      </c>
      <c r="AS516" s="54">
        <v>0</v>
      </c>
      <c r="AT516" s="54">
        <v>0</v>
      </c>
      <c r="AU516" s="54">
        <v>0</v>
      </c>
      <c r="AV516" s="54">
        <v>0</v>
      </c>
      <c r="AW516" s="54">
        <v>0</v>
      </c>
      <c r="AX516" s="54">
        <v>0</v>
      </c>
      <c r="AY516" s="54">
        <v>0</v>
      </c>
      <c r="AZ516" s="54">
        <v>1</v>
      </c>
      <c r="BA516" s="54">
        <v>0</v>
      </c>
      <c r="BB516" s="54">
        <v>0</v>
      </c>
      <c r="BC516" s="54">
        <v>0</v>
      </c>
      <c r="BD516" s="54">
        <v>0</v>
      </c>
      <c r="BE516" s="54">
        <v>0</v>
      </c>
      <c r="BF516" s="54">
        <v>0</v>
      </c>
      <c r="BG516" s="54">
        <v>0</v>
      </c>
      <c r="BH516" s="54">
        <v>0</v>
      </c>
      <c r="BK516" s="104" t="str">
        <f>V45</f>
        <v>Dummy 1</v>
      </c>
      <c r="BL516" s="104" t="str">
        <f>$W$33</f>
        <v>16h</v>
      </c>
      <c r="BM516" s="104" t="str">
        <f>$X$33</f>
        <v>17h</v>
      </c>
      <c r="BN516" s="104" t="str">
        <f>$Y$33</f>
        <v>18h</v>
      </c>
      <c r="BO516" s="104" t="str">
        <f>$Z$33</f>
        <v>19h</v>
      </c>
      <c r="BP516" s="104" t="str">
        <f>$AA$33</f>
        <v>20h</v>
      </c>
      <c r="BQ516" s="104" t="str">
        <f>$AB$33</f>
        <v>21h</v>
      </c>
      <c r="BR516" s="104" t="str">
        <f>$AC$33</f>
        <v>22h</v>
      </c>
      <c r="BS516" s="104" t="str">
        <f>$AD$33</f>
        <v>23h</v>
      </c>
      <c r="BT516" s="104" t="str">
        <f>$AE$33</f>
        <v>00h</v>
      </c>
      <c r="BU516" s="104" t="str">
        <f>$AF$33</f>
        <v>01h</v>
      </c>
      <c r="BV516" s="104" t="str">
        <f>$AG$33</f>
        <v>02h</v>
      </c>
      <c r="BW516" s="104" t="str">
        <f>$AH$33</f>
        <v>03h</v>
      </c>
      <c r="BX516" s="104" t="str">
        <f>$AI$33</f>
        <v>04h</v>
      </c>
      <c r="BY516" s="104" t="str">
        <f>$AJ$33</f>
        <v>05h</v>
      </c>
      <c r="BZ516" s="104" t="str">
        <f>$AK$33</f>
        <v>06h</v>
      </c>
      <c r="CA516" s="104" t="str">
        <f>$AL$33</f>
        <v>07h</v>
      </c>
      <c r="CB516" s="104" t="str">
        <f>$AM$33</f>
        <v>08h</v>
      </c>
    </row>
    <row r="517" spans="3:80" x14ac:dyDescent="0.55000000000000004">
      <c r="C517" s="104" t="str">
        <f>$V$83</f>
        <v>-</v>
      </c>
      <c r="D517" s="108">
        <f t="shared" ref="D517:S517" si="268">D83</f>
        <v>0</v>
      </c>
      <c r="E517" s="108">
        <f t="shared" si="268"/>
        <v>0</v>
      </c>
      <c r="F517" s="108">
        <f t="shared" si="268"/>
        <v>0</v>
      </c>
      <c r="G517" s="108">
        <f t="shared" si="268"/>
        <v>0</v>
      </c>
      <c r="H517" s="108">
        <f t="shared" si="268"/>
        <v>0</v>
      </c>
      <c r="I517" s="108">
        <f t="shared" si="268"/>
        <v>0</v>
      </c>
      <c r="J517" s="108">
        <f t="shared" si="268"/>
        <v>0</v>
      </c>
      <c r="K517" s="108">
        <f t="shared" si="268"/>
        <v>0</v>
      </c>
      <c r="L517" s="108">
        <f t="shared" si="268"/>
        <v>0</v>
      </c>
      <c r="M517" s="108">
        <f t="shared" si="268"/>
        <v>0</v>
      </c>
      <c r="N517" s="108">
        <f t="shared" si="268"/>
        <v>0</v>
      </c>
      <c r="O517" s="108">
        <f t="shared" si="268"/>
        <v>0</v>
      </c>
      <c r="P517" s="108">
        <f t="shared" si="268"/>
        <v>0</v>
      </c>
      <c r="Q517" s="108">
        <f t="shared" si="268"/>
        <v>0</v>
      </c>
      <c r="R517" s="108">
        <f t="shared" si="268"/>
        <v>0</v>
      </c>
      <c r="S517" s="108">
        <f t="shared" si="268"/>
        <v>0</v>
      </c>
      <c r="T517" s="28" t="s">
        <v>26</v>
      </c>
      <c r="V517" s="104" t="str">
        <f>$V$83</f>
        <v>-</v>
      </c>
      <c r="W517" s="108">
        <f t="shared" si="223"/>
        <v>-1</v>
      </c>
      <c r="X517" s="108">
        <f t="shared" si="224"/>
        <v>-1</v>
      </c>
      <c r="Y517" s="108">
        <f t="shared" si="225"/>
        <v>-1</v>
      </c>
      <c r="Z517" s="108">
        <f t="shared" si="226"/>
        <v>-1</v>
      </c>
      <c r="AA517" s="108">
        <f t="shared" si="227"/>
        <v>-1</v>
      </c>
      <c r="AB517" s="108">
        <f t="shared" si="228"/>
        <v>-1</v>
      </c>
      <c r="AC517" s="108">
        <f t="shared" si="229"/>
        <v>-1</v>
      </c>
      <c r="AD517" s="108">
        <f t="shared" si="230"/>
        <v>-1</v>
      </c>
      <c r="AE517" s="108">
        <f t="shared" si="231"/>
        <v>-1</v>
      </c>
      <c r="AF517" s="108">
        <f t="shared" si="232"/>
        <v>-1</v>
      </c>
      <c r="AG517" s="108">
        <f t="shared" si="233"/>
        <v>-1</v>
      </c>
      <c r="AH517" s="108">
        <f t="shared" si="234"/>
        <v>-1</v>
      </c>
      <c r="AI517" s="108">
        <f t="shared" si="235"/>
        <v>-1</v>
      </c>
      <c r="AJ517" s="108">
        <f t="shared" si="236"/>
        <v>-1</v>
      </c>
      <c r="AK517" s="108">
        <f t="shared" si="237"/>
        <v>-1</v>
      </c>
      <c r="AL517" s="108">
        <f t="shared" si="238"/>
        <v>-1</v>
      </c>
      <c r="AM517" s="108"/>
      <c r="AQ517" s="104" t="str">
        <f>$V$56</f>
        <v>Sebastián</v>
      </c>
      <c r="AR517" s="54">
        <v>0</v>
      </c>
      <c r="AS517" s="54">
        <v>0</v>
      </c>
      <c r="AT517" s="54">
        <v>0</v>
      </c>
      <c r="AU517" s="54">
        <v>0</v>
      </c>
      <c r="AV517" s="54">
        <v>0</v>
      </c>
      <c r="AW517" s="54">
        <v>0</v>
      </c>
      <c r="AX517" s="54">
        <v>0</v>
      </c>
      <c r="AY517" s="54">
        <v>0</v>
      </c>
      <c r="AZ517" s="54">
        <v>0</v>
      </c>
      <c r="BA517" s="54">
        <v>0</v>
      </c>
      <c r="BB517" s="54">
        <v>0</v>
      </c>
      <c r="BC517" s="54">
        <v>0</v>
      </c>
      <c r="BD517" s="54">
        <v>0</v>
      </c>
      <c r="BE517" s="54">
        <v>0</v>
      </c>
      <c r="BF517" s="54">
        <v>0</v>
      </c>
      <c r="BG517" s="54">
        <v>0</v>
      </c>
      <c r="BH517" s="54">
        <v>0</v>
      </c>
      <c r="BK517" s="104" t="str">
        <f>$V$53</f>
        <v>Jennifer</v>
      </c>
      <c r="BL517" s="108">
        <v>0</v>
      </c>
      <c r="BM517" s="108">
        <v>0</v>
      </c>
      <c r="BN517" s="108">
        <v>0</v>
      </c>
      <c r="BO517" s="108">
        <v>0</v>
      </c>
      <c r="BP517" s="108">
        <v>0</v>
      </c>
      <c r="BQ517" s="108">
        <v>0</v>
      </c>
      <c r="BR517" s="108">
        <v>0</v>
      </c>
      <c r="BS517" s="108">
        <v>0</v>
      </c>
      <c r="BT517" s="108">
        <v>0</v>
      </c>
      <c r="BU517" s="108">
        <v>0</v>
      </c>
      <c r="BV517" s="108">
        <v>0</v>
      </c>
      <c r="BW517" s="108">
        <v>0</v>
      </c>
      <c r="BX517" s="108">
        <v>0</v>
      </c>
      <c r="BY517" s="108">
        <v>0</v>
      </c>
      <c r="BZ517" s="108">
        <v>0</v>
      </c>
      <c r="CA517" s="108">
        <v>0</v>
      </c>
      <c r="CB517" s="108">
        <v>0</v>
      </c>
    </row>
    <row r="518" spans="3:80" x14ac:dyDescent="0.55000000000000004">
      <c r="C518" s="104" t="str">
        <f>$V$84</f>
        <v>-</v>
      </c>
      <c r="D518" s="108">
        <f t="shared" ref="D518:S518" si="269">D84</f>
        <v>0</v>
      </c>
      <c r="E518" s="108">
        <f t="shared" si="269"/>
        <v>0</v>
      </c>
      <c r="F518" s="108">
        <f t="shared" si="269"/>
        <v>0</v>
      </c>
      <c r="G518" s="108">
        <f t="shared" si="269"/>
        <v>0</v>
      </c>
      <c r="H518" s="108">
        <f t="shared" si="269"/>
        <v>0</v>
      </c>
      <c r="I518" s="108">
        <f t="shared" si="269"/>
        <v>0</v>
      </c>
      <c r="J518" s="108">
        <f t="shared" si="269"/>
        <v>0</v>
      </c>
      <c r="K518" s="108">
        <f t="shared" si="269"/>
        <v>0</v>
      </c>
      <c r="L518" s="108">
        <f t="shared" si="269"/>
        <v>0</v>
      </c>
      <c r="M518" s="108">
        <f t="shared" si="269"/>
        <v>0</v>
      </c>
      <c r="N518" s="108">
        <f t="shared" si="269"/>
        <v>0</v>
      </c>
      <c r="O518" s="108">
        <f t="shared" si="269"/>
        <v>0</v>
      </c>
      <c r="P518" s="108">
        <f t="shared" si="269"/>
        <v>0</v>
      </c>
      <c r="Q518" s="108">
        <f t="shared" si="269"/>
        <v>0</v>
      </c>
      <c r="R518" s="108">
        <f t="shared" si="269"/>
        <v>0</v>
      </c>
      <c r="S518" s="108">
        <f t="shared" si="269"/>
        <v>0</v>
      </c>
      <c r="T518" s="28" t="s">
        <v>26</v>
      </c>
      <c r="V518" s="104" t="str">
        <f>$V$84</f>
        <v>-</v>
      </c>
      <c r="W518" s="108">
        <f t="shared" si="223"/>
        <v>-1</v>
      </c>
      <c r="X518" s="108">
        <f t="shared" si="224"/>
        <v>-1</v>
      </c>
      <c r="Y518" s="108">
        <f t="shared" si="225"/>
        <v>-1</v>
      </c>
      <c r="Z518" s="108">
        <f t="shared" si="226"/>
        <v>-1</v>
      </c>
      <c r="AA518" s="108">
        <f t="shared" si="227"/>
        <v>-1</v>
      </c>
      <c r="AB518" s="108">
        <f t="shared" si="228"/>
        <v>-1</v>
      </c>
      <c r="AC518" s="108">
        <f t="shared" si="229"/>
        <v>-1</v>
      </c>
      <c r="AD518" s="108">
        <f t="shared" si="230"/>
        <v>-1</v>
      </c>
      <c r="AE518" s="108">
        <f t="shared" si="231"/>
        <v>-1</v>
      </c>
      <c r="AF518" s="108">
        <f t="shared" si="232"/>
        <v>-1</v>
      </c>
      <c r="AG518" s="108">
        <f t="shared" si="233"/>
        <v>-1</v>
      </c>
      <c r="AH518" s="108">
        <f t="shared" si="234"/>
        <v>-1</v>
      </c>
      <c r="AI518" s="108">
        <f t="shared" si="235"/>
        <v>-1</v>
      </c>
      <c r="AJ518" s="108">
        <f t="shared" si="236"/>
        <v>-1</v>
      </c>
      <c r="AK518" s="108">
        <f t="shared" si="237"/>
        <v>-1</v>
      </c>
      <c r="AL518" s="108">
        <f t="shared" si="238"/>
        <v>-1</v>
      </c>
      <c r="AM518" s="108"/>
      <c r="AQ518" s="104" t="str">
        <f>$V$57</f>
        <v>Marcos</v>
      </c>
      <c r="AR518" s="54">
        <v>0</v>
      </c>
      <c r="AS518" s="54">
        <v>0</v>
      </c>
      <c r="AT518" s="54">
        <v>0</v>
      </c>
      <c r="AU518" s="54">
        <v>0</v>
      </c>
      <c r="AV518" s="54">
        <v>0</v>
      </c>
      <c r="AW518" s="54">
        <v>0</v>
      </c>
      <c r="AX518" s="54">
        <v>0</v>
      </c>
      <c r="AY518" s="54">
        <v>0</v>
      </c>
      <c r="AZ518" s="54">
        <v>0</v>
      </c>
      <c r="BA518" s="54">
        <v>0</v>
      </c>
      <c r="BB518" s="54">
        <v>0</v>
      </c>
      <c r="BC518" s="54">
        <v>0</v>
      </c>
      <c r="BD518" s="54">
        <v>0</v>
      </c>
      <c r="BE518" s="54">
        <v>0</v>
      </c>
      <c r="BF518" s="54">
        <v>0</v>
      </c>
      <c r="BG518" s="54">
        <v>0</v>
      </c>
      <c r="BH518" s="54">
        <v>0</v>
      </c>
      <c r="BK518" s="104" t="str">
        <f>$V$54</f>
        <v>Galileo</v>
      </c>
      <c r="BL518" s="108">
        <v>0</v>
      </c>
      <c r="BM518" s="108">
        <v>0</v>
      </c>
      <c r="BN518" s="108">
        <v>0</v>
      </c>
      <c r="BO518" s="108">
        <v>0</v>
      </c>
      <c r="BP518" s="108">
        <v>0</v>
      </c>
      <c r="BQ518" s="108">
        <v>0</v>
      </c>
      <c r="BR518" s="108">
        <v>0</v>
      </c>
      <c r="BS518" s="108">
        <v>0</v>
      </c>
      <c r="BT518" s="108">
        <v>0</v>
      </c>
      <c r="BU518" s="108">
        <v>0</v>
      </c>
      <c r="BV518" s="108">
        <v>0</v>
      </c>
      <c r="BW518" s="108">
        <v>0</v>
      </c>
      <c r="BX518" s="108">
        <v>0</v>
      </c>
      <c r="BY518" s="108">
        <v>0</v>
      </c>
      <c r="BZ518" s="108">
        <v>0</v>
      </c>
      <c r="CA518" s="108">
        <v>0</v>
      </c>
      <c r="CB518" s="108">
        <v>0</v>
      </c>
    </row>
    <row r="519" spans="3:80" x14ac:dyDescent="0.55000000000000004">
      <c r="C519" s="104" t="str">
        <f>$V$85</f>
        <v>-</v>
      </c>
      <c r="D519" s="108">
        <f t="shared" ref="D519:S519" si="270">D85</f>
        <v>0</v>
      </c>
      <c r="E519" s="108">
        <f t="shared" si="270"/>
        <v>0</v>
      </c>
      <c r="F519" s="108">
        <f t="shared" si="270"/>
        <v>0</v>
      </c>
      <c r="G519" s="108">
        <f t="shared" si="270"/>
        <v>0</v>
      </c>
      <c r="H519" s="108">
        <f t="shared" si="270"/>
        <v>0</v>
      </c>
      <c r="I519" s="108">
        <f t="shared" si="270"/>
        <v>0</v>
      </c>
      <c r="J519" s="108">
        <f t="shared" si="270"/>
        <v>0</v>
      </c>
      <c r="K519" s="108">
        <f t="shared" si="270"/>
        <v>0</v>
      </c>
      <c r="L519" s="108">
        <f t="shared" si="270"/>
        <v>0</v>
      </c>
      <c r="M519" s="108">
        <f t="shared" si="270"/>
        <v>0</v>
      </c>
      <c r="N519" s="108">
        <f t="shared" si="270"/>
        <v>0</v>
      </c>
      <c r="O519" s="108">
        <f t="shared" si="270"/>
        <v>0</v>
      </c>
      <c r="P519" s="108">
        <f t="shared" si="270"/>
        <v>0</v>
      </c>
      <c r="Q519" s="108">
        <f t="shared" si="270"/>
        <v>0</v>
      </c>
      <c r="R519" s="108">
        <f t="shared" si="270"/>
        <v>0</v>
      </c>
      <c r="S519" s="108">
        <f t="shared" si="270"/>
        <v>0</v>
      </c>
      <c r="T519" s="28" t="s">
        <v>26</v>
      </c>
      <c r="V519" s="104" t="str">
        <f>$V$85</f>
        <v>-</v>
      </c>
      <c r="W519" s="108">
        <f t="shared" si="223"/>
        <v>-1</v>
      </c>
      <c r="X519" s="108">
        <f t="shared" si="224"/>
        <v>-1</v>
      </c>
      <c r="Y519" s="108">
        <f t="shared" si="225"/>
        <v>-1</v>
      </c>
      <c r="Z519" s="108">
        <f t="shared" si="226"/>
        <v>-1</v>
      </c>
      <c r="AA519" s="108">
        <f t="shared" si="227"/>
        <v>-1</v>
      </c>
      <c r="AB519" s="108">
        <f t="shared" si="228"/>
        <v>-1</v>
      </c>
      <c r="AC519" s="108">
        <f t="shared" si="229"/>
        <v>-1</v>
      </c>
      <c r="AD519" s="108">
        <f t="shared" si="230"/>
        <v>-1</v>
      </c>
      <c r="AE519" s="108">
        <f t="shared" si="231"/>
        <v>-1</v>
      </c>
      <c r="AF519" s="108">
        <f t="shared" si="232"/>
        <v>-1</v>
      </c>
      <c r="AG519" s="108">
        <f t="shared" si="233"/>
        <v>-1</v>
      </c>
      <c r="AH519" s="108">
        <f t="shared" si="234"/>
        <v>-1</v>
      </c>
      <c r="AI519" s="108">
        <f t="shared" si="235"/>
        <v>-1</v>
      </c>
      <c r="AJ519" s="108">
        <f t="shared" si="236"/>
        <v>-1</v>
      </c>
      <c r="AK519" s="108">
        <f t="shared" si="237"/>
        <v>-1</v>
      </c>
      <c r="AL519" s="108">
        <f t="shared" si="238"/>
        <v>-1</v>
      </c>
      <c r="AM519" s="108"/>
      <c r="AQ519" s="104" t="str">
        <f>$V$58</f>
        <v>Weixin</v>
      </c>
      <c r="AR519" s="54">
        <v>0</v>
      </c>
      <c r="AS519" s="54">
        <v>0</v>
      </c>
      <c r="AT519" s="54">
        <v>0</v>
      </c>
      <c r="AU519" s="54">
        <v>0</v>
      </c>
      <c r="AV519" s="54">
        <v>0</v>
      </c>
      <c r="AW519" s="54">
        <v>0</v>
      </c>
      <c r="AX519" s="54">
        <v>0</v>
      </c>
      <c r="AY519" s="54">
        <v>0</v>
      </c>
      <c r="AZ519" s="54">
        <v>0</v>
      </c>
      <c r="BA519" s="54">
        <v>0</v>
      </c>
      <c r="BB519" s="54">
        <v>0</v>
      </c>
      <c r="BC519" s="54">
        <v>0</v>
      </c>
      <c r="BD519" s="54">
        <v>0</v>
      </c>
      <c r="BE519" s="54">
        <v>0</v>
      </c>
      <c r="BF519" s="54">
        <v>0</v>
      </c>
      <c r="BG519" s="54">
        <v>0</v>
      </c>
      <c r="BH519" s="54">
        <v>0</v>
      </c>
      <c r="BK519" s="104" t="str">
        <f>$V$55</f>
        <v>Óscar</v>
      </c>
      <c r="BL519" s="108">
        <v>0</v>
      </c>
      <c r="BM519" s="108">
        <v>0</v>
      </c>
      <c r="BN519" s="108">
        <v>0</v>
      </c>
      <c r="BO519" s="108">
        <v>0</v>
      </c>
      <c r="BP519" s="108">
        <v>0</v>
      </c>
      <c r="BQ519" s="108">
        <v>0</v>
      </c>
      <c r="BR519" s="108">
        <v>0</v>
      </c>
      <c r="BS519" s="108">
        <v>0</v>
      </c>
      <c r="BT519" s="108">
        <v>0</v>
      </c>
      <c r="BU519" s="108">
        <v>0</v>
      </c>
      <c r="BV519" s="108">
        <v>0</v>
      </c>
      <c r="BW519" s="108">
        <v>0</v>
      </c>
      <c r="BX519" s="108">
        <v>0</v>
      </c>
      <c r="BY519" s="108">
        <v>0</v>
      </c>
      <c r="BZ519" s="108">
        <v>0</v>
      </c>
      <c r="CA519" s="108">
        <v>0</v>
      </c>
      <c r="CB519" s="108">
        <v>0</v>
      </c>
    </row>
    <row r="520" spans="3:80" x14ac:dyDescent="0.55000000000000004">
      <c r="C520" s="104" t="str">
        <f>$V$86</f>
        <v>-</v>
      </c>
      <c r="D520" s="108">
        <f t="shared" ref="D520:S520" si="271">D86</f>
        <v>0</v>
      </c>
      <c r="E520" s="108">
        <f t="shared" si="271"/>
        <v>0</v>
      </c>
      <c r="F520" s="108">
        <f t="shared" si="271"/>
        <v>0</v>
      </c>
      <c r="G520" s="108">
        <f t="shared" si="271"/>
        <v>0</v>
      </c>
      <c r="H520" s="108">
        <f t="shared" si="271"/>
        <v>0</v>
      </c>
      <c r="I520" s="108">
        <f t="shared" si="271"/>
        <v>0</v>
      </c>
      <c r="J520" s="108">
        <f t="shared" si="271"/>
        <v>0</v>
      </c>
      <c r="K520" s="108">
        <f t="shared" si="271"/>
        <v>0</v>
      </c>
      <c r="L520" s="108">
        <f t="shared" si="271"/>
        <v>0</v>
      </c>
      <c r="M520" s="108">
        <f t="shared" si="271"/>
        <v>0</v>
      </c>
      <c r="N520" s="108">
        <f t="shared" si="271"/>
        <v>0</v>
      </c>
      <c r="O520" s="108">
        <f t="shared" si="271"/>
        <v>0</v>
      </c>
      <c r="P520" s="108">
        <f t="shared" si="271"/>
        <v>0</v>
      </c>
      <c r="Q520" s="108">
        <f t="shared" si="271"/>
        <v>0</v>
      </c>
      <c r="R520" s="108">
        <f t="shared" si="271"/>
        <v>0</v>
      </c>
      <c r="S520" s="108">
        <f t="shared" si="271"/>
        <v>0</v>
      </c>
      <c r="T520" s="28" t="s">
        <v>26</v>
      </c>
      <c r="V520" s="104" t="str">
        <f>$V$86</f>
        <v>-</v>
      </c>
      <c r="W520" s="108">
        <f t="shared" si="223"/>
        <v>-1</v>
      </c>
      <c r="X520" s="108">
        <f t="shared" si="224"/>
        <v>-1</v>
      </c>
      <c r="Y520" s="108">
        <f t="shared" si="225"/>
        <v>-1</v>
      </c>
      <c r="Z520" s="108">
        <f t="shared" si="226"/>
        <v>-1</v>
      </c>
      <c r="AA520" s="108">
        <f t="shared" si="227"/>
        <v>-1</v>
      </c>
      <c r="AB520" s="108">
        <f t="shared" si="228"/>
        <v>-1</v>
      </c>
      <c r="AC520" s="108">
        <f t="shared" si="229"/>
        <v>-1</v>
      </c>
      <c r="AD520" s="108">
        <f t="shared" si="230"/>
        <v>-1</v>
      </c>
      <c r="AE520" s="108">
        <f t="shared" si="231"/>
        <v>-1</v>
      </c>
      <c r="AF520" s="108">
        <f t="shared" si="232"/>
        <v>-1</v>
      </c>
      <c r="AG520" s="108">
        <f t="shared" si="233"/>
        <v>-1</v>
      </c>
      <c r="AH520" s="108">
        <f t="shared" si="234"/>
        <v>-1</v>
      </c>
      <c r="AI520" s="108">
        <f t="shared" si="235"/>
        <v>-1</v>
      </c>
      <c r="AJ520" s="108">
        <f t="shared" si="236"/>
        <v>-1</v>
      </c>
      <c r="AK520" s="108">
        <f t="shared" si="237"/>
        <v>-1</v>
      </c>
      <c r="AL520" s="108">
        <f t="shared" si="238"/>
        <v>-1</v>
      </c>
      <c r="AM520" s="108"/>
      <c r="AQ520" s="104" t="str">
        <f>$V$59</f>
        <v>Benjamin</v>
      </c>
      <c r="AR520" s="54">
        <v>0</v>
      </c>
      <c r="AS520" s="54">
        <v>0</v>
      </c>
      <c r="AT520" s="54">
        <v>0</v>
      </c>
      <c r="AU520" s="54">
        <v>0</v>
      </c>
      <c r="AV520" s="54">
        <v>0</v>
      </c>
      <c r="AW520" s="54">
        <v>0</v>
      </c>
      <c r="AX520" s="54">
        <v>0</v>
      </c>
      <c r="AY520" s="54">
        <v>0</v>
      </c>
      <c r="AZ520" s="54">
        <v>1</v>
      </c>
      <c r="BA520" s="54">
        <v>0</v>
      </c>
      <c r="BB520" s="54">
        <v>0</v>
      </c>
      <c r="BC520" s="54">
        <v>0</v>
      </c>
      <c r="BD520" s="54">
        <v>0</v>
      </c>
      <c r="BE520" s="54">
        <v>0</v>
      </c>
      <c r="BF520" s="54">
        <v>0</v>
      </c>
      <c r="BG520" s="54">
        <v>0</v>
      </c>
      <c r="BH520" s="54">
        <v>0</v>
      </c>
      <c r="BK520" s="104" t="str">
        <f>$V$56</f>
        <v>Sebastián</v>
      </c>
      <c r="BL520" s="108">
        <v>0</v>
      </c>
      <c r="BM520" s="108">
        <v>0</v>
      </c>
      <c r="BN520" s="108">
        <v>0</v>
      </c>
      <c r="BO520" s="108">
        <v>0</v>
      </c>
      <c r="BP520" s="108">
        <v>0</v>
      </c>
      <c r="BQ520" s="108">
        <v>0</v>
      </c>
      <c r="BR520" s="108">
        <v>0</v>
      </c>
      <c r="BS520" s="108">
        <v>0</v>
      </c>
      <c r="BT520" s="108">
        <v>0</v>
      </c>
      <c r="BU520" s="108">
        <v>0</v>
      </c>
      <c r="BV520" s="108">
        <v>0</v>
      </c>
      <c r="BW520" s="108">
        <v>0</v>
      </c>
      <c r="BX520" s="108">
        <v>0</v>
      </c>
      <c r="BY520" s="108">
        <v>0</v>
      </c>
      <c r="BZ520" s="108">
        <v>0</v>
      </c>
      <c r="CA520" s="108">
        <v>0</v>
      </c>
      <c r="CB520" s="108">
        <v>0</v>
      </c>
    </row>
    <row r="521" spans="3:80" x14ac:dyDescent="0.55000000000000004">
      <c r="C521" s="104" t="str">
        <f>$V$87</f>
        <v>-</v>
      </c>
      <c r="D521" s="108">
        <f t="shared" ref="D521:S521" si="272">D87</f>
        <v>0</v>
      </c>
      <c r="E521" s="108">
        <f t="shared" si="272"/>
        <v>0</v>
      </c>
      <c r="F521" s="108">
        <f t="shared" si="272"/>
        <v>0</v>
      </c>
      <c r="G521" s="108">
        <f t="shared" si="272"/>
        <v>0</v>
      </c>
      <c r="H521" s="108">
        <f t="shared" si="272"/>
        <v>0</v>
      </c>
      <c r="I521" s="108">
        <f t="shared" si="272"/>
        <v>0</v>
      </c>
      <c r="J521" s="108">
        <f t="shared" si="272"/>
        <v>0</v>
      </c>
      <c r="K521" s="108">
        <f t="shared" si="272"/>
        <v>0</v>
      </c>
      <c r="L521" s="108">
        <f t="shared" si="272"/>
        <v>0</v>
      </c>
      <c r="M521" s="108">
        <f t="shared" si="272"/>
        <v>0</v>
      </c>
      <c r="N521" s="108">
        <f t="shared" si="272"/>
        <v>0</v>
      </c>
      <c r="O521" s="108">
        <f t="shared" si="272"/>
        <v>0</v>
      </c>
      <c r="P521" s="108">
        <f t="shared" si="272"/>
        <v>0</v>
      </c>
      <c r="Q521" s="108">
        <f t="shared" si="272"/>
        <v>0</v>
      </c>
      <c r="R521" s="108">
        <f t="shared" si="272"/>
        <v>0</v>
      </c>
      <c r="S521" s="108">
        <f t="shared" si="272"/>
        <v>0</v>
      </c>
      <c r="T521" s="28" t="s">
        <v>26</v>
      </c>
      <c r="V521" s="104" t="str">
        <f>$V$87</f>
        <v>-</v>
      </c>
      <c r="W521" s="108">
        <f t="shared" si="223"/>
        <v>-1</v>
      </c>
      <c r="X521" s="108">
        <f t="shared" si="224"/>
        <v>-1</v>
      </c>
      <c r="Y521" s="108">
        <f t="shared" si="225"/>
        <v>-1</v>
      </c>
      <c r="Z521" s="108">
        <f t="shared" si="226"/>
        <v>-1</v>
      </c>
      <c r="AA521" s="108">
        <f t="shared" si="227"/>
        <v>-1</v>
      </c>
      <c r="AB521" s="108">
        <f t="shared" si="228"/>
        <v>-1</v>
      </c>
      <c r="AC521" s="108">
        <f t="shared" si="229"/>
        <v>-1</v>
      </c>
      <c r="AD521" s="108">
        <f t="shared" si="230"/>
        <v>-1</v>
      </c>
      <c r="AE521" s="108">
        <f t="shared" si="231"/>
        <v>-1</v>
      </c>
      <c r="AF521" s="108">
        <f t="shared" si="232"/>
        <v>-1</v>
      </c>
      <c r="AG521" s="108">
        <f t="shared" si="233"/>
        <v>-1</v>
      </c>
      <c r="AH521" s="108">
        <f t="shared" si="234"/>
        <v>-1</v>
      </c>
      <c r="AI521" s="108">
        <f t="shared" si="235"/>
        <v>-1</v>
      </c>
      <c r="AJ521" s="108">
        <f t="shared" si="236"/>
        <v>-1</v>
      </c>
      <c r="AK521" s="108">
        <f t="shared" si="237"/>
        <v>-1</v>
      </c>
      <c r="AL521" s="108">
        <f t="shared" si="238"/>
        <v>-1</v>
      </c>
      <c r="AM521" s="108"/>
      <c r="AQ521" s="104" t="str">
        <f>$V$60</f>
        <v>Joelle</v>
      </c>
      <c r="AR521" s="54">
        <v>0</v>
      </c>
      <c r="AS521" s="54">
        <v>0</v>
      </c>
      <c r="AT521" s="54">
        <v>0</v>
      </c>
      <c r="AU521" s="54">
        <v>0</v>
      </c>
      <c r="AV521" s="54">
        <v>0</v>
      </c>
      <c r="AW521" s="54">
        <v>0</v>
      </c>
      <c r="AX521" s="54">
        <v>0</v>
      </c>
      <c r="AY521" s="54">
        <v>0</v>
      </c>
      <c r="AZ521" s="54">
        <v>0</v>
      </c>
      <c r="BA521" s="54">
        <v>0</v>
      </c>
      <c r="BB521" s="54">
        <v>0</v>
      </c>
      <c r="BC521" s="54">
        <v>0</v>
      </c>
      <c r="BD521" s="54">
        <v>0</v>
      </c>
      <c r="BE521" s="54">
        <v>0</v>
      </c>
      <c r="BF521" s="54">
        <v>0</v>
      </c>
      <c r="BG521" s="54">
        <v>0</v>
      </c>
      <c r="BH521" s="54">
        <v>0</v>
      </c>
      <c r="BK521" s="104" t="str">
        <f>$V$57</f>
        <v>Marcos</v>
      </c>
      <c r="BL521" s="108">
        <v>0</v>
      </c>
      <c r="BM521" s="108">
        <v>0</v>
      </c>
      <c r="BN521" s="108">
        <v>0</v>
      </c>
      <c r="BO521" s="108">
        <v>0</v>
      </c>
      <c r="BP521" s="108">
        <v>0</v>
      </c>
      <c r="BQ521" s="108">
        <v>0</v>
      </c>
      <c r="BR521" s="108">
        <v>0</v>
      </c>
      <c r="BS521" s="108">
        <v>0</v>
      </c>
      <c r="BT521" s="108">
        <v>0</v>
      </c>
      <c r="BU521" s="108">
        <v>0</v>
      </c>
      <c r="BV521" s="108">
        <v>0</v>
      </c>
      <c r="BW521" s="108">
        <v>0</v>
      </c>
      <c r="BX521" s="108">
        <v>0</v>
      </c>
      <c r="BY521" s="108">
        <v>0</v>
      </c>
      <c r="BZ521" s="108">
        <v>0</v>
      </c>
      <c r="CA521" s="108">
        <v>0</v>
      </c>
      <c r="CB521" s="108">
        <v>0</v>
      </c>
    </row>
    <row r="522" spans="3:80" x14ac:dyDescent="0.55000000000000004">
      <c r="C522" s="104" t="str">
        <f>$V$88</f>
        <v>-</v>
      </c>
      <c r="D522" s="108">
        <f t="shared" ref="D522:S522" si="273">D88</f>
        <v>0</v>
      </c>
      <c r="E522" s="108">
        <f t="shared" si="273"/>
        <v>0</v>
      </c>
      <c r="F522" s="108">
        <f t="shared" si="273"/>
        <v>0</v>
      </c>
      <c r="G522" s="108">
        <f t="shared" si="273"/>
        <v>0</v>
      </c>
      <c r="H522" s="108">
        <f t="shared" si="273"/>
        <v>0</v>
      </c>
      <c r="I522" s="108">
        <f t="shared" si="273"/>
        <v>0</v>
      </c>
      <c r="J522" s="108">
        <f t="shared" si="273"/>
        <v>0</v>
      </c>
      <c r="K522" s="108">
        <f t="shared" si="273"/>
        <v>0</v>
      </c>
      <c r="L522" s="108">
        <f t="shared" si="273"/>
        <v>0</v>
      </c>
      <c r="M522" s="108">
        <f t="shared" si="273"/>
        <v>0</v>
      </c>
      <c r="N522" s="108">
        <f t="shared" si="273"/>
        <v>0</v>
      </c>
      <c r="O522" s="108">
        <f t="shared" si="273"/>
        <v>0</v>
      </c>
      <c r="P522" s="108">
        <f t="shared" si="273"/>
        <v>0</v>
      </c>
      <c r="Q522" s="108">
        <f t="shared" si="273"/>
        <v>0</v>
      </c>
      <c r="R522" s="108">
        <f t="shared" si="273"/>
        <v>0</v>
      </c>
      <c r="S522" s="108">
        <f t="shared" si="273"/>
        <v>0</v>
      </c>
      <c r="T522" s="28" t="s">
        <v>26</v>
      </c>
      <c r="V522" s="104" t="str">
        <f>$V$88</f>
        <v>-</v>
      </c>
      <c r="W522" s="108">
        <f t="shared" si="223"/>
        <v>-1</v>
      </c>
      <c r="X522" s="108">
        <f t="shared" si="224"/>
        <v>-1</v>
      </c>
      <c r="Y522" s="108">
        <f t="shared" si="225"/>
        <v>-1</v>
      </c>
      <c r="Z522" s="108">
        <f t="shared" si="226"/>
        <v>-1</v>
      </c>
      <c r="AA522" s="108">
        <f t="shared" si="227"/>
        <v>-1</v>
      </c>
      <c r="AB522" s="108">
        <f t="shared" si="228"/>
        <v>-1</v>
      </c>
      <c r="AC522" s="108">
        <f t="shared" si="229"/>
        <v>-1</v>
      </c>
      <c r="AD522" s="108">
        <f t="shared" si="230"/>
        <v>-1</v>
      </c>
      <c r="AE522" s="108">
        <f t="shared" si="231"/>
        <v>-1</v>
      </c>
      <c r="AF522" s="108">
        <f t="shared" si="232"/>
        <v>-1</v>
      </c>
      <c r="AG522" s="108">
        <f t="shared" si="233"/>
        <v>-1</v>
      </c>
      <c r="AH522" s="108">
        <f t="shared" si="234"/>
        <v>-1</v>
      </c>
      <c r="AI522" s="108">
        <f t="shared" si="235"/>
        <v>-1</v>
      </c>
      <c r="AJ522" s="108">
        <f t="shared" si="236"/>
        <v>-1</v>
      </c>
      <c r="AK522" s="108">
        <f t="shared" si="237"/>
        <v>-1</v>
      </c>
      <c r="AL522" s="108">
        <f t="shared" si="238"/>
        <v>-1</v>
      </c>
      <c r="AM522" s="108"/>
      <c r="AQ522" s="104" t="str">
        <f>$V$61</f>
        <v>Alexia</v>
      </c>
      <c r="AR522" s="54">
        <v>0</v>
      </c>
      <c r="AS522" s="54">
        <v>0</v>
      </c>
      <c r="AT522" s="54">
        <v>0</v>
      </c>
      <c r="AU522" s="54">
        <v>0</v>
      </c>
      <c r="AV522" s="54">
        <v>0</v>
      </c>
      <c r="AW522" s="54">
        <v>0</v>
      </c>
      <c r="AX522" s="54">
        <v>0</v>
      </c>
      <c r="AY522" s="54">
        <v>0</v>
      </c>
      <c r="AZ522" s="54">
        <v>0</v>
      </c>
      <c r="BA522" s="54">
        <v>0</v>
      </c>
      <c r="BB522" s="54">
        <v>0</v>
      </c>
      <c r="BC522" s="54">
        <v>0</v>
      </c>
      <c r="BD522" s="54">
        <v>0</v>
      </c>
      <c r="BE522" s="54">
        <v>0</v>
      </c>
      <c r="BF522" s="54">
        <v>0</v>
      </c>
      <c r="BG522" s="54">
        <v>0</v>
      </c>
      <c r="BH522" s="54">
        <v>0</v>
      </c>
      <c r="BK522" s="104" t="str">
        <f>$V$58</f>
        <v>Weixin</v>
      </c>
      <c r="BL522" s="108">
        <v>0</v>
      </c>
      <c r="BM522" s="108">
        <v>0</v>
      </c>
      <c r="BN522" s="108">
        <v>0</v>
      </c>
      <c r="BO522" s="108">
        <v>0</v>
      </c>
      <c r="BP522" s="108">
        <v>0</v>
      </c>
      <c r="BQ522" s="108">
        <v>0</v>
      </c>
      <c r="BR522" s="108">
        <v>0</v>
      </c>
      <c r="BS522" s="108">
        <v>0</v>
      </c>
      <c r="BT522" s="108">
        <v>0</v>
      </c>
      <c r="BU522" s="108">
        <v>0</v>
      </c>
      <c r="BV522" s="108">
        <v>0</v>
      </c>
      <c r="BW522" s="108">
        <v>0</v>
      </c>
      <c r="BX522" s="108">
        <v>0</v>
      </c>
      <c r="BY522" s="108">
        <v>0</v>
      </c>
      <c r="BZ522" s="108">
        <v>0</v>
      </c>
      <c r="CA522" s="108">
        <v>0</v>
      </c>
      <c r="CB522" s="108">
        <v>0</v>
      </c>
    </row>
    <row r="523" spans="3:80" x14ac:dyDescent="0.55000000000000004">
      <c r="C523" s="104" t="str">
        <f>$V$89</f>
        <v>-</v>
      </c>
      <c r="D523" s="108">
        <f t="shared" ref="D523:S523" si="274">D89</f>
        <v>0</v>
      </c>
      <c r="E523" s="108">
        <f t="shared" si="274"/>
        <v>0</v>
      </c>
      <c r="F523" s="108">
        <f t="shared" si="274"/>
        <v>0</v>
      </c>
      <c r="G523" s="108">
        <f t="shared" si="274"/>
        <v>0</v>
      </c>
      <c r="H523" s="108">
        <f t="shared" si="274"/>
        <v>0</v>
      </c>
      <c r="I523" s="108">
        <f t="shared" si="274"/>
        <v>0</v>
      </c>
      <c r="J523" s="108">
        <f t="shared" si="274"/>
        <v>0</v>
      </c>
      <c r="K523" s="108">
        <f t="shared" si="274"/>
        <v>0</v>
      </c>
      <c r="L523" s="108">
        <f t="shared" si="274"/>
        <v>0</v>
      </c>
      <c r="M523" s="108">
        <f t="shared" si="274"/>
        <v>0</v>
      </c>
      <c r="N523" s="108">
        <f t="shared" si="274"/>
        <v>0</v>
      </c>
      <c r="O523" s="108">
        <f t="shared" si="274"/>
        <v>0</v>
      </c>
      <c r="P523" s="108">
        <f t="shared" si="274"/>
        <v>0</v>
      </c>
      <c r="Q523" s="108">
        <f t="shared" si="274"/>
        <v>0</v>
      </c>
      <c r="R523" s="108">
        <f t="shared" si="274"/>
        <v>0</v>
      </c>
      <c r="S523" s="108">
        <f t="shared" si="274"/>
        <v>0</v>
      </c>
      <c r="T523" s="28" t="s">
        <v>26</v>
      </c>
      <c r="V523" s="104" t="str">
        <f>$V$89</f>
        <v>-</v>
      </c>
      <c r="W523" s="108">
        <f t="shared" si="223"/>
        <v>-1</v>
      </c>
      <c r="X523" s="108">
        <f t="shared" si="224"/>
        <v>-1</v>
      </c>
      <c r="Y523" s="108">
        <f t="shared" si="225"/>
        <v>-1</v>
      </c>
      <c r="Z523" s="108">
        <f t="shared" si="226"/>
        <v>-1</v>
      </c>
      <c r="AA523" s="108">
        <f t="shared" si="227"/>
        <v>-1</v>
      </c>
      <c r="AB523" s="108">
        <f t="shared" si="228"/>
        <v>-1</v>
      </c>
      <c r="AC523" s="108">
        <f t="shared" si="229"/>
        <v>-1</v>
      </c>
      <c r="AD523" s="108">
        <f t="shared" si="230"/>
        <v>-1</v>
      </c>
      <c r="AE523" s="108">
        <f t="shared" si="231"/>
        <v>-1</v>
      </c>
      <c r="AF523" s="108">
        <f t="shared" si="232"/>
        <v>-1</v>
      </c>
      <c r="AG523" s="108">
        <f t="shared" si="233"/>
        <v>-1</v>
      </c>
      <c r="AH523" s="108">
        <f t="shared" si="234"/>
        <v>-1</v>
      </c>
      <c r="AI523" s="108">
        <f t="shared" si="235"/>
        <v>-1</v>
      </c>
      <c r="AJ523" s="108">
        <f t="shared" si="236"/>
        <v>-1</v>
      </c>
      <c r="AK523" s="108">
        <f t="shared" si="237"/>
        <v>-1</v>
      </c>
      <c r="AL523" s="108">
        <f t="shared" si="238"/>
        <v>-1</v>
      </c>
      <c r="AM523" s="108"/>
      <c r="AQ523" s="104" t="str">
        <f>$V$62</f>
        <v>Joao</v>
      </c>
      <c r="AR523" s="54">
        <v>0</v>
      </c>
      <c r="AS523" s="54">
        <v>0</v>
      </c>
      <c r="AT523" s="54">
        <v>0</v>
      </c>
      <c r="AU523" s="54">
        <v>0</v>
      </c>
      <c r="AV523" s="54">
        <v>0</v>
      </c>
      <c r="AW523" s="54">
        <v>0</v>
      </c>
      <c r="AX523" s="54">
        <v>0</v>
      </c>
      <c r="AY523" s="54">
        <v>0</v>
      </c>
      <c r="AZ523" s="54">
        <v>0</v>
      </c>
      <c r="BA523" s="54">
        <v>0</v>
      </c>
      <c r="BB523" s="54">
        <v>0</v>
      </c>
      <c r="BC523" s="54">
        <v>0</v>
      </c>
      <c r="BD523" s="54">
        <v>0</v>
      </c>
      <c r="BE523" s="54">
        <v>0</v>
      </c>
      <c r="BF523" s="54">
        <v>0</v>
      </c>
      <c r="BG523" s="54">
        <v>0</v>
      </c>
      <c r="BH523" s="54">
        <v>0</v>
      </c>
      <c r="BK523" s="104" t="str">
        <f>$V$59</f>
        <v>Benjamin</v>
      </c>
      <c r="BL523" s="108">
        <v>0</v>
      </c>
      <c r="BM523" s="108">
        <v>0</v>
      </c>
      <c r="BN523" s="108">
        <v>0</v>
      </c>
      <c r="BO523" s="108">
        <v>0</v>
      </c>
      <c r="BP523" s="108">
        <v>0</v>
      </c>
      <c r="BQ523" s="108">
        <v>0</v>
      </c>
      <c r="BR523" s="108">
        <v>0</v>
      </c>
      <c r="BS523" s="108">
        <v>0</v>
      </c>
      <c r="BT523" s="108">
        <v>0</v>
      </c>
      <c r="BU523" s="108">
        <v>0</v>
      </c>
      <c r="BV523" s="108">
        <v>0</v>
      </c>
      <c r="BW523" s="108">
        <v>0</v>
      </c>
      <c r="BX523" s="108">
        <v>0</v>
      </c>
      <c r="BY523" s="108">
        <v>0</v>
      </c>
      <c r="BZ523" s="108">
        <v>0</v>
      </c>
      <c r="CA523" s="108">
        <v>0</v>
      </c>
      <c r="CB523" s="108">
        <v>0</v>
      </c>
    </row>
    <row r="524" spans="3:80" x14ac:dyDescent="0.55000000000000004">
      <c r="C524" s="104" t="str">
        <f>$V$90</f>
        <v>-</v>
      </c>
      <c r="D524" s="108">
        <f t="shared" ref="D524:S524" si="275">D90</f>
        <v>0</v>
      </c>
      <c r="E524" s="108">
        <f t="shared" si="275"/>
        <v>0</v>
      </c>
      <c r="F524" s="108">
        <f t="shared" si="275"/>
        <v>0</v>
      </c>
      <c r="G524" s="108">
        <f t="shared" si="275"/>
        <v>0</v>
      </c>
      <c r="H524" s="108">
        <f t="shared" si="275"/>
        <v>0</v>
      </c>
      <c r="I524" s="108">
        <f t="shared" si="275"/>
        <v>0</v>
      </c>
      <c r="J524" s="108">
        <f t="shared" si="275"/>
        <v>0</v>
      </c>
      <c r="K524" s="108">
        <f t="shared" si="275"/>
        <v>0</v>
      </c>
      <c r="L524" s="108">
        <f t="shared" si="275"/>
        <v>0</v>
      </c>
      <c r="M524" s="108">
        <f t="shared" si="275"/>
        <v>0</v>
      </c>
      <c r="N524" s="108">
        <f t="shared" si="275"/>
        <v>0</v>
      </c>
      <c r="O524" s="108">
        <f t="shared" si="275"/>
        <v>0</v>
      </c>
      <c r="P524" s="108">
        <f t="shared" si="275"/>
        <v>0</v>
      </c>
      <c r="Q524" s="108">
        <f t="shared" si="275"/>
        <v>0</v>
      </c>
      <c r="R524" s="108">
        <f t="shared" si="275"/>
        <v>0</v>
      </c>
      <c r="S524" s="108">
        <f t="shared" si="275"/>
        <v>0</v>
      </c>
      <c r="T524" s="28" t="s">
        <v>26</v>
      </c>
      <c r="V524" s="104" t="str">
        <f>$V$90</f>
        <v>-</v>
      </c>
      <c r="W524" s="108">
        <f t="shared" si="223"/>
        <v>-1</v>
      </c>
      <c r="X524" s="108">
        <f t="shared" si="224"/>
        <v>-1</v>
      </c>
      <c r="Y524" s="108">
        <f t="shared" si="225"/>
        <v>-1</v>
      </c>
      <c r="Z524" s="108">
        <f t="shared" si="226"/>
        <v>-1</v>
      </c>
      <c r="AA524" s="108">
        <f t="shared" si="227"/>
        <v>-1</v>
      </c>
      <c r="AB524" s="108">
        <f t="shared" si="228"/>
        <v>-1</v>
      </c>
      <c r="AC524" s="108">
        <f t="shared" si="229"/>
        <v>-1</v>
      </c>
      <c r="AD524" s="108">
        <f t="shared" si="230"/>
        <v>-1</v>
      </c>
      <c r="AE524" s="108">
        <f t="shared" si="231"/>
        <v>-1</v>
      </c>
      <c r="AF524" s="108">
        <f t="shared" si="232"/>
        <v>-1</v>
      </c>
      <c r="AG524" s="108">
        <f t="shared" si="233"/>
        <v>-1</v>
      </c>
      <c r="AH524" s="108">
        <f t="shared" si="234"/>
        <v>-1</v>
      </c>
      <c r="AI524" s="108">
        <f t="shared" si="235"/>
        <v>-1</v>
      </c>
      <c r="AJ524" s="108">
        <f t="shared" si="236"/>
        <v>-1</v>
      </c>
      <c r="AK524" s="108">
        <f t="shared" si="237"/>
        <v>-1</v>
      </c>
      <c r="AL524" s="108">
        <f t="shared" si="238"/>
        <v>-1</v>
      </c>
      <c r="AM524" s="108"/>
      <c r="AQ524" s="104" t="str">
        <f>$V$63</f>
        <v>Maxime</v>
      </c>
      <c r="AR524" s="54">
        <v>0</v>
      </c>
      <c r="AS524" s="54">
        <v>0</v>
      </c>
      <c r="AT524" s="54">
        <v>0</v>
      </c>
      <c r="AU524" s="54">
        <v>0</v>
      </c>
      <c r="AV524" s="54">
        <v>0</v>
      </c>
      <c r="AW524" s="54">
        <v>0</v>
      </c>
      <c r="AX524" s="54">
        <v>0</v>
      </c>
      <c r="AY524" s="54">
        <v>0</v>
      </c>
      <c r="AZ524" s="54">
        <v>0</v>
      </c>
      <c r="BA524" s="54">
        <v>0</v>
      </c>
      <c r="BB524" s="54">
        <v>0</v>
      </c>
      <c r="BC524" s="54">
        <v>0</v>
      </c>
      <c r="BD524" s="54">
        <v>0</v>
      </c>
      <c r="BE524" s="54">
        <v>0</v>
      </c>
      <c r="BF524" s="54">
        <v>0</v>
      </c>
      <c r="BG524" s="54">
        <v>0</v>
      </c>
      <c r="BH524" s="54">
        <v>0</v>
      </c>
      <c r="BK524" s="104" t="str">
        <f>$V$60</f>
        <v>Joelle</v>
      </c>
      <c r="BL524" s="108">
        <v>0</v>
      </c>
      <c r="BM524" s="108">
        <v>0</v>
      </c>
      <c r="BN524" s="108">
        <v>0</v>
      </c>
      <c r="BO524" s="108">
        <v>0</v>
      </c>
      <c r="BP524" s="108">
        <v>0</v>
      </c>
      <c r="BQ524" s="108">
        <v>0</v>
      </c>
      <c r="BR524" s="108">
        <v>0</v>
      </c>
      <c r="BS524" s="108">
        <v>0</v>
      </c>
      <c r="BT524" s="108">
        <v>0</v>
      </c>
      <c r="BU524" s="108">
        <v>0</v>
      </c>
      <c r="BV524" s="108">
        <v>0</v>
      </c>
      <c r="BW524" s="108">
        <v>0</v>
      </c>
      <c r="BX524" s="108">
        <v>0</v>
      </c>
      <c r="BY524" s="108">
        <v>0</v>
      </c>
      <c r="BZ524" s="108">
        <v>0</v>
      </c>
      <c r="CA524" s="108">
        <v>0</v>
      </c>
      <c r="CB524" s="108">
        <v>0</v>
      </c>
    </row>
    <row r="525" spans="3:80" x14ac:dyDescent="0.55000000000000004">
      <c r="C525" s="104" t="str">
        <f>$V$91</f>
        <v>-</v>
      </c>
      <c r="D525" s="108">
        <f t="shared" ref="D525:S525" si="276">D91</f>
        <v>0</v>
      </c>
      <c r="E525" s="108">
        <f t="shared" si="276"/>
        <v>0</v>
      </c>
      <c r="F525" s="108">
        <f t="shared" si="276"/>
        <v>0</v>
      </c>
      <c r="G525" s="108">
        <f t="shared" si="276"/>
        <v>0</v>
      </c>
      <c r="H525" s="108">
        <f t="shared" si="276"/>
        <v>0</v>
      </c>
      <c r="I525" s="108">
        <f t="shared" si="276"/>
        <v>0</v>
      </c>
      <c r="J525" s="108">
        <f t="shared" si="276"/>
        <v>0</v>
      </c>
      <c r="K525" s="108">
        <f t="shared" si="276"/>
        <v>0</v>
      </c>
      <c r="L525" s="108">
        <f t="shared" si="276"/>
        <v>0</v>
      </c>
      <c r="M525" s="108">
        <f t="shared" si="276"/>
        <v>0</v>
      </c>
      <c r="N525" s="108">
        <f t="shared" si="276"/>
        <v>0</v>
      </c>
      <c r="O525" s="108">
        <f t="shared" si="276"/>
        <v>0</v>
      </c>
      <c r="P525" s="108">
        <f t="shared" si="276"/>
        <v>0</v>
      </c>
      <c r="Q525" s="108">
        <f t="shared" si="276"/>
        <v>0</v>
      </c>
      <c r="R525" s="108">
        <f t="shared" si="276"/>
        <v>0</v>
      </c>
      <c r="S525" s="108">
        <f t="shared" si="276"/>
        <v>0</v>
      </c>
      <c r="T525" s="28" t="s">
        <v>26</v>
      </c>
      <c r="V525" s="104" t="str">
        <f>$V$91</f>
        <v>-</v>
      </c>
      <c r="W525" s="108">
        <f t="shared" si="223"/>
        <v>-1</v>
      </c>
      <c r="X525" s="108">
        <f t="shared" si="224"/>
        <v>-1</v>
      </c>
      <c r="Y525" s="108">
        <f t="shared" si="225"/>
        <v>-1</v>
      </c>
      <c r="Z525" s="108">
        <f t="shared" si="226"/>
        <v>-1</v>
      </c>
      <c r="AA525" s="108">
        <f t="shared" si="227"/>
        <v>-1</v>
      </c>
      <c r="AB525" s="108">
        <f t="shared" si="228"/>
        <v>-1</v>
      </c>
      <c r="AC525" s="108">
        <f t="shared" si="229"/>
        <v>-1</v>
      </c>
      <c r="AD525" s="108">
        <f t="shared" si="230"/>
        <v>-1</v>
      </c>
      <c r="AE525" s="108">
        <f t="shared" si="231"/>
        <v>-1</v>
      </c>
      <c r="AF525" s="108">
        <f t="shared" si="232"/>
        <v>-1</v>
      </c>
      <c r="AG525" s="108">
        <f t="shared" si="233"/>
        <v>-1</v>
      </c>
      <c r="AH525" s="108">
        <f t="shared" si="234"/>
        <v>-1</v>
      </c>
      <c r="AI525" s="108">
        <f t="shared" si="235"/>
        <v>-1</v>
      </c>
      <c r="AJ525" s="108">
        <f t="shared" si="236"/>
        <v>-1</v>
      </c>
      <c r="AK525" s="108">
        <f t="shared" si="237"/>
        <v>-1</v>
      </c>
      <c r="AL525" s="108">
        <f t="shared" si="238"/>
        <v>-1</v>
      </c>
      <c r="AM525" s="108"/>
      <c r="AQ525" s="104" t="str">
        <f>$V$64</f>
        <v>Alex</v>
      </c>
      <c r="AR525" s="54">
        <v>0</v>
      </c>
      <c r="AS525" s="54">
        <v>0</v>
      </c>
      <c r="AT525" s="54">
        <v>0</v>
      </c>
      <c r="AU525" s="54">
        <v>0</v>
      </c>
      <c r="AV525" s="54">
        <v>0</v>
      </c>
      <c r="AW525" s="54">
        <v>0</v>
      </c>
      <c r="AX525" s="54">
        <v>0</v>
      </c>
      <c r="AY525" s="54">
        <v>0</v>
      </c>
      <c r="AZ525" s="54">
        <v>0</v>
      </c>
      <c r="BA525" s="54">
        <v>0</v>
      </c>
      <c r="BB525" s="54">
        <v>0</v>
      </c>
      <c r="BC525" s="54">
        <v>0</v>
      </c>
      <c r="BD525" s="54">
        <v>0</v>
      </c>
      <c r="BE525" s="54">
        <v>0</v>
      </c>
      <c r="BF525" s="54">
        <v>0</v>
      </c>
      <c r="BG525" s="54">
        <v>0</v>
      </c>
      <c r="BH525" s="54">
        <v>0</v>
      </c>
      <c r="BK525" s="104" t="str">
        <f>$V$61</f>
        <v>Alexia</v>
      </c>
      <c r="BL525" s="108">
        <v>0</v>
      </c>
      <c r="BM525" s="108">
        <v>0</v>
      </c>
      <c r="BN525" s="108">
        <v>0</v>
      </c>
      <c r="BO525" s="108">
        <v>0</v>
      </c>
      <c r="BP525" s="108">
        <v>0</v>
      </c>
      <c r="BQ525" s="108">
        <v>0</v>
      </c>
      <c r="BR525" s="108">
        <v>0</v>
      </c>
      <c r="BS525" s="108">
        <v>0</v>
      </c>
      <c r="BT525" s="108">
        <v>0</v>
      </c>
      <c r="BU525" s="108">
        <v>0</v>
      </c>
      <c r="BV525" s="108">
        <v>0</v>
      </c>
      <c r="BW525" s="108">
        <v>0</v>
      </c>
      <c r="BX525" s="108">
        <v>0</v>
      </c>
      <c r="BY525" s="108">
        <v>0</v>
      </c>
      <c r="BZ525" s="108">
        <v>0</v>
      </c>
      <c r="CA525" s="108">
        <v>0</v>
      </c>
      <c r="CB525" s="108">
        <v>0</v>
      </c>
    </row>
    <row r="526" spans="3:80" x14ac:dyDescent="0.55000000000000004">
      <c r="C526" s="104" t="str">
        <f>$V$92</f>
        <v>-</v>
      </c>
      <c r="D526" s="108">
        <f t="shared" ref="D526:S526" si="277">D92</f>
        <v>0</v>
      </c>
      <c r="E526" s="108">
        <f t="shared" si="277"/>
        <v>0</v>
      </c>
      <c r="F526" s="108">
        <f t="shared" si="277"/>
        <v>0</v>
      </c>
      <c r="G526" s="108">
        <f t="shared" si="277"/>
        <v>0</v>
      </c>
      <c r="H526" s="108">
        <f t="shared" si="277"/>
        <v>0</v>
      </c>
      <c r="I526" s="108">
        <f t="shared" si="277"/>
        <v>0</v>
      </c>
      <c r="J526" s="108">
        <f t="shared" si="277"/>
        <v>0</v>
      </c>
      <c r="K526" s="108">
        <f t="shared" si="277"/>
        <v>0</v>
      </c>
      <c r="L526" s="108">
        <f t="shared" si="277"/>
        <v>0</v>
      </c>
      <c r="M526" s="108">
        <f t="shared" si="277"/>
        <v>0</v>
      </c>
      <c r="N526" s="108">
        <f t="shared" si="277"/>
        <v>0</v>
      </c>
      <c r="O526" s="108">
        <f t="shared" si="277"/>
        <v>0</v>
      </c>
      <c r="P526" s="108">
        <f t="shared" si="277"/>
        <v>0</v>
      </c>
      <c r="Q526" s="108">
        <f t="shared" si="277"/>
        <v>0</v>
      </c>
      <c r="R526" s="108">
        <f t="shared" si="277"/>
        <v>0</v>
      </c>
      <c r="S526" s="108">
        <f t="shared" si="277"/>
        <v>0</v>
      </c>
      <c r="T526" s="28" t="s">
        <v>26</v>
      </c>
      <c r="V526" s="104" t="str">
        <f>$V$92</f>
        <v>-</v>
      </c>
      <c r="W526" s="108">
        <f t="shared" si="223"/>
        <v>-1</v>
      </c>
      <c r="X526" s="108">
        <f t="shared" si="224"/>
        <v>-1</v>
      </c>
      <c r="Y526" s="108">
        <f t="shared" si="225"/>
        <v>-1</v>
      </c>
      <c r="Z526" s="108">
        <f t="shared" si="226"/>
        <v>-1</v>
      </c>
      <c r="AA526" s="108">
        <f t="shared" si="227"/>
        <v>-1</v>
      </c>
      <c r="AB526" s="108">
        <f t="shared" si="228"/>
        <v>-1</v>
      </c>
      <c r="AC526" s="108">
        <f t="shared" si="229"/>
        <v>-1</v>
      </c>
      <c r="AD526" s="108">
        <f t="shared" si="230"/>
        <v>-1</v>
      </c>
      <c r="AE526" s="108">
        <f t="shared" si="231"/>
        <v>-1</v>
      </c>
      <c r="AF526" s="108">
        <f t="shared" si="232"/>
        <v>-1</v>
      </c>
      <c r="AG526" s="108">
        <f t="shared" si="233"/>
        <v>-1</v>
      </c>
      <c r="AH526" s="108">
        <f t="shared" si="234"/>
        <v>-1</v>
      </c>
      <c r="AI526" s="108">
        <f t="shared" si="235"/>
        <v>-1</v>
      </c>
      <c r="AJ526" s="108">
        <f t="shared" si="236"/>
        <v>-1</v>
      </c>
      <c r="AK526" s="108">
        <f t="shared" si="237"/>
        <v>-1</v>
      </c>
      <c r="AL526" s="108">
        <f t="shared" si="238"/>
        <v>-1</v>
      </c>
      <c r="AM526" s="108"/>
      <c r="AQ526" s="104" t="str">
        <f>$V$65</f>
        <v>Alyssa</v>
      </c>
      <c r="AR526" s="54">
        <v>0</v>
      </c>
      <c r="AS526" s="54">
        <v>0</v>
      </c>
      <c r="AT526" s="54">
        <v>0</v>
      </c>
      <c r="AU526" s="54">
        <v>0</v>
      </c>
      <c r="AV526" s="54">
        <v>0</v>
      </c>
      <c r="AW526" s="54">
        <v>0</v>
      </c>
      <c r="AX526" s="54">
        <v>0</v>
      </c>
      <c r="AY526" s="54">
        <v>0</v>
      </c>
      <c r="AZ526" s="54">
        <v>0</v>
      </c>
      <c r="BA526" s="54">
        <v>0</v>
      </c>
      <c r="BB526" s="54">
        <v>0</v>
      </c>
      <c r="BC526" s="54">
        <v>0</v>
      </c>
      <c r="BD526" s="54">
        <v>0</v>
      </c>
      <c r="BE526" s="54">
        <v>0</v>
      </c>
      <c r="BF526" s="54">
        <v>0</v>
      </c>
      <c r="BG526" s="54">
        <v>0</v>
      </c>
      <c r="BH526" s="54">
        <v>0</v>
      </c>
      <c r="BK526" s="104" t="str">
        <f>$V$62</f>
        <v>Joao</v>
      </c>
      <c r="BL526" s="108">
        <v>0</v>
      </c>
      <c r="BM526" s="108">
        <v>0</v>
      </c>
      <c r="BN526" s="108">
        <v>0</v>
      </c>
      <c r="BO526" s="108">
        <v>0</v>
      </c>
      <c r="BP526" s="108">
        <v>0</v>
      </c>
      <c r="BQ526" s="108">
        <v>0</v>
      </c>
      <c r="BR526" s="108">
        <v>0</v>
      </c>
      <c r="BS526" s="108">
        <v>0</v>
      </c>
      <c r="BT526" s="108">
        <v>0</v>
      </c>
      <c r="BU526" s="108">
        <v>0</v>
      </c>
      <c r="BV526" s="108">
        <v>0</v>
      </c>
      <c r="BW526" s="108">
        <v>0</v>
      </c>
      <c r="BX526" s="108">
        <v>0</v>
      </c>
      <c r="BY526" s="108">
        <v>0</v>
      </c>
      <c r="BZ526" s="108">
        <v>0</v>
      </c>
      <c r="CA526" s="108">
        <v>0</v>
      </c>
      <c r="CB526" s="108">
        <v>0</v>
      </c>
    </row>
    <row r="527" spans="3:80" x14ac:dyDescent="0.55000000000000004">
      <c r="AM527" s="108"/>
      <c r="AQ527" s="104" t="str">
        <f>$V$66</f>
        <v>Amanda</v>
      </c>
      <c r="AR527" s="54">
        <v>0</v>
      </c>
      <c r="AS527" s="54">
        <v>0</v>
      </c>
      <c r="AT527" s="54">
        <v>0</v>
      </c>
      <c r="AU527" s="54">
        <v>0</v>
      </c>
      <c r="AV527" s="54">
        <v>0</v>
      </c>
      <c r="AW527" s="54">
        <v>0</v>
      </c>
      <c r="AX527" s="54">
        <v>0</v>
      </c>
      <c r="AY527" s="54">
        <v>0</v>
      </c>
      <c r="AZ527" s="54">
        <v>0</v>
      </c>
      <c r="BA527" s="54">
        <v>0</v>
      </c>
      <c r="BB527" s="54">
        <v>0</v>
      </c>
      <c r="BC527" s="54">
        <v>0</v>
      </c>
      <c r="BD527" s="54">
        <v>0</v>
      </c>
      <c r="BE527" s="54">
        <v>0</v>
      </c>
      <c r="BF527" s="54">
        <v>0</v>
      </c>
      <c r="BG527" s="54">
        <v>0</v>
      </c>
      <c r="BH527" s="54">
        <v>0</v>
      </c>
      <c r="BK527" s="104" t="str">
        <f>$V$63</f>
        <v>Maxime</v>
      </c>
      <c r="BL527" s="108">
        <v>0</v>
      </c>
      <c r="BM527" s="108">
        <v>0</v>
      </c>
      <c r="BN527" s="108">
        <v>0</v>
      </c>
      <c r="BO527" s="108">
        <v>0</v>
      </c>
      <c r="BP527" s="108">
        <v>0</v>
      </c>
      <c r="BQ527" s="108">
        <v>0</v>
      </c>
      <c r="BR527" s="108">
        <v>0</v>
      </c>
      <c r="BS527" s="108">
        <v>0</v>
      </c>
      <c r="BT527" s="108">
        <v>0</v>
      </c>
      <c r="BU527" s="108">
        <v>0</v>
      </c>
      <c r="BV527" s="108">
        <v>0</v>
      </c>
      <c r="BW527" s="108">
        <v>0</v>
      </c>
      <c r="BX527" s="108">
        <v>0</v>
      </c>
      <c r="BY527" s="108">
        <v>0</v>
      </c>
      <c r="BZ527" s="108">
        <v>0</v>
      </c>
      <c r="CA527" s="108">
        <v>0</v>
      </c>
      <c r="CB527" s="108">
        <v>0</v>
      </c>
    </row>
    <row r="528" spans="3:80" x14ac:dyDescent="0.55000000000000004">
      <c r="AM528" s="108"/>
      <c r="AQ528" s="104" t="str">
        <f>$V$67</f>
        <v>Antoine</v>
      </c>
      <c r="AR528" s="54">
        <v>0</v>
      </c>
      <c r="AS528" s="54">
        <v>0</v>
      </c>
      <c r="AT528" s="54">
        <v>0</v>
      </c>
      <c r="AU528" s="54">
        <v>0</v>
      </c>
      <c r="AV528" s="54">
        <v>0</v>
      </c>
      <c r="AW528" s="54">
        <v>0</v>
      </c>
      <c r="AX528" s="54">
        <v>0</v>
      </c>
      <c r="AY528" s="54">
        <v>0</v>
      </c>
      <c r="AZ528" s="54">
        <v>0</v>
      </c>
      <c r="BA528" s="54">
        <v>0</v>
      </c>
      <c r="BB528" s="54">
        <v>0</v>
      </c>
      <c r="BC528" s="54">
        <v>0</v>
      </c>
      <c r="BD528" s="54">
        <v>0</v>
      </c>
      <c r="BE528" s="54">
        <v>0</v>
      </c>
      <c r="BF528" s="54">
        <v>0</v>
      </c>
      <c r="BG528" s="54">
        <v>0</v>
      </c>
      <c r="BH528" s="54">
        <v>0</v>
      </c>
      <c r="BK528" s="104" t="str">
        <f>$V$64</f>
        <v>Alex</v>
      </c>
      <c r="BL528" s="108">
        <v>0</v>
      </c>
      <c r="BM528" s="108">
        <v>0</v>
      </c>
      <c r="BN528" s="108">
        <v>0</v>
      </c>
      <c r="BO528" s="108">
        <v>0</v>
      </c>
      <c r="BP528" s="108">
        <v>0</v>
      </c>
      <c r="BQ528" s="108">
        <v>0</v>
      </c>
      <c r="BR528" s="108">
        <v>0</v>
      </c>
      <c r="BS528" s="108">
        <v>0</v>
      </c>
      <c r="BT528" s="108">
        <v>0</v>
      </c>
      <c r="BU528" s="108">
        <v>0</v>
      </c>
      <c r="BV528" s="108">
        <v>0</v>
      </c>
      <c r="BW528" s="108">
        <v>0</v>
      </c>
      <c r="BX528" s="108">
        <v>0</v>
      </c>
      <c r="BY528" s="108">
        <v>0</v>
      </c>
      <c r="BZ528" s="108">
        <v>0</v>
      </c>
      <c r="CA528" s="108">
        <v>0</v>
      </c>
      <c r="CB528" s="108">
        <v>0</v>
      </c>
    </row>
    <row r="529" spans="3:80" x14ac:dyDescent="0.55000000000000004">
      <c r="AM529" s="108"/>
      <c r="AQ529" s="104" t="str">
        <f>$V$68</f>
        <v>Beatriz</v>
      </c>
      <c r="AR529" s="54">
        <v>0</v>
      </c>
      <c r="AS529" s="54">
        <v>0</v>
      </c>
      <c r="AT529" s="54">
        <v>0</v>
      </c>
      <c r="AU529" s="54">
        <v>0</v>
      </c>
      <c r="AV529" s="54">
        <v>0</v>
      </c>
      <c r="AW529" s="54">
        <v>0</v>
      </c>
      <c r="AX529" s="54">
        <v>0</v>
      </c>
      <c r="AY529" s="54">
        <v>0</v>
      </c>
      <c r="AZ529" s="54">
        <v>0</v>
      </c>
      <c r="BA529" s="54">
        <v>0</v>
      </c>
      <c r="BB529" s="54">
        <v>0</v>
      </c>
      <c r="BC529" s="54">
        <v>0</v>
      </c>
      <c r="BD529" s="54">
        <v>0</v>
      </c>
      <c r="BE529" s="54">
        <v>0</v>
      </c>
      <c r="BF529" s="54">
        <v>0</v>
      </c>
      <c r="BG529" s="54">
        <v>0</v>
      </c>
      <c r="BH529" s="54">
        <v>0</v>
      </c>
      <c r="BK529" s="104" t="str">
        <f>$V$65</f>
        <v>Alyssa</v>
      </c>
      <c r="BL529" s="108">
        <v>0</v>
      </c>
      <c r="BM529" s="108">
        <v>0</v>
      </c>
      <c r="BN529" s="108">
        <v>0</v>
      </c>
      <c r="BO529" s="108">
        <v>0</v>
      </c>
      <c r="BP529" s="108">
        <v>0</v>
      </c>
      <c r="BQ529" s="108">
        <v>0</v>
      </c>
      <c r="BR529" s="108">
        <v>0</v>
      </c>
      <c r="BS529" s="108">
        <v>0</v>
      </c>
      <c r="BT529" s="108">
        <v>0</v>
      </c>
      <c r="BU529" s="108">
        <v>0</v>
      </c>
      <c r="BV529" s="108">
        <v>0</v>
      </c>
      <c r="BW529" s="108">
        <v>0</v>
      </c>
      <c r="BX529" s="108">
        <v>0</v>
      </c>
      <c r="BY529" s="108">
        <v>0</v>
      </c>
      <c r="BZ529" s="108">
        <v>0</v>
      </c>
      <c r="CA529" s="108">
        <v>0</v>
      </c>
      <c r="CB529" s="108">
        <v>0</v>
      </c>
    </row>
    <row r="530" spans="3:80" x14ac:dyDescent="0.55000000000000004">
      <c r="C530" s="104" t="str">
        <f>$BK$120</f>
        <v>Bar</v>
      </c>
      <c r="D530" s="104" t="str">
        <f>$W$33</f>
        <v>16h</v>
      </c>
      <c r="E530" s="104" t="str">
        <f>$X$33</f>
        <v>17h</v>
      </c>
      <c r="F530" s="104" t="str">
        <f>$Y$33</f>
        <v>18h</v>
      </c>
      <c r="G530" s="104" t="str">
        <f>$Z$33</f>
        <v>19h</v>
      </c>
      <c r="H530" s="104" t="str">
        <f>$AA$33</f>
        <v>20h</v>
      </c>
      <c r="I530" s="104" t="str">
        <f>$AB$33</f>
        <v>21h</v>
      </c>
      <c r="J530" s="104" t="str">
        <f>$AC$33</f>
        <v>22h</v>
      </c>
      <c r="K530" s="104" t="str">
        <f>$AD$33</f>
        <v>23h</v>
      </c>
      <c r="L530" s="104" t="str">
        <f>$AE$33</f>
        <v>00h</v>
      </c>
      <c r="M530" s="104" t="str">
        <f>$AF$33</f>
        <v>01h</v>
      </c>
      <c r="N530" s="104" t="str">
        <f>$AG$33</f>
        <v>02h</v>
      </c>
      <c r="O530" s="104" t="str">
        <f>$AH$33</f>
        <v>03h</v>
      </c>
      <c r="P530" s="104" t="str">
        <f>$AI$33</f>
        <v>04h</v>
      </c>
      <c r="Q530" s="104" t="str">
        <f>$AJ$33</f>
        <v>05h</v>
      </c>
      <c r="R530" s="104" t="str">
        <f>$AK$33</f>
        <v>06h</v>
      </c>
      <c r="S530" s="104" t="str">
        <f>$AL$33</f>
        <v>07h</v>
      </c>
      <c r="V530" s="104" t="str">
        <f>$BK$120</f>
        <v>Bar</v>
      </c>
      <c r="W530" s="104" t="str">
        <f>$W$33</f>
        <v>16h</v>
      </c>
      <c r="X530" s="104" t="str">
        <f>$X$33</f>
        <v>17h</v>
      </c>
      <c r="Y530" s="104" t="str">
        <f>$Y$33</f>
        <v>18h</v>
      </c>
      <c r="Z530" s="104" t="str">
        <f>$Z$33</f>
        <v>19h</v>
      </c>
      <c r="AA530" s="104" t="str">
        <f>$AA$33</f>
        <v>20h</v>
      </c>
      <c r="AB530" s="104" t="str">
        <f>$AB$33</f>
        <v>21h</v>
      </c>
      <c r="AC530" s="104" t="str">
        <f>$AC$33</f>
        <v>22h</v>
      </c>
      <c r="AD530" s="104" t="str">
        <f>$AD$33</f>
        <v>23h</v>
      </c>
      <c r="AE530" s="104" t="str">
        <f>$AE$33</f>
        <v>00h</v>
      </c>
      <c r="AF530" s="104" t="str">
        <f>$AF$33</f>
        <v>01h</v>
      </c>
      <c r="AG530" s="104" t="str">
        <f>$AG$33</f>
        <v>02h</v>
      </c>
      <c r="AH530" s="104" t="str">
        <f>$AH$33</f>
        <v>03h</v>
      </c>
      <c r="AI530" s="104" t="str">
        <f>$AI$33</f>
        <v>04h</v>
      </c>
      <c r="AJ530" s="104" t="str">
        <f>$AJ$33</f>
        <v>05h</v>
      </c>
      <c r="AK530" s="104" t="str">
        <f>$AK$33</f>
        <v>06h</v>
      </c>
      <c r="AL530" s="104" t="str">
        <f>$AL$33</f>
        <v>07h</v>
      </c>
      <c r="AM530" s="108"/>
      <c r="AQ530" s="104" t="str">
        <f>$V$69</f>
        <v>Charelle</v>
      </c>
      <c r="AR530" s="54">
        <v>0</v>
      </c>
      <c r="AS530" s="54">
        <v>0</v>
      </c>
      <c r="AT530" s="54">
        <v>0</v>
      </c>
      <c r="AU530" s="54">
        <v>0</v>
      </c>
      <c r="AV530" s="54">
        <v>0</v>
      </c>
      <c r="AW530" s="54">
        <v>0</v>
      </c>
      <c r="AX530" s="54">
        <v>0</v>
      </c>
      <c r="AY530" s="54">
        <v>0</v>
      </c>
      <c r="AZ530" s="54">
        <v>0</v>
      </c>
      <c r="BA530" s="54">
        <v>0</v>
      </c>
      <c r="BB530" s="54">
        <v>0</v>
      </c>
      <c r="BC530" s="54">
        <v>0</v>
      </c>
      <c r="BD530" s="54">
        <v>0</v>
      </c>
      <c r="BE530" s="54">
        <v>0</v>
      </c>
      <c r="BF530" s="54">
        <v>0</v>
      </c>
      <c r="BG530" s="54">
        <v>0</v>
      </c>
      <c r="BH530" s="54">
        <v>0</v>
      </c>
      <c r="BK530" s="104" t="str">
        <f>$V$66</f>
        <v>Amanda</v>
      </c>
      <c r="BL530" s="108">
        <v>0</v>
      </c>
      <c r="BM530" s="108">
        <v>0</v>
      </c>
      <c r="BN530" s="108">
        <v>0</v>
      </c>
      <c r="BO530" s="108">
        <v>0</v>
      </c>
      <c r="BP530" s="108">
        <v>0</v>
      </c>
      <c r="BQ530" s="108">
        <v>0</v>
      </c>
      <c r="BR530" s="108">
        <v>0</v>
      </c>
      <c r="BS530" s="108">
        <v>0</v>
      </c>
      <c r="BT530" s="108">
        <v>0</v>
      </c>
      <c r="BU530" s="108">
        <v>0</v>
      </c>
      <c r="BV530" s="108">
        <v>0</v>
      </c>
      <c r="BW530" s="108">
        <v>0</v>
      </c>
      <c r="BX530" s="108">
        <v>0</v>
      </c>
      <c r="BY530" s="108">
        <v>0</v>
      </c>
      <c r="BZ530" s="108">
        <v>0</v>
      </c>
      <c r="CA530" s="108">
        <v>0</v>
      </c>
      <c r="CB530" s="108">
        <v>0</v>
      </c>
    </row>
    <row r="531" spans="3:80" x14ac:dyDescent="0.55000000000000004">
      <c r="C531" s="104" t="str">
        <f>$V$53</f>
        <v>Jennifer</v>
      </c>
      <c r="D531" s="108">
        <f t="shared" ref="D531:S531" si="278">D53</f>
        <v>0</v>
      </c>
      <c r="E531" s="108">
        <f t="shared" si="278"/>
        <v>0</v>
      </c>
      <c r="F531" s="108">
        <f t="shared" si="278"/>
        <v>0</v>
      </c>
      <c r="G531" s="108">
        <f t="shared" si="278"/>
        <v>0</v>
      </c>
      <c r="H531" s="108">
        <f t="shared" si="278"/>
        <v>0</v>
      </c>
      <c r="I531" s="108">
        <f t="shared" si="278"/>
        <v>0</v>
      </c>
      <c r="J531" s="108">
        <f t="shared" si="278"/>
        <v>0</v>
      </c>
      <c r="K531" s="108">
        <f t="shared" si="278"/>
        <v>0</v>
      </c>
      <c r="L531" s="108">
        <f t="shared" si="278"/>
        <v>0</v>
      </c>
      <c r="M531" s="108">
        <f t="shared" si="278"/>
        <v>0</v>
      </c>
      <c r="N531" s="108">
        <f t="shared" si="278"/>
        <v>0</v>
      </c>
      <c r="O531" s="108">
        <f t="shared" si="278"/>
        <v>0</v>
      </c>
      <c r="P531" s="108">
        <f t="shared" si="278"/>
        <v>0</v>
      </c>
      <c r="Q531" s="108">
        <f t="shared" si="278"/>
        <v>0</v>
      </c>
      <c r="R531" s="108">
        <f t="shared" si="278"/>
        <v>0</v>
      </c>
      <c r="S531" s="108">
        <f t="shared" si="278"/>
        <v>0</v>
      </c>
      <c r="T531" s="28" t="s">
        <v>26</v>
      </c>
      <c r="V531" s="104" t="str">
        <f>$V$53</f>
        <v>Jennifer</v>
      </c>
      <c r="W531" s="108">
        <f t="shared" ref="W531:W570" si="279">AR114+AS114-1</f>
        <v>-1</v>
      </c>
      <c r="X531" s="108">
        <f t="shared" ref="X531:X570" si="280">AS114+AT114-1</f>
        <v>0</v>
      </c>
      <c r="Y531" s="108">
        <f t="shared" ref="Y531:Y570" si="281">AT114+AU114-1</f>
        <v>0</v>
      </c>
      <c r="Z531" s="108">
        <f t="shared" ref="Z531:Z570" si="282">AU114+AV114-1</f>
        <v>-1</v>
      </c>
      <c r="AA531" s="108">
        <f t="shared" ref="AA531:AA570" si="283">AV114+AW114-1</f>
        <v>-1</v>
      </c>
      <c r="AB531" s="108">
        <f t="shared" ref="AB531:AB570" si="284">AW114+AX114-1</f>
        <v>-1</v>
      </c>
      <c r="AC531" s="108">
        <f t="shared" ref="AC531:AC570" si="285">AX114+AY114-1</f>
        <v>-1</v>
      </c>
      <c r="AD531" s="108">
        <f t="shared" ref="AD531:AD570" si="286">AY114+AZ114-1</f>
        <v>-1</v>
      </c>
      <c r="AE531" s="108">
        <f t="shared" ref="AE531:AE570" si="287">AZ114+BA114-1</f>
        <v>-1</v>
      </c>
      <c r="AF531" s="108">
        <f t="shared" ref="AF531:AF570" si="288">BA114+BB114-1</f>
        <v>-1</v>
      </c>
      <c r="AG531" s="108">
        <f t="shared" ref="AG531:AG570" si="289">BB114+BC114-1</f>
        <v>0</v>
      </c>
      <c r="AH531" s="108">
        <f t="shared" ref="AH531:AH570" si="290">BC114+BD114-1</f>
        <v>0</v>
      </c>
      <c r="AI531" s="108">
        <f t="shared" ref="AI531:AI570" si="291">BD114+BE114-1</f>
        <v>-1</v>
      </c>
      <c r="AJ531" s="108">
        <f t="shared" ref="AJ531:AJ570" si="292">BE114+BF114-1</f>
        <v>-1</v>
      </c>
      <c r="AK531" s="108">
        <f t="shared" ref="AK531:AK570" si="293">BF114+BG114-1</f>
        <v>-1</v>
      </c>
      <c r="AL531" s="108">
        <f t="shared" ref="AL531:AL570" si="294">BG114+BH114-1</f>
        <v>-1</v>
      </c>
      <c r="AM531" s="108"/>
      <c r="AQ531" s="104" t="str">
        <f>$V$70</f>
        <v>Dimitri</v>
      </c>
      <c r="AR531" s="54">
        <v>0</v>
      </c>
      <c r="AS531" s="54">
        <v>0</v>
      </c>
      <c r="AT531" s="54">
        <v>0</v>
      </c>
      <c r="AU531" s="54">
        <v>0</v>
      </c>
      <c r="AV531" s="54">
        <v>0</v>
      </c>
      <c r="AW531" s="54">
        <v>0</v>
      </c>
      <c r="AX531" s="54">
        <v>0</v>
      </c>
      <c r="AY531" s="54">
        <v>0</v>
      </c>
      <c r="AZ531" s="54">
        <v>0</v>
      </c>
      <c r="BA531" s="54">
        <v>0</v>
      </c>
      <c r="BB531" s="54">
        <v>0</v>
      </c>
      <c r="BC531" s="54">
        <v>0</v>
      </c>
      <c r="BD531" s="54">
        <v>0</v>
      </c>
      <c r="BE531" s="54">
        <v>0</v>
      </c>
      <c r="BF531" s="54">
        <v>0</v>
      </c>
      <c r="BG531" s="54">
        <v>0</v>
      </c>
      <c r="BH531" s="54">
        <v>0</v>
      </c>
      <c r="BK531" s="104" t="str">
        <f>$V$67</f>
        <v>Antoine</v>
      </c>
      <c r="BL531" s="108">
        <v>0</v>
      </c>
      <c r="BM531" s="108">
        <v>0</v>
      </c>
      <c r="BN531" s="108">
        <v>0</v>
      </c>
      <c r="BO531" s="108">
        <v>0</v>
      </c>
      <c r="BP531" s="108">
        <v>0</v>
      </c>
      <c r="BQ531" s="108">
        <v>0</v>
      </c>
      <c r="BR531" s="108">
        <v>0</v>
      </c>
      <c r="BS531" s="108">
        <v>0</v>
      </c>
      <c r="BT531" s="108">
        <v>0</v>
      </c>
      <c r="BU531" s="108">
        <v>0</v>
      </c>
      <c r="BV531" s="108">
        <v>0</v>
      </c>
      <c r="BW531" s="108">
        <v>0</v>
      </c>
      <c r="BX531" s="108">
        <v>0</v>
      </c>
      <c r="BY531" s="108">
        <v>0</v>
      </c>
      <c r="BZ531" s="108">
        <v>0</v>
      </c>
      <c r="CA531" s="108">
        <v>0</v>
      </c>
      <c r="CB531" s="108">
        <v>0</v>
      </c>
    </row>
    <row r="532" spans="3:80" x14ac:dyDescent="0.55000000000000004">
      <c r="C532" s="104" t="str">
        <f>$V$54</f>
        <v>Galileo</v>
      </c>
      <c r="D532" s="108">
        <f t="shared" ref="D532:S532" si="295">D54</f>
        <v>0</v>
      </c>
      <c r="E532" s="108">
        <f t="shared" si="295"/>
        <v>0</v>
      </c>
      <c r="F532" s="108">
        <f t="shared" si="295"/>
        <v>0</v>
      </c>
      <c r="G532" s="108">
        <f t="shared" si="295"/>
        <v>0</v>
      </c>
      <c r="H532" s="108">
        <f t="shared" si="295"/>
        <v>0</v>
      </c>
      <c r="I532" s="108">
        <f t="shared" si="295"/>
        <v>0</v>
      </c>
      <c r="J532" s="108">
        <f t="shared" si="295"/>
        <v>0</v>
      </c>
      <c r="K532" s="108">
        <f t="shared" si="295"/>
        <v>0</v>
      </c>
      <c r="L532" s="108">
        <f t="shared" si="295"/>
        <v>0</v>
      </c>
      <c r="M532" s="108">
        <f t="shared" si="295"/>
        <v>0</v>
      </c>
      <c r="N532" s="108">
        <f t="shared" si="295"/>
        <v>0</v>
      </c>
      <c r="O532" s="108">
        <f t="shared" si="295"/>
        <v>0</v>
      </c>
      <c r="P532" s="108">
        <f t="shared" si="295"/>
        <v>0</v>
      </c>
      <c r="Q532" s="108">
        <f t="shared" si="295"/>
        <v>0</v>
      </c>
      <c r="R532" s="108">
        <f t="shared" si="295"/>
        <v>0</v>
      </c>
      <c r="S532" s="108">
        <f t="shared" si="295"/>
        <v>0</v>
      </c>
      <c r="T532" s="28" t="s">
        <v>26</v>
      </c>
      <c r="V532" s="104" t="str">
        <f>$V$54</f>
        <v>Galileo</v>
      </c>
      <c r="W532" s="108">
        <f t="shared" si="279"/>
        <v>-1</v>
      </c>
      <c r="X532" s="108">
        <f t="shared" si="280"/>
        <v>-1</v>
      </c>
      <c r="Y532" s="108">
        <f t="shared" si="281"/>
        <v>0</v>
      </c>
      <c r="Z532" s="108">
        <f t="shared" si="282"/>
        <v>0</v>
      </c>
      <c r="AA532" s="108">
        <f t="shared" si="283"/>
        <v>0</v>
      </c>
      <c r="AB532" s="108">
        <f t="shared" si="284"/>
        <v>0</v>
      </c>
      <c r="AC532" s="108">
        <f t="shared" si="285"/>
        <v>-1</v>
      </c>
      <c r="AD532" s="108">
        <f t="shared" si="286"/>
        <v>-1</v>
      </c>
      <c r="AE532" s="108">
        <f t="shared" si="287"/>
        <v>-1</v>
      </c>
      <c r="AF532" s="108">
        <f t="shared" si="288"/>
        <v>0</v>
      </c>
      <c r="AG532" s="108">
        <f t="shared" si="289"/>
        <v>0</v>
      </c>
      <c r="AH532" s="108">
        <f t="shared" si="290"/>
        <v>-1</v>
      </c>
      <c r="AI532" s="108">
        <f t="shared" si="291"/>
        <v>-1</v>
      </c>
      <c r="AJ532" s="108">
        <f t="shared" si="292"/>
        <v>-1</v>
      </c>
      <c r="AK532" s="108">
        <f t="shared" si="293"/>
        <v>-1</v>
      </c>
      <c r="AL532" s="108">
        <f t="shared" si="294"/>
        <v>-1</v>
      </c>
      <c r="AM532" s="108"/>
      <c r="AQ532" s="104" t="str">
        <f>$V$71</f>
        <v>Marina</v>
      </c>
      <c r="AR532" s="54">
        <v>0</v>
      </c>
      <c r="AS532" s="54">
        <v>0</v>
      </c>
      <c r="AT532" s="54">
        <v>0</v>
      </c>
      <c r="AU532" s="54">
        <v>0</v>
      </c>
      <c r="AV532" s="54">
        <v>0</v>
      </c>
      <c r="AW532" s="54">
        <v>0</v>
      </c>
      <c r="AX532" s="54">
        <v>0</v>
      </c>
      <c r="AY532" s="54">
        <v>0</v>
      </c>
      <c r="AZ532" s="54">
        <v>0</v>
      </c>
      <c r="BA532" s="54">
        <v>0</v>
      </c>
      <c r="BB532" s="54">
        <v>0</v>
      </c>
      <c r="BC532" s="54">
        <v>0</v>
      </c>
      <c r="BD532" s="54">
        <v>0</v>
      </c>
      <c r="BE532" s="54">
        <v>0</v>
      </c>
      <c r="BF532" s="54">
        <v>0</v>
      </c>
      <c r="BG532" s="54">
        <v>0</v>
      </c>
      <c r="BH532" s="54">
        <v>0</v>
      </c>
      <c r="BK532" s="104" t="str">
        <f>$V$68</f>
        <v>Beatriz</v>
      </c>
      <c r="BL532" s="108">
        <v>0</v>
      </c>
      <c r="BM532" s="108">
        <v>0</v>
      </c>
      <c r="BN532" s="108">
        <v>0</v>
      </c>
      <c r="BO532" s="108">
        <v>0</v>
      </c>
      <c r="BP532" s="108">
        <v>0</v>
      </c>
      <c r="BQ532" s="108">
        <v>0</v>
      </c>
      <c r="BR532" s="108">
        <v>0</v>
      </c>
      <c r="BS532" s="108">
        <v>0</v>
      </c>
      <c r="BT532" s="108">
        <v>0</v>
      </c>
      <c r="BU532" s="108">
        <v>0</v>
      </c>
      <c r="BV532" s="108">
        <v>0</v>
      </c>
      <c r="BW532" s="108">
        <v>0</v>
      </c>
      <c r="BX532" s="108">
        <v>0</v>
      </c>
      <c r="BY532" s="108">
        <v>0</v>
      </c>
      <c r="BZ532" s="108">
        <v>0</v>
      </c>
      <c r="CA532" s="108">
        <v>0</v>
      </c>
      <c r="CB532" s="108">
        <v>0</v>
      </c>
    </row>
    <row r="533" spans="3:80" x14ac:dyDescent="0.55000000000000004">
      <c r="C533" s="104" t="str">
        <f>$V$55</f>
        <v>Óscar</v>
      </c>
      <c r="D533" s="108">
        <f t="shared" ref="D533:S533" si="296">D55</f>
        <v>0</v>
      </c>
      <c r="E533" s="108">
        <f t="shared" si="296"/>
        <v>0</v>
      </c>
      <c r="F533" s="108">
        <f t="shared" si="296"/>
        <v>0</v>
      </c>
      <c r="G533" s="108">
        <f t="shared" si="296"/>
        <v>0</v>
      </c>
      <c r="H533" s="108">
        <f t="shared" si="296"/>
        <v>0</v>
      </c>
      <c r="I533" s="108">
        <f t="shared" si="296"/>
        <v>0</v>
      </c>
      <c r="J533" s="108">
        <f t="shared" si="296"/>
        <v>0</v>
      </c>
      <c r="K533" s="108">
        <f t="shared" si="296"/>
        <v>0</v>
      </c>
      <c r="L533" s="108">
        <f t="shared" si="296"/>
        <v>0</v>
      </c>
      <c r="M533" s="108">
        <f t="shared" si="296"/>
        <v>0</v>
      </c>
      <c r="N533" s="108">
        <f t="shared" si="296"/>
        <v>0</v>
      </c>
      <c r="O533" s="108">
        <f t="shared" si="296"/>
        <v>0</v>
      </c>
      <c r="P533" s="108">
        <f t="shared" si="296"/>
        <v>0</v>
      </c>
      <c r="Q533" s="108">
        <f t="shared" si="296"/>
        <v>0</v>
      </c>
      <c r="R533" s="108">
        <f t="shared" si="296"/>
        <v>0</v>
      </c>
      <c r="S533" s="108">
        <f t="shared" si="296"/>
        <v>0</v>
      </c>
      <c r="T533" s="28" t="s">
        <v>26</v>
      </c>
      <c r="V533" s="104" t="str">
        <f>$V$55</f>
        <v>Óscar</v>
      </c>
      <c r="W533" s="108">
        <f t="shared" si="279"/>
        <v>-1</v>
      </c>
      <c r="X533" s="108">
        <f t="shared" si="280"/>
        <v>-1</v>
      </c>
      <c r="Y533" s="108">
        <f t="shared" si="281"/>
        <v>-1</v>
      </c>
      <c r="Z533" s="108">
        <f t="shared" si="282"/>
        <v>-1</v>
      </c>
      <c r="AA533" s="108">
        <f t="shared" si="283"/>
        <v>-1</v>
      </c>
      <c r="AB533" s="108">
        <f t="shared" si="284"/>
        <v>-1</v>
      </c>
      <c r="AC533" s="108">
        <f t="shared" si="285"/>
        <v>0</v>
      </c>
      <c r="AD533" s="108">
        <f t="shared" si="286"/>
        <v>0</v>
      </c>
      <c r="AE533" s="108">
        <f t="shared" si="287"/>
        <v>-1</v>
      </c>
      <c r="AF533" s="108">
        <f t="shared" si="288"/>
        <v>-1</v>
      </c>
      <c r="AG533" s="108">
        <f t="shared" si="289"/>
        <v>-1</v>
      </c>
      <c r="AH533" s="108">
        <f t="shared" si="290"/>
        <v>-1</v>
      </c>
      <c r="AI533" s="108">
        <f t="shared" si="291"/>
        <v>-1</v>
      </c>
      <c r="AJ533" s="108">
        <f t="shared" si="292"/>
        <v>-1</v>
      </c>
      <c r="AK533" s="108">
        <f t="shared" si="293"/>
        <v>-1</v>
      </c>
      <c r="AL533" s="108">
        <f t="shared" si="294"/>
        <v>-1</v>
      </c>
      <c r="AM533" s="108"/>
      <c r="AQ533" s="104" t="str">
        <f>$V$72</f>
        <v>Michel</v>
      </c>
      <c r="AR533" s="54">
        <v>0</v>
      </c>
      <c r="AS533" s="54">
        <v>0</v>
      </c>
      <c r="AT533" s="54">
        <v>0</v>
      </c>
      <c r="AU533" s="54">
        <v>0</v>
      </c>
      <c r="AV533" s="54">
        <v>0</v>
      </c>
      <c r="AW533" s="54">
        <v>0</v>
      </c>
      <c r="AX533" s="54">
        <v>0</v>
      </c>
      <c r="AY533" s="54">
        <v>0</v>
      </c>
      <c r="AZ533" s="54">
        <v>0</v>
      </c>
      <c r="BA533" s="54">
        <v>0</v>
      </c>
      <c r="BB533" s="54">
        <v>0</v>
      </c>
      <c r="BC533" s="54">
        <v>0</v>
      </c>
      <c r="BD533" s="54">
        <v>0</v>
      </c>
      <c r="BE533" s="54">
        <v>0</v>
      </c>
      <c r="BF533" s="54">
        <v>0</v>
      </c>
      <c r="BG533" s="54">
        <v>0</v>
      </c>
      <c r="BH533" s="54">
        <v>0</v>
      </c>
      <c r="BK533" s="104" t="str">
        <f>$V$69</f>
        <v>Charelle</v>
      </c>
      <c r="BL533" s="108">
        <v>0</v>
      </c>
      <c r="BM533" s="108">
        <v>0</v>
      </c>
      <c r="BN533" s="108">
        <v>0</v>
      </c>
      <c r="BO533" s="108">
        <v>0</v>
      </c>
      <c r="BP533" s="108">
        <v>0</v>
      </c>
      <c r="BQ533" s="108">
        <v>0</v>
      </c>
      <c r="BR533" s="108">
        <v>0</v>
      </c>
      <c r="BS533" s="108">
        <v>0</v>
      </c>
      <c r="BT533" s="108">
        <v>0</v>
      </c>
      <c r="BU533" s="108">
        <v>0</v>
      </c>
      <c r="BV533" s="108">
        <v>0</v>
      </c>
      <c r="BW533" s="108">
        <v>0</v>
      </c>
      <c r="BX533" s="108">
        <v>0</v>
      </c>
      <c r="BY533" s="108">
        <v>0</v>
      </c>
      <c r="BZ533" s="108">
        <v>0</v>
      </c>
      <c r="CA533" s="108">
        <v>0</v>
      </c>
      <c r="CB533" s="108">
        <v>0</v>
      </c>
    </row>
    <row r="534" spans="3:80" x14ac:dyDescent="0.55000000000000004">
      <c r="C534" s="104" t="str">
        <f>$V$56</f>
        <v>Sebastián</v>
      </c>
      <c r="D534" s="108">
        <f t="shared" ref="D534:S534" si="297">D56</f>
        <v>0</v>
      </c>
      <c r="E534" s="108">
        <f t="shared" si="297"/>
        <v>0</v>
      </c>
      <c r="F534" s="108">
        <f t="shared" si="297"/>
        <v>0</v>
      </c>
      <c r="G534" s="108">
        <f t="shared" si="297"/>
        <v>0</v>
      </c>
      <c r="H534" s="108">
        <f t="shared" si="297"/>
        <v>0</v>
      </c>
      <c r="I534" s="108">
        <f t="shared" si="297"/>
        <v>0</v>
      </c>
      <c r="J534" s="108">
        <f t="shared" si="297"/>
        <v>0</v>
      </c>
      <c r="K534" s="108">
        <f t="shared" si="297"/>
        <v>0</v>
      </c>
      <c r="L534" s="108">
        <f t="shared" si="297"/>
        <v>0</v>
      </c>
      <c r="M534" s="108">
        <f t="shared" si="297"/>
        <v>0</v>
      </c>
      <c r="N534" s="108">
        <f t="shared" si="297"/>
        <v>0</v>
      </c>
      <c r="O534" s="108">
        <f t="shared" si="297"/>
        <v>0</v>
      </c>
      <c r="P534" s="108">
        <f t="shared" si="297"/>
        <v>0</v>
      </c>
      <c r="Q534" s="108">
        <f t="shared" si="297"/>
        <v>0</v>
      </c>
      <c r="R534" s="108">
        <f t="shared" si="297"/>
        <v>0</v>
      </c>
      <c r="S534" s="108">
        <f t="shared" si="297"/>
        <v>0</v>
      </c>
      <c r="T534" s="28" t="s">
        <v>26</v>
      </c>
      <c r="V534" s="104" t="str">
        <f>$V$56</f>
        <v>Sebastián</v>
      </c>
      <c r="W534" s="108">
        <f t="shared" si="279"/>
        <v>0</v>
      </c>
      <c r="X534" s="108">
        <f t="shared" si="280"/>
        <v>0</v>
      </c>
      <c r="Y534" s="108">
        <f t="shared" si="281"/>
        <v>-1</v>
      </c>
      <c r="Z534" s="108">
        <f t="shared" si="282"/>
        <v>-1</v>
      </c>
      <c r="AA534" s="108">
        <f t="shared" si="283"/>
        <v>-1</v>
      </c>
      <c r="AB534" s="108">
        <f t="shared" si="284"/>
        <v>-1</v>
      </c>
      <c r="AC534" s="108">
        <f t="shared" si="285"/>
        <v>-1</v>
      </c>
      <c r="AD534" s="108">
        <f t="shared" si="286"/>
        <v>-1</v>
      </c>
      <c r="AE534" s="108">
        <f t="shared" si="287"/>
        <v>0</v>
      </c>
      <c r="AF534" s="108">
        <f t="shared" si="288"/>
        <v>0</v>
      </c>
      <c r="AG534" s="108">
        <f t="shared" si="289"/>
        <v>-1</v>
      </c>
      <c r="AH534" s="108">
        <f t="shared" si="290"/>
        <v>-1</v>
      </c>
      <c r="AI534" s="108">
        <f t="shared" si="291"/>
        <v>-1</v>
      </c>
      <c r="AJ534" s="108">
        <f t="shared" si="292"/>
        <v>-1</v>
      </c>
      <c r="AK534" s="108">
        <f t="shared" si="293"/>
        <v>-1</v>
      </c>
      <c r="AL534" s="108">
        <f t="shared" si="294"/>
        <v>-1</v>
      </c>
      <c r="AM534" s="108"/>
      <c r="AQ534" s="104" t="str">
        <f>$V$73</f>
        <v>Nour</v>
      </c>
      <c r="AR534" s="54">
        <v>0</v>
      </c>
      <c r="AS534" s="54">
        <v>0</v>
      </c>
      <c r="AT534" s="54">
        <v>0</v>
      </c>
      <c r="AU534" s="54">
        <v>0</v>
      </c>
      <c r="AV534" s="54">
        <v>0</v>
      </c>
      <c r="AW534" s="54">
        <v>0</v>
      </c>
      <c r="AX534" s="54">
        <v>0</v>
      </c>
      <c r="AY534" s="54">
        <v>0</v>
      </c>
      <c r="AZ534" s="54">
        <v>0</v>
      </c>
      <c r="BA534" s="54">
        <v>0</v>
      </c>
      <c r="BB534" s="54">
        <v>0</v>
      </c>
      <c r="BC534" s="54">
        <v>0</v>
      </c>
      <c r="BD534" s="54">
        <v>0</v>
      </c>
      <c r="BE534" s="54">
        <v>0</v>
      </c>
      <c r="BF534" s="54">
        <v>0</v>
      </c>
      <c r="BG534" s="54">
        <v>0</v>
      </c>
      <c r="BH534" s="54">
        <v>0</v>
      </c>
      <c r="BK534" s="104" t="str">
        <f>$V$70</f>
        <v>Dimitri</v>
      </c>
      <c r="BL534" s="108">
        <v>0</v>
      </c>
      <c r="BM534" s="108">
        <v>0</v>
      </c>
      <c r="BN534" s="108">
        <v>0</v>
      </c>
      <c r="BO534" s="108">
        <v>0</v>
      </c>
      <c r="BP534" s="108">
        <v>0</v>
      </c>
      <c r="BQ534" s="108">
        <v>0</v>
      </c>
      <c r="BR534" s="108">
        <v>0</v>
      </c>
      <c r="BS534" s="108">
        <v>0</v>
      </c>
      <c r="BT534" s="108">
        <v>0</v>
      </c>
      <c r="BU534" s="108">
        <v>0</v>
      </c>
      <c r="BV534" s="108">
        <v>0</v>
      </c>
      <c r="BW534" s="108">
        <v>0</v>
      </c>
      <c r="BX534" s="108">
        <v>0</v>
      </c>
      <c r="BY534" s="108">
        <v>0</v>
      </c>
      <c r="BZ534" s="108">
        <v>0</v>
      </c>
      <c r="CA534" s="108">
        <v>0</v>
      </c>
      <c r="CB534" s="108">
        <v>0</v>
      </c>
    </row>
    <row r="535" spans="3:80" x14ac:dyDescent="0.55000000000000004">
      <c r="C535" s="104" t="str">
        <f>$V$57</f>
        <v>Marcos</v>
      </c>
      <c r="D535" s="108">
        <f t="shared" ref="D535:S535" si="298">D57</f>
        <v>0</v>
      </c>
      <c r="E535" s="108">
        <f t="shared" si="298"/>
        <v>0</v>
      </c>
      <c r="F535" s="108">
        <f t="shared" si="298"/>
        <v>0</v>
      </c>
      <c r="G535" s="108">
        <f t="shared" si="298"/>
        <v>0</v>
      </c>
      <c r="H535" s="108">
        <f t="shared" si="298"/>
        <v>0</v>
      </c>
      <c r="I535" s="108">
        <f t="shared" si="298"/>
        <v>0</v>
      </c>
      <c r="J535" s="108">
        <f t="shared" si="298"/>
        <v>0</v>
      </c>
      <c r="K535" s="108">
        <f t="shared" si="298"/>
        <v>0</v>
      </c>
      <c r="L535" s="108">
        <f t="shared" si="298"/>
        <v>0</v>
      </c>
      <c r="M535" s="108">
        <f t="shared" si="298"/>
        <v>0</v>
      </c>
      <c r="N535" s="108">
        <f t="shared" si="298"/>
        <v>0</v>
      </c>
      <c r="O535" s="108">
        <f t="shared" si="298"/>
        <v>0</v>
      </c>
      <c r="P535" s="108">
        <f t="shared" si="298"/>
        <v>0</v>
      </c>
      <c r="Q535" s="108">
        <f t="shared" si="298"/>
        <v>0</v>
      </c>
      <c r="R535" s="108">
        <f t="shared" si="298"/>
        <v>0</v>
      </c>
      <c r="S535" s="108">
        <f t="shared" si="298"/>
        <v>0</v>
      </c>
      <c r="T535" s="28" t="s">
        <v>26</v>
      </c>
      <c r="V535" s="104" t="str">
        <f>$V$57</f>
        <v>Marcos</v>
      </c>
      <c r="W535" s="108">
        <f t="shared" si="279"/>
        <v>0</v>
      </c>
      <c r="X535" s="108">
        <f t="shared" si="280"/>
        <v>-1</v>
      </c>
      <c r="Y535" s="108">
        <f t="shared" si="281"/>
        <v>-1</v>
      </c>
      <c r="Z535" s="108">
        <f t="shared" si="282"/>
        <v>-1</v>
      </c>
      <c r="AA535" s="108">
        <f t="shared" si="283"/>
        <v>-1</v>
      </c>
      <c r="AB535" s="108">
        <f t="shared" si="284"/>
        <v>-1</v>
      </c>
      <c r="AC535" s="108">
        <f t="shared" si="285"/>
        <v>-1</v>
      </c>
      <c r="AD535" s="108">
        <f t="shared" si="286"/>
        <v>0</v>
      </c>
      <c r="AE535" s="108">
        <f t="shared" si="287"/>
        <v>0</v>
      </c>
      <c r="AF535" s="108">
        <f t="shared" si="288"/>
        <v>-1</v>
      </c>
      <c r="AG535" s="108">
        <f t="shared" si="289"/>
        <v>-1</v>
      </c>
      <c r="AH535" s="108">
        <f t="shared" si="290"/>
        <v>-1</v>
      </c>
      <c r="AI535" s="108">
        <f t="shared" si="291"/>
        <v>-1</v>
      </c>
      <c r="AJ535" s="108">
        <f t="shared" si="292"/>
        <v>-1</v>
      </c>
      <c r="AK535" s="108">
        <f t="shared" si="293"/>
        <v>-1</v>
      </c>
      <c r="AL535" s="108">
        <f t="shared" si="294"/>
        <v>-1</v>
      </c>
      <c r="AM535" s="108"/>
      <c r="AQ535" s="104" t="str">
        <f>$V$74</f>
        <v>Samuel</v>
      </c>
      <c r="AR535" s="54">
        <v>0</v>
      </c>
      <c r="AS535" s="54">
        <v>0</v>
      </c>
      <c r="AT535" s="54">
        <v>0</v>
      </c>
      <c r="AU535" s="54">
        <v>0</v>
      </c>
      <c r="AV535" s="54">
        <v>0</v>
      </c>
      <c r="AW535" s="54">
        <v>0</v>
      </c>
      <c r="AX535" s="54">
        <v>0</v>
      </c>
      <c r="AY535" s="54">
        <v>0</v>
      </c>
      <c r="AZ535" s="54">
        <v>0</v>
      </c>
      <c r="BA535" s="54">
        <v>0</v>
      </c>
      <c r="BB535" s="54">
        <v>0</v>
      </c>
      <c r="BC535" s="54">
        <v>0</v>
      </c>
      <c r="BD535" s="54">
        <v>0</v>
      </c>
      <c r="BE535" s="54">
        <v>0</v>
      </c>
      <c r="BF535" s="54">
        <v>0</v>
      </c>
      <c r="BG535" s="54">
        <v>0</v>
      </c>
      <c r="BH535" s="54">
        <v>0</v>
      </c>
      <c r="BK535" s="104" t="str">
        <f>$V$71</f>
        <v>Marina</v>
      </c>
      <c r="BL535" s="108">
        <v>0</v>
      </c>
      <c r="BM535" s="108">
        <v>0</v>
      </c>
      <c r="BN535" s="108">
        <v>0</v>
      </c>
      <c r="BO535" s="108">
        <v>0</v>
      </c>
      <c r="BP535" s="108">
        <v>0</v>
      </c>
      <c r="BQ535" s="108">
        <v>0</v>
      </c>
      <c r="BR535" s="108">
        <v>0</v>
      </c>
      <c r="BS535" s="108">
        <v>0</v>
      </c>
      <c r="BT535" s="108">
        <v>0</v>
      </c>
      <c r="BU535" s="108">
        <v>0</v>
      </c>
      <c r="BV535" s="108">
        <v>0</v>
      </c>
      <c r="BW535" s="108">
        <v>0</v>
      </c>
      <c r="BX535" s="108">
        <v>0</v>
      </c>
      <c r="BY535" s="108">
        <v>0</v>
      </c>
      <c r="BZ535" s="108">
        <v>0</v>
      </c>
      <c r="CA535" s="108">
        <v>0</v>
      </c>
      <c r="CB535" s="108">
        <v>0</v>
      </c>
    </row>
    <row r="536" spans="3:80" x14ac:dyDescent="0.55000000000000004">
      <c r="C536" s="104" t="str">
        <f>$V$58</f>
        <v>Weixin</v>
      </c>
      <c r="D536" s="108">
        <f t="shared" ref="D536:S536" si="299">D58</f>
        <v>0</v>
      </c>
      <c r="E536" s="108">
        <f t="shared" si="299"/>
        <v>0</v>
      </c>
      <c r="F536" s="108">
        <f t="shared" si="299"/>
        <v>0</v>
      </c>
      <c r="G536" s="108">
        <f t="shared" si="299"/>
        <v>0</v>
      </c>
      <c r="H536" s="108">
        <f t="shared" si="299"/>
        <v>0</v>
      </c>
      <c r="I536" s="108">
        <f t="shared" si="299"/>
        <v>0</v>
      </c>
      <c r="J536" s="108">
        <f t="shared" si="299"/>
        <v>0</v>
      </c>
      <c r="K536" s="108">
        <f t="shared" si="299"/>
        <v>0</v>
      </c>
      <c r="L536" s="108">
        <f t="shared" si="299"/>
        <v>0</v>
      </c>
      <c r="M536" s="108">
        <f t="shared" si="299"/>
        <v>0</v>
      </c>
      <c r="N536" s="108">
        <f t="shared" si="299"/>
        <v>0</v>
      </c>
      <c r="O536" s="108">
        <f t="shared" si="299"/>
        <v>0</v>
      </c>
      <c r="P536" s="108">
        <f t="shared" si="299"/>
        <v>0</v>
      </c>
      <c r="Q536" s="108">
        <f t="shared" si="299"/>
        <v>0</v>
      </c>
      <c r="R536" s="108">
        <f t="shared" si="299"/>
        <v>0</v>
      </c>
      <c r="S536" s="108">
        <f t="shared" si="299"/>
        <v>0</v>
      </c>
      <c r="T536" s="28" t="s">
        <v>26</v>
      </c>
      <c r="V536" s="104" t="str">
        <f>$V$58</f>
        <v>Weixin</v>
      </c>
      <c r="W536" s="108">
        <f t="shared" si="279"/>
        <v>-1</v>
      </c>
      <c r="X536" s="108">
        <f t="shared" si="280"/>
        <v>-1</v>
      </c>
      <c r="Y536" s="108">
        <f t="shared" si="281"/>
        <v>-1</v>
      </c>
      <c r="Z536" s="108">
        <f t="shared" si="282"/>
        <v>-1</v>
      </c>
      <c r="AA536" s="108">
        <f t="shared" si="283"/>
        <v>-1</v>
      </c>
      <c r="AB536" s="108">
        <f t="shared" si="284"/>
        <v>-1</v>
      </c>
      <c r="AC536" s="108">
        <f t="shared" si="285"/>
        <v>-1</v>
      </c>
      <c r="AD536" s="108">
        <f t="shared" si="286"/>
        <v>-1</v>
      </c>
      <c r="AE536" s="108">
        <f t="shared" si="287"/>
        <v>-1</v>
      </c>
      <c r="AF536" s="108">
        <f t="shared" si="288"/>
        <v>-1</v>
      </c>
      <c r="AG536" s="108">
        <f t="shared" si="289"/>
        <v>-1</v>
      </c>
      <c r="AH536" s="108">
        <f t="shared" si="290"/>
        <v>-1</v>
      </c>
      <c r="AI536" s="108">
        <f t="shared" si="291"/>
        <v>-1</v>
      </c>
      <c r="AJ536" s="108">
        <f t="shared" si="292"/>
        <v>-1</v>
      </c>
      <c r="AK536" s="108">
        <f t="shared" si="293"/>
        <v>-1</v>
      </c>
      <c r="AL536" s="108">
        <f t="shared" si="294"/>
        <v>-1</v>
      </c>
      <c r="AM536" s="108"/>
      <c r="AQ536" s="104" t="str">
        <f>$V$75</f>
        <v>Yassin</v>
      </c>
      <c r="AR536" s="54">
        <v>0</v>
      </c>
      <c r="AS536" s="54">
        <v>0</v>
      </c>
      <c r="AT536" s="54">
        <v>0</v>
      </c>
      <c r="AU536" s="54">
        <v>0</v>
      </c>
      <c r="AV536" s="54">
        <v>0</v>
      </c>
      <c r="AW536" s="54">
        <v>0</v>
      </c>
      <c r="AX536" s="54">
        <v>0</v>
      </c>
      <c r="AY536" s="54">
        <v>0</v>
      </c>
      <c r="AZ536" s="54">
        <v>0</v>
      </c>
      <c r="BA536" s="54">
        <v>0</v>
      </c>
      <c r="BB536" s="54">
        <v>0</v>
      </c>
      <c r="BC536" s="54">
        <v>0</v>
      </c>
      <c r="BD536" s="54">
        <v>0</v>
      </c>
      <c r="BE536" s="54">
        <v>0</v>
      </c>
      <c r="BF536" s="54">
        <v>0</v>
      </c>
      <c r="BG536" s="54">
        <v>0</v>
      </c>
      <c r="BH536" s="54">
        <v>0</v>
      </c>
      <c r="BK536" s="104" t="str">
        <f>$V$72</f>
        <v>Michel</v>
      </c>
      <c r="BL536" s="108">
        <v>0</v>
      </c>
      <c r="BM536" s="108">
        <v>0</v>
      </c>
      <c r="BN536" s="108">
        <v>0</v>
      </c>
      <c r="BO536" s="108">
        <v>0</v>
      </c>
      <c r="BP536" s="108">
        <v>0</v>
      </c>
      <c r="BQ536" s="108">
        <v>0</v>
      </c>
      <c r="BR536" s="108">
        <v>0</v>
      </c>
      <c r="BS536" s="108">
        <v>0</v>
      </c>
      <c r="BT536" s="108">
        <v>0</v>
      </c>
      <c r="BU536" s="108">
        <v>0</v>
      </c>
      <c r="BV536" s="108">
        <v>0</v>
      </c>
      <c r="BW536" s="108">
        <v>0</v>
      </c>
      <c r="BX536" s="108">
        <v>0</v>
      </c>
      <c r="BY536" s="108">
        <v>0</v>
      </c>
      <c r="BZ536" s="108">
        <v>0</v>
      </c>
      <c r="CA536" s="108">
        <v>0</v>
      </c>
      <c r="CB536" s="108">
        <v>0</v>
      </c>
    </row>
    <row r="537" spans="3:80" x14ac:dyDescent="0.55000000000000004">
      <c r="C537" s="104" t="str">
        <f>$V$59</f>
        <v>Benjamin</v>
      </c>
      <c r="D537" s="108">
        <f t="shared" ref="D537:S537" si="300">D59</f>
        <v>0</v>
      </c>
      <c r="E537" s="108">
        <f t="shared" si="300"/>
        <v>0</v>
      </c>
      <c r="F537" s="108">
        <f t="shared" si="300"/>
        <v>0</v>
      </c>
      <c r="G537" s="108">
        <f t="shared" si="300"/>
        <v>0</v>
      </c>
      <c r="H537" s="108">
        <f t="shared" si="300"/>
        <v>0</v>
      </c>
      <c r="I537" s="108">
        <f t="shared" si="300"/>
        <v>0</v>
      </c>
      <c r="J537" s="108">
        <f t="shared" si="300"/>
        <v>0</v>
      </c>
      <c r="K537" s="108">
        <f t="shared" si="300"/>
        <v>0</v>
      </c>
      <c r="L537" s="108">
        <f t="shared" si="300"/>
        <v>0</v>
      </c>
      <c r="M537" s="108">
        <f t="shared" si="300"/>
        <v>0</v>
      </c>
      <c r="N537" s="108">
        <f t="shared" si="300"/>
        <v>0</v>
      </c>
      <c r="O537" s="108">
        <f t="shared" si="300"/>
        <v>0</v>
      </c>
      <c r="P537" s="108">
        <f t="shared" si="300"/>
        <v>0</v>
      </c>
      <c r="Q537" s="108">
        <f t="shared" si="300"/>
        <v>0</v>
      </c>
      <c r="R537" s="108">
        <f t="shared" si="300"/>
        <v>0</v>
      </c>
      <c r="S537" s="108">
        <f t="shared" si="300"/>
        <v>0</v>
      </c>
      <c r="T537" s="28" t="s">
        <v>26</v>
      </c>
      <c r="V537" s="104" t="str">
        <f>$V$59</f>
        <v>Benjamin</v>
      </c>
      <c r="W537" s="108">
        <f t="shared" si="279"/>
        <v>-1</v>
      </c>
      <c r="X537" s="108">
        <f t="shared" si="280"/>
        <v>-1</v>
      </c>
      <c r="Y537" s="108">
        <f t="shared" si="281"/>
        <v>-1</v>
      </c>
      <c r="Z537" s="108">
        <f t="shared" si="282"/>
        <v>0</v>
      </c>
      <c r="AA537" s="108">
        <f t="shared" si="283"/>
        <v>0</v>
      </c>
      <c r="AB537" s="108">
        <f t="shared" si="284"/>
        <v>0</v>
      </c>
      <c r="AC537" s="108">
        <f t="shared" si="285"/>
        <v>0</v>
      </c>
      <c r="AD537" s="108">
        <f t="shared" si="286"/>
        <v>-1</v>
      </c>
      <c r="AE537" s="108">
        <f t="shared" si="287"/>
        <v>-1</v>
      </c>
      <c r="AF537" s="108">
        <f t="shared" si="288"/>
        <v>-1</v>
      </c>
      <c r="AG537" s="108">
        <f t="shared" si="289"/>
        <v>-1</v>
      </c>
      <c r="AH537" s="108">
        <f t="shared" si="290"/>
        <v>-1</v>
      </c>
      <c r="AI537" s="108">
        <f t="shared" si="291"/>
        <v>-1</v>
      </c>
      <c r="AJ537" s="108">
        <f t="shared" si="292"/>
        <v>-1</v>
      </c>
      <c r="AK537" s="108">
        <f t="shared" si="293"/>
        <v>-1</v>
      </c>
      <c r="AL537" s="108">
        <f t="shared" si="294"/>
        <v>-1</v>
      </c>
      <c r="AM537" s="108"/>
      <c r="AQ537" s="104" t="str">
        <f>$V$76</f>
        <v>Kamar</v>
      </c>
      <c r="AR537" s="54">
        <v>0</v>
      </c>
      <c r="AS537" s="54">
        <v>0</v>
      </c>
      <c r="AT537" s="54">
        <v>0</v>
      </c>
      <c r="AU537" s="54">
        <v>0</v>
      </c>
      <c r="AV537" s="54">
        <v>0</v>
      </c>
      <c r="AW537" s="54">
        <v>0</v>
      </c>
      <c r="AX537" s="54">
        <v>0</v>
      </c>
      <c r="AY537" s="54">
        <v>0</v>
      </c>
      <c r="AZ537" s="54">
        <v>0</v>
      </c>
      <c r="BA537" s="54">
        <v>0</v>
      </c>
      <c r="BB537" s="54">
        <v>0</v>
      </c>
      <c r="BC537" s="54">
        <v>0</v>
      </c>
      <c r="BD537" s="54">
        <v>0</v>
      </c>
      <c r="BE537" s="54">
        <v>0</v>
      </c>
      <c r="BF537" s="54">
        <v>0</v>
      </c>
      <c r="BG537" s="54">
        <v>0</v>
      </c>
      <c r="BH537" s="54">
        <v>0</v>
      </c>
      <c r="BK537" s="104" t="str">
        <f>$V$73</f>
        <v>Nour</v>
      </c>
      <c r="BL537" s="108">
        <v>0</v>
      </c>
      <c r="BM537" s="108">
        <v>0</v>
      </c>
      <c r="BN537" s="108">
        <v>0</v>
      </c>
      <c r="BO537" s="108">
        <v>0</v>
      </c>
      <c r="BP537" s="108">
        <v>0</v>
      </c>
      <c r="BQ537" s="108">
        <v>0</v>
      </c>
      <c r="BR537" s="108">
        <v>0</v>
      </c>
      <c r="BS537" s="108">
        <v>0</v>
      </c>
      <c r="BT537" s="108">
        <v>0</v>
      </c>
      <c r="BU537" s="108">
        <v>0</v>
      </c>
      <c r="BV537" s="108">
        <v>0</v>
      </c>
      <c r="BW537" s="108">
        <v>0</v>
      </c>
      <c r="BX537" s="108">
        <v>0</v>
      </c>
      <c r="BY537" s="108">
        <v>0</v>
      </c>
      <c r="BZ537" s="108">
        <v>0</v>
      </c>
      <c r="CA537" s="108">
        <v>0</v>
      </c>
      <c r="CB537" s="108">
        <v>0</v>
      </c>
    </row>
    <row r="538" spans="3:80" x14ac:dyDescent="0.55000000000000004">
      <c r="C538" s="104" t="str">
        <f>$V$60</f>
        <v>Joelle</v>
      </c>
      <c r="D538" s="108">
        <f t="shared" ref="D538:S538" si="301">D60</f>
        <v>0</v>
      </c>
      <c r="E538" s="108">
        <f t="shared" si="301"/>
        <v>0</v>
      </c>
      <c r="F538" s="108">
        <f t="shared" si="301"/>
        <v>0</v>
      </c>
      <c r="G538" s="108">
        <f t="shared" si="301"/>
        <v>0</v>
      </c>
      <c r="H538" s="108">
        <f t="shared" si="301"/>
        <v>0</v>
      </c>
      <c r="I538" s="108">
        <f t="shared" si="301"/>
        <v>0</v>
      </c>
      <c r="J538" s="108">
        <f t="shared" si="301"/>
        <v>0</v>
      </c>
      <c r="K538" s="108">
        <f t="shared" si="301"/>
        <v>0</v>
      </c>
      <c r="L538" s="108">
        <f t="shared" si="301"/>
        <v>0</v>
      </c>
      <c r="M538" s="108">
        <f t="shared" si="301"/>
        <v>0</v>
      </c>
      <c r="N538" s="108">
        <f t="shared" si="301"/>
        <v>0</v>
      </c>
      <c r="O538" s="108">
        <f t="shared" si="301"/>
        <v>0</v>
      </c>
      <c r="P538" s="108">
        <f t="shared" si="301"/>
        <v>0</v>
      </c>
      <c r="Q538" s="108">
        <f t="shared" si="301"/>
        <v>0</v>
      </c>
      <c r="R538" s="108">
        <f t="shared" si="301"/>
        <v>0</v>
      </c>
      <c r="S538" s="108">
        <f t="shared" si="301"/>
        <v>0</v>
      </c>
      <c r="T538" s="28" t="s">
        <v>26</v>
      </c>
      <c r="V538" s="104" t="str">
        <f>$V$60</f>
        <v>Joelle</v>
      </c>
      <c r="W538" s="108">
        <f t="shared" si="279"/>
        <v>-1</v>
      </c>
      <c r="X538" s="108">
        <f t="shared" si="280"/>
        <v>-1</v>
      </c>
      <c r="Y538" s="108">
        <f t="shared" si="281"/>
        <v>-1</v>
      </c>
      <c r="Z538" s="108">
        <f t="shared" si="282"/>
        <v>-1</v>
      </c>
      <c r="AA538" s="108">
        <f t="shared" si="283"/>
        <v>-1</v>
      </c>
      <c r="AB538" s="108">
        <f t="shared" si="284"/>
        <v>-1</v>
      </c>
      <c r="AC538" s="108">
        <f t="shared" si="285"/>
        <v>-1</v>
      </c>
      <c r="AD538" s="108">
        <f t="shared" si="286"/>
        <v>-1</v>
      </c>
      <c r="AE538" s="108">
        <f t="shared" si="287"/>
        <v>-1</v>
      </c>
      <c r="AF538" s="108">
        <f t="shared" si="288"/>
        <v>-1</v>
      </c>
      <c r="AG538" s="108">
        <f t="shared" si="289"/>
        <v>-1</v>
      </c>
      <c r="AH538" s="108">
        <f t="shared" si="290"/>
        <v>-1</v>
      </c>
      <c r="AI538" s="108">
        <f t="shared" si="291"/>
        <v>-1</v>
      </c>
      <c r="AJ538" s="108">
        <f t="shared" si="292"/>
        <v>-1</v>
      </c>
      <c r="AK538" s="108">
        <f t="shared" si="293"/>
        <v>-1</v>
      </c>
      <c r="AL538" s="108">
        <f t="shared" si="294"/>
        <v>-1</v>
      </c>
      <c r="AM538" s="108"/>
      <c r="AQ538" s="104" t="str">
        <f>$V$77</f>
        <v>-</v>
      </c>
      <c r="AR538" s="54">
        <v>0</v>
      </c>
      <c r="AS538" s="54">
        <v>0</v>
      </c>
      <c r="AT538" s="54">
        <v>0</v>
      </c>
      <c r="AU538" s="54">
        <v>0</v>
      </c>
      <c r="AV538" s="54">
        <v>0</v>
      </c>
      <c r="AW538" s="54">
        <v>0</v>
      </c>
      <c r="AX538" s="54">
        <v>0</v>
      </c>
      <c r="AY538" s="54">
        <v>0</v>
      </c>
      <c r="AZ538" s="54">
        <v>0</v>
      </c>
      <c r="BA538" s="54">
        <v>0</v>
      </c>
      <c r="BB538" s="54">
        <v>0</v>
      </c>
      <c r="BC538" s="54">
        <v>0</v>
      </c>
      <c r="BD538" s="54">
        <v>0</v>
      </c>
      <c r="BE538" s="54">
        <v>0</v>
      </c>
      <c r="BF538" s="54">
        <v>0</v>
      </c>
      <c r="BG538" s="54">
        <v>0</v>
      </c>
      <c r="BH538" s="54">
        <v>0</v>
      </c>
      <c r="BK538" s="104" t="str">
        <f>$V$74</f>
        <v>Samuel</v>
      </c>
      <c r="BL538" s="108">
        <v>0</v>
      </c>
      <c r="BM538" s="108">
        <v>0</v>
      </c>
      <c r="BN538" s="108">
        <v>0</v>
      </c>
      <c r="BO538" s="108">
        <v>0</v>
      </c>
      <c r="BP538" s="108">
        <v>0</v>
      </c>
      <c r="BQ538" s="108">
        <v>0</v>
      </c>
      <c r="BR538" s="108">
        <v>0</v>
      </c>
      <c r="BS538" s="108">
        <v>0</v>
      </c>
      <c r="BT538" s="108">
        <v>0</v>
      </c>
      <c r="BU538" s="108">
        <v>0</v>
      </c>
      <c r="BV538" s="108">
        <v>0</v>
      </c>
      <c r="BW538" s="108">
        <v>0</v>
      </c>
      <c r="BX538" s="108">
        <v>0</v>
      </c>
      <c r="BY538" s="108">
        <v>0</v>
      </c>
      <c r="BZ538" s="108">
        <v>0</v>
      </c>
      <c r="CA538" s="108">
        <v>0</v>
      </c>
      <c r="CB538" s="108">
        <v>0</v>
      </c>
    </row>
    <row r="539" spans="3:80" x14ac:dyDescent="0.55000000000000004">
      <c r="C539" s="104" t="str">
        <f>$V$61</f>
        <v>Alexia</v>
      </c>
      <c r="D539" s="108">
        <f t="shared" ref="D539:S539" si="302">D61</f>
        <v>0</v>
      </c>
      <c r="E539" s="108">
        <f t="shared" si="302"/>
        <v>0</v>
      </c>
      <c r="F539" s="108">
        <f t="shared" si="302"/>
        <v>0</v>
      </c>
      <c r="G539" s="108">
        <f t="shared" si="302"/>
        <v>0</v>
      </c>
      <c r="H539" s="108">
        <f t="shared" si="302"/>
        <v>0</v>
      </c>
      <c r="I539" s="108">
        <f t="shared" si="302"/>
        <v>0</v>
      </c>
      <c r="J539" s="108">
        <f t="shared" si="302"/>
        <v>0</v>
      </c>
      <c r="K539" s="108">
        <f t="shared" si="302"/>
        <v>0</v>
      </c>
      <c r="L539" s="108">
        <f t="shared" si="302"/>
        <v>0</v>
      </c>
      <c r="M539" s="108">
        <f t="shared" si="302"/>
        <v>0</v>
      </c>
      <c r="N539" s="108">
        <f t="shared" si="302"/>
        <v>0</v>
      </c>
      <c r="O539" s="108">
        <f t="shared" si="302"/>
        <v>0</v>
      </c>
      <c r="P539" s="108">
        <f t="shared" si="302"/>
        <v>0</v>
      </c>
      <c r="Q539" s="108">
        <f t="shared" si="302"/>
        <v>0</v>
      </c>
      <c r="R539" s="108">
        <f t="shared" si="302"/>
        <v>0</v>
      </c>
      <c r="S539" s="108">
        <f t="shared" si="302"/>
        <v>0</v>
      </c>
      <c r="T539" s="28" t="s">
        <v>26</v>
      </c>
      <c r="V539" s="104" t="str">
        <f>$V$61</f>
        <v>Alexia</v>
      </c>
      <c r="W539" s="108">
        <f t="shared" si="279"/>
        <v>-1</v>
      </c>
      <c r="X539" s="108">
        <f t="shared" si="280"/>
        <v>-1</v>
      </c>
      <c r="Y539" s="108">
        <f t="shared" si="281"/>
        <v>-1</v>
      </c>
      <c r="Z539" s="108">
        <f t="shared" si="282"/>
        <v>-1</v>
      </c>
      <c r="AA539" s="108">
        <f t="shared" si="283"/>
        <v>-1</v>
      </c>
      <c r="AB539" s="108">
        <f t="shared" si="284"/>
        <v>-1</v>
      </c>
      <c r="AC539" s="108">
        <f t="shared" si="285"/>
        <v>-1</v>
      </c>
      <c r="AD539" s="108">
        <f t="shared" si="286"/>
        <v>-1</v>
      </c>
      <c r="AE539" s="108">
        <f t="shared" si="287"/>
        <v>-1</v>
      </c>
      <c r="AF539" s="108">
        <f t="shared" si="288"/>
        <v>-1</v>
      </c>
      <c r="AG539" s="108">
        <f t="shared" si="289"/>
        <v>-1</v>
      </c>
      <c r="AH539" s="108">
        <f t="shared" si="290"/>
        <v>-1</v>
      </c>
      <c r="AI539" s="108">
        <f t="shared" si="291"/>
        <v>-1</v>
      </c>
      <c r="AJ539" s="108">
        <f t="shared" si="292"/>
        <v>-1</v>
      </c>
      <c r="AK539" s="108">
        <f t="shared" si="293"/>
        <v>-1</v>
      </c>
      <c r="AL539" s="108">
        <f t="shared" si="294"/>
        <v>-1</v>
      </c>
      <c r="AM539" s="108"/>
      <c r="AQ539" s="104" t="str">
        <f>$V$78</f>
        <v>-</v>
      </c>
      <c r="AR539" s="54">
        <v>0</v>
      </c>
      <c r="AS539" s="54">
        <v>0</v>
      </c>
      <c r="AT539" s="54">
        <v>0</v>
      </c>
      <c r="AU539" s="54">
        <v>0</v>
      </c>
      <c r="AV539" s="54">
        <v>0</v>
      </c>
      <c r="AW539" s="54">
        <v>0</v>
      </c>
      <c r="AX539" s="54">
        <v>0</v>
      </c>
      <c r="AY539" s="54">
        <v>0</v>
      </c>
      <c r="AZ539" s="54">
        <v>0</v>
      </c>
      <c r="BA539" s="54">
        <v>0</v>
      </c>
      <c r="BB539" s="54">
        <v>0</v>
      </c>
      <c r="BC539" s="54">
        <v>0</v>
      </c>
      <c r="BD539" s="54">
        <v>0</v>
      </c>
      <c r="BE539" s="54">
        <v>0</v>
      </c>
      <c r="BF539" s="54">
        <v>0</v>
      </c>
      <c r="BG539" s="54">
        <v>0</v>
      </c>
      <c r="BH539" s="54">
        <v>0</v>
      </c>
      <c r="BK539" s="104" t="str">
        <f>$V$75</f>
        <v>Yassin</v>
      </c>
      <c r="BL539" s="108">
        <v>0</v>
      </c>
      <c r="BM539" s="108">
        <v>0</v>
      </c>
      <c r="BN539" s="108">
        <v>0</v>
      </c>
      <c r="BO539" s="108">
        <v>0</v>
      </c>
      <c r="BP539" s="108">
        <v>0</v>
      </c>
      <c r="BQ539" s="108">
        <v>0</v>
      </c>
      <c r="BR539" s="108">
        <v>0</v>
      </c>
      <c r="BS539" s="108">
        <v>0</v>
      </c>
      <c r="BT539" s="108">
        <v>0</v>
      </c>
      <c r="BU539" s="108">
        <v>0</v>
      </c>
      <c r="BV539" s="108">
        <v>0</v>
      </c>
      <c r="BW539" s="108">
        <v>0</v>
      </c>
      <c r="BX539" s="108">
        <v>0</v>
      </c>
      <c r="BY539" s="108">
        <v>0</v>
      </c>
      <c r="BZ539" s="108">
        <v>0</v>
      </c>
      <c r="CA539" s="108">
        <v>0</v>
      </c>
      <c r="CB539" s="108">
        <v>0</v>
      </c>
    </row>
    <row r="540" spans="3:80" x14ac:dyDescent="0.55000000000000004">
      <c r="C540" s="104" t="str">
        <f>$V$62</f>
        <v>Joao</v>
      </c>
      <c r="D540" s="108">
        <f t="shared" ref="D540:S540" si="303">D62</f>
        <v>0</v>
      </c>
      <c r="E540" s="108">
        <f t="shared" si="303"/>
        <v>0</v>
      </c>
      <c r="F540" s="108">
        <f t="shared" si="303"/>
        <v>0</v>
      </c>
      <c r="G540" s="108">
        <f t="shared" si="303"/>
        <v>0</v>
      </c>
      <c r="H540" s="108">
        <f t="shared" si="303"/>
        <v>0</v>
      </c>
      <c r="I540" s="108">
        <f t="shared" si="303"/>
        <v>0</v>
      </c>
      <c r="J540" s="108">
        <f t="shared" si="303"/>
        <v>0</v>
      </c>
      <c r="K540" s="108">
        <f t="shared" si="303"/>
        <v>0</v>
      </c>
      <c r="L540" s="108">
        <f t="shared" si="303"/>
        <v>0</v>
      </c>
      <c r="M540" s="108">
        <f t="shared" si="303"/>
        <v>0</v>
      </c>
      <c r="N540" s="108">
        <f t="shared" si="303"/>
        <v>0</v>
      </c>
      <c r="O540" s="108">
        <f t="shared" si="303"/>
        <v>0</v>
      </c>
      <c r="P540" s="108">
        <f t="shared" si="303"/>
        <v>0</v>
      </c>
      <c r="Q540" s="108">
        <f t="shared" si="303"/>
        <v>0</v>
      </c>
      <c r="R540" s="108">
        <f t="shared" si="303"/>
        <v>0</v>
      </c>
      <c r="S540" s="108">
        <f t="shared" si="303"/>
        <v>0</v>
      </c>
      <c r="T540" s="28" t="s">
        <v>26</v>
      </c>
      <c r="V540" s="104" t="str">
        <f>$V$62</f>
        <v>Joao</v>
      </c>
      <c r="W540" s="108">
        <f t="shared" si="279"/>
        <v>-1</v>
      </c>
      <c r="X540" s="108">
        <f t="shared" si="280"/>
        <v>-1</v>
      </c>
      <c r="Y540" s="108">
        <f t="shared" si="281"/>
        <v>-1</v>
      </c>
      <c r="Z540" s="108">
        <f t="shared" si="282"/>
        <v>-1</v>
      </c>
      <c r="AA540" s="108">
        <f t="shared" si="283"/>
        <v>-1</v>
      </c>
      <c r="AB540" s="108">
        <f t="shared" si="284"/>
        <v>-1</v>
      </c>
      <c r="AC540" s="108">
        <f t="shared" si="285"/>
        <v>-1</v>
      </c>
      <c r="AD540" s="108">
        <f t="shared" si="286"/>
        <v>-1</v>
      </c>
      <c r="AE540" s="108">
        <f t="shared" si="287"/>
        <v>-1</v>
      </c>
      <c r="AF540" s="108">
        <f t="shared" si="288"/>
        <v>-1</v>
      </c>
      <c r="AG540" s="108">
        <f t="shared" si="289"/>
        <v>-1</v>
      </c>
      <c r="AH540" s="108">
        <f t="shared" si="290"/>
        <v>-1</v>
      </c>
      <c r="AI540" s="108">
        <f t="shared" si="291"/>
        <v>-1</v>
      </c>
      <c r="AJ540" s="108">
        <f t="shared" si="292"/>
        <v>-1</v>
      </c>
      <c r="AK540" s="108">
        <f t="shared" si="293"/>
        <v>-1</v>
      </c>
      <c r="AL540" s="108">
        <f t="shared" si="294"/>
        <v>-1</v>
      </c>
      <c r="AM540" s="108"/>
      <c r="AQ540" s="104" t="str">
        <f>$V$79</f>
        <v>-</v>
      </c>
      <c r="AR540" s="54">
        <v>0</v>
      </c>
      <c r="AS540" s="54">
        <v>0</v>
      </c>
      <c r="AT540" s="54">
        <v>0</v>
      </c>
      <c r="AU540" s="54">
        <v>0</v>
      </c>
      <c r="AV540" s="54">
        <v>0</v>
      </c>
      <c r="AW540" s="54">
        <v>0</v>
      </c>
      <c r="AX540" s="54">
        <v>0</v>
      </c>
      <c r="AY540" s="54">
        <v>0</v>
      </c>
      <c r="AZ540" s="54">
        <v>0</v>
      </c>
      <c r="BA540" s="54">
        <v>0</v>
      </c>
      <c r="BB540" s="54">
        <v>0</v>
      </c>
      <c r="BC540" s="54">
        <v>0</v>
      </c>
      <c r="BD540" s="54">
        <v>0</v>
      </c>
      <c r="BE540" s="54">
        <v>0</v>
      </c>
      <c r="BF540" s="54">
        <v>0</v>
      </c>
      <c r="BG540" s="54">
        <v>0</v>
      </c>
      <c r="BH540" s="54">
        <v>0</v>
      </c>
      <c r="BK540" s="104" t="str">
        <f>$V$76</f>
        <v>Kamar</v>
      </c>
      <c r="BL540" s="108">
        <v>0</v>
      </c>
      <c r="BM540" s="108">
        <v>0</v>
      </c>
      <c r="BN540" s="108">
        <v>0</v>
      </c>
      <c r="BO540" s="108">
        <v>0</v>
      </c>
      <c r="BP540" s="108">
        <v>0</v>
      </c>
      <c r="BQ540" s="108">
        <v>0</v>
      </c>
      <c r="BR540" s="108">
        <v>0</v>
      </c>
      <c r="BS540" s="108">
        <v>0</v>
      </c>
      <c r="BT540" s="108">
        <v>0</v>
      </c>
      <c r="BU540" s="108">
        <v>0</v>
      </c>
      <c r="BV540" s="108">
        <v>0</v>
      </c>
      <c r="BW540" s="108">
        <v>0</v>
      </c>
      <c r="BX540" s="108">
        <v>0</v>
      </c>
      <c r="BY540" s="108">
        <v>0</v>
      </c>
      <c r="BZ540" s="108">
        <v>0</v>
      </c>
      <c r="CA540" s="108">
        <v>0</v>
      </c>
      <c r="CB540" s="108">
        <v>0</v>
      </c>
    </row>
    <row r="541" spans="3:80" x14ac:dyDescent="0.55000000000000004">
      <c r="C541" s="104" t="str">
        <f>$V$63</f>
        <v>Maxime</v>
      </c>
      <c r="D541" s="108">
        <f t="shared" ref="D541:S541" si="304">D63</f>
        <v>0</v>
      </c>
      <c r="E541" s="108">
        <f t="shared" si="304"/>
        <v>0</v>
      </c>
      <c r="F541" s="108">
        <f t="shared" si="304"/>
        <v>0</v>
      </c>
      <c r="G541" s="108">
        <f t="shared" si="304"/>
        <v>0</v>
      </c>
      <c r="H541" s="108">
        <f t="shared" si="304"/>
        <v>0</v>
      </c>
      <c r="I541" s="108">
        <f t="shared" si="304"/>
        <v>0</v>
      </c>
      <c r="J541" s="108">
        <f t="shared" si="304"/>
        <v>0</v>
      </c>
      <c r="K541" s="108">
        <f t="shared" si="304"/>
        <v>0</v>
      </c>
      <c r="L541" s="108">
        <f t="shared" si="304"/>
        <v>0</v>
      </c>
      <c r="M541" s="108">
        <f t="shared" si="304"/>
        <v>0</v>
      </c>
      <c r="N541" s="108">
        <f t="shared" si="304"/>
        <v>0</v>
      </c>
      <c r="O541" s="108">
        <f t="shared" si="304"/>
        <v>0</v>
      </c>
      <c r="P541" s="108">
        <f t="shared" si="304"/>
        <v>0</v>
      </c>
      <c r="Q541" s="108">
        <f t="shared" si="304"/>
        <v>0</v>
      </c>
      <c r="R541" s="108">
        <f t="shared" si="304"/>
        <v>0</v>
      </c>
      <c r="S541" s="108">
        <f t="shared" si="304"/>
        <v>0</v>
      </c>
      <c r="T541" s="28" t="s">
        <v>26</v>
      </c>
      <c r="V541" s="104" t="str">
        <f>$V$63</f>
        <v>Maxime</v>
      </c>
      <c r="W541" s="108">
        <f t="shared" si="279"/>
        <v>-1</v>
      </c>
      <c r="X541" s="108">
        <f t="shared" si="280"/>
        <v>-1</v>
      </c>
      <c r="Y541" s="108">
        <f t="shared" si="281"/>
        <v>-1</v>
      </c>
      <c r="Z541" s="108">
        <f t="shared" si="282"/>
        <v>-1</v>
      </c>
      <c r="AA541" s="108">
        <f t="shared" si="283"/>
        <v>-1</v>
      </c>
      <c r="AB541" s="108">
        <f t="shared" si="284"/>
        <v>-1</v>
      </c>
      <c r="AC541" s="108">
        <f t="shared" si="285"/>
        <v>-1</v>
      </c>
      <c r="AD541" s="108">
        <f t="shared" si="286"/>
        <v>-1</v>
      </c>
      <c r="AE541" s="108">
        <f t="shared" si="287"/>
        <v>-1</v>
      </c>
      <c r="AF541" s="108">
        <f t="shared" si="288"/>
        <v>-1</v>
      </c>
      <c r="AG541" s="108">
        <f t="shared" si="289"/>
        <v>-1</v>
      </c>
      <c r="AH541" s="108">
        <f t="shared" si="290"/>
        <v>-1</v>
      </c>
      <c r="AI541" s="108">
        <f t="shared" si="291"/>
        <v>-1</v>
      </c>
      <c r="AJ541" s="108">
        <f t="shared" si="292"/>
        <v>-1</v>
      </c>
      <c r="AK541" s="108">
        <f t="shared" si="293"/>
        <v>-1</v>
      </c>
      <c r="AL541" s="108">
        <f t="shared" si="294"/>
        <v>-1</v>
      </c>
      <c r="AM541" s="108"/>
      <c r="AQ541" s="104" t="str">
        <f>$V$80</f>
        <v>-</v>
      </c>
      <c r="AR541" s="54">
        <v>0</v>
      </c>
      <c r="AS541" s="54">
        <v>0</v>
      </c>
      <c r="AT541" s="54">
        <v>0</v>
      </c>
      <c r="AU541" s="54">
        <v>0</v>
      </c>
      <c r="AV541" s="54">
        <v>0</v>
      </c>
      <c r="AW541" s="54">
        <v>0</v>
      </c>
      <c r="AX541" s="54">
        <v>0</v>
      </c>
      <c r="AY541" s="54">
        <v>0</v>
      </c>
      <c r="AZ541" s="54">
        <v>-2</v>
      </c>
      <c r="BA541" s="54">
        <v>0</v>
      </c>
      <c r="BB541" s="54">
        <v>0</v>
      </c>
      <c r="BC541" s="54">
        <v>0</v>
      </c>
      <c r="BD541" s="54">
        <v>0</v>
      </c>
      <c r="BE541" s="54">
        <v>0</v>
      </c>
      <c r="BF541" s="54">
        <v>0</v>
      </c>
      <c r="BG541" s="54">
        <v>0</v>
      </c>
      <c r="BH541" s="54">
        <v>0</v>
      </c>
      <c r="BK541" s="104" t="str">
        <f>$V$77</f>
        <v>-</v>
      </c>
      <c r="BL541" s="108">
        <v>0</v>
      </c>
      <c r="BM541" s="108">
        <v>0</v>
      </c>
      <c r="BN541" s="108">
        <v>0</v>
      </c>
      <c r="BO541" s="108">
        <v>0</v>
      </c>
      <c r="BP541" s="108">
        <v>0</v>
      </c>
      <c r="BQ541" s="108">
        <v>0</v>
      </c>
      <c r="BR541" s="108">
        <v>0</v>
      </c>
      <c r="BS541" s="108">
        <v>0</v>
      </c>
      <c r="BT541" s="108">
        <v>0</v>
      </c>
      <c r="BU541" s="108">
        <v>0</v>
      </c>
      <c r="BV541" s="108">
        <v>0</v>
      </c>
      <c r="BW541" s="108">
        <v>0</v>
      </c>
      <c r="BX541" s="108">
        <v>0</v>
      </c>
      <c r="BY541" s="108">
        <v>0</v>
      </c>
      <c r="BZ541" s="108">
        <v>0</v>
      </c>
      <c r="CA541" s="108">
        <v>0</v>
      </c>
      <c r="CB541" s="108">
        <v>0</v>
      </c>
    </row>
    <row r="542" spans="3:80" x14ac:dyDescent="0.55000000000000004">
      <c r="C542" s="104" t="str">
        <f>$V$64</f>
        <v>Alex</v>
      </c>
      <c r="D542" s="108">
        <f t="shared" ref="D542:S542" si="305">D64</f>
        <v>0</v>
      </c>
      <c r="E542" s="108">
        <f t="shared" si="305"/>
        <v>0</v>
      </c>
      <c r="F542" s="108">
        <f t="shared" si="305"/>
        <v>0</v>
      </c>
      <c r="G542" s="108">
        <f t="shared" si="305"/>
        <v>0</v>
      </c>
      <c r="H542" s="108">
        <f t="shared" si="305"/>
        <v>0</v>
      </c>
      <c r="I542" s="108">
        <f t="shared" si="305"/>
        <v>0</v>
      </c>
      <c r="J542" s="108">
        <f t="shared" si="305"/>
        <v>0</v>
      </c>
      <c r="K542" s="108">
        <f t="shared" si="305"/>
        <v>0</v>
      </c>
      <c r="L542" s="108">
        <f t="shared" si="305"/>
        <v>0</v>
      </c>
      <c r="M542" s="108">
        <f t="shared" si="305"/>
        <v>0</v>
      </c>
      <c r="N542" s="108">
        <f t="shared" si="305"/>
        <v>0</v>
      </c>
      <c r="O542" s="108">
        <f t="shared" si="305"/>
        <v>0</v>
      </c>
      <c r="P542" s="108">
        <f t="shared" si="305"/>
        <v>0</v>
      </c>
      <c r="Q542" s="108">
        <f t="shared" si="305"/>
        <v>0</v>
      </c>
      <c r="R542" s="108">
        <f t="shared" si="305"/>
        <v>0</v>
      </c>
      <c r="S542" s="108">
        <f t="shared" si="305"/>
        <v>0</v>
      </c>
      <c r="T542" s="28" t="s">
        <v>26</v>
      </c>
      <c r="V542" s="104" t="str">
        <f>$V$64</f>
        <v>Alex</v>
      </c>
      <c r="W542" s="108">
        <f t="shared" si="279"/>
        <v>-1</v>
      </c>
      <c r="X542" s="108">
        <f t="shared" si="280"/>
        <v>-1</v>
      </c>
      <c r="Y542" s="108">
        <f t="shared" si="281"/>
        <v>-1</v>
      </c>
      <c r="Z542" s="108">
        <f t="shared" si="282"/>
        <v>-1</v>
      </c>
      <c r="AA542" s="108">
        <f t="shared" si="283"/>
        <v>-1</v>
      </c>
      <c r="AB542" s="108">
        <f t="shared" si="284"/>
        <v>-1</v>
      </c>
      <c r="AC542" s="108">
        <f t="shared" si="285"/>
        <v>-1</v>
      </c>
      <c r="AD542" s="108">
        <f t="shared" si="286"/>
        <v>-1</v>
      </c>
      <c r="AE542" s="108">
        <f t="shared" si="287"/>
        <v>-1</v>
      </c>
      <c r="AF542" s="108">
        <f t="shared" si="288"/>
        <v>-1</v>
      </c>
      <c r="AG542" s="108">
        <f t="shared" si="289"/>
        <v>-1</v>
      </c>
      <c r="AH542" s="108">
        <f t="shared" si="290"/>
        <v>-1</v>
      </c>
      <c r="AI542" s="108">
        <f t="shared" si="291"/>
        <v>-1</v>
      </c>
      <c r="AJ542" s="108">
        <f t="shared" si="292"/>
        <v>-1</v>
      </c>
      <c r="AK542" s="108">
        <f t="shared" si="293"/>
        <v>-1</v>
      </c>
      <c r="AL542" s="108">
        <f t="shared" si="294"/>
        <v>-1</v>
      </c>
      <c r="AM542" s="108"/>
      <c r="AQ542" s="104" t="str">
        <f>$V$81</f>
        <v>-</v>
      </c>
      <c r="AR542" s="54">
        <v>0</v>
      </c>
      <c r="AS542" s="54">
        <v>0</v>
      </c>
      <c r="AT542" s="54">
        <v>0</v>
      </c>
      <c r="AU542" s="54">
        <v>0</v>
      </c>
      <c r="AV542" s="54">
        <v>0</v>
      </c>
      <c r="AW542" s="54">
        <v>0</v>
      </c>
      <c r="AX542" s="54">
        <v>0</v>
      </c>
      <c r="AY542" s="54">
        <v>0</v>
      </c>
      <c r="AZ542" s="54">
        <v>0</v>
      </c>
      <c r="BA542" s="54">
        <v>0</v>
      </c>
      <c r="BB542" s="54">
        <v>0</v>
      </c>
      <c r="BC542" s="54">
        <v>0</v>
      </c>
      <c r="BD542" s="54">
        <v>0</v>
      </c>
      <c r="BE542" s="54">
        <v>0</v>
      </c>
      <c r="BF542" s="54">
        <v>0</v>
      </c>
      <c r="BG542" s="54">
        <v>0</v>
      </c>
      <c r="BH542" s="54">
        <v>0</v>
      </c>
      <c r="BK542" s="104" t="str">
        <f>$V$78</f>
        <v>-</v>
      </c>
      <c r="BL542" s="108">
        <v>0</v>
      </c>
      <c r="BM542" s="108">
        <v>0</v>
      </c>
      <c r="BN542" s="108">
        <v>0</v>
      </c>
      <c r="BO542" s="108">
        <v>0</v>
      </c>
      <c r="BP542" s="108">
        <v>0</v>
      </c>
      <c r="BQ542" s="108">
        <v>0</v>
      </c>
      <c r="BR542" s="108">
        <v>0</v>
      </c>
      <c r="BS542" s="108">
        <v>0</v>
      </c>
      <c r="BT542" s="108">
        <v>0</v>
      </c>
      <c r="BU542" s="108">
        <v>0</v>
      </c>
      <c r="BV542" s="108">
        <v>0</v>
      </c>
      <c r="BW542" s="108">
        <v>0</v>
      </c>
      <c r="BX542" s="108">
        <v>0</v>
      </c>
      <c r="BY542" s="108">
        <v>0</v>
      </c>
      <c r="BZ542" s="108">
        <v>0</v>
      </c>
      <c r="CA542" s="108">
        <v>0</v>
      </c>
      <c r="CB542" s="108">
        <v>0</v>
      </c>
    </row>
    <row r="543" spans="3:80" x14ac:dyDescent="0.55000000000000004">
      <c r="C543" s="104" t="str">
        <f>$V$65</f>
        <v>Alyssa</v>
      </c>
      <c r="D543" s="108">
        <f t="shared" ref="D543:S543" si="306">D65</f>
        <v>0</v>
      </c>
      <c r="E543" s="108">
        <f t="shared" si="306"/>
        <v>0</v>
      </c>
      <c r="F543" s="108">
        <f t="shared" si="306"/>
        <v>0</v>
      </c>
      <c r="G543" s="108">
        <f t="shared" si="306"/>
        <v>0</v>
      </c>
      <c r="H543" s="108">
        <f t="shared" si="306"/>
        <v>0</v>
      </c>
      <c r="I543" s="108">
        <f t="shared" si="306"/>
        <v>0</v>
      </c>
      <c r="J543" s="108">
        <f t="shared" si="306"/>
        <v>0</v>
      </c>
      <c r="K543" s="108">
        <f t="shared" si="306"/>
        <v>0</v>
      </c>
      <c r="L543" s="108">
        <f t="shared" si="306"/>
        <v>0</v>
      </c>
      <c r="M543" s="108">
        <f t="shared" si="306"/>
        <v>0</v>
      </c>
      <c r="N543" s="108">
        <f t="shared" si="306"/>
        <v>0</v>
      </c>
      <c r="O543" s="108">
        <f t="shared" si="306"/>
        <v>0</v>
      </c>
      <c r="P543" s="108">
        <f t="shared" si="306"/>
        <v>0</v>
      </c>
      <c r="Q543" s="108">
        <f t="shared" si="306"/>
        <v>0</v>
      </c>
      <c r="R543" s="108">
        <f t="shared" si="306"/>
        <v>0</v>
      </c>
      <c r="S543" s="108">
        <f t="shared" si="306"/>
        <v>0</v>
      </c>
      <c r="T543" s="28" t="s">
        <v>26</v>
      </c>
      <c r="V543" s="104" t="str">
        <f>$V$65</f>
        <v>Alyssa</v>
      </c>
      <c r="W543" s="108">
        <f t="shared" si="279"/>
        <v>-1</v>
      </c>
      <c r="X543" s="108">
        <f t="shared" si="280"/>
        <v>-1</v>
      </c>
      <c r="Y543" s="108">
        <f t="shared" si="281"/>
        <v>-1</v>
      </c>
      <c r="Z543" s="108">
        <f t="shared" si="282"/>
        <v>-1</v>
      </c>
      <c r="AA543" s="108">
        <f t="shared" si="283"/>
        <v>-1</v>
      </c>
      <c r="AB543" s="108">
        <f t="shared" si="284"/>
        <v>-1</v>
      </c>
      <c r="AC543" s="108">
        <f t="shared" si="285"/>
        <v>-1</v>
      </c>
      <c r="AD543" s="108">
        <f t="shared" si="286"/>
        <v>-1</v>
      </c>
      <c r="AE543" s="108">
        <f t="shared" si="287"/>
        <v>-1</v>
      </c>
      <c r="AF543" s="108">
        <f t="shared" si="288"/>
        <v>-1</v>
      </c>
      <c r="AG543" s="108">
        <f t="shared" si="289"/>
        <v>-1</v>
      </c>
      <c r="AH543" s="108">
        <f t="shared" si="290"/>
        <v>-1</v>
      </c>
      <c r="AI543" s="108">
        <f t="shared" si="291"/>
        <v>-1</v>
      </c>
      <c r="AJ543" s="108">
        <f t="shared" si="292"/>
        <v>-1</v>
      </c>
      <c r="AK543" s="108">
        <f t="shared" si="293"/>
        <v>-1</v>
      </c>
      <c r="AL543" s="108">
        <f t="shared" si="294"/>
        <v>-1</v>
      </c>
      <c r="AM543" s="108"/>
      <c r="AQ543" s="104" t="str">
        <f>$V$82</f>
        <v>-</v>
      </c>
      <c r="AR543" s="54">
        <v>0</v>
      </c>
      <c r="AS543" s="54">
        <v>0</v>
      </c>
      <c r="AT543" s="54">
        <v>0</v>
      </c>
      <c r="AU543" s="54">
        <v>0</v>
      </c>
      <c r="AV543" s="54">
        <v>0</v>
      </c>
      <c r="AW543" s="54">
        <v>0</v>
      </c>
      <c r="AX543" s="54">
        <v>0</v>
      </c>
      <c r="AY543" s="54">
        <v>0</v>
      </c>
      <c r="AZ543" s="54">
        <v>0</v>
      </c>
      <c r="BA543" s="54">
        <v>0</v>
      </c>
      <c r="BB543" s="54">
        <v>0</v>
      </c>
      <c r="BC543" s="54">
        <v>0</v>
      </c>
      <c r="BD543" s="54">
        <v>0</v>
      </c>
      <c r="BE543" s="54">
        <v>0</v>
      </c>
      <c r="BF543" s="54">
        <v>0</v>
      </c>
      <c r="BG543" s="54">
        <v>0</v>
      </c>
      <c r="BH543" s="54">
        <v>0</v>
      </c>
      <c r="BK543" s="104" t="str">
        <f>$V$79</f>
        <v>-</v>
      </c>
      <c r="BL543" s="108">
        <v>0</v>
      </c>
      <c r="BM543" s="108">
        <v>0</v>
      </c>
      <c r="BN543" s="108">
        <v>0</v>
      </c>
      <c r="BO543" s="108">
        <v>0</v>
      </c>
      <c r="BP543" s="108">
        <v>0</v>
      </c>
      <c r="BQ543" s="108">
        <v>0</v>
      </c>
      <c r="BR543" s="108">
        <v>0</v>
      </c>
      <c r="BS543" s="108">
        <v>0</v>
      </c>
      <c r="BT543" s="108">
        <v>0</v>
      </c>
      <c r="BU543" s="108">
        <v>0</v>
      </c>
      <c r="BV543" s="108">
        <v>0</v>
      </c>
      <c r="BW543" s="108">
        <v>0</v>
      </c>
      <c r="BX543" s="108">
        <v>0</v>
      </c>
      <c r="BY543" s="108">
        <v>0</v>
      </c>
      <c r="BZ543" s="108">
        <v>0</v>
      </c>
      <c r="CA543" s="108">
        <v>0</v>
      </c>
      <c r="CB543" s="108">
        <v>0</v>
      </c>
    </row>
    <row r="544" spans="3:80" x14ac:dyDescent="0.55000000000000004">
      <c r="C544" s="104" t="str">
        <f>$V$66</f>
        <v>Amanda</v>
      </c>
      <c r="D544" s="108">
        <f t="shared" ref="D544:S544" si="307">D66</f>
        <v>0</v>
      </c>
      <c r="E544" s="108">
        <f t="shared" si="307"/>
        <v>0</v>
      </c>
      <c r="F544" s="108">
        <f t="shared" si="307"/>
        <v>0</v>
      </c>
      <c r="G544" s="108">
        <f t="shared" si="307"/>
        <v>0</v>
      </c>
      <c r="H544" s="108">
        <f t="shared" si="307"/>
        <v>0</v>
      </c>
      <c r="I544" s="108">
        <f t="shared" si="307"/>
        <v>0</v>
      </c>
      <c r="J544" s="108">
        <f t="shared" si="307"/>
        <v>0</v>
      </c>
      <c r="K544" s="108">
        <f t="shared" si="307"/>
        <v>0</v>
      </c>
      <c r="L544" s="108">
        <f t="shared" si="307"/>
        <v>0</v>
      </c>
      <c r="M544" s="108">
        <f t="shared" si="307"/>
        <v>0</v>
      </c>
      <c r="N544" s="108">
        <f t="shared" si="307"/>
        <v>0</v>
      </c>
      <c r="O544" s="108">
        <f t="shared" si="307"/>
        <v>0</v>
      </c>
      <c r="P544" s="108">
        <f t="shared" si="307"/>
        <v>0</v>
      </c>
      <c r="Q544" s="108">
        <f t="shared" si="307"/>
        <v>0</v>
      </c>
      <c r="R544" s="108">
        <f t="shared" si="307"/>
        <v>0</v>
      </c>
      <c r="S544" s="108">
        <f t="shared" si="307"/>
        <v>0</v>
      </c>
      <c r="T544" s="28" t="s">
        <v>26</v>
      </c>
      <c r="V544" s="104" t="str">
        <f>$V$66</f>
        <v>Amanda</v>
      </c>
      <c r="W544" s="108">
        <f t="shared" si="279"/>
        <v>-1</v>
      </c>
      <c r="X544" s="108">
        <f t="shared" si="280"/>
        <v>-1</v>
      </c>
      <c r="Y544" s="108">
        <f t="shared" si="281"/>
        <v>-1</v>
      </c>
      <c r="Z544" s="108">
        <f t="shared" si="282"/>
        <v>-1</v>
      </c>
      <c r="AA544" s="108">
        <f t="shared" si="283"/>
        <v>-1</v>
      </c>
      <c r="AB544" s="108">
        <f t="shared" si="284"/>
        <v>-1</v>
      </c>
      <c r="AC544" s="108">
        <f t="shared" si="285"/>
        <v>-1</v>
      </c>
      <c r="AD544" s="108">
        <f t="shared" si="286"/>
        <v>-1</v>
      </c>
      <c r="AE544" s="108">
        <f t="shared" si="287"/>
        <v>-1</v>
      </c>
      <c r="AF544" s="108">
        <f t="shared" si="288"/>
        <v>-1</v>
      </c>
      <c r="AG544" s="108">
        <f t="shared" si="289"/>
        <v>-1</v>
      </c>
      <c r="AH544" s="108">
        <f t="shared" si="290"/>
        <v>-1</v>
      </c>
      <c r="AI544" s="108">
        <f t="shared" si="291"/>
        <v>-1</v>
      </c>
      <c r="AJ544" s="108">
        <f t="shared" si="292"/>
        <v>-1</v>
      </c>
      <c r="AK544" s="108">
        <f t="shared" si="293"/>
        <v>-1</v>
      </c>
      <c r="AL544" s="108">
        <f t="shared" si="294"/>
        <v>-1</v>
      </c>
      <c r="AM544" s="108"/>
      <c r="AQ544" s="104" t="str">
        <f>$V$83</f>
        <v>-</v>
      </c>
      <c r="AR544" s="54">
        <v>0</v>
      </c>
      <c r="AS544" s="54">
        <v>0</v>
      </c>
      <c r="AT544" s="54">
        <v>0</v>
      </c>
      <c r="AU544" s="54">
        <v>0</v>
      </c>
      <c r="AV544" s="54">
        <v>0</v>
      </c>
      <c r="AW544" s="54">
        <v>0</v>
      </c>
      <c r="AX544" s="54">
        <v>0</v>
      </c>
      <c r="AY544" s="54">
        <v>0</v>
      </c>
      <c r="AZ544" s="54">
        <v>0</v>
      </c>
      <c r="BA544" s="54">
        <v>0</v>
      </c>
      <c r="BB544" s="54">
        <v>0</v>
      </c>
      <c r="BC544" s="54">
        <v>0</v>
      </c>
      <c r="BD544" s="54">
        <v>0</v>
      </c>
      <c r="BE544" s="54">
        <v>0</v>
      </c>
      <c r="BF544" s="54">
        <v>0</v>
      </c>
      <c r="BG544" s="54">
        <v>0</v>
      </c>
      <c r="BH544" s="54">
        <v>0</v>
      </c>
      <c r="BK544" s="104" t="str">
        <f>$V$80</f>
        <v>-</v>
      </c>
      <c r="BL544" s="108">
        <v>0</v>
      </c>
      <c r="BM544" s="108">
        <v>0</v>
      </c>
      <c r="BN544" s="108">
        <v>0</v>
      </c>
      <c r="BO544" s="108">
        <v>0</v>
      </c>
      <c r="BP544" s="108">
        <v>0</v>
      </c>
      <c r="BQ544" s="108">
        <v>0</v>
      </c>
      <c r="BR544" s="108">
        <v>0</v>
      </c>
      <c r="BS544" s="108">
        <v>0</v>
      </c>
      <c r="BT544" s="108">
        <v>0</v>
      </c>
      <c r="BU544" s="108">
        <v>0</v>
      </c>
      <c r="BV544" s="108">
        <v>0</v>
      </c>
      <c r="BW544" s="108">
        <v>0</v>
      </c>
      <c r="BX544" s="108">
        <v>0</v>
      </c>
      <c r="BY544" s="108">
        <v>0</v>
      </c>
      <c r="BZ544" s="108">
        <v>0</v>
      </c>
      <c r="CA544" s="108">
        <v>0</v>
      </c>
      <c r="CB544" s="108">
        <v>0</v>
      </c>
    </row>
    <row r="545" spans="3:80" x14ac:dyDescent="0.55000000000000004">
      <c r="C545" s="104" t="str">
        <f>$V$67</f>
        <v>Antoine</v>
      </c>
      <c r="D545" s="108">
        <f t="shared" ref="D545:S545" si="308">D67</f>
        <v>0</v>
      </c>
      <c r="E545" s="108">
        <f t="shared" si="308"/>
        <v>0</v>
      </c>
      <c r="F545" s="108">
        <f t="shared" si="308"/>
        <v>0</v>
      </c>
      <c r="G545" s="108">
        <f t="shared" si="308"/>
        <v>0</v>
      </c>
      <c r="H545" s="108">
        <f t="shared" si="308"/>
        <v>0</v>
      </c>
      <c r="I545" s="108">
        <f t="shared" si="308"/>
        <v>0</v>
      </c>
      <c r="J545" s="108">
        <f t="shared" si="308"/>
        <v>0</v>
      </c>
      <c r="K545" s="108">
        <f t="shared" si="308"/>
        <v>0</v>
      </c>
      <c r="L545" s="108">
        <f t="shared" si="308"/>
        <v>0</v>
      </c>
      <c r="M545" s="108">
        <f t="shared" si="308"/>
        <v>0</v>
      </c>
      <c r="N545" s="108">
        <f t="shared" si="308"/>
        <v>0</v>
      </c>
      <c r="O545" s="108">
        <f t="shared" si="308"/>
        <v>0</v>
      </c>
      <c r="P545" s="108">
        <f t="shared" si="308"/>
        <v>0</v>
      </c>
      <c r="Q545" s="108">
        <f t="shared" si="308"/>
        <v>0</v>
      </c>
      <c r="R545" s="108">
        <f t="shared" si="308"/>
        <v>0</v>
      </c>
      <c r="S545" s="108">
        <f t="shared" si="308"/>
        <v>0</v>
      </c>
      <c r="T545" s="28" t="s">
        <v>26</v>
      </c>
      <c r="V545" s="104" t="str">
        <f>$V$67</f>
        <v>Antoine</v>
      </c>
      <c r="W545" s="108">
        <f t="shared" si="279"/>
        <v>-1</v>
      </c>
      <c r="X545" s="108">
        <f t="shared" si="280"/>
        <v>-1</v>
      </c>
      <c r="Y545" s="108">
        <f t="shared" si="281"/>
        <v>-1</v>
      </c>
      <c r="Z545" s="108">
        <f t="shared" si="282"/>
        <v>-1</v>
      </c>
      <c r="AA545" s="108">
        <f t="shared" si="283"/>
        <v>-1</v>
      </c>
      <c r="AB545" s="108">
        <f t="shared" si="284"/>
        <v>-1</v>
      </c>
      <c r="AC545" s="108">
        <f t="shared" si="285"/>
        <v>-1</v>
      </c>
      <c r="AD545" s="108">
        <f t="shared" si="286"/>
        <v>-1</v>
      </c>
      <c r="AE545" s="108">
        <f t="shared" si="287"/>
        <v>-1</v>
      </c>
      <c r="AF545" s="108">
        <f t="shared" si="288"/>
        <v>-1</v>
      </c>
      <c r="AG545" s="108">
        <f t="shared" si="289"/>
        <v>-1</v>
      </c>
      <c r="AH545" s="108">
        <f t="shared" si="290"/>
        <v>-1</v>
      </c>
      <c r="AI545" s="108">
        <f t="shared" si="291"/>
        <v>-1</v>
      </c>
      <c r="AJ545" s="108">
        <f t="shared" si="292"/>
        <v>-1</v>
      </c>
      <c r="AK545" s="108">
        <f t="shared" si="293"/>
        <v>-1</v>
      </c>
      <c r="AL545" s="108">
        <f t="shared" si="294"/>
        <v>-1</v>
      </c>
      <c r="AM545" s="108"/>
      <c r="AQ545" s="104" t="str">
        <f>$V$84</f>
        <v>-</v>
      </c>
      <c r="AR545" s="54">
        <v>0</v>
      </c>
      <c r="AS545" s="54">
        <v>0</v>
      </c>
      <c r="AT545" s="54">
        <v>0</v>
      </c>
      <c r="AU545" s="54">
        <v>0</v>
      </c>
      <c r="AV545" s="54">
        <v>0</v>
      </c>
      <c r="AW545" s="54">
        <v>0</v>
      </c>
      <c r="AX545" s="54">
        <v>0</v>
      </c>
      <c r="AY545" s="54">
        <v>0</v>
      </c>
      <c r="AZ545" s="54">
        <v>0</v>
      </c>
      <c r="BA545" s="54">
        <v>0</v>
      </c>
      <c r="BB545" s="54">
        <v>0</v>
      </c>
      <c r="BC545" s="54">
        <v>0</v>
      </c>
      <c r="BD545" s="54">
        <v>0</v>
      </c>
      <c r="BE545" s="54">
        <v>0</v>
      </c>
      <c r="BF545" s="54">
        <v>0</v>
      </c>
      <c r="BG545" s="54">
        <v>0</v>
      </c>
      <c r="BH545" s="54">
        <v>0</v>
      </c>
      <c r="BK545" s="104" t="str">
        <f>$V$81</f>
        <v>-</v>
      </c>
      <c r="BL545" s="108">
        <v>0</v>
      </c>
      <c r="BM545" s="108">
        <v>0</v>
      </c>
      <c r="BN545" s="108">
        <v>0</v>
      </c>
      <c r="BO545" s="108">
        <v>0</v>
      </c>
      <c r="BP545" s="108">
        <v>0</v>
      </c>
      <c r="BQ545" s="108">
        <v>0</v>
      </c>
      <c r="BR545" s="108">
        <v>0</v>
      </c>
      <c r="BS545" s="108">
        <v>0</v>
      </c>
      <c r="BT545" s="108">
        <v>0</v>
      </c>
      <c r="BU545" s="108">
        <v>0</v>
      </c>
      <c r="BV545" s="108">
        <v>0</v>
      </c>
      <c r="BW545" s="108">
        <v>0</v>
      </c>
      <c r="BX545" s="108">
        <v>0</v>
      </c>
      <c r="BY545" s="108">
        <v>0</v>
      </c>
      <c r="BZ545" s="108">
        <v>0</v>
      </c>
      <c r="CA545" s="108">
        <v>0</v>
      </c>
      <c r="CB545" s="108">
        <v>0</v>
      </c>
    </row>
    <row r="546" spans="3:80" x14ac:dyDescent="0.55000000000000004">
      <c r="C546" s="104" t="str">
        <f>$V$68</f>
        <v>Beatriz</v>
      </c>
      <c r="D546" s="108">
        <f t="shared" ref="D546:S546" si="309">D68</f>
        <v>0</v>
      </c>
      <c r="E546" s="108">
        <f t="shared" si="309"/>
        <v>0</v>
      </c>
      <c r="F546" s="108">
        <f t="shared" si="309"/>
        <v>0</v>
      </c>
      <c r="G546" s="108">
        <f t="shared" si="309"/>
        <v>0</v>
      </c>
      <c r="H546" s="108">
        <f t="shared" si="309"/>
        <v>0</v>
      </c>
      <c r="I546" s="108">
        <f t="shared" si="309"/>
        <v>0</v>
      </c>
      <c r="J546" s="108">
        <f t="shared" si="309"/>
        <v>0</v>
      </c>
      <c r="K546" s="108">
        <f t="shared" si="309"/>
        <v>0</v>
      </c>
      <c r="L546" s="108">
        <f t="shared" si="309"/>
        <v>0</v>
      </c>
      <c r="M546" s="108">
        <f t="shared" si="309"/>
        <v>0</v>
      </c>
      <c r="N546" s="108">
        <f t="shared" si="309"/>
        <v>0</v>
      </c>
      <c r="O546" s="108">
        <f t="shared" si="309"/>
        <v>0</v>
      </c>
      <c r="P546" s="108">
        <f t="shared" si="309"/>
        <v>0</v>
      </c>
      <c r="Q546" s="108">
        <f t="shared" si="309"/>
        <v>0</v>
      </c>
      <c r="R546" s="108">
        <f t="shared" si="309"/>
        <v>0</v>
      </c>
      <c r="S546" s="108">
        <f t="shared" si="309"/>
        <v>0</v>
      </c>
      <c r="T546" s="28" t="s">
        <v>26</v>
      </c>
      <c r="V546" s="104" t="str">
        <f>$V$68</f>
        <v>Beatriz</v>
      </c>
      <c r="W546" s="108">
        <f t="shared" si="279"/>
        <v>-1</v>
      </c>
      <c r="X546" s="108">
        <f t="shared" si="280"/>
        <v>-1</v>
      </c>
      <c r="Y546" s="108">
        <f t="shared" si="281"/>
        <v>-1</v>
      </c>
      <c r="Z546" s="108">
        <f t="shared" si="282"/>
        <v>-1</v>
      </c>
      <c r="AA546" s="108">
        <f t="shared" si="283"/>
        <v>-1</v>
      </c>
      <c r="AB546" s="108">
        <f t="shared" si="284"/>
        <v>-1</v>
      </c>
      <c r="AC546" s="108">
        <f t="shared" si="285"/>
        <v>-1</v>
      </c>
      <c r="AD546" s="108">
        <f t="shared" si="286"/>
        <v>-1</v>
      </c>
      <c r="AE546" s="108">
        <f t="shared" si="287"/>
        <v>-1</v>
      </c>
      <c r="AF546" s="108">
        <f t="shared" si="288"/>
        <v>-1</v>
      </c>
      <c r="AG546" s="108">
        <f t="shared" si="289"/>
        <v>-1</v>
      </c>
      <c r="AH546" s="108">
        <f t="shared" si="290"/>
        <v>-1</v>
      </c>
      <c r="AI546" s="108">
        <f t="shared" si="291"/>
        <v>-1</v>
      </c>
      <c r="AJ546" s="108">
        <f t="shared" si="292"/>
        <v>-1</v>
      </c>
      <c r="AK546" s="108">
        <f t="shared" si="293"/>
        <v>-1</v>
      </c>
      <c r="AL546" s="108">
        <f t="shared" si="294"/>
        <v>-1</v>
      </c>
      <c r="AM546" s="108"/>
      <c r="AQ546" s="104" t="str">
        <f>$V$85</f>
        <v>-</v>
      </c>
      <c r="AR546" s="54">
        <v>0</v>
      </c>
      <c r="AS546" s="54">
        <v>0</v>
      </c>
      <c r="AT546" s="54">
        <v>0</v>
      </c>
      <c r="AU546" s="54">
        <v>0</v>
      </c>
      <c r="AV546" s="54">
        <v>0</v>
      </c>
      <c r="AW546" s="54">
        <v>0</v>
      </c>
      <c r="AX546" s="54">
        <v>0</v>
      </c>
      <c r="AY546" s="54">
        <v>0</v>
      </c>
      <c r="AZ546" s="54">
        <v>0</v>
      </c>
      <c r="BA546" s="54">
        <v>0</v>
      </c>
      <c r="BB546" s="54">
        <v>0</v>
      </c>
      <c r="BC546" s="54">
        <v>0</v>
      </c>
      <c r="BD546" s="54">
        <v>0</v>
      </c>
      <c r="BE546" s="54">
        <v>0</v>
      </c>
      <c r="BF546" s="54">
        <v>0</v>
      </c>
      <c r="BG546" s="54">
        <v>0</v>
      </c>
      <c r="BH546" s="54">
        <v>0</v>
      </c>
      <c r="BK546" s="104" t="str">
        <f>$V$82</f>
        <v>-</v>
      </c>
      <c r="BL546" s="108">
        <v>0</v>
      </c>
      <c r="BM546" s="108">
        <v>0</v>
      </c>
      <c r="BN546" s="108">
        <v>0</v>
      </c>
      <c r="BO546" s="108">
        <v>0</v>
      </c>
      <c r="BP546" s="108">
        <v>0</v>
      </c>
      <c r="BQ546" s="108">
        <v>0</v>
      </c>
      <c r="BR546" s="108">
        <v>0</v>
      </c>
      <c r="BS546" s="108">
        <v>0</v>
      </c>
      <c r="BT546" s="108">
        <v>0</v>
      </c>
      <c r="BU546" s="108">
        <v>0</v>
      </c>
      <c r="BV546" s="108">
        <v>0</v>
      </c>
      <c r="BW546" s="108">
        <v>0</v>
      </c>
      <c r="BX546" s="108">
        <v>0</v>
      </c>
      <c r="BY546" s="108">
        <v>0</v>
      </c>
      <c r="BZ546" s="108">
        <v>0</v>
      </c>
      <c r="CA546" s="108">
        <v>0</v>
      </c>
      <c r="CB546" s="108">
        <v>0</v>
      </c>
    </row>
    <row r="547" spans="3:80" x14ac:dyDescent="0.55000000000000004">
      <c r="C547" s="104" t="str">
        <f>$V$69</f>
        <v>Charelle</v>
      </c>
      <c r="D547" s="108">
        <f t="shared" ref="D547:S547" si="310">D69</f>
        <v>0</v>
      </c>
      <c r="E547" s="108">
        <f t="shared" si="310"/>
        <v>0</v>
      </c>
      <c r="F547" s="108">
        <f t="shared" si="310"/>
        <v>0</v>
      </c>
      <c r="G547" s="108">
        <f t="shared" si="310"/>
        <v>0</v>
      </c>
      <c r="H547" s="108">
        <f t="shared" si="310"/>
        <v>0</v>
      </c>
      <c r="I547" s="108">
        <f t="shared" si="310"/>
        <v>0</v>
      </c>
      <c r="J547" s="108">
        <f t="shared" si="310"/>
        <v>0</v>
      </c>
      <c r="K547" s="108">
        <f t="shared" si="310"/>
        <v>0</v>
      </c>
      <c r="L547" s="108">
        <f t="shared" si="310"/>
        <v>0</v>
      </c>
      <c r="M547" s="108">
        <f t="shared" si="310"/>
        <v>0</v>
      </c>
      <c r="N547" s="108">
        <f t="shared" si="310"/>
        <v>0</v>
      </c>
      <c r="O547" s="108">
        <f t="shared" si="310"/>
        <v>0</v>
      </c>
      <c r="P547" s="108">
        <f t="shared" si="310"/>
        <v>0</v>
      </c>
      <c r="Q547" s="108">
        <f t="shared" si="310"/>
        <v>0</v>
      </c>
      <c r="R547" s="108">
        <f t="shared" si="310"/>
        <v>0</v>
      </c>
      <c r="S547" s="108">
        <f t="shared" si="310"/>
        <v>0</v>
      </c>
      <c r="T547" s="28" t="s">
        <v>26</v>
      </c>
      <c r="V547" s="104" t="str">
        <f>$V$69</f>
        <v>Charelle</v>
      </c>
      <c r="W547" s="108">
        <f t="shared" si="279"/>
        <v>-1</v>
      </c>
      <c r="X547" s="108">
        <f t="shared" si="280"/>
        <v>-1</v>
      </c>
      <c r="Y547" s="108">
        <f t="shared" si="281"/>
        <v>-1</v>
      </c>
      <c r="Z547" s="108">
        <f t="shared" si="282"/>
        <v>-1</v>
      </c>
      <c r="AA547" s="108">
        <f t="shared" si="283"/>
        <v>-1</v>
      </c>
      <c r="AB547" s="108">
        <f t="shared" si="284"/>
        <v>-1</v>
      </c>
      <c r="AC547" s="108">
        <f t="shared" si="285"/>
        <v>-1</v>
      </c>
      <c r="AD547" s="108">
        <f t="shared" si="286"/>
        <v>-1</v>
      </c>
      <c r="AE547" s="108">
        <f t="shared" si="287"/>
        <v>-1</v>
      </c>
      <c r="AF547" s="108">
        <f t="shared" si="288"/>
        <v>-1</v>
      </c>
      <c r="AG547" s="108">
        <f t="shared" si="289"/>
        <v>-1</v>
      </c>
      <c r="AH547" s="108">
        <f t="shared" si="290"/>
        <v>-1</v>
      </c>
      <c r="AI547" s="108">
        <f t="shared" si="291"/>
        <v>-1</v>
      </c>
      <c r="AJ547" s="108">
        <f t="shared" si="292"/>
        <v>-1</v>
      </c>
      <c r="AK547" s="108">
        <f t="shared" si="293"/>
        <v>-1</v>
      </c>
      <c r="AL547" s="108">
        <f t="shared" si="294"/>
        <v>-1</v>
      </c>
      <c r="AM547" s="108"/>
      <c r="AQ547" s="104" t="str">
        <f>$V$86</f>
        <v>-</v>
      </c>
      <c r="AR547" s="54">
        <v>0</v>
      </c>
      <c r="AS547" s="54">
        <v>0</v>
      </c>
      <c r="AT547" s="54">
        <v>0</v>
      </c>
      <c r="AU547" s="54">
        <v>0</v>
      </c>
      <c r="AV547" s="54">
        <v>0</v>
      </c>
      <c r="AW547" s="54">
        <v>0</v>
      </c>
      <c r="AX547" s="54">
        <v>0</v>
      </c>
      <c r="AY547" s="54">
        <v>0</v>
      </c>
      <c r="AZ547" s="54">
        <v>0</v>
      </c>
      <c r="BA547" s="54">
        <v>0</v>
      </c>
      <c r="BB547" s="54">
        <v>0</v>
      </c>
      <c r="BC547" s="54">
        <v>0</v>
      </c>
      <c r="BD547" s="54">
        <v>0</v>
      </c>
      <c r="BE547" s="54">
        <v>0</v>
      </c>
      <c r="BF547" s="54">
        <v>0</v>
      </c>
      <c r="BG547" s="54">
        <v>0</v>
      </c>
      <c r="BH547" s="54">
        <v>0</v>
      </c>
      <c r="BK547" s="104" t="str">
        <f>$V$83</f>
        <v>-</v>
      </c>
      <c r="BL547" s="108">
        <v>0</v>
      </c>
      <c r="BM547" s="108">
        <v>0</v>
      </c>
      <c r="BN547" s="108">
        <v>0</v>
      </c>
      <c r="BO547" s="108">
        <v>0</v>
      </c>
      <c r="BP547" s="108">
        <v>0</v>
      </c>
      <c r="BQ547" s="108">
        <v>0</v>
      </c>
      <c r="BR547" s="108">
        <v>0</v>
      </c>
      <c r="BS547" s="108">
        <v>0</v>
      </c>
      <c r="BT547" s="108">
        <v>0</v>
      </c>
      <c r="BU547" s="108">
        <v>0</v>
      </c>
      <c r="BV547" s="108">
        <v>0</v>
      </c>
      <c r="BW547" s="108">
        <v>0</v>
      </c>
      <c r="BX547" s="108">
        <v>0</v>
      </c>
      <c r="BY547" s="108">
        <v>0</v>
      </c>
      <c r="BZ547" s="108">
        <v>0</v>
      </c>
      <c r="CA547" s="108">
        <v>0</v>
      </c>
      <c r="CB547" s="108">
        <v>0</v>
      </c>
    </row>
    <row r="548" spans="3:80" x14ac:dyDescent="0.55000000000000004">
      <c r="C548" s="104" t="str">
        <f>$V$70</f>
        <v>Dimitri</v>
      </c>
      <c r="D548" s="108">
        <f t="shared" ref="D548:S548" si="311">D70</f>
        <v>0</v>
      </c>
      <c r="E548" s="108">
        <f t="shared" si="311"/>
        <v>0</v>
      </c>
      <c r="F548" s="108">
        <f t="shared" si="311"/>
        <v>0</v>
      </c>
      <c r="G548" s="108">
        <f t="shared" si="311"/>
        <v>0</v>
      </c>
      <c r="H548" s="108">
        <f t="shared" si="311"/>
        <v>0</v>
      </c>
      <c r="I548" s="108">
        <f t="shared" si="311"/>
        <v>0</v>
      </c>
      <c r="J548" s="108">
        <f t="shared" si="311"/>
        <v>0</v>
      </c>
      <c r="K548" s="108">
        <f t="shared" si="311"/>
        <v>0</v>
      </c>
      <c r="L548" s="108">
        <f t="shared" si="311"/>
        <v>0</v>
      </c>
      <c r="M548" s="108">
        <f t="shared" si="311"/>
        <v>0</v>
      </c>
      <c r="N548" s="108">
        <f t="shared" si="311"/>
        <v>0</v>
      </c>
      <c r="O548" s="108">
        <f t="shared" si="311"/>
        <v>0</v>
      </c>
      <c r="P548" s="108">
        <f t="shared" si="311"/>
        <v>0</v>
      </c>
      <c r="Q548" s="108">
        <f t="shared" si="311"/>
        <v>0</v>
      </c>
      <c r="R548" s="108">
        <f t="shared" si="311"/>
        <v>0</v>
      </c>
      <c r="S548" s="108">
        <f t="shared" si="311"/>
        <v>0</v>
      </c>
      <c r="T548" s="28" t="s">
        <v>26</v>
      </c>
      <c r="V548" s="104" t="str">
        <f>$V$70</f>
        <v>Dimitri</v>
      </c>
      <c r="W548" s="108">
        <f t="shared" si="279"/>
        <v>-1</v>
      </c>
      <c r="X548" s="108">
        <f t="shared" si="280"/>
        <v>-1</v>
      </c>
      <c r="Y548" s="108">
        <f t="shared" si="281"/>
        <v>-1</v>
      </c>
      <c r="Z548" s="108">
        <f t="shared" si="282"/>
        <v>-1</v>
      </c>
      <c r="AA548" s="108">
        <f t="shared" si="283"/>
        <v>-1</v>
      </c>
      <c r="AB548" s="108">
        <f t="shared" si="284"/>
        <v>-1</v>
      </c>
      <c r="AC548" s="108">
        <f t="shared" si="285"/>
        <v>-1</v>
      </c>
      <c r="AD548" s="108">
        <f t="shared" si="286"/>
        <v>-1</v>
      </c>
      <c r="AE548" s="108">
        <f t="shared" si="287"/>
        <v>-1</v>
      </c>
      <c r="AF548" s="108">
        <f t="shared" si="288"/>
        <v>-1</v>
      </c>
      <c r="AG548" s="108">
        <f t="shared" si="289"/>
        <v>-1</v>
      </c>
      <c r="AH548" s="108">
        <f t="shared" si="290"/>
        <v>-1</v>
      </c>
      <c r="AI548" s="108">
        <f t="shared" si="291"/>
        <v>-1</v>
      </c>
      <c r="AJ548" s="108">
        <f t="shared" si="292"/>
        <v>-1</v>
      </c>
      <c r="AK548" s="108">
        <f t="shared" si="293"/>
        <v>-1</v>
      </c>
      <c r="AL548" s="108">
        <f t="shared" si="294"/>
        <v>-1</v>
      </c>
      <c r="AM548" s="108"/>
      <c r="AQ548" s="104" t="str">
        <f>$V$87</f>
        <v>-</v>
      </c>
      <c r="AR548" s="54">
        <v>0</v>
      </c>
      <c r="AS548" s="54">
        <v>0</v>
      </c>
      <c r="AT548" s="54">
        <v>0</v>
      </c>
      <c r="AU548" s="54">
        <v>0</v>
      </c>
      <c r="AV548" s="54">
        <v>0</v>
      </c>
      <c r="AW548" s="54">
        <v>0</v>
      </c>
      <c r="AX548" s="54">
        <v>0</v>
      </c>
      <c r="AY548" s="54">
        <v>0</v>
      </c>
      <c r="AZ548" s="54">
        <v>0</v>
      </c>
      <c r="BA548" s="54">
        <v>0</v>
      </c>
      <c r="BB548" s="54">
        <v>0</v>
      </c>
      <c r="BC548" s="54">
        <v>0</v>
      </c>
      <c r="BD548" s="54">
        <v>0</v>
      </c>
      <c r="BE548" s="54">
        <v>0</v>
      </c>
      <c r="BF548" s="54">
        <v>0</v>
      </c>
      <c r="BG548" s="54">
        <v>0</v>
      </c>
      <c r="BH548" s="54">
        <v>0</v>
      </c>
      <c r="BK548" s="104" t="str">
        <f>$V$84</f>
        <v>-</v>
      </c>
      <c r="BL548" s="108">
        <v>0</v>
      </c>
      <c r="BM548" s="108">
        <v>0</v>
      </c>
      <c r="BN548" s="108">
        <v>0</v>
      </c>
      <c r="BO548" s="108">
        <v>0</v>
      </c>
      <c r="BP548" s="108">
        <v>0</v>
      </c>
      <c r="BQ548" s="108">
        <v>0</v>
      </c>
      <c r="BR548" s="108">
        <v>0</v>
      </c>
      <c r="BS548" s="108">
        <v>0</v>
      </c>
      <c r="BT548" s="108">
        <v>0</v>
      </c>
      <c r="BU548" s="108">
        <v>0</v>
      </c>
      <c r="BV548" s="108">
        <v>0</v>
      </c>
      <c r="BW548" s="108">
        <v>0</v>
      </c>
      <c r="BX548" s="108">
        <v>0</v>
      </c>
      <c r="BY548" s="108">
        <v>0</v>
      </c>
      <c r="BZ548" s="108">
        <v>0</v>
      </c>
      <c r="CA548" s="108">
        <v>0</v>
      </c>
      <c r="CB548" s="108">
        <v>0</v>
      </c>
    </row>
    <row r="549" spans="3:80" x14ac:dyDescent="0.55000000000000004">
      <c r="C549" s="104" t="str">
        <f>$V$71</f>
        <v>Marina</v>
      </c>
      <c r="D549" s="108">
        <f t="shared" ref="D549:S549" si="312">D71</f>
        <v>0</v>
      </c>
      <c r="E549" s="108">
        <f t="shared" si="312"/>
        <v>0</v>
      </c>
      <c r="F549" s="108">
        <f t="shared" si="312"/>
        <v>0</v>
      </c>
      <c r="G549" s="108">
        <f t="shared" si="312"/>
        <v>0</v>
      </c>
      <c r="H549" s="108">
        <f t="shared" si="312"/>
        <v>0</v>
      </c>
      <c r="I549" s="108">
        <f t="shared" si="312"/>
        <v>0</v>
      </c>
      <c r="J549" s="108">
        <f t="shared" si="312"/>
        <v>0</v>
      </c>
      <c r="K549" s="108">
        <f t="shared" si="312"/>
        <v>0</v>
      </c>
      <c r="L549" s="108">
        <f t="shared" si="312"/>
        <v>0</v>
      </c>
      <c r="M549" s="108">
        <f t="shared" si="312"/>
        <v>0</v>
      </c>
      <c r="N549" s="108">
        <f t="shared" si="312"/>
        <v>0</v>
      </c>
      <c r="O549" s="108">
        <f t="shared" si="312"/>
        <v>0</v>
      </c>
      <c r="P549" s="108">
        <f t="shared" si="312"/>
        <v>0</v>
      </c>
      <c r="Q549" s="108">
        <f t="shared" si="312"/>
        <v>0</v>
      </c>
      <c r="R549" s="108">
        <f t="shared" si="312"/>
        <v>0</v>
      </c>
      <c r="S549" s="108">
        <f t="shared" si="312"/>
        <v>0</v>
      </c>
      <c r="T549" s="28" t="s">
        <v>26</v>
      </c>
      <c r="V549" s="104" t="str">
        <f>$V$71</f>
        <v>Marina</v>
      </c>
      <c r="W549" s="108">
        <f t="shared" si="279"/>
        <v>-1</v>
      </c>
      <c r="X549" s="108">
        <f t="shared" si="280"/>
        <v>-1</v>
      </c>
      <c r="Y549" s="108">
        <f t="shared" si="281"/>
        <v>-1</v>
      </c>
      <c r="Z549" s="108">
        <f t="shared" si="282"/>
        <v>-1</v>
      </c>
      <c r="AA549" s="108">
        <f t="shared" si="283"/>
        <v>-1</v>
      </c>
      <c r="AB549" s="108">
        <f t="shared" si="284"/>
        <v>-1</v>
      </c>
      <c r="AC549" s="108">
        <f t="shared" si="285"/>
        <v>-1</v>
      </c>
      <c r="AD549" s="108">
        <f t="shared" si="286"/>
        <v>-1</v>
      </c>
      <c r="AE549" s="108">
        <f t="shared" si="287"/>
        <v>-1</v>
      </c>
      <c r="AF549" s="108">
        <f t="shared" si="288"/>
        <v>-1</v>
      </c>
      <c r="AG549" s="108">
        <f t="shared" si="289"/>
        <v>-1</v>
      </c>
      <c r="AH549" s="108">
        <f t="shared" si="290"/>
        <v>-1</v>
      </c>
      <c r="AI549" s="108">
        <f t="shared" si="291"/>
        <v>-1</v>
      </c>
      <c r="AJ549" s="108">
        <f t="shared" si="292"/>
        <v>-1</v>
      </c>
      <c r="AK549" s="108">
        <f t="shared" si="293"/>
        <v>-1</v>
      </c>
      <c r="AL549" s="108">
        <f t="shared" si="294"/>
        <v>-1</v>
      </c>
      <c r="AM549" s="108"/>
      <c r="AQ549" s="104" t="str">
        <f>$V$88</f>
        <v>-</v>
      </c>
      <c r="AR549" s="54">
        <v>0</v>
      </c>
      <c r="AS549" s="54">
        <v>0</v>
      </c>
      <c r="AT549" s="54">
        <v>0</v>
      </c>
      <c r="AU549" s="54">
        <v>0</v>
      </c>
      <c r="AV549" s="54">
        <v>0</v>
      </c>
      <c r="AW549" s="54">
        <v>0</v>
      </c>
      <c r="AX549" s="54">
        <v>0</v>
      </c>
      <c r="AY549" s="54">
        <v>0</v>
      </c>
      <c r="AZ549" s="54">
        <v>0</v>
      </c>
      <c r="BA549" s="54">
        <v>0</v>
      </c>
      <c r="BB549" s="54">
        <v>0</v>
      </c>
      <c r="BC549" s="54">
        <v>0</v>
      </c>
      <c r="BD549" s="54">
        <v>0</v>
      </c>
      <c r="BE549" s="54">
        <v>0</v>
      </c>
      <c r="BF549" s="54">
        <v>0</v>
      </c>
      <c r="BG549" s="54">
        <v>0</v>
      </c>
      <c r="BH549" s="54">
        <v>0</v>
      </c>
      <c r="BK549" s="104" t="str">
        <f>$V$85</f>
        <v>-</v>
      </c>
      <c r="BL549" s="108">
        <v>0</v>
      </c>
      <c r="BM549" s="108">
        <v>0</v>
      </c>
      <c r="BN549" s="108">
        <v>0</v>
      </c>
      <c r="BO549" s="108">
        <v>0</v>
      </c>
      <c r="BP549" s="108">
        <v>0</v>
      </c>
      <c r="BQ549" s="108">
        <v>0</v>
      </c>
      <c r="BR549" s="108">
        <v>0</v>
      </c>
      <c r="BS549" s="108">
        <v>0</v>
      </c>
      <c r="BT549" s="108">
        <v>0</v>
      </c>
      <c r="BU549" s="108">
        <v>0</v>
      </c>
      <c r="BV549" s="108">
        <v>0</v>
      </c>
      <c r="BW549" s="108">
        <v>0</v>
      </c>
      <c r="BX549" s="108">
        <v>0</v>
      </c>
      <c r="BY549" s="108">
        <v>0</v>
      </c>
      <c r="BZ549" s="108">
        <v>0</v>
      </c>
      <c r="CA549" s="108">
        <v>0</v>
      </c>
      <c r="CB549" s="108">
        <v>0</v>
      </c>
    </row>
    <row r="550" spans="3:80" x14ac:dyDescent="0.55000000000000004">
      <c r="C550" s="104" t="str">
        <f>$V$72</f>
        <v>Michel</v>
      </c>
      <c r="D550" s="108">
        <f t="shared" ref="D550:S550" si="313">D72</f>
        <v>0</v>
      </c>
      <c r="E550" s="108">
        <f t="shared" si="313"/>
        <v>0</v>
      </c>
      <c r="F550" s="108">
        <f t="shared" si="313"/>
        <v>0</v>
      </c>
      <c r="G550" s="108">
        <f t="shared" si="313"/>
        <v>0</v>
      </c>
      <c r="H550" s="108">
        <f t="shared" si="313"/>
        <v>0</v>
      </c>
      <c r="I550" s="108">
        <f t="shared" si="313"/>
        <v>0</v>
      </c>
      <c r="J550" s="108">
        <f t="shared" si="313"/>
        <v>0</v>
      </c>
      <c r="K550" s="108">
        <f t="shared" si="313"/>
        <v>0</v>
      </c>
      <c r="L550" s="108">
        <f t="shared" si="313"/>
        <v>0</v>
      </c>
      <c r="M550" s="108">
        <f t="shared" si="313"/>
        <v>0</v>
      </c>
      <c r="N550" s="108">
        <f t="shared" si="313"/>
        <v>0</v>
      </c>
      <c r="O550" s="108">
        <f t="shared" si="313"/>
        <v>0</v>
      </c>
      <c r="P550" s="108">
        <f t="shared" si="313"/>
        <v>0</v>
      </c>
      <c r="Q550" s="108">
        <f t="shared" si="313"/>
        <v>0</v>
      </c>
      <c r="R550" s="108">
        <f t="shared" si="313"/>
        <v>0</v>
      </c>
      <c r="S550" s="108">
        <f t="shared" si="313"/>
        <v>0</v>
      </c>
      <c r="T550" s="28" t="s">
        <v>26</v>
      </c>
      <c r="V550" s="104" t="str">
        <f>$V$72</f>
        <v>Michel</v>
      </c>
      <c r="W550" s="108">
        <f t="shared" si="279"/>
        <v>-1</v>
      </c>
      <c r="X550" s="108">
        <f t="shared" si="280"/>
        <v>-1</v>
      </c>
      <c r="Y550" s="108">
        <f t="shared" si="281"/>
        <v>-1</v>
      </c>
      <c r="Z550" s="108">
        <f t="shared" si="282"/>
        <v>-1</v>
      </c>
      <c r="AA550" s="108">
        <f t="shared" si="283"/>
        <v>-1</v>
      </c>
      <c r="AB550" s="108">
        <f t="shared" si="284"/>
        <v>-1</v>
      </c>
      <c r="AC550" s="108">
        <f t="shared" si="285"/>
        <v>-1</v>
      </c>
      <c r="AD550" s="108">
        <f t="shared" si="286"/>
        <v>-1</v>
      </c>
      <c r="AE550" s="108">
        <f t="shared" si="287"/>
        <v>-1</v>
      </c>
      <c r="AF550" s="108">
        <f t="shared" si="288"/>
        <v>-1</v>
      </c>
      <c r="AG550" s="108">
        <f t="shared" si="289"/>
        <v>-1</v>
      </c>
      <c r="AH550" s="108">
        <f t="shared" si="290"/>
        <v>-1</v>
      </c>
      <c r="AI550" s="108">
        <f t="shared" si="291"/>
        <v>-1</v>
      </c>
      <c r="AJ550" s="108">
        <f t="shared" si="292"/>
        <v>-1</v>
      </c>
      <c r="AK550" s="108">
        <f t="shared" si="293"/>
        <v>-1</v>
      </c>
      <c r="AL550" s="108">
        <f t="shared" si="294"/>
        <v>-1</v>
      </c>
      <c r="AM550" s="108"/>
      <c r="AQ550" s="104" t="str">
        <f>$V$89</f>
        <v>-</v>
      </c>
      <c r="AR550" s="54">
        <v>0</v>
      </c>
      <c r="AS550" s="54">
        <v>0</v>
      </c>
      <c r="AT550" s="54">
        <v>0</v>
      </c>
      <c r="AU550" s="54">
        <v>0</v>
      </c>
      <c r="AV550" s="54">
        <v>0</v>
      </c>
      <c r="AW550" s="54">
        <v>0</v>
      </c>
      <c r="AX550" s="54">
        <v>0</v>
      </c>
      <c r="AY550" s="54">
        <v>0</v>
      </c>
      <c r="AZ550" s="54">
        <v>0</v>
      </c>
      <c r="BA550" s="54">
        <v>0</v>
      </c>
      <c r="BB550" s="54">
        <v>0</v>
      </c>
      <c r="BC550" s="54">
        <v>0</v>
      </c>
      <c r="BD550" s="54">
        <v>0</v>
      </c>
      <c r="BE550" s="54">
        <v>0</v>
      </c>
      <c r="BF550" s="54">
        <v>0</v>
      </c>
      <c r="BG550" s="54">
        <v>0</v>
      </c>
      <c r="BH550" s="54">
        <v>0</v>
      </c>
      <c r="BK550" s="104" t="str">
        <f>$V$86</f>
        <v>-</v>
      </c>
      <c r="BL550" s="108">
        <v>0</v>
      </c>
      <c r="BM550" s="108">
        <v>0</v>
      </c>
      <c r="BN550" s="108">
        <v>0</v>
      </c>
      <c r="BO550" s="108">
        <v>0</v>
      </c>
      <c r="BP550" s="108">
        <v>0</v>
      </c>
      <c r="BQ550" s="108">
        <v>0</v>
      </c>
      <c r="BR550" s="108">
        <v>0</v>
      </c>
      <c r="BS550" s="108">
        <v>0</v>
      </c>
      <c r="BT550" s="108">
        <v>0</v>
      </c>
      <c r="BU550" s="108">
        <v>0</v>
      </c>
      <c r="BV550" s="108">
        <v>0</v>
      </c>
      <c r="BW550" s="108">
        <v>0</v>
      </c>
      <c r="BX550" s="108">
        <v>0</v>
      </c>
      <c r="BY550" s="108">
        <v>0</v>
      </c>
      <c r="BZ550" s="108">
        <v>0</v>
      </c>
      <c r="CA550" s="108">
        <v>0</v>
      </c>
      <c r="CB550" s="108">
        <v>0</v>
      </c>
    </row>
    <row r="551" spans="3:80" x14ac:dyDescent="0.55000000000000004">
      <c r="C551" s="104" t="str">
        <f>$V$73</f>
        <v>Nour</v>
      </c>
      <c r="D551" s="108">
        <f t="shared" ref="D551:S551" si="314">D73</f>
        <v>0</v>
      </c>
      <c r="E551" s="108">
        <f t="shared" si="314"/>
        <v>0</v>
      </c>
      <c r="F551" s="108">
        <f t="shared" si="314"/>
        <v>0</v>
      </c>
      <c r="G551" s="108">
        <f t="shared" si="314"/>
        <v>0</v>
      </c>
      <c r="H551" s="108">
        <f t="shared" si="314"/>
        <v>0</v>
      </c>
      <c r="I551" s="108">
        <f t="shared" si="314"/>
        <v>0</v>
      </c>
      <c r="J551" s="108">
        <f t="shared" si="314"/>
        <v>0</v>
      </c>
      <c r="K551" s="108">
        <f t="shared" si="314"/>
        <v>0</v>
      </c>
      <c r="L551" s="108">
        <f t="shared" si="314"/>
        <v>0</v>
      </c>
      <c r="M551" s="108">
        <f t="shared" si="314"/>
        <v>0</v>
      </c>
      <c r="N551" s="108">
        <f t="shared" si="314"/>
        <v>0</v>
      </c>
      <c r="O551" s="108">
        <f t="shared" si="314"/>
        <v>0</v>
      </c>
      <c r="P551" s="108">
        <f t="shared" si="314"/>
        <v>0</v>
      </c>
      <c r="Q551" s="108">
        <f t="shared" si="314"/>
        <v>0</v>
      </c>
      <c r="R551" s="108">
        <f t="shared" si="314"/>
        <v>0</v>
      </c>
      <c r="S551" s="108">
        <f t="shared" si="314"/>
        <v>0</v>
      </c>
      <c r="T551" s="28" t="s">
        <v>26</v>
      </c>
      <c r="V551" s="104" t="str">
        <f>$V$73</f>
        <v>Nour</v>
      </c>
      <c r="W551" s="108">
        <f t="shared" si="279"/>
        <v>-1</v>
      </c>
      <c r="X551" s="108">
        <f t="shared" si="280"/>
        <v>-1</v>
      </c>
      <c r="Y551" s="108">
        <f t="shared" si="281"/>
        <v>-1</v>
      </c>
      <c r="Z551" s="108">
        <f t="shared" si="282"/>
        <v>-1</v>
      </c>
      <c r="AA551" s="108">
        <f t="shared" si="283"/>
        <v>-1</v>
      </c>
      <c r="AB551" s="108">
        <f t="shared" si="284"/>
        <v>-1</v>
      </c>
      <c r="AC551" s="108">
        <f t="shared" si="285"/>
        <v>-1</v>
      </c>
      <c r="AD551" s="108">
        <f t="shared" si="286"/>
        <v>-1</v>
      </c>
      <c r="AE551" s="108">
        <f t="shared" si="287"/>
        <v>-1</v>
      </c>
      <c r="AF551" s="108">
        <f t="shared" si="288"/>
        <v>-1</v>
      </c>
      <c r="AG551" s="108">
        <f t="shared" si="289"/>
        <v>-1</v>
      </c>
      <c r="AH551" s="108">
        <f t="shared" si="290"/>
        <v>-1</v>
      </c>
      <c r="AI551" s="108">
        <f t="shared" si="291"/>
        <v>-1</v>
      </c>
      <c r="AJ551" s="108">
        <f t="shared" si="292"/>
        <v>-1</v>
      </c>
      <c r="AK551" s="108">
        <f t="shared" si="293"/>
        <v>-1</v>
      </c>
      <c r="AL551" s="108">
        <f t="shared" si="294"/>
        <v>-1</v>
      </c>
      <c r="AM551" s="108"/>
      <c r="AQ551" s="104" t="str">
        <f>$V$90</f>
        <v>-</v>
      </c>
      <c r="AR551" s="54">
        <v>0</v>
      </c>
      <c r="AS551" s="54">
        <v>0</v>
      </c>
      <c r="AT551" s="54">
        <v>0</v>
      </c>
      <c r="AU551" s="54">
        <v>0</v>
      </c>
      <c r="AV551" s="54">
        <v>0</v>
      </c>
      <c r="AW551" s="54">
        <v>0</v>
      </c>
      <c r="AX551" s="54">
        <v>0</v>
      </c>
      <c r="AY551" s="54">
        <v>0</v>
      </c>
      <c r="AZ551" s="54">
        <v>0</v>
      </c>
      <c r="BA551" s="54">
        <v>0</v>
      </c>
      <c r="BB551" s="54">
        <v>0</v>
      </c>
      <c r="BC551" s="54">
        <v>0</v>
      </c>
      <c r="BD551" s="54">
        <v>0</v>
      </c>
      <c r="BE551" s="54">
        <v>0</v>
      </c>
      <c r="BF551" s="54">
        <v>0</v>
      </c>
      <c r="BG551" s="54">
        <v>0</v>
      </c>
      <c r="BH551" s="54">
        <v>0</v>
      </c>
      <c r="BK551" s="104" t="str">
        <f>$V$87</f>
        <v>-</v>
      </c>
      <c r="BL551" s="108">
        <v>0</v>
      </c>
      <c r="BM551" s="108">
        <v>0</v>
      </c>
      <c r="BN551" s="108">
        <v>0</v>
      </c>
      <c r="BO551" s="108">
        <v>0</v>
      </c>
      <c r="BP551" s="108">
        <v>0</v>
      </c>
      <c r="BQ551" s="108">
        <v>0</v>
      </c>
      <c r="BR551" s="108">
        <v>0</v>
      </c>
      <c r="BS551" s="108">
        <v>0</v>
      </c>
      <c r="BT551" s="108">
        <v>0</v>
      </c>
      <c r="BU551" s="108">
        <v>0</v>
      </c>
      <c r="BV551" s="108">
        <v>0</v>
      </c>
      <c r="BW551" s="108">
        <v>0</v>
      </c>
      <c r="BX551" s="108">
        <v>0</v>
      </c>
      <c r="BY551" s="108">
        <v>0</v>
      </c>
      <c r="BZ551" s="108">
        <v>0</v>
      </c>
      <c r="CA551" s="108">
        <v>0</v>
      </c>
      <c r="CB551" s="108">
        <v>0</v>
      </c>
    </row>
    <row r="552" spans="3:80" x14ac:dyDescent="0.55000000000000004">
      <c r="C552" s="104" t="str">
        <f>$V$74</f>
        <v>Samuel</v>
      </c>
      <c r="D552" s="108">
        <f t="shared" ref="D552:S552" si="315">D74</f>
        <v>0</v>
      </c>
      <c r="E552" s="108">
        <f t="shared" si="315"/>
        <v>0</v>
      </c>
      <c r="F552" s="108">
        <f t="shared" si="315"/>
        <v>0</v>
      </c>
      <c r="G552" s="108">
        <f t="shared" si="315"/>
        <v>0</v>
      </c>
      <c r="H552" s="108">
        <f t="shared" si="315"/>
        <v>0</v>
      </c>
      <c r="I552" s="108">
        <f t="shared" si="315"/>
        <v>0</v>
      </c>
      <c r="J552" s="108">
        <f t="shared" si="315"/>
        <v>0</v>
      </c>
      <c r="K552" s="108">
        <f t="shared" si="315"/>
        <v>0</v>
      </c>
      <c r="L552" s="108">
        <f t="shared" si="315"/>
        <v>0</v>
      </c>
      <c r="M552" s="108">
        <f t="shared" si="315"/>
        <v>0</v>
      </c>
      <c r="N552" s="108">
        <f t="shared" si="315"/>
        <v>0</v>
      </c>
      <c r="O552" s="108">
        <f t="shared" si="315"/>
        <v>0</v>
      </c>
      <c r="P552" s="108">
        <f t="shared" si="315"/>
        <v>0</v>
      </c>
      <c r="Q552" s="108">
        <f t="shared" si="315"/>
        <v>0</v>
      </c>
      <c r="R552" s="108">
        <f t="shared" si="315"/>
        <v>0</v>
      </c>
      <c r="S552" s="108">
        <f t="shared" si="315"/>
        <v>0</v>
      </c>
      <c r="T552" s="28" t="s">
        <v>26</v>
      </c>
      <c r="V552" s="104" t="str">
        <f>$V$74</f>
        <v>Samuel</v>
      </c>
      <c r="W552" s="108">
        <f t="shared" si="279"/>
        <v>-1</v>
      </c>
      <c r="X552" s="108">
        <f t="shared" si="280"/>
        <v>-1</v>
      </c>
      <c r="Y552" s="108">
        <f t="shared" si="281"/>
        <v>-1</v>
      </c>
      <c r="Z552" s="108">
        <f t="shared" si="282"/>
        <v>-1</v>
      </c>
      <c r="AA552" s="108">
        <f t="shared" si="283"/>
        <v>-1</v>
      </c>
      <c r="AB552" s="108">
        <f t="shared" si="284"/>
        <v>-1</v>
      </c>
      <c r="AC552" s="108">
        <f t="shared" si="285"/>
        <v>-1</v>
      </c>
      <c r="AD552" s="108">
        <f t="shared" si="286"/>
        <v>-1</v>
      </c>
      <c r="AE552" s="108">
        <f t="shared" si="287"/>
        <v>-1</v>
      </c>
      <c r="AF552" s="108">
        <f t="shared" si="288"/>
        <v>-1</v>
      </c>
      <c r="AG552" s="108">
        <f t="shared" si="289"/>
        <v>-1</v>
      </c>
      <c r="AH552" s="108">
        <f t="shared" si="290"/>
        <v>-1</v>
      </c>
      <c r="AI552" s="108">
        <f t="shared" si="291"/>
        <v>-1</v>
      </c>
      <c r="AJ552" s="108">
        <f t="shared" si="292"/>
        <v>-1</v>
      </c>
      <c r="AK552" s="108">
        <f t="shared" si="293"/>
        <v>-1</v>
      </c>
      <c r="AL552" s="108">
        <f t="shared" si="294"/>
        <v>-1</v>
      </c>
      <c r="AM552" s="108"/>
      <c r="AQ552" s="104" t="str">
        <f>$V$91</f>
        <v>-</v>
      </c>
      <c r="AR552" s="54">
        <v>0</v>
      </c>
      <c r="AS552" s="54">
        <v>0</v>
      </c>
      <c r="AT552" s="54">
        <v>0</v>
      </c>
      <c r="AU552" s="54">
        <v>0</v>
      </c>
      <c r="AV552" s="54">
        <v>0</v>
      </c>
      <c r="AW552" s="54">
        <v>0</v>
      </c>
      <c r="AX552" s="54">
        <v>0</v>
      </c>
      <c r="AY552" s="54">
        <v>0</v>
      </c>
      <c r="AZ552" s="54">
        <v>0</v>
      </c>
      <c r="BA552" s="54">
        <v>0</v>
      </c>
      <c r="BB552" s="54">
        <v>0</v>
      </c>
      <c r="BC552" s="54">
        <v>0</v>
      </c>
      <c r="BD552" s="54">
        <v>0</v>
      </c>
      <c r="BE552" s="54">
        <v>0</v>
      </c>
      <c r="BF552" s="54">
        <v>0</v>
      </c>
      <c r="BG552" s="54">
        <v>0</v>
      </c>
      <c r="BH552" s="54">
        <v>0</v>
      </c>
      <c r="BK552" s="104" t="str">
        <f>$V$88</f>
        <v>-</v>
      </c>
      <c r="BL552" s="108">
        <v>0</v>
      </c>
      <c r="BM552" s="108">
        <v>0</v>
      </c>
      <c r="BN552" s="108">
        <v>0</v>
      </c>
      <c r="BO552" s="108">
        <v>0</v>
      </c>
      <c r="BP552" s="108">
        <v>0</v>
      </c>
      <c r="BQ552" s="108">
        <v>0</v>
      </c>
      <c r="BR552" s="108">
        <v>0</v>
      </c>
      <c r="BS552" s="108">
        <v>0</v>
      </c>
      <c r="BT552" s="108">
        <v>0</v>
      </c>
      <c r="BU552" s="108">
        <v>0</v>
      </c>
      <c r="BV552" s="108">
        <v>0</v>
      </c>
      <c r="BW552" s="108">
        <v>0</v>
      </c>
      <c r="BX552" s="108">
        <v>0</v>
      </c>
      <c r="BY552" s="108">
        <v>0</v>
      </c>
      <c r="BZ552" s="108">
        <v>0</v>
      </c>
      <c r="CA552" s="108">
        <v>0</v>
      </c>
      <c r="CB552" s="108">
        <v>0</v>
      </c>
    </row>
    <row r="553" spans="3:80" x14ac:dyDescent="0.55000000000000004">
      <c r="C553" s="104" t="str">
        <f>$V$75</f>
        <v>Yassin</v>
      </c>
      <c r="D553" s="108">
        <f t="shared" ref="D553:S553" si="316">D75</f>
        <v>0</v>
      </c>
      <c r="E553" s="108">
        <f t="shared" si="316"/>
        <v>0</v>
      </c>
      <c r="F553" s="108">
        <f t="shared" si="316"/>
        <v>0</v>
      </c>
      <c r="G553" s="108">
        <f t="shared" si="316"/>
        <v>0</v>
      </c>
      <c r="H553" s="108">
        <f t="shared" si="316"/>
        <v>0</v>
      </c>
      <c r="I553" s="108">
        <f t="shared" si="316"/>
        <v>0</v>
      </c>
      <c r="J553" s="108">
        <f t="shared" si="316"/>
        <v>0</v>
      </c>
      <c r="K553" s="108">
        <f t="shared" si="316"/>
        <v>0</v>
      </c>
      <c r="L553" s="108">
        <f t="shared" si="316"/>
        <v>0</v>
      </c>
      <c r="M553" s="108">
        <f t="shared" si="316"/>
        <v>0</v>
      </c>
      <c r="N553" s="108">
        <f t="shared" si="316"/>
        <v>0</v>
      </c>
      <c r="O553" s="108">
        <f t="shared" si="316"/>
        <v>0</v>
      </c>
      <c r="P553" s="108">
        <f t="shared" si="316"/>
        <v>0</v>
      </c>
      <c r="Q553" s="108">
        <f t="shared" si="316"/>
        <v>0</v>
      </c>
      <c r="R553" s="108">
        <f t="shared" si="316"/>
        <v>0</v>
      </c>
      <c r="S553" s="108">
        <f t="shared" si="316"/>
        <v>0</v>
      </c>
      <c r="T553" s="28" t="s">
        <v>26</v>
      </c>
      <c r="V553" s="104" t="str">
        <f>$V$75</f>
        <v>Yassin</v>
      </c>
      <c r="W553" s="108">
        <f t="shared" si="279"/>
        <v>-1</v>
      </c>
      <c r="X553" s="108">
        <f t="shared" si="280"/>
        <v>-1</v>
      </c>
      <c r="Y553" s="108">
        <f t="shared" si="281"/>
        <v>-1</v>
      </c>
      <c r="Z553" s="108">
        <f t="shared" si="282"/>
        <v>-1</v>
      </c>
      <c r="AA553" s="108">
        <f t="shared" si="283"/>
        <v>-1</v>
      </c>
      <c r="AB553" s="108">
        <f t="shared" si="284"/>
        <v>-1</v>
      </c>
      <c r="AC553" s="108">
        <f t="shared" si="285"/>
        <v>-1</v>
      </c>
      <c r="AD553" s="108">
        <f t="shared" si="286"/>
        <v>-1</v>
      </c>
      <c r="AE553" s="108">
        <f t="shared" si="287"/>
        <v>-1</v>
      </c>
      <c r="AF553" s="108">
        <f t="shared" si="288"/>
        <v>-1</v>
      </c>
      <c r="AG553" s="108">
        <f t="shared" si="289"/>
        <v>-1</v>
      </c>
      <c r="AH553" s="108">
        <f t="shared" si="290"/>
        <v>-1</v>
      </c>
      <c r="AI553" s="108">
        <f t="shared" si="291"/>
        <v>-1</v>
      </c>
      <c r="AJ553" s="108">
        <f t="shared" si="292"/>
        <v>-1</v>
      </c>
      <c r="AK553" s="108">
        <f t="shared" si="293"/>
        <v>-1</v>
      </c>
      <c r="AL553" s="108">
        <f t="shared" si="294"/>
        <v>-1</v>
      </c>
      <c r="AM553" s="108"/>
      <c r="AQ553" s="104" t="str">
        <f>$V$92</f>
        <v>-</v>
      </c>
      <c r="AR553" s="54">
        <v>0</v>
      </c>
      <c r="AS553" s="54">
        <v>0</v>
      </c>
      <c r="AT553" s="54">
        <v>0</v>
      </c>
      <c r="AU553" s="54">
        <v>0</v>
      </c>
      <c r="AV553" s="54">
        <v>0</v>
      </c>
      <c r="AW553" s="54">
        <v>0</v>
      </c>
      <c r="AX553" s="54">
        <v>0</v>
      </c>
      <c r="AY553" s="54">
        <v>0</v>
      </c>
      <c r="AZ553" s="54">
        <v>0</v>
      </c>
      <c r="BA553" s="54">
        <v>0</v>
      </c>
      <c r="BB553" s="54">
        <v>0</v>
      </c>
      <c r="BC553" s="54">
        <v>0</v>
      </c>
      <c r="BD553" s="54">
        <v>0</v>
      </c>
      <c r="BE553" s="54">
        <v>0</v>
      </c>
      <c r="BF553" s="54">
        <v>0</v>
      </c>
      <c r="BG553" s="54">
        <v>0</v>
      </c>
      <c r="BH553" s="54">
        <v>0</v>
      </c>
      <c r="BK553" s="104" t="str">
        <f>$V$89</f>
        <v>-</v>
      </c>
      <c r="BL553" s="108">
        <v>0</v>
      </c>
      <c r="BM553" s="108">
        <v>0</v>
      </c>
      <c r="BN553" s="108">
        <v>0</v>
      </c>
      <c r="BO553" s="108">
        <v>0</v>
      </c>
      <c r="BP553" s="108">
        <v>0</v>
      </c>
      <c r="BQ553" s="108">
        <v>0</v>
      </c>
      <c r="BR553" s="108">
        <v>0</v>
      </c>
      <c r="BS553" s="108">
        <v>0</v>
      </c>
      <c r="BT553" s="108">
        <v>0</v>
      </c>
      <c r="BU553" s="108">
        <v>0</v>
      </c>
      <c r="BV553" s="108">
        <v>0</v>
      </c>
      <c r="BW553" s="108">
        <v>0</v>
      </c>
      <c r="BX553" s="108">
        <v>0</v>
      </c>
      <c r="BY553" s="108">
        <v>0</v>
      </c>
      <c r="BZ553" s="108">
        <v>0</v>
      </c>
      <c r="CA553" s="108">
        <v>0</v>
      </c>
      <c r="CB553" s="108">
        <v>0</v>
      </c>
    </row>
    <row r="554" spans="3:80" x14ac:dyDescent="0.55000000000000004">
      <c r="C554" s="104" t="str">
        <f>$V$76</f>
        <v>Kamar</v>
      </c>
      <c r="D554" s="108">
        <f t="shared" ref="D554:S554" si="317">D76</f>
        <v>0</v>
      </c>
      <c r="E554" s="108">
        <f t="shared" si="317"/>
        <v>0</v>
      </c>
      <c r="F554" s="108">
        <f t="shared" si="317"/>
        <v>0</v>
      </c>
      <c r="G554" s="108">
        <f t="shared" si="317"/>
        <v>0</v>
      </c>
      <c r="H554" s="108">
        <f t="shared" si="317"/>
        <v>0</v>
      </c>
      <c r="I554" s="108">
        <f t="shared" si="317"/>
        <v>0</v>
      </c>
      <c r="J554" s="108">
        <f t="shared" si="317"/>
        <v>0</v>
      </c>
      <c r="K554" s="108">
        <f t="shared" si="317"/>
        <v>0</v>
      </c>
      <c r="L554" s="108">
        <f t="shared" si="317"/>
        <v>0</v>
      </c>
      <c r="M554" s="108">
        <f t="shared" si="317"/>
        <v>0</v>
      </c>
      <c r="N554" s="108">
        <f t="shared" si="317"/>
        <v>0</v>
      </c>
      <c r="O554" s="108">
        <f t="shared" si="317"/>
        <v>0</v>
      </c>
      <c r="P554" s="108">
        <f t="shared" si="317"/>
        <v>0</v>
      </c>
      <c r="Q554" s="108">
        <f t="shared" si="317"/>
        <v>0</v>
      </c>
      <c r="R554" s="108">
        <f t="shared" si="317"/>
        <v>0</v>
      </c>
      <c r="S554" s="108">
        <f t="shared" si="317"/>
        <v>0</v>
      </c>
      <c r="T554" s="28" t="s">
        <v>26</v>
      </c>
      <c r="V554" s="104" t="str">
        <f>$V$76</f>
        <v>Kamar</v>
      </c>
      <c r="W554" s="108">
        <f t="shared" si="279"/>
        <v>-1</v>
      </c>
      <c r="X554" s="108">
        <f t="shared" si="280"/>
        <v>-1</v>
      </c>
      <c r="Y554" s="108">
        <f t="shared" si="281"/>
        <v>-1</v>
      </c>
      <c r="Z554" s="108">
        <f t="shared" si="282"/>
        <v>-1</v>
      </c>
      <c r="AA554" s="108">
        <f t="shared" si="283"/>
        <v>-1</v>
      </c>
      <c r="AB554" s="108">
        <f t="shared" si="284"/>
        <v>-1</v>
      </c>
      <c r="AC554" s="108">
        <f t="shared" si="285"/>
        <v>-1</v>
      </c>
      <c r="AD554" s="108">
        <f t="shared" si="286"/>
        <v>-1</v>
      </c>
      <c r="AE554" s="108">
        <f t="shared" si="287"/>
        <v>-1</v>
      </c>
      <c r="AF554" s="108">
        <f t="shared" si="288"/>
        <v>-1</v>
      </c>
      <c r="AG554" s="108">
        <f t="shared" si="289"/>
        <v>-1</v>
      </c>
      <c r="AH554" s="108">
        <f t="shared" si="290"/>
        <v>-1</v>
      </c>
      <c r="AI554" s="108">
        <f t="shared" si="291"/>
        <v>-1</v>
      </c>
      <c r="AJ554" s="108">
        <f t="shared" si="292"/>
        <v>-1</v>
      </c>
      <c r="AK554" s="108">
        <f t="shared" si="293"/>
        <v>-1</v>
      </c>
      <c r="AL554" s="108">
        <f t="shared" si="294"/>
        <v>-1</v>
      </c>
      <c r="AM554" s="108"/>
      <c r="AP554" t="str">
        <f>$V$47</f>
        <v>Dummy 3</v>
      </c>
      <c r="AQ554" s="104" t="str">
        <f>$V$53</f>
        <v>Jennifer</v>
      </c>
      <c r="AR554" s="54">
        <v>0</v>
      </c>
      <c r="AS554" s="54">
        <v>0</v>
      </c>
      <c r="AT554" s="54">
        <v>0</v>
      </c>
      <c r="AU554" s="54">
        <v>0</v>
      </c>
      <c r="AV554" s="54">
        <v>0</v>
      </c>
      <c r="AW554" s="54">
        <v>0</v>
      </c>
      <c r="AX554" s="54">
        <v>0</v>
      </c>
      <c r="AY554" s="54">
        <v>0</v>
      </c>
      <c r="AZ554" s="54">
        <v>0</v>
      </c>
      <c r="BA554" s="54">
        <v>0</v>
      </c>
      <c r="BB554" s="54">
        <v>0</v>
      </c>
      <c r="BC554" s="54">
        <v>0</v>
      </c>
      <c r="BD554" s="54">
        <v>0</v>
      </c>
      <c r="BE554" s="54">
        <v>0</v>
      </c>
      <c r="BF554" s="54">
        <v>0</v>
      </c>
      <c r="BG554" s="54">
        <v>0</v>
      </c>
      <c r="BH554" s="54">
        <v>0</v>
      </c>
      <c r="BK554" s="104" t="str">
        <f>$V$90</f>
        <v>-</v>
      </c>
      <c r="BL554" s="108">
        <v>0</v>
      </c>
      <c r="BM554" s="108">
        <v>0</v>
      </c>
      <c r="BN554" s="108">
        <v>0</v>
      </c>
      <c r="BO554" s="108">
        <v>0</v>
      </c>
      <c r="BP554" s="108">
        <v>0</v>
      </c>
      <c r="BQ554" s="108">
        <v>0</v>
      </c>
      <c r="BR554" s="108">
        <v>0</v>
      </c>
      <c r="BS554" s="108">
        <v>0</v>
      </c>
      <c r="BT554" s="108">
        <v>0</v>
      </c>
      <c r="BU554" s="108">
        <v>0</v>
      </c>
      <c r="BV554" s="108">
        <v>0</v>
      </c>
      <c r="BW554" s="108">
        <v>0</v>
      </c>
      <c r="BX554" s="108">
        <v>0</v>
      </c>
      <c r="BY554" s="108">
        <v>0</v>
      </c>
      <c r="BZ554" s="108">
        <v>0</v>
      </c>
      <c r="CA554" s="108">
        <v>0</v>
      </c>
      <c r="CB554" s="108">
        <v>0</v>
      </c>
    </row>
    <row r="555" spans="3:80" x14ac:dyDescent="0.55000000000000004">
      <c r="C555" s="104" t="str">
        <f>$V$77</f>
        <v>-</v>
      </c>
      <c r="D555" s="108">
        <f t="shared" ref="D555:S555" si="318">D77</f>
        <v>0</v>
      </c>
      <c r="E555" s="108">
        <f t="shared" si="318"/>
        <v>0</v>
      </c>
      <c r="F555" s="108">
        <f t="shared" si="318"/>
        <v>0</v>
      </c>
      <c r="G555" s="108">
        <f t="shared" si="318"/>
        <v>0</v>
      </c>
      <c r="H555" s="108">
        <f t="shared" si="318"/>
        <v>0</v>
      </c>
      <c r="I555" s="108">
        <f t="shared" si="318"/>
        <v>0</v>
      </c>
      <c r="J555" s="108">
        <f t="shared" si="318"/>
        <v>0</v>
      </c>
      <c r="K555" s="108">
        <f t="shared" si="318"/>
        <v>0</v>
      </c>
      <c r="L555" s="108">
        <f t="shared" si="318"/>
        <v>0</v>
      </c>
      <c r="M555" s="108">
        <f t="shared" si="318"/>
        <v>0</v>
      </c>
      <c r="N555" s="108">
        <f t="shared" si="318"/>
        <v>0</v>
      </c>
      <c r="O555" s="108">
        <f t="shared" si="318"/>
        <v>0</v>
      </c>
      <c r="P555" s="108">
        <f t="shared" si="318"/>
        <v>0</v>
      </c>
      <c r="Q555" s="108">
        <f t="shared" si="318"/>
        <v>0</v>
      </c>
      <c r="R555" s="108">
        <f t="shared" si="318"/>
        <v>0</v>
      </c>
      <c r="S555" s="108">
        <f t="shared" si="318"/>
        <v>0</v>
      </c>
      <c r="T555" s="28" t="s">
        <v>26</v>
      </c>
      <c r="V555" s="104" t="str">
        <f>$V$77</f>
        <v>-</v>
      </c>
      <c r="W555" s="108">
        <f t="shared" si="279"/>
        <v>-1</v>
      </c>
      <c r="X555" s="108">
        <f t="shared" si="280"/>
        <v>-1</v>
      </c>
      <c r="Y555" s="108">
        <f t="shared" si="281"/>
        <v>-1</v>
      </c>
      <c r="Z555" s="108">
        <f t="shared" si="282"/>
        <v>-1</v>
      </c>
      <c r="AA555" s="108">
        <f t="shared" si="283"/>
        <v>-1</v>
      </c>
      <c r="AB555" s="108">
        <f t="shared" si="284"/>
        <v>-1</v>
      </c>
      <c r="AC555" s="108">
        <f t="shared" si="285"/>
        <v>-1</v>
      </c>
      <c r="AD555" s="108">
        <f t="shared" si="286"/>
        <v>-1</v>
      </c>
      <c r="AE555" s="108">
        <f t="shared" si="287"/>
        <v>-1</v>
      </c>
      <c r="AF555" s="108">
        <f t="shared" si="288"/>
        <v>-1</v>
      </c>
      <c r="AG555" s="108">
        <f t="shared" si="289"/>
        <v>-1</v>
      </c>
      <c r="AH555" s="108">
        <f t="shared" si="290"/>
        <v>-1</v>
      </c>
      <c r="AI555" s="108">
        <f t="shared" si="291"/>
        <v>-1</v>
      </c>
      <c r="AJ555" s="108">
        <f t="shared" si="292"/>
        <v>-1</v>
      </c>
      <c r="AK555" s="108">
        <f t="shared" si="293"/>
        <v>-1</v>
      </c>
      <c r="AL555" s="108">
        <f t="shared" si="294"/>
        <v>-1</v>
      </c>
      <c r="AM555" s="108"/>
      <c r="AQ555" s="104" t="str">
        <f>$V$54</f>
        <v>Galileo</v>
      </c>
      <c r="AR555" s="54">
        <v>0</v>
      </c>
      <c r="AS555" s="54">
        <v>0</v>
      </c>
      <c r="AT555" s="54">
        <v>0</v>
      </c>
      <c r="AU555" s="54">
        <v>0</v>
      </c>
      <c r="AV555" s="54">
        <v>0</v>
      </c>
      <c r="AW555" s="54">
        <v>0</v>
      </c>
      <c r="AX555" s="54">
        <v>0</v>
      </c>
      <c r="AY555" s="54">
        <v>0</v>
      </c>
      <c r="AZ555" s="54">
        <v>0</v>
      </c>
      <c r="BA555" s="54">
        <v>0</v>
      </c>
      <c r="BB555" s="54">
        <v>0</v>
      </c>
      <c r="BC555" s="54">
        <v>0</v>
      </c>
      <c r="BD555" s="54">
        <v>0</v>
      </c>
      <c r="BE555" s="54">
        <v>0</v>
      </c>
      <c r="BF555" s="54">
        <v>0</v>
      </c>
      <c r="BG555" s="54">
        <v>0</v>
      </c>
      <c r="BH555" s="54">
        <v>0</v>
      </c>
      <c r="BK555" s="104" t="str">
        <f>$V$91</f>
        <v>-</v>
      </c>
      <c r="BL555" s="108">
        <v>0</v>
      </c>
      <c r="BM555" s="108">
        <v>0</v>
      </c>
      <c r="BN555" s="108">
        <v>0</v>
      </c>
      <c r="BO555" s="108">
        <v>0</v>
      </c>
      <c r="BP555" s="108">
        <v>0</v>
      </c>
      <c r="BQ555" s="108">
        <v>0</v>
      </c>
      <c r="BR555" s="108">
        <v>0</v>
      </c>
      <c r="BS555" s="108">
        <v>0</v>
      </c>
      <c r="BT555" s="108">
        <v>0</v>
      </c>
      <c r="BU555" s="108">
        <v>0</v>
      </c>
      <c r="BV555" s="108">
        <v>0</v>
      </c>
      <c r="BW555" s="108">
        <v>0</v>
      </c>
      <c r="BX555" s="108">
        <v>0</v>
      </c>
      <c r="BY555" s="108">
        <v>0</v>
      </c>
      <c r="BZ555" s="108">
        <v>0</v>
      </c>
      <c r="CA555" s="108">
        <v>0</v>
      </c>
      <c r="CB555" s="108">
        <v>0</v>
      </c>
    </row>
    <row r="556" spans="3:80" x14ac:dyDescent="0.55000000000000004">
      <c r="C556" s="104" t="str">
        <f>$V$78</f>
        <v>-</v>
      </c>
      <c r="D556" s="108">
        <f t="shared" ref="D556:S556" si="319">D78</f>
        <v>0</v>
      </c>
      <c r="E556" s="108">
        <f t="shared" si="319"/>
        <v>0</v>
      </c>
      <c r="F556" s="108">
        <f t="shared" si="319"/>
        <v>0</v>
      </c>
      <c r="G556" s="108">
        <f t="shared" si="319"/>
        <v>0</v>
      </c>
      <c r="H556" s="108">
        <f t="shared" si="319"/>
        <v>0</v>
      </c>
      <c r="I556" s="108">
        <f t="shared" si="319"/>
        <v>0</v>
      </c>
      <c r="J556" s="108">
        <f t="shared" si="319"/>
        <v>0</v>
      </c>
      <c r="K556" s="108">
        <f t="shared" si="319"/>
        <v>0</v>
      </c>
      <c r="L556" s="108">
        <f t="shared" si="319"/>
        <v>0</v>
      </c>
      <c r="M556" s="108">
        <f t="shared" si="319"/>
        <v>0</v>
      </c>
      <c r="N556" s="108">
        <f t="shared" si="319"/>
        <v>0</v>
      </c>
      <c r="O556" s="108">
        <f t="shared" si="319"/>
        <v>0</v>
      </c>
      <c r="P556" s="108">
        <f t="shared" si="319"/>
        <v>0</v>
      </c>
      <c r="Q556" s="108">
        <f t="shared" si="319"/>
        <v>0</v>
      </c>
      <c r="R556" s="108">
        <f t="shared" si="319"/>
        <v>0</v>
      </c>
      <c r="S556" s="108">
        <f t="shared" si="319"/>
        <v>0</v>
      </c>
      <c r="T556" s="28" t="s">
        <v>26</v>
      </c>
      <c r="V556" s="104" t="str">
        <f>$V$78</f>
        <v>-</v>
      </c>
      <c r="W556" s="108">
        <f t="shared" si="279"/>
        <v>-1</v>
      </c>
      <c r="X556" s="108">
        <f t="shared" si="280"/>
        <v>-1</v>
      </c>
      <c r="Y556" s="108">
        <f t="shared" si="281"/>
        <v>-1</v>
      </c>
      <c r="Z556" s="108">
        <f t="shared" si="282"/>
        <v>-1</v>
      </c>
      <c r="AA556" s="108">
        <f t="shared" si="283"/>
        <v>-1</v>
      </c>
      <c r="AB556" s="108">
        <f t="shared" si="284"/>
        <v>-1</v>
      </c>
      <c r="AC556" s="108">
        <f t="shared" si="285"/>
        <v>-1</v>
      </c>
      <c r="AD556" s="108">
        <f t="shared" si="286"/>
        <v>-1</v>
      </c>
      <c r="AE556" s="108">
        <f t="shared" si="287"/>
        <v>-1</v>
      </c>
      <c r="AF556" s="108">
        <f t="shared" si="288"/>
        <v>-1</v>
      </c>
      <c r="AG556" s="108">
        <f t="shared" si="289"/>
        <v>-1</v>
      </c>
      <c r="AH556" s="108">
        <f t="shared" si="290"/>
        <v>-1</v>
      </c>
      <c r="AI556" s="108">
        <f t="shared" si="291"/>
        <v>-1</v>
      </c>
      <c r="AJ556" s="108">
        <f t="shared" si="292"/>
        <v>-1</v>
      </c>
      <c r="AK556" s="108">
        <f t="shared" si="293"/>
        <v>-1</v>
      </c>
      <c r="AL556" s="108">
        <f t="shared" si="294"/>
        <v>-1</v>
      </c>
      <c r="AQ556" s="104" t="str">
        <f>$V$55</f>
        <v>Óscar</v>
      </c>
      <c r="AR556" s="54">
        <v>0</v>
      </c>
      <c r="AS556" s="54">
        <v>0</v>
      </c>
      <c r="AT556" s="54">
        <v>0</v>
      </c>
      <c r="AU556" s="54">
        <v>0</v>
      </c>
      <c r="AV556" s="54">
        <v>0</v>
      </c>
      <c r="AW556" s="54">
        <v>0</v>
      </c>
      <c r="AX556" s="54">
        <v>0</v>
      </c>
      <c r="AY556" s="54">
        <v>0</v>
      </c>
      <c r="AZ556" s="54">
        <v>0</v>
      </c>
      <c r="BA556" s="54">
        <v>0</v>
      </c>
      <c r="BB556" s="54">
        <v>0</v>
      </c>
      <c r="BC556" s="54">
        <v>0</v>
      </c>
      <c r="BD556" s="54">
        <v>0</v>
      </c>
      <c r="BE556" s="54">
        <v>0</v>
      </c>
      <c r="BF556" s="54">
        <v>0</v>
      </c>
      <c r="BG556" s="54">
        <v>0</v>
      </c>
      <c r="BH556" s="54">
        <v>0</v>
      </c>
      <c r="BK556" s="104" t="str">
        <f>$V$92</f>
        <v>-</v>
      </c>
      <c r="BL556" s="108">
        <v>0</v>
      </c>
      <c r="BM556" s="108">
        <v>0</v>
      </c>
      <c r="BN556" s="108">
        <v>0</v>
      </c>
      <c r="BO556" s="108">
        <v>0</v>
      </c>
      <c r="BP556" s="108">
        <v>0</v>
      </c>
      <c r="BQ556" s="108">
        <v>0</v>
      </c>
      <c r="BR556" s="108">
        <v>0</v>
      </c>
      <c r="BS556" s="108">
        <v>0</v>
      </c>
      <c r="BT556" s="108">
        <v>0</v>
      </c>
      <c r="BU556" s="108">
        <v>0</v>
      </c>
      <c r="BV556" s="108">
        <v>0</v>
      </c>
      <c r="BW556" s="108">
        <v>0</v>
      </c>
      <c r="BX556" s="108">
        <v>0</v>
      </c>
      <c r="BY556" s="108">
        <v>0</v>
      </c>
      <c r="BZ556" s="108">
        <v>0</v>
      </c>
      <c r="CA556" s="108">
        <v>0</v>
      </c>
      <c r="CB556" s="108">
        <v>0</v>
      </c>
    </row>
    <row r="557" spans="3:80" x14ac:dyDescent="0.55000000000000004">
      <c r="C557" s="104" t="str">
        <f>$V$79</f>
        <v>-</v>
      </c>
      <c r="D557" s="108">
        <f t="shared" ref="D557:S557" si="320">D79</f>
        <v>0</v>
      </c>
      <c r="E557" s="108">
        <f t="shared" si="320"/>
        <v>0</v>
      </c>
      <c r="F557" s="108">
        <f t="shared" si="320"/>
        <v>0</v>
      </c>
      <c r="G557" s="108">
        <f t="shared" si="320"/>
        <v>0</v>
      </c>
      <c r="H557" s="108">
        <f t="shared" si="320"/>
        <v>0</v>
      </c>
      <c r="I557" s="108">
        <f t="shared" si="320"/>
        <v>0</v>
      </c>
      <c r="J557" s="108">
        <f t="shared" si="320"/>
        <v>0</v>
      </c>
      <c r="K557" s="108">
        <f t="shared" si="320"/>
        <v>0</v>
      </c>
      <c r="L557" s="108">
        <f t="shared" si="320"/>
        <v>0</v>
      </c>
      <c r="M557" s="108">
        <f t="shared" si="320"/>
        <v>0</v>
      </c>
      <c r="N557" s="108">
        <f t="shared" si="320"/>
        <v>0</v>
      </c>
      <c r="O557" s="108">
        <f t="shared" si="320"/>
        <v>0</v>
      </c>
      <c r="P557" s="108">
        <f t="shared" si="320"/>
        <v>0</v>
      </c>
      <c r="Q557" s="108">
        <f t="shared" si="320"/>
        <v>0</v>
      </c>
      <c r="R557" s="108">
        <f t="shared" si="320"/>
        <v>0</v>
      </c>
      <c r="S557" s="108">
        <f t="shared" si="320"/>
        <v>0</v>
      </c>
      <c r="T557" s="28" t="s">
        <v>26</v>
      </c>
      <c r="V557" s="104" t="str">
        <f>$V$79</f>
        <v>-</v>
      </c>
      <c r="W557" s="108">
        <f t="shared" si="279"/>
        <v>-1</v>
      </c>
      <c r="X557" s="108">
        <f t="shared" si="280"/>
        <v>-1</v>
      </c>
      <c r="Y557" s="108">
        <f t="shared" si="281"/>
        <v>-1</v>
      </c>
      <c r="Z557" s="108">
        <f t="shared" si="282"/>
        <v>-1</v>
      </c>
      <c r="AA557" s="108">
        <f t="shared" si="283"/>
        <v>-1</v>
      </c>
      <c r="AB557" s="108">
        <f t="shared" si="284"/>
        <v>-1</v>
      </c>
      <c r="AC557" s="108">
        <f t="shared" si="285"/>
        <v>-1</v>
      </c>
      <c r="AD557" s="108">
        <f t="shared" si="286"/>
        <v>-1</v>
      </c>
      <c r="AE557" s="108">
        <f t="shared" si="287"/>
        <v>-1</v>
      </c>
      <c r="AF557" s="108">
        <f t="shared" si="288"/>
        <v>-1</v>
      </c>
      <c r="AG557" s="108">
        <f t="shared" si="289"/>
        <v>-1</v>
      </c>
      <c r="AH557" s="108">
        <f t="shared" si="290"/>
        <v>-1</v>
      </c>
      <c r="AI557" s="108">
        <f t="shared" si="291"/>
        <v>-1</v>
      </c>
      <c r="AJ557" s="108">
        <f t="shared" si="292"/>
        <v>-1</v>
      </c>
      <c r="AK557" s="108">
        <f t="shared" si="293"/>
        <v>-1</v>
      </c>
      <c r="AL557" s="108">
        <f t="shared" si="294"/>
        <v>-1</v>
      </c>
      <c r="AQ557" s="104" t="str">
        <f>$V$56</f>
        <v>Sebastián</v>
      </c>
      <c r="AR557" s="54">
        <v>0</v>
      </c>
      <c r="AS557" s="54">
        <v>0</v>
      </c>
      <c r="AT557" s="54">
        <v>0</v>
      </c>
      <c r="AU557" s="54">
        <v>0</v>
      </c>
      <c r="AV557" s="54">
        <v>0</v>
      </c>
      <c r="AW557" s="54">
        <v>0</v>
      </c>
      <c r="AX557" s="54">
        <v>0</v>
      </c>
      <c r="AY557" s="54">
        <v>0</v>
      </c>
      <c r="AZ557" s="54">
        <v>0</v>
      </c>
      <c r="BA557" s="54">
        <v>0</v>
      </c>
      <c r="BB557" s="54">
        <v>0</v>
      </c>
      <c r="BC557" s="54">
        <v>0</v>
      </c>
      <c r="BD557" s="54">
        <v>0</v>
      </c>
      <c r="BE557" s="54">
        <v>0</v>
      </c>
      <c r="BF557" s="54">
        <v>0</v>
      </c>
      <c r="BG557" s="54">
        <v>0</v>
      </c>
      <c r="BH557" s="54">
        <v>0</v>
      </c>
    </row>
    <row r="558" spans="3:80" x14ac:dyDescent="0.55000000000000004">
      <c r="C558" s="104" t="str">
        <f>$V$80</f>
        <v>-</v>
      </c>
      <c r="D558" s="108">
        <f t="shared" ref="D558:S558" si="321">D80</f>
        <v>0</v>
      </c>
      <c r="E558" s="108">
        <f t="shared" si="321"/>
        <v>0</v>
      </c>
      <c r="F558" s="108">
        <f t="shared" si="321"/>
        <v>0</v>
      </c>
      <c r="G558" s="108">
        <f t="shared" si="321"/>
        <v>0</v>
      </c>
      <c r="H558" s="108">
        <f t="shared" si="321"/>
        <v>0</v>
      </c>
      <c r="I558" s="108">
        <f t="shared" si="321"/>
        <v>0</v>
      </c>
      <c r="J558" s="108">
        <f t="shared" si="321"/>
        <v>0</v>
      </c>
      <c r="K558" s="108">
        <f t="shared" si="321"/>
        <v>0</v>
      </c>
      <c r="L558" s="108">
        <f t="shared" si="321"/>
        <v>0</v>
      </c>
      <c r="M558" s="108">
        <f t="shared" si="321"/>
        <v>0</v>
      </c>
      <c r="N558" s="108">
        <f t="shared" si="321"/>
        <v>0</v>
      </c>
      <c r="O558" s="108">
        <f t="shared" si="321"/>
        <v>0</v>
      </c>
      <c r="P558" s="108">
        <f t="shared" si="321"/>
        <v>0</v>
      </c>
      <c r="Q558" s="108">
        <f t="shared" si="321"/>
        <v>0</v>
      </c>
      <c r="R558" s="108">
        <f t="shared" si="321"/>
        <v>0</v>
      </c>
      <c r="S558" s="108">
        <f t="shared" si="321"/>
        <v>0</v>
      </c>
      <c r="T558" s="28" t="s">
        <v>26</v>
      </c>
      <c r="V558" s="104" t="str">
        <f>$V$80</f>
        <v>-</v>
      </c>
      <c r="W558" s="108">
        <f t="shared" si="279"/>
        <v>-1</v>
      </c>
      <c r="X558" s="108">
        <f t="shared" si="280"/>
        <v>-1</v>
      </c>
      <c r="Y558" s="108">
        <f t="shared" si="281"/>
        <v>-1</v>
      </c>
      <c r="Z558" s="108">
        <f t="shared" si="282"/>
        <v>-1</v>
      </c>
      <c r="AA558" s="108">
        <f t="shared" si="283"/>
        <v>-1</v>
      </c>
      <c r="AB558" s="108">
        <f t="shared" si="284"/>
        <v>-1</v>
      </c>
      <c r="AC558" s="108">
        <f t="shared" si="285"/>
        <v>-1</v>
      </c>
      <c r="AD558" s="108">
        <f t="shared" si="286"/>
        <v>-1</v>
      </c>
      <c r="AE558" s="108">
        <f t="shared" si="287"/>
        <v>-1</v>
      </c>
      <c r="AF558" s="108">
        <f t="shared" si="288"/>
        <v>-1</v>
      </c>
      <c r="AG558" s="108">
        <f t="shared" si="289"/>
        <v>-1</v>
      </c>
      <c r="AH558" s="108">
        <f t="shared" si="290"/>
        <v>-1</v>
      </c>
      <c r="AI558" s="108">
        <f t="shared" si="291"/>
        <v>-1</v>
      </c>
      <c r="AJ558" s="108">
        <f t="shared" si="292"/>
        <v>-1</v>
      </c>
      <c r="AK558" s="108">
        <f t="shared" si="293"/>
        <v>-1</v>
      </c>
      <c r="AL558" s="108">
        <f t="shared" si="294"/>
        <v>-1</v>
      </c>
      <c r="AQ558" s="104" t="str">
        <f>$V$57</f>
        <v>Marcos</v>
      </c>
      <c r="AR558" s="54">
        <v>0</v>
      </c>
      <c r="AS558" s="54">
        <v>0</v>
      </c>
      <c r="AT558" s="54">
        <v>0</v>
      </c>
      <c r="AU558" s="54">
        <v>0</v>
      </c>
      <c r="AV558" s="54">
        <v>0</v>
      </c>
      <c r="AW558" s="54">
        <v>0</v>
      </c>
      <c r="AX558" s="54">
        <v>0</v>
      </c>
      <c r="AY558" s="54">
        <v>0</v>
      </c>
      <c r="AZ558" s="54">
        <v>0</v>
      </c>
      <c r="BA558" s="54">
        <v>0</v>
      </c>
      <c r="BB558" s="54">
        <v>0</v>
      </c>
      <c r="BC558" s="54">
        <v>0</v>
      </c>
      <c r="BD558" s="54">
        <v>0</v>
      </c>
      <c r="BE558" s="54">
        <v>0</v>
      </c>
      <c r="BF558" s="54">
        <v>0</v>
      </c>
      <c r="BG558" s="54">
        <v>0</v>
      </c>
      <c r="BH558" s="54">
        <v>0</v>
      </c>
    </row>
    <row r="559" spans="3:80" x14ac:dyDescent="0.55000000000000004">
      <c r="C559" s="104" t="str">
        <f>$V$81</f>
        <v>-</v>
      </c>
      <c r="D559" s="108">
        <f t="shared" ref="D559:S559" si="322">D81</f>
        <v>0</v>
      </c>
      <c r="E559" s="108">
        <f t="shared" si="322"/>
        <v>0</v>
      </c>
      <c r="F559" s="108">
        <f t="shared" si="322"/>
        <v>0</v>
      </c>
      <c r="G559" s="108">
        <f t="shared" si="322"/>
        <v>0</v>
      </c>
      <c r="H559" s="108">
        <f t="shared" si="322"/>
        <v>0</v>
      </c>
      <c r="I559" s="108">
        <f t="shared" si="322"/>
        <v>0</v>
      </c>
      <c r="J559" s="108">
        <f t="shared" si="322"/>
        <v>0</v>
      </c>
      <c r="K559" s="108">
        <f t="shared" si="322"/>
        <v>0</v>
      </c>
      <c r="L559" s="108">
        <f t="shared" si="322"/>
        <v>0</v>
      </c>
      <c r="M559" s="108">
        <f t="shared" si="322"/>
        <v>0</v>
      </c>
      <c r="N559" s="108">
        <f t="shared" si="322"/>
        <v>0</v>
      </c>
      <c r="O559" s="108">
        <f t="shared" si="322"/>
        <v>0</v>
      </c>
      <c r="P559" s="108">
        <f t="shared" si="322"/>
        <v>0</v>
      </c>
      <c r="Q559" s="108">
        <f t="shared" si="322"/>
        <v>0</v>
      </c>
      <c r="R559" s="108">
        <f t="shared" si="322"/>
        <v>0</v>
      </c>
      <c r="S559" s="108">
        <f t="shared" si="322"/>
        <v>0</v>
      </c>
      <c r="T559" s="28" t="s">
        <v>26</v>
      </c>
      <c r="V559" s="104" t="str">
        <f>$V$81</f>
        <v>-</v>
      </c>
      <c r="W559" s="108">
        <f t="shared" si="279"/>
        <v>-1</v>
      </c>
      <c r="X559" s="108">
        <f t="shared" si="280"/>
        <v>-1</v>
      </c>
      <c r="Y559" s="108">
        <f t="shared" si="281"/>
        <v>-1</v>
      </c>
      <c r="Z559" s="108">
        <f t="shared" si="282"/>
        <v>-1</v>
      </c>
      <c r="AA559" s="108">
        <f t="shared" si="283"/>
        <v>-1</v>
      </c>
      <c r="AB559" s="108">
        <f t="shared" si="284"/>
        <v>-1</v>
      </c>
      <c r="AC559" s="108">
        <f t="shared" si="285"/>
        <v>-1</v>
      </c>
      <c r="AD559" s="108">
        <f t="shared" si="286"/>
        <v>-1</v>
      </c>
      <c r="AE559" s="108">
        <f t="shared" si="287"/>
        <v>-1</v>
      </c>
      <c r="AF559" s="108">
        <f t="shared" si="288"/>
        <v>-1</v>
      </c>
      <c r="AG559" s="108">
        <f t="shared" si="289"/>
        <v>-1</v>
      </c>
      <c r="AH559" s="108">
        <f t="shared" si="290"/>
        <v>-1</v>
      </c>
      <c r="AI559" s="108">
        <f t="shared" si="291"/>
        <v>-1</v>
      </c>
      <c r="AJ559" s="108">
        <f t="shared" si="292"/>
        <v>-1</v>
      </c>
      <c r="AK559" s="108">
        <f t="shared" si="293"/>
        <v>-1</v>
      </c>
      <c r="AL559" s="108">
        <f t="shared" si="294"/>
        <v>-1</v>
      </c>
      <c r="AQ559" s="104" t="str">
        <f>$V$58</f>
        <v>Weixin</v>
      </c>
      <c r="AR559" s="54">
        <v>0</v>
      </c>
      <c r="AS559" s="54">
        <v>0</v>
      </c>
      <c r="AT559" s="54">
        <v>0</v>
      </c>
      <c r="AU559" s="54">
        <v>0</v>
      </c>
      <c r="AV559" s="54">
        <v>0</v>
      </c>
      <c r="AW559" s="54">
        <v>0</v>
      </c>
      <c r="AX559" s="54">
        <v>0</v>
      </c>
      <c r="AY559" s="54">
        <v>0</v>
      </c>
      <c r="AZ559" s="54">
        <v>0</v>
      </c>
      <c r="BA559" s="54">
        <v>0</v>
      </c>
      <c r="BB559" s="54">
        <v>0</v>
      </c>
      <c r="BC559" s="54">
        <v>0</v>
      </c>
      <c r="BD559" s="54">
        <v>0</v>
      </c>
      <c r="BE559" s="54">
        <v>0</v>
      </c>
      <c r="BF559" s="54">
        <v>0</v>
      </c>
      <c r="BG559" s="54">
        <v>0</v>
      </c>
      <c r="BH559" s="54">
        <v>0</v>
      </c>
      <c r="BK559" s="104" t="str">
        <f>CONCATENATE("OBLIGATORIEDAD DE (",BK560,")")</f>
        <v>OBLIGATORIEDAD DE (Dummy 2)</v>
      </c>
    </row>
    <row r="560" spans="3:80" x14ac:dyDescent="0.55000000000000004">
      <c r="C560" s="104" t="str">
        <f>$V$82</f>
        <v>-</v>
      </c>
      <c r="D560" s="108">
        <f t="shared" ref="D560:S560" si="323">D82</f>
        <v>0</v>
      </c>
      <c r="E560" s="108">
        <f t="shared" si="323"/>
        <v>0</v>
      </c>
      <c r="F560" s="108">
        <f t="shared" si="323"/>
        <v>0</v>
      </c>
      <c r="G560" s="108">
        <f t="shared" si="323"/>
        <v>0</v>
      </c>
      <c r="H560" s="108">
        <f t="shared" si="323"/>
        <v>0</v>
      </c>
      <c r="I560" s="108">
        <f t="shared" si="323"/>
        <v>0</v>
      </c>
      <c r="J560" s="108">
        <f t="shared" si="323"/>
        <v>0</v>
      </c>
      <c r="K560" s="108">
        <f t="shared" si="323"/>
        <v>0</v>
      </c>
      <c r="L560" s="108">
        <f t="shared" si="323"/>
        <v>0</v>
      </c>
      <c r="M560" s="108">
        <f t="shared" si="323"/>
        <v>0</v>
      </c>
      <c r="N560" s="108">
        <f t="shared" si="323"/>
        <v>0</v>
      </c>
      <c r="O560" s="108">
        <f t="shared" si="323"/>
        <v>0</v>
      </c>
      <c r="P560" s="108">
        <f t="shared" si="323"/>
        <v>0</v>
      </c>
      <c r="Q560" s="108">
        <f t="shared" si="323"/>
        <v>0</v>
      </c>
      <c r="R560" s="108">
        <f t="shared" si="323"/>
        <v>0</v>
      </c>
      <c r="S560" s="108">
        <f t="shared" si="323"/>
        <v>0</v>
      </c>
      <c r="T560" s="28" t="s">
        <v>26</v>
      </c>
      <c r="V560" s="104" t="str">
        <f>$V$82</f>
        <v>-</v>
      </c>
      <c r="W560" s="108">
        <f t="shared" si="279"/>
        <v>-1</v>
      </c>
      <c r="X560" s="108">
        <f t="shared" si="280"/>
        <v>-1</v>
      </c>
      <c r="Y560" s="108">
        <f t="shared" si="281"/>
        <v>-1</v>
      </c>
      <c r="Z560" s="108">
        <f t="shared" si="282"/>
        <v>-1</v>
      </c>
      <c r="AA560" s="108">
        <f t="shared" si="283"/>
        <v>-1</v>
      </c>
      <c r="AB560" s="108">
        <f t="shared" si="284"/>
        <v>-1</v>
      </c>
      <c r="AC560" s="108">
        <f t="shared" si="285"/>
        <v>-1</v>
      </c>
      <c r="AD560" s="108">
        <f t="shared" si="286"/>
        <v>-1</v>
      </c>
      <c r="AE560" s="108">
        <f t="shared" si="287"/>
        <v>-1</v>
      </c>
      <c r="AF560" s="108">
        <f t="shared" si="288"/>
        <v>-1</v>
      </c>
      <c r="AG560" s="108">
        <f t="shared" si="289"/>
        <v>-1</v>
      </c>
      <c r="AH560" s="108">
        <f t="shared" si="290"/>
        <v>-1</v>
      </c>
      <c r="AI560" s="108">
        <f t="shared" si="291"/>
        <v>-1</v>
      </c>
      <c r="AJ560" s="108">
        <f t="shared" si="292"/>
        <v>-1</v>
      </c>
      <c r="AK560" s="108">
        <f t="shared" si="293"/>
        <v>-1</v>
      </c>
      <c r="AL560" s="108">
        <f t="shared" si="294"/>
        <v>-1</v>
      </c>
      <c r="AM560" s="108"/>
      <c r="AQ560" s="104" t="str">
        <f>$V$59</f>
        <v>Benjamin</v>
      </c>
      <c r="AR560" s="54">
        <v>0</v>
      </c>
      <c r="AS560" s="54">
        <v>0</v>
      </c>
      <c r="AT560" s="54">
        <v>0</v>
      </c>
      <c r="AU560" s="54">
        <v>0</v>
      </c>
      <c r="AV560" s="54">
        <v>0</v>
      </c>
      <c r="AW560" s="54">
        <v>0</v>
      </c>
      <c r="AX560" s="54">
        <v>0</v>
      </c>
      <c r="AY560" s="54">
        <v>0</v>
      </c>
      <c r="AZ560" s="54">
        <v>0</v>
      </c>
      <c r="BA560" s="54">
        <v>0</v>
      </c>
      <c r="BB560" s="54">
        <v>0</v>
      </c>
      <c r="BC560" s="54">
        <v>0</v>
      </c>
      <c r="BD560" s="54">
        <v>0</v>
      </c>
      <c r="BE560" s="54">
        <v>0</v>
      </c>
      <c r="BF560" s="54">
        <v>0</v>
      </c>
      <c r="BG560" s="54">
        <v>0</v>
      </c>
      <c r="BH560" s="54">
        <v>0</v>
      </c>
      <c r="BK560" s="104" t="str">
        <f>V46</f>
        <v>Dummy 2</v>
      </c>
      <c r="BL560" s="104" t="str">
        <f>$W$33</f>
        <v>16h</v>
      </c>
      <c r="BM560" s="104" t="str">
        <f>$X$33</f>
        <v>17h</v>
      </c>
      <c r="BN560" s="104" t="str">
        <f>$Y$33</f>
        <v>18h</v>
      </c>
      <c r="BO560" s="104" t="str">
        <f>$Z$33</f>
        <v>19h</v>
      </c>
      <c r="BP560" s="104" t="str">
        <f>$AA$33</f>
        <v>20h</v>
      </c>
      <c r="BQ560" s="104" t="str">
        <f>$AB$33</f>
        <v>21h</v>
      </c>
      <c r="BR560" s="104" t="str">
        <f>$AC$33</f>
        <v>22h</v>
      </c>
      <c r="BS560" s="104" t="str">
        <f>$AD$33</f>
        <v>23h</v>
      </c>
      <c r="BT560" s="104" t="str">
        <f>$AE$33</f>
        <v>00h</v>
      </c>
      <c r="BU560" s="104" t="str">
        <f>$AF$33</f>
        <v>01h</v>
      </c>
      <c r="BV560" s="104" t="str">
        <f>$AG$33</f>
        <v>02h</v>
      </c>
      <c r="BW560" s="104" t="str">
        <f>$AH$33</f>
        <v>03h</v>
      </c>
      <c r="BX560" s="104" t="str">
        <f>$AI$33</f>
        <v>04h</v>
      </c>
      <c r="BY560" s="104" t="str">
        <f>$AJ$33</f>
        <v>05h</v>
      </c>
      <c r="BZ560" s="104" t="str">
        <f>$AK$33</f>
        <v>06h</v>
      </c>
      <c r="CA560" s="104" t="str">
        <f>$AL$33</f>
        <v>07h</v>
      </c>
      <c r="CB560" s="104" t="str">
        <f>$AM$33</f>
        <v>08h</v>
      </c>
    </row>
    <row r="561" spans="3:80" x14ac:dyDescent="0.55000000000000004">
      <c r="C561" s="104" t="str">
        <f>$V$83</f>
        <v>-</v>
      </c>
      <c r="D561" s="108">
        <f t="shared" ref="D561:S561" si="324">D83</f>
        <v>0</v>
      </c>
      <c r="E561" s="108">
        <f t="shared" si="324"/>
        <v>0</v>
      </c>
      <c r="F561" s="108">
        <f t="shared" si="324"/>
        <v>0</v>
      </c>
      <c r="G561" s="108">
        <f t="shared" si="324"/>
        <v>0</v>
      </c>
      <c r="H561" s="108">
        <f t="shared" si="324"/>
        <v>0</v>
      </c>
      <c r="I561" s="108">
        <f t="shared" si="324"/>
        <v>0</v>
      </c>
      <c r="J561" s="108">
        <f t="shared" si="324"/>
        <v>0</v>
      </c>
      <c r="K561" s="108">
        <f t="shared" si="324"/>
        <v>0</v>
      </c>
      <c r="L561" s="108">
        <f t="shared" si="324"/>
        <v>0</v>
      </c>
      <c r="M561" s="108">
        <f t="shared" si="324"/>
        <v>0</v>
      </c>
      <c r="N561" s="108">
        <f t="shared" si="324"/>
        <v>0</v>
      </c>
      <c r="O561" s="108">
        <f t="shared" si="324"/>
        <v>0</v>
      </c>
      <c r="P561" s="108">
        <f t="shared" si="324"/>
        <v>0</v>
      </c>
      <c r="Q561" s="108">
        <f t="shared" si="324"/>
        <v>0</v>
      </c>
      <c r="R561" s="108">
        <f t="shared" si="324"/>
        <v>0</v>
      </c>
      <c r="S561" s="108">
        <f t="shared" si="324"/>
        <v>0</v>
      </c>
      <c r="T561" s="28" t="s">
        <v>26</v>
      </c>
      <c r="V561" s="104" t="str">
        <f>$V$83</f>
        <v>-</v>
      </c>
      <c r="W561" s="108">
        <f t="shared" si="279"/>
        <v>-1</v>
      </c>
      <c r="X561" s="108">
        <f t="shared" si="280"/>
        <v>-1</v>
      </c>
      <c r="Y561" s="108">
        <f t="shared" si="281"/>
        <v>-1</v>
      </c>
      <c r="Z561" s="108">
        <f t="shared" si="282"/>
        <v>-1</v>
      </c>
      <c r="AA561" s="108">
        <f t="shared" si="283"/>
        <v>-1</v>
      </c>
      <c r="AB561" s="108">
        <f t="shared" si="284"/>
        <v>-1</v>
      </c>
      <c r="AC561" s="108">
        <f t="shared" si="285"/>
        <v>-1</v>
      </c>
      <c r="AD561" s="108">
        <f t="shared" si="286"/>
        <v>-1</v>
      </c>
      <c r="AE561" s="108">
        <f t="shared" si="287"/>
        <v>-1</v>
      </c>
      <c r="AF561" s="108">
        <f t="shared" si="288"/>
        <v>-1</v>
      </c>
      <c r="AG561" s="108">
        <f t="shared" si="289"/>
        <v>-1</v>
      </c>
      <c r="AH561" s="108">
        <f t="shared" si="290"/>
        <v>-1</v>
      </c>
      <c r="AI561" s="108">
        <f t="shared" si="291"/>
        <v>-1</v>
      </c>
      <c r="AJ561" s="108">
        <f t="shared" si="292"/>
        <v>-1</v>
      </c>
      <c r="AK561" s="108">
        <f t="shared" si="293"/>
        <v>-1</v>
      </c>
      <c r="AL561" s="108">
        <f t="shared" si="294"/>
        <v>-1</v>
      </c>
      <c r="AM561" s="108"/>
      <c r="AQ561" s="104" t="str">
        <f>$V$60</f>
        <v>Joelle</v>
      </c>
      <c r="AR561" s="54">
        <v>0</v>
      </c>
      <c r="AS561" s="54">
        <v>0</v>
      </c>
      <c r="AT561" s="54">
        <v>0</v>
      </c>
      <c r="AU561" s="54">
        <v>0</v>
      </c>
      <c r="AV561" s="54">
        <v>0</v>
      </c>
      <c r="AW561" s="54">
        <v>0</v>
      </c>
      <c r="AX561" s="54">
        <v>0</v>
      </c>
      <c r="AY561" s="54">
        <v>0</v>
      </c>
      <c r="AZ561" s="54">
        <v>0</v>
      </c>
      <c r="BA561" s="54">
        <v>0</v>
      </c>
      <c r="BB561" s="54">
        <v>0</v>
      </c>
      <c r="BC561" s="54">
        <v>0</v>
      </c>
      <c r="BD561" s="54">
        <v>0</v>
      </c>
      <c r="BE561" s="54">
        <v>0</v>
      </c>
      <c r="BF561" s="54">
        <v>0</v>
      </c>
      <c r="BG561" s="54">
        <v>0</v>
      </c>
      <c r="BH561" s="54">
        <v>0</v>
      </c>
      <c r="BK561" s="104" t="str">
        <f>$V$53</f>
        <v>Jennifer</v>
      </c>
      <c r="BL561" s="108">
        <v>0</v>
      </c>
      <c r="BM561" s="108">
        <v>0</v>
      </c>
      <c r="BN561" s="108">
        <v>0</v>
      </c>
      <c r="BO561" s="108">
        <v>0</v>
      </c>
      <c r="BP561" s="108">
        <v>0</v>
      </c>
      <c r="BQ561" s="108">
        <v>0</v>
      </c>
      <c r="BR561" s="108">
        <v>0</v>
      </c>
      <c r="BS561" s="108">
        <v>0</v>
      </c>
      <c r="BT561" s="108">
        <v>0</v>
      </c>
      <c r="BU561" s="108">
        <v>0</v>
      </c>
      <c r="BV561" s="108">
        <v>0</v>
      </c>
      <c r="BW561" s="108">
        <v>0</v>
      </c>
      <c r="BX561" s="108">
        <v>0</v>
      </c>
      <c r="BY561" s="108">
        <v>0</v>
      </c>
      <c r="BZ561" s="108">
        <v>0</v>
      </c>
      <c r="CA561" s="108">
        <v>0</v>
      </c>
      <c r="CB561" s="108">
        <v>0</v>
      </c>
    </row>
    <row r="562" spans="3:80" x14ac:dyDescent="0.55000000000000004">
      <c r="C562" s="104" t="str">
        <f>$V$84</f>
        <v>-</v>
      </c>
      <c r="D562" s="108">
        <f t="shared" ref="D562:S562" si="325">D84</f>
        <v>0</v>
      </c>
      <c r="E562" s="108">
        <f t="shared" si="325"/>
        <v>0</v>
      </c>
      <c r="F562" s="108">
        <f t="shared" si="325"/>
        <v>0</v>
      </c>
      <c r="G562" s="108">
        <f t="shared" si="325"/>
        <v>0</v>
      </c>
      <c r="H562" s="108">
        <f t="shared" si="325"/>
        <v>0</v>
      </c>
      <c r="I562" s="108">
        <f t="shared" si="325"/>
        <v>0</v>
      </c>
      <c r="J562" s="108">
        <f t="shared" si="325"/>
        <v>0</v>
      </c>
      <c r="K562" s="108">
        <f t="shared" si="325"/>
        <v>0</v>
      </c>
      <c r="L562" s="108">
        <f t="shared" si="325"/>
        <v>0</v>
      </c>
      <c r="M562" s="108">
        <f t="shared" si="325"/>
        <v>0</v>
      </c>
      <c r="N562" s="108">
        <f t="shared" si="325"/>
        <v>0</v>
      </c>
      <c r="O562" s="108">
        <f t="shared" si="325"/>
        <v>0</v>
      </c>
      <c r="P562" s="108">
        <f t="shared" si="325"/>
        <v>0</v>
      </c>
      <c r="Q562" s="108">
        <f t="shared" si="325"/>
        <v>0</v>
      </c>
      <c r="R562" s="108">
        <f t="shared" si="325"/>
        <v>0</v>
      </c>
      <c r="S562" s="108">
        <f t="shared" si="325"/>
        <v>0</v>
      </c>
      <c r="T562" s="28" t="s">
        <v>26</v>
      </c>
      <c r="V562" s="104" t="str">
        <f>$V$84</f>
        <v>-</v>
      </c>
      <c r="W562" s="108">
        <f t="shared" si="279"/>
        <v>-1</v>
      </c>
      <c r="X562" s="108">
        <f t="shared" si="280"/>
        <v>-1</v>
      </c>
      <c r="Y562" s="108">
        <f t="shared" si="281"/>
        <v>-1</v>
      </c>
      <c r="Z562" s="108">
        <f t="shared" si="282"/>
        <v>-1</v>
      </c>
      <c r="AA562" s="108">
        <f t="shared" si="283"/>
        <v>-1</v>
      </c>
      <c r="AB562" s="108">
        <f t="shared" si="284"/>
        <v>-1</v>
      </c>
      <c r="AC562" s="108">
        <f t="shared" si="285"/>
        <v>-1</v>
      </c>
      <c r="AD562" s="108">
        <f t="shared" si="286"/>
        <v>-1</v>
      </c>
      <c r="AE562" s="108">
        <f t="shared" si="287"/>
        <v>-1</v>
      </c>
      <c r="AF562" s="108">
        <f t="shared" si="288"/>
        <v>-1</v>
      </c>
      <c r="AG562" s="108">
        <f t="shared" si="289"/>
        <v>-1</v>
      </c>
      <c r="AH562" s="108">
        <f t="shared" si="290"/>
        <v>-1</v>
      </c>
      <c r="AI562" s="108">
        <f t="shared" si="291"/>
        <v>-1</v>
      </c>
      <c r="AJ562" s="108">
        <f t="shared" si="292"/>
        <v>-1</v>
      </c>
      <c r="AK562" s="108">
        <f t="shared" si="293"/>
        <v>-1</v>
      </c>
      <c r="AL562" s="108">
        <f t="shared" si="294"/>
        <v>-1</v>
      </c>
      <c r="AM562" s="108"/>
      <c r="AQ562" s="104" t="str">
        <f>$V$61</f>
        <v>Alexia</v>
      </c>
      <c r="AR562" s="54">
        <v>0</v>
      </c>
      <c r="AS562" s="54">
        <v>0</v>
      </c>
      <c r="AT562" s="54">
        <v>0</v>
      </c>
      <c r="AU562" s="54">
        <v>0</v>
      </c>
      <c r="AV562" s="54">
        <v>0</v>
      </c>
      <c r="AW562" s="54">
        <v>0</v>
      </c>
      <c r="AX562" s="54">
        <v>0</v>
      </c>
      <c r="AY562" s="54">
        <v>0</v>
      </c>
      <c r="AZ562" s="54">
        <v>0</v>
      </c>
      <c r="BA562" s="54">
        <v>0</v>
      </c>
      <c r="BB562" s="54">
        <v>0</v>
      </c>
      <c r="BC562" s="54">
        <v>0</v>
      </c>
      <c r="BD562" s="54">
        <v>0</v>
      </c>
      <c r="BE562" s="54">
        <v>0</v>
      </c>
      <c r="BF562" s="54">
        <v>0</v>
      </c>
      <c r="BG562" s="54">
        <v>0</v>
      </c>
      <c r="BH562" s="54">
        <v>0</v>
      </c>
      <c r="BK562" s="104" t="str">
        <f>$V$54</f>
        <v>Galileo</v>
      </c>
      <c r="BL562" s="108">
        <v>0</v>
      </c>
      <c r="BM562" s="108">
        <v>0</v>
      </c>
      <c r="BN562" s="108">
        <v>0</v>
      </c>
      <c r="BO562" s="108">
        <v>0</v>
      </c>
      <c r="BP562" s="108">
        <v>0</v>
      </c>
      <c r="BQ562" s="108">
        <v>0</v>
      </c>
      <c r="BR562" s="108">
        <v>0</v>
      </c>
      <c r="BS562" s="108">
        <v>0</v>
      </c>
      <c r="BT562" s="108">
        <v>0</v>
      </c>
      <c r="BU562" s="108">
        <v>0</v>
      </c>
      <c r="BV562" s="108">
        <v>0</v>
      </c>
      <c r="BW562" s="108">
        <v>0</v>
      </c>
      <c r="BX562" s="108">
        <v>0</v>
      </c>
      <c r="BY562" s="108">
        <v>0</v>
      </c>
      <c r="BZ562" s="108">
        <v>0</v>
      </c>
      <c r="CA562" s="108">
        <v>0</v>
      </c>
      <c r="CB562" s="108">
        <v>0</v>
      </c>
    </row>
    <row r="563" spans="3:80" x14ac:dyDescent="0.55000000000000004">
      <c r="C563" s="104" t="str">
        <f>$V$85</f>
        <v>-</v>
      </c>
      <c r="D563" s="108">
        <f t="shared" ref="D563:S563" si="326">D85</f>
        <v>0</v>
      </c>
      <c r="E563" s="108">
        <f t="shared" si="326"/>
        <v>0</v>
      </c>
      <c r="F563" s="108">
        <f t="shared" si="326"/>
        <v>0</v>
      </c>
      <c r="G563" s="108">
        <f t="shared" si="326"/>
        <v>0</v>
      </c>
      <c r="H563" s="108">
        <f t="shared" si="326"/>
        <v>0</v>
      </c>
      <c r="I563" s="108">
        <f t="shared" si="326"/>
        <v>0</v>
      </c>
      <c r="J563" s="108">
        <f t="shared" si="326"/>
        <v>0</v>
      </c>
      <c r="K563" s="108">
        <f t="shared" si="326"/>
        <v>0</v>
      </c>
      <c r="L563" s="108">
        <f t="shared" si="326"/>
        <v>0</v>
      </c>
      <c r="M563" s="108">
        <f t="shared" si="326"/>
        <v>0</v>
      </c>
      <c r="N563" s="108">
        <f t="shared" si="326"/>
        <v>0</v>
      </c>
      <c r="O563" s="108">
        <f t="shared" si="326"/>
        <v>0</v>
      </c>
      <c r="P563" s="108">
        <f t="shared" si="326"/>
        <v>0</v>
      </c>
      <c r="Q563" s="108">
        <f t="shared" si="326"/>
        <v>0</v>
      </c>
      <c r="R563" s="108">
        <f t="shared" si="326"/>
        <v>0</v>
      </c>
      <c r="S563" s="108">
        <f t="shared" si="326"/>
        <v>0</v>
      </c>
      <c r="T563" s="28" t="s">
        <v>26</v>
      </c>
      <c r="V563" s="104" t="str">
        <f>$V$85</f>
        <v>-</v>
      </c>
      <c r="W563" s="108">
        <f t="shared" si="279"/>
        <v>-1</v>
      </c>
      <c r="X563" s="108">
        <f t="shared" si="280"/>
        <v>-1</v>
      </c>
      <c r="Y563" s="108">
        <f t="shared" si="281"/>
        <v>-1</v>
      </c>
      <c r="Z563" s="108">
        <f t="shared" si="282"/>
        <v>-1</v>
      </c>
      <c r="AA563" s="108">
        <f t="shared" si="283"/>
        <v>-1</v>
      </c>
      <c r="AB563" s="108">
        <f t="shared" si="284"/>
        <v>-1</v>
      </c>
      <c r="AC563" s="108">
        <f t="shared" si="285"/>
        <v>-1</v>
      </c>
      <c r="AD563" s="108">
        <f t="shared" si="286"/>
        <v>-1</v>
      </c>
      <c r="AE563" s="108">
        <f t="shared" si="287"/>
        <v>-1</v>
      </c>
      <c r="AF563" s="108">
        <f t="shared" si="288"/>
        <v>-1</v>
      </c>
      <c r="AG563" s="108">
        <f t="shared" si="289"/>
        <v>-1</v>
      </c>
      <c r="AH563" s="108">
        <f t="shared" si="290"/>
        <v>-1</v>
      </c>
      <c r="AI563" s="108">
        <f t="shared" si="291"/>
        <v>-1</v>
      </c>
      <c r="AJ563" s="108">
        <f t="shared" si="292"/>
        <v>-1</v>
      </c>
      <c r="AK563" s="108">
        <f t="shared" si="293"/>
        <v>-1</v>
      </c>
      <c r="AL563" s="108">
        <f t="shared" si="294"/>
        <v>-1</v>
      </c>
      <c r="AM563" s="108"/>
      <c r="AQ563" s="104" t="str">
        <f>$V$62</f>
        <v>Joao</v>
      </c>
      <c r="AR563" s="54">
        <v>0</v>
      </c>
      <c r="AS563" s="54">
        <v>0</v>
      </c>
      <c r="AT563" s="54">
        <v>0</v>
      </c>
      <c r="AU563" s="54">
        <v>0</v>
      </c>
      <c r="AV563" s="54">
        <v>0</v>
      </c>
      <c r="AW563" s="54">
        <v>0</v>
      </c>
      <c r="AX563" s="54">
        <v>0</v>
      </c>
      <c r="AY563" s="54">
        <v>0</v>
      </c>
      <c r="AZ563" s="54">
        <v>0</v>
      </c>
      <c r="BA563" s="54">
        <v>0</v>
      </c>
      <c r="BB563" s="54">
        <v>0</v>
      </c>
      <c r="BC563" s="54">
        <v>0</v>
      </c>
      <c r="BD563" s="54">
        <v>0</v>
      </c>
      <c r="BE563" s="54">
        <v>0</v>
      </c>
      <c r="BF563" s="54">
        <v>0</v>
      </c>
      <c r="BG563" s="54">
        <v>0</v>
      </c>
      <c r="BH563" s="54">
        <v>0</v>
      </c>
      <c r="BK563" s="104" t="str">
        <f>$V$55</f>
        <v>Óscar</v>
      </c>
      <c r="BL563" s="108">
        <v>0</v>
      </c>
      <c r="BM563" s="108">
        <v>0</v>
      </c>
      <c r="BN563" s="108">
        <v>0</v>
      </c>
      <c r="BO563" s="108">
        <v>0</v>
      </c>
      <c r="BP563" s="108">
        <v>0</v>
      </c>
      <c r="BQ563" s="108">
        <v>0</v>
      </c>
      <c r="BR563" s="108">
        <v>0</v>
      </c>
      <c r="BS563" s="108">
        <v>0</v>
      </c>
      <c r="BT563" s="108">
        <v>0</v>
      </c>
      <c r="BU563" s="108">
        <v>0</v>
      </c>
      <c r="BV563" s="108">
        <v>0</v>
      </c>
      <c r="BW563" s="108">
        <v>0</v>
      </c>
      <c r="BX563" s="108">
        <v>0</v>
      </c>
      <c r="BY563" s="108">
        <v>0</v>
      </c>
      <c r="BZ563" s="108">
        <v>0</v>
      </c>
      <c r="CA563" s="108">
        <v>0</v>
      </c>
      <c r="CB563" s="108">
        <v>0</v>
      </c>
    </row>
    <row r="564" spans="3:80" x14ac:dyDescent="0.55000000000000004">
      <c r="C564" s="104" t="str">
        <f>$V$86</f>
        <v>-</v>
      </c>
      <c r="D564" s="108">
        <f t="shared" ref="D564:S564" si="327">D86</f>
        <v>0</v>
      </c>
      <c r="E564" s="108">
        <f t="shared" si="327"/>
        <v>0</v>
      </c>
      <c r="F564" s="108">
        <f t="shared" si="327"/>
        <v>0</v>
      </c>
      <c r="G564" s="108">
        <f t="shared" si="327"/>
        <v>0</v>
      </c>
      <c r="H564" s="108">
        <f t="shared" si="327"/>
        <v>0</v>
      </c>
      <c r="I564" s="108">
        <f t="shared" si="327"/>
        <v>0</v>
      </c>
      <c r="J564" s="108">
        <f t="shared" si="327"/>
        <v>0</v>
      </c>
      <c r="K564" s="108">
        <f t="shared" si="327"/>
        <v>0</v>
      </c>
      <c r="L564" s="108">
        <f t="shared" si="327"/>
        <v>0</v>
      </c>
      <c r="M564" s="108">
        <f t="shared" si="327"/>
        <v>0</v>
      </c>
      <c r="N564" s="108">
        <f t="shared" si="327"/>
        <v>0</v>
      </c>
      <c r="O564" s="108">
        <f t="shared" si="327"/>
        <v>0</v>
      </c>
      <c r="P564" s="108">
        <f t="shared" si="327"/>
        <v>0</v>
      </c>
      <c r="Q564" s="108">
        <f t="shared" si="327"/>
        <v>0</v>
      </c>
      <c r="R564" s="108">
        <f t="shared" si="327"/>
        <v>0</v>
      </c>
      <c r="S564" s="108">
        <f t="shared" si="327"/>
        <v>0</v>
      </c>
      <c r="T564" s="28" t="s">
        <v>26</v>
      </c>
      <c r="V564" s="104" t="str">
        <f>$V$86</f>
        <v>-</v>
      </c>
      <c r="W564" s="108">
        <f t="shared" si="279"/>
        <v>-1</v>
      </c>
      <c r="X564" s="108">
        <f t="shared" si="280"/>
        <v>-1</v>
      </c>
      <c r="Y564" s="108">
        <f t="shared" si="281"/>
        <v>-1</v>
      </c>
      <c r="Z564" s="108">
        <f t="shared" si="282"/>
        <v>-1</v>
      </c>
      <c r="AA564" s="108">
        <f t="shared" si="283"/>
        <v>-1</v>
      </c>
      <c r="AB564" s="108">
        <f t="shared" si="284"/>
        <v>-1</v>
      </c>
      <c r="AC564" s="108">
        <f t="shared" si="285"/>
        <v>-1</v>
      </c>
      <c r="AD564" s="108">
        <f t="shared" si="286"/>
        <v>-1</v>
      </c>
      <c r="AE564" s="108">
        <f t="shared" si="287"/>
        <v>-1</v>
      </c>
      <c r="AF564" s="108">
        <f t="shared" si="288"/>
        <v>-1</v>
      </c>
      <c r="AG564" s="108">
        <f t="shared" si="289"/>
        <v>-1</v>
      </c>
      <c r="AH564" s="108">
        <f t="shared" si="290"/>
        <v>-1</v>
      </c>
      <c r="AI564" s="108">
        <f t="shared" si="291"/>
        <v>-1</v>
      </c>
      <c r="AJ564" s="108">
        <f t="shared" si="292"/>
        <v>-1</v>
      </c>
      <c r="AK564" s="108">
        <f t="shared" si="293"/>
        <v>-1</v>
      </c>
      <c r="AL564" s="108">
        <f t="shared" si="294"/>
        <v>-1</v>
      </c>
      <c r="AM564" s="108"/>
      <c r="AQ564" s="104" t="str">
        <f>$V$63</f>
        <v>Maxime</v>
      </c>
      <c r="AR564" s="54">
        <v>0</v>
      </c>
      <c r="AS564" s="54">
        <v>0</v>
      </c>
      <c r="AT564" s="54">
        <v>0</v>
      </c>
      <c r="AU564" s="54">
        <v>0</v>
      </c>
      <c r="AV564" s="54">
        <v>0</v>
      </c>
      <c r="AW564" s="54">
        <v>0</v>
      </c>
      <c r="AX564" s="54">
        <v>0</v>
      </c>
      <c r="AY564" s="54">
        <v>0</v>
      </c>
      <c r="AZ564" s="54">
        <v>0</v>
      </c>
      <c r="BA564" s="54">
        <v>0</v>
      </c>
      <c r="BB564" s="54">
        <v>0</v>
      </c>
      <c r="BC564" s="54">
        <v>0</v>
      </c>
      <c r="BD564" s="54">
        <v>0</v>
      </c>
      <c r="BE564" s="54">
        <v>0</v>
      </c>
      <c r="BF564" s="54">
        <v>0</v>
      </c>
      <c r="BG564" s="54">
        <v>0</v>
      </c>
      <c r="BH564" s="54">
        <v>0</v>
      </c>
      <c r="BK564" s="104" t="str">
        <f>$V$56</f>
        <v>Sebastián</v>
      </c>
      <c r="BL564" s="108">
        <v>0</v>
      </c>
      <c r="BM564" s="108">
        <v>0</v>
      </c>
      <c r="BN564" s="108">
        <v>0</v>
      </c>
      <c r="BO564" s="108">
        <v>0</v>
      </c>
      <c r="BP564" s="108">
        <v>0</v>
      </c>
      <c r="BQ564" s="108">
        <v>0</v>
      </c>
      <c r="BR564" s="108">
        <v>0</v>
      </c>
      <c r="BS564" s="108">
        <v>0</v>
      </c>
      <c r="BT564" s="108">
        <v>0</v>
      </c>
      <c r="BU564" s="108">
        <v>0</v>
      </c>
      <c r="BV564" s="108">
        <v>0</v>
      </c>
      <c r="BW564" s="108">
        <v>0</v>
      </c>
      <c r="BX564" s="108">
        <v>0</v>
      </c>
      <c r="BY564" s="108">
        <v>0</v>
      </c>
      <c r="BZ564" s="108">
        <v>0</v>
      </c>
      <c r="CA564" s="108">
        <v>0</v>
      </c>
      <c r="CB564" s="108">
        <v>0</v>
      </c>
    </row>
    <row r="565" spans="3:80" x14ac:dyDescent="0.55000000000000004">
      <c r="C565" s="104" t="str">
        <f>$V$87</f>
        <v>-</v>
      </c>
      <c r="D565" s="108">
        <f t="shared" ref="D565:S565" si="328">D87</f>
        <v>0</v>
      </c>
      <c r="E565" s="108">
        <f t="shared" si="328"/>
        <v>0</v>
      </c>
      <c r="F565" s="108">
        <f t="shared" si="328"/>
        <v>0</v>
      </c>
      <c r="G565" s="108">
        <f t="shared" si="328"/>
        <v>0</v>
      </c>
      <c r="H565" s="108">
        <f t="shared" si="328"/>
        <v>0</v>
      </c>
      <c r="I565" s="108">
        <f t="shared" si="328"/>
        <v>0</v>
      </c>
      <c r="J565" s="108">
        <f t="shared" si="328"/>
        <v>0</v>
      </c>
      <c r="K565" s="108">
        <f t="shared" si="328"/>
        <v>0</v>
      </c>
      <c r="L565" s="108">
        <f t="shared" si="328"/>
        <v>0</v>
      </c>
      <c r="M565" s="108">
        <f t="shared" si="328"/>
        <v>0</v>
      </c>
      <c r="N565" s="108">
        <f t="shared" si="328"/>
        <v>0</v>
      </c>
      <c r="O565" s="108">
        <f t="shared" si="328"/>
        <v>0</v>
      </c>
      <c r="P565" s="108">
        <f t="shared" si="328"/>
        <v>0</v>
      </c>
      <c r="Q565" s="108">
        <f t="shared" si="328"/>
        <v>0</v>
      </c>
      <c r="R565" s="108">
        <f t="shared" si="328"/>
        <v>0</v>
      </c>
      <c r="S565" s="108">
        <f t="shared" si="328"/>
        <v>0</v>
      </c>
      <c r="T565" s="28" t="s">
        <v>26</v>
      </c>
      <c r="V565" s="104" t="str">
        <f>$V$87</f>
        <v>-</v>
      </c>
      <c r="W565" s="108">
        <f t="shared" si="279"/>
        <v>-1</v>
      </c>
      <c r="X565" s="108">
        <f t="shared" si="280"/>
        <v>-1</v>
      </c>
      <c r="Y565" s="108">
        <f t="shared" si="281"/>
        <v>-1</v>
      </c>
      <c r="Z565" s="108">
        <f t="shared" si="282"/>
        <v>-1</v>
      </c>
      <c r="AA565" s="108">
        <f t="shared" si="283"/>
        <v>-1</v>
      </c>
      <c r="AB565" s="108">
        <f t="shared" si="284"/>
        <v>-1</v>
      </c>
      <c r="AC565" s="108">
        <f t="shared" si="285"/>
        <v>-1</v>
      </c>
      <c r="AD565" s="108">
        <f t="shared" si="286"/>
        <v>-1</v>
      </c>
      <c r="AE565" s="108">
        <f t="shared" si="287"/>
        <v>-1</v>
      </c>
      <c r="AF565" s="108">
        <f t="shared" si="288"/>
        <v>-1</v>
      </c>
      <c r="AG565" s="108">
        <f t="shared" si="289"/>
        <v>-1</v>
      </c>
      <c r="AH565" s="108">
        <f t="shared" si="290"/>
        <v>-1</v>
      </c>
      <c r="AI565" s="108">
        <f t="shared" si="291"/>
        <v>-1</v>
      </c>
      <c r="AJ565" s="108">
        <f t="shared" si="292"/>
        <v>-1</v>
      </c>
      <c r="AK565" s="108">
        <f t="shared" si="293"/>
        <v>-1</v>
      </c>
      <c r="AL565" s="108">
        <f t="shared" si="294"/>
        <v>-1</v>
      </c>
      <c r="AM565" s="108"/>
      <c r="AQ565" s="104" t="str">
        <f>$V$64</f>
        <v>Alex</v>
      </c>
      <c r="AR565" s="54">
        <v>0</v>
      </c>
      <c r="AS565" s="54">
        <v>0</v>
      </c>
      <c r="AT565" s="54">
        <v>0</v>
      </c>
      <c r="AU565" s="54">
        <v>0</v>
      </c>
      <c r="AV565" s="54">
        <v>0</v>
      </c>
      <c r="AW565" s="54">
        <v>0</v>
      </c>
      <c r="AX565" s="54">
        <v>0</v>
      </c>
      <c r="AY565" s="54">
        <v>0</v>
      </c>
      <c r="AZ565" s="54">
        <v>0</v>
      </c>
      <c r="BA565" s="54">
        <v>0</v>
      </c>
      <c r="BB565" s="54">
        <v>0</v>
      </c>
      <c r="BC565" s="54">
        <v>0</v>
      </c>
      <c r="BD565" s="54">
        <v>0</v>
      </c>
      <c r="BE565" s="54">
        <v>0</v>
      </c>
      <c r="BF565" s="54">
        <v>0</v>
      </c>
      <c r="BG565" s="54">
        <v>0</v>
      </c>
      <c r="BH565" s="54">
        <v>0</v>
      </c>
      <c r="BK565" s="104" t="str">
        <f>$V$57</f>
        <v>Marcos</v>
      </c>
      <c r="BL565" s="108">
        <v>0</v>
      </c>
      <c r="BM565" s="108">
        <v>0</v>
      </c>
      <c r="BN565" s="108">
        <v>0</v>
      </c>
      <c r="BO565" s="108">
        <v>0</v>
      </c>
      <c r="BP565" s="108">
        <v>0</v>
      </c>
      <c r="BQ565" s="108">
        <v>0</v>
      </c>
      <c r="BR565" s="108">
        <v>0</v>
      </c>
      <c r="BS565" s="108">
        <v>0</v>
      </c>
      <c r="BT565" s="108">
        <v>0</v>
      </c>
      <c r="BU565" s="108">
        <v>0</v>
      </c>
      <c r="BV565" s="108">
        <v>0</v>
      </c>
      <c r="BW565" s="108">
        <v>0</v>
      </c>
      <c r="BX565" s="108">
        <v>0</v>
      </c>
      <c r="BY565" s="108">
        <v>0</v>
      </c>
      <c r="BZ565" s="108">
        <v>0</v>
      </c>
      <c r="CA565" s="108">
        <v>0</v>
      </c>
      <c r="CB565" s="108">
        <v>0</v>
      </c>
    </row>
    <row r="566" spans="3:80" x14ac:dyDescent="0.55000000000000004">
      <c r="C566" s="104" t="str">
        <f>$V$88</f>
        <v>-</v>
      </c>
      <c r="D566" s="108">
        <f t="shared" ref="D566:S566" si="329">D88</f>
        <v>0</v>
      </c>
      <c r="E566" s="108">
        <f t="shared" si="329"/>
        <v>0</v>
      </c>
      <c r="F566" s="108">
        <f t="shared" si="329"/>
        <v>0</v>
      </c>
      <c r="G566" s="108">
        <f t="shared" si="329"/>
        <v>0</v>
      </c>
      <c r="H566" s="108">
        <f t="shared" si="329"/>
        <v>0</v>
      </c>
      <c r="I566" s="108">
        <f t="shared" si="329"/>
        <v>0</v>
      </c>
      <c r="J566" s="108">
        <f t="shared" si="329"/>
        <v>0</v>
      </c>
      <c r="K566" s="108">
        <f t="shared" si="329"/>
        <v>0</v>
      </c>
      <c r="L566" s="108">
        <f t="shared" si="329"/>
        <v>0</v>
      </c>
      <c r="M566" s="108">
        <f t="shared" si="329"/>
        <v>0</v>
      </c>
      <c r="N566" s="108">
        <f t="shared" si="329"/>
        <v>0</v>
      </c>
      <c r="O566" s="108">
        <f t="shared" si="329"/>
        <v>0</v>
      </c>
      <c r="P566" s="108">
        <f t="shared" si="329"/>
        <v>0</v>
      </c>
      <c r="Q566" s="108">
        <f t="shared" si="329"/>
        <v>0</v>
      </c>
      <c r="R566" s="108">
        <f t="shared" si="329"/>
        <v>0</v>
      </c>
      <c r="S566" s="108">
        <f t="shared" si="329"/>
        <v>0</v>
      </c>
      <c r="T566" s="28" t="s">
        <v>26</v>
      </c>
      <c r="V566" s="104" t="str">
        <f>$V$88</f>
        <v>-</v>
      </c>
      <c r="W566" s="108">
        <f t="shared" si="279"/>
        <v>-1</v>
      </c>
      <c r="X566" s="108">
        <f t="shared" si="280"/>
        <v>-1</v>
      </c>
      <c r="Y566" s="108">
        <f t="shared" si="281"/>
        <v>-1</v>
      </c>
      <c r="Z566" s="108">
        <f t="shared" si="282"/>
        <v>-1</v>
      </c>
      <c r="AA566" s="108">
        <f t="shared" si="283"/>
        <v>-1</v>
      </c>
      <c r="AB566" s="108">
        <f t="shared" si="284"/>
        <v>-1</v>
      </c>
      <c r="AC566" s="108">
        <f t="shared" si="285"/>
        <v>-1</v>
      </c>
      <c r="AD566" s="108">
        <f t="shared" si="286"/>
        <v>-1</v>
      </c>
      <c r="AE566" s="108">
        <f t="shared" si="287"/>
        <v>-1</v>
      </c>
      <c r="AF566" s="108">
        <f t="shared" si="288"/>
        <v>-1</v>
      </c>
      <c r="AG566" s="108">
        <f t="shared" si="289"/>
        <v>-1</v>
      </c>
      <c r="AH566" s="108">
        <f t="shared" si="290"/>
        <v>-1</v>
      </c>
      <c r="AI566" s="108">
        <f t="shared" si="291"/>
        <v>-1</v>
      </c>
      <c r="AJ566" s="108">
        <f t="shared" si="292"/>
        <v>-1</v>
      </c>
      <c r="AK566" s="108">
        <f t="shared" si="293"/>
        <v>-1</v>
      </c>
      <c r="AL566" s="108">
        <f t="shared" si="294"/>
        <v>-1</v>
      </c>
      <c r="AM566" s="108"/>
      <c r="AQ566" s="104" t="str">
        <f>$V$65</f>
        <v>Alyssa</v>
      </c>
      <c r="AR566" s="54">
        <v>0</v>
      </c>
      <c r="AS566" s="54">
        <v>0</v>
      </c>
      <c r="AT566" s="54">
        <v>0</v>
      </c>
      <c r="AU566" s="54">
        <v>0</v>
      </c>
      <c r="AV566" s="54">
        <v>0</v>
      </c>
      <c r="AW566" s="54">
        <v>0</v>
      </c>
      <c r="AX566" s="54">
        <v>0</v>
      </c>
      <c r="AY566" s="54">
        <v>0</v>
      </c>
      <c r="AZ566" s="54">
        <v>0</v>
      </c>
      <c r="BA566" s="54">
        <v>0</v>
      </c>
      <c r="BB566" s="54">
        <v>0</v>
      </c>
      <c r="BC566" s="54">
        <v>0</v>
      </c>
      <c r="BD566" s="54">
        <v>0</v>
      </c>
      <c r="BE566" s="54">
        <v>0</v>
      </c>
      <c r="BF566" s="54">
        <v>0</v>
      </c>
      <c r="BG566" s="54">
        <v>0</v>
      </c>
      <c r="BH566" s="54">
        <v>0</v>
      </c>
      <c r="BK566" s="104" t="str">
        <f>$V$58</f>
        <v>Weixin</v>
      </c>
      <c r="BL566" s="108">
        <v>0</v>
      </c>
      <c r="BM566" s="108">
        <v>0</v>
      </c>
      <c r="BN566" s="108">
        <v>0</v>
      </c>
      <c r="BO566" s="108">
        <v>0</v>
      </c>
      <c r="BP566" s="108">
        <v>0</v>
      </c>
      <c r="BQ566" s="108">
        <v>0</v>
      </c>
      <c r="BR566" s="108">
        <v>0</v>
      </c>
      <c r="BS566" s="108">
        <v>0</v>
      </c>
      <c r="BT566" s="108">
        <v>0</v>
      </c>
      <c r="BU566" s="108">
        <v>0</v>
      </c>
      <c r="BV566" s="108">
        <v>0</v>
      </c>
      <c r="BW566" s="108">
        <v>0</v>
      </c>
      <c r="BX566" s="108">
        <v>0</v>
      </c>
      <c r="BY566" s="108">
        <v>0</v>
      </c>
      <c r="BZ566" s="108">
        <v>0</v>
      </c>
      <c r="CA566" s="108">
        <v>0</v>
      </c>
      <c r="CB566" s="108">
        <v>0</v>
      </c>
    </row>
    <row r="567" spans="3:80" x14ac:dyDescent="0.55000000000000004">
      <c r="C567" s="104" t="str">
        <f>$V$89</f>
        <v>-</v>
      </c>
      <c r="D567" s="108">
        <f t="shared" ref="D567:S567" si="330">D89</f>
        <v>0</v>
      </c>
      <c r="E567" s="108">
        <f t="shared" si="330"/>
        <v>0</v>
      </c>
      <c r="F567" s="108">
        <f t="shared" si="330"/>
        <v>0</v>
      </c>
      <c r="G567" s="108">
        <f t="shared" si="330"/>
        <v>0</v>
      </c>
      <c r="H567" s="108">
        <f t="shared" si="330"/>
        <v>0</v>
      </c>
      <c r="I567" s="108">
        <f t="shared" si="330"/>
        <v>0</v>
      </c>
      <c r="J567" s="108">
        <f t="shared" si="330"/>
        <v>0</v>
      </c>
      <c r="K567" s="108">
        <f t="shared" si="330"/>
        <v>0</v>
      </c>
      <c r="L567" s="108">
        <f t="shared" si="330"/>
        <v>0</v>
      </c>
      <c r="M567" s="108">
        <f t="shared" si="330"/>
        <v>0</v>
      </c>
      <c r="N567" s="108">
        <f t="shared" si="330"/>
        <v>0</v>
      </c>
      <c r="O567" s="108">
        <f t="shared" si="330"/>
        <v>0</v>
      </c>
      <c r="P567" s="108">
        <f t="shared" si="330"/>
        <v>0</v>
      </c>
      <c r="Q567" s="108">
        <f t="shared" si="330"/>
        <v>0</v>
      </c>
      <c r="R567" s="108">
        <f t="shared" si="330"/>
        <v>0</v>
      </c>
      <c r="S567" s="108">
        <f t="shared" si="330"/>
        <v>0</v>
      </c>
      <c r="T567" s="28" t="s">
        <v>26</v>
      </c>
      <c r="V567" s="104" t="str">
        <f>$V$89</f>
        <v>-</v>
      </c>
      <c r="W567" s="108">
        <f t="shared" si="279"/>
        <v>-1</v>
      </c>
      <c r="X567" s="108">
        <f t="shared" si="280"/>
        <v>-1</v>
      </c>
      <c r="Y567" s="108">
        <f t="shared" si="281"/>
        <v>-1</v>
      </c>
      <c r="Z567" s="108">
        <f t="shared" si="282"/>
        <v>-1</v>
      </c>
      <c r="AA567" s="108">
        <f t="shared" si="283"/>
        <v>-1</v>
      </c>
      <c r="AB567" s="108">
        <f t="shared" si="284"/>
        <v>-1</v>
      </c>
      <c r="AC567" s="108">
        <f t="shared" si="285"/>
        <v>-1</v>
      </c>
      <c r="AD567" s="108">
        <f t="shared" si="286"/>
        <v>-1</v>
      </c>
      <c r="AE567" s="108">
        <f t="shared" si="287"/>
        <v>-1</v>
      </c>
      <c r="AF567" s="108">
        <f t="shared" si="288"/>
        <v>-1</v>
      </c>
      <c r="AG567" s="108">
        <f t="shared" si="289"/>
        <v>-1</v>
      </c>
      <c r="AH567" s="108">
        <f t="shared" si="290"/>
        <v>-1</v>
      </c>
      <c r="AI567" s="108">
        <f t="shared" si="291"/>
        <v>-1</v>
      </c>
      <c r="AJ567" s="108">
        <f t="shared" si="292"/>
        <v>-1</v>
      </c>
      <c r="AK567" s="108">
        <f t="shared" si="293"/>
        <v>-1</v>
      </c>
      <c r="AL567" s="108">
        <f t="shared" si="294"/>
        <v>-1</v>
      </c>
      <c r="AM567" s="108"/>
      <c r="AQ567" s="104" t="str">
        <f>$V$66</f>
        <v>Amanda</v>
      </c>
      <c r="AR567" s="54">
        <v>0</v>
      </c>
      <c r="AS567" s="54">
        <v>0</v>
      </c>
      <c r="AT567" s="54">
        <v>0</v>
      </c>
      <c r="AU567" s="54">
        <v>0</v>
      </c>
      <c r="AV567" s="54">
        <v>0</v>
      </c>
      <c r="AW567" s="54">
        <v>0</v>
      </c>
      <c r="AX567" s="54">
        <v>0</v>
      </c>
      <c r="AY567" s="54">
        <v>0</v>
      </c>
      <c r="AZ567" s="54">
        <v>0</v>
      </c>
      <c r="BA567" s="54">
        <v>0</v>
      </c>
      <c r="BB567" s="54">
        <v>0</v>
      </c>
      <c r="BC567" s="54">
        <v>0</v>
      </c>
      <c r="BD567" s="54">
        <v>0</v>
      </c>
      <c r="BE567" s="54">
        <v>0</v>
      </c>
      <c r="BF567" s="54">
        <v>0</v>
      </c>
      <c r="BG567" s="54">
        <v>0</v>
      </c>
      <c r="BH567" s="54">
        <v>0</v>
      </c>
      <c r="BK567" s="104" t="str">
        <f>$V$59</f>
        <v>Benjamin</v>
      </c>
      <c r="BL567" s="108">
        <v>0</v>
      </c>
      <c r="BM567" s="108">
        <v>0</v>
      </c>
      <c r="BN567" s="108">
        <v>0</v>
      </c>
      <c r="BO567" s="108">
        <v>0</v>
      </c>
      <c r="BP567" s="108">
        <v>0</v>
      </c>
      <c r="BQ567" s="108">
        <v>0</v>
      </c>
      <c r="BR567" s="108">
        <v>0</v>
      </c>
      <c r="BS567" s="108">
        <v>0</v>
      </c>
      <c r="BT567" s="108">
        <v>0</v>
      </c>
      <c r="BU567" s="108">
        <v>0</v>
      </c>
      <c r="BV567" s="108">
        <v>0</v>
      </c>
      <c r="BW567" s="108">
        <v>0</v>
      </c>
      <c r="BX567" s="108">
        <v>0</v>
      </c>
      <c r="BY567" s="108">
        <v>0</v>
      </c>
      <c r="BZ567" s="108">
        <v>0</v>
      </c>
      <c r="CA567" s="108">
        <v>0</v>
      </c>
      <c r="CB567" s="108">
        <v>0</v>
      </c>
    </row>
    <row r="568" spans="3:80" x14ac:dyDescent="0.55000000000000004">
      <c r="C568" s="104" t="str">
        <f>$V$90</f>
        <v>-</v>
      </c>
      <c r="D568" s="108">
        <f t="shared" ref="D568:S568" si="331">D90</f>
        <v>0</v>
      </c>
      <c r="E568" s="108">
        <f t="shared" si="331"/>
        <v>0</v>
      </c>
      <c r="F568" s="108">
        <f t="shared" si="331"/>
        <v>0</v>
      </c>
      <c r="G568" s="108">
        <f t="shared" si="331"/>
        <v>0</v>
      </c>
      <c r="H568" s="108">
        <f t="shared" si="331"/>
        <v>0</v>
      </c>
      <c r="I568" s="108">
        <f t="shared" si="331"/>
        <v>0</v>
      </c>
      <c r="J568" s="108">
        <f t="shared" si="331"/>
        <v>0</v>
      </c>
      <c r="K568" s="108">
        <f t="shared" si="331"/>
        <v>0</v>
      </c>
      <c r="L568" s="108">
        <f t="shared" si="331"/>
        <v>0</v>
      </c>
      <c r="M568" s="108">
        <f t="shared" si="331"/>
        <v>0</v>
      </c>
      <c r="N568" s="108">
        <f t="shared" si="331"/>
        <v>0</v>
      </c>
      <c r="O568" s="108">
        <f t="shared" si="331"/>
        <v>0</v>
      </c>
      <c r="P568" s="108">
        <f t="shared" si="331"/>
        <v>0</v>
      </c>
      <c r="Q568" s="108">
        <f t="shared" si="331"/>
        <v>0</v>
      </c>
      <c r="R568" s="108">
        <f t="shared" si="331"/>
        <v>0</v>
      </c>
      <c r="S568" s="108">
        <f t="shared" si="331"/>
        <v>0</v>
      </c>
      <c r="T568" s="28" t="s">
        <v>26</v>
      </c>
      <c r="V568" s="104" t="str">
        <f>$V$90</f>
        <v>-</v>
      </c>
      <c r="W568" s="108">
        <f t="shared" si="279"/>
        <v>-1</v>
      </c>
      <c r="X568" s="108">
        <f t="shared" si="280"/>
        <v>-1</v>
      </c>
      <c r="Y568" s="108">
        <f t="shared" si="281"/>
        <v>-1</v>
      </c>
      <c r="Z568" s="108">
        <f t="shared" si="282"/>
        <v>-1</v>
      </c>
      <c r="AA568" s="108">
        <f t="shared" si="283"/>
        <v>-1</v>
      </c>
      <c r="AB568" s="108">
        <f t="shared" si="284"/>
        <v>-1</v>
      </c>
      <c r="AC568" s="108">
        <f t="shared" si="285"/>
        <v>-1</v>
      </c>
      <c r="AD568" s="108">
        <f t="shared" si="286"/>
        <v>-1</v>
      </c>
      <c r="AE568" s="108">
        <f t="shared" si="287"/>
        <v>-1</v>
      </c>
      <c r="AF568" s="108">
        <f t="shared" si="288"/>
        <v>-1</v>
      </c>
      <c r="AG568" s="108">
        <f t="shared" si="289"/>
        <v>-1</v>
      </c>
      <c r="AH568" s="108">
        <f t="shared" si="290"/>
        <v>-1</v>
      </c>
      <c r="AI568" s="108">
        <f t="shared" si="291"/>
        <v>-1</v>
      </c>
      <c r="AJ568" s="108">
        <f t="shared" si="292"/>
        <v>-1</v>
      </c>
      <c r="AK568" s="108">
        <f t="shared" si="293"/>
        <v>-1</v>
      </c>
      <c r="AL568" s="108">
        <f t="shared" si="294"/>
        <v>-1</v>
      </c>
      <c r="AM568" s="108"/>
      <c r="AQ568" s="104" t="str">
        <f>$V$67</f>
        <v>Antoine</v>
      </c>
      <c r="AR568" s="54">
        <v>0</v>
      </c>
      <c r="AS568" s="54">
        <v>0</v>
      </c>
      <c r="AT568" s="54">
        <v>0</v>
      </c>
      <c r="AU568" s="54">
        <v>0</v>
      </c>
      <c r="AV568" s="54">
        <v>0</v>
      </c>
      <c r="AW568" s="54">
        <v>0</v>
      </c>
      <c r="AX568" s="54">
        <v>0</v>
      </c>
      <c r="AY568" s="54">
        <v>0</v>
      </c>
      <c r="AZ568" s="54">
        <v>0</v>
      </c>
      <c r="BA568" s="54">
        <v>0</v>
      </c>
      <c r="BB568" s="54">
        <v>0</v>
      </c>
      <c r="BC568" s="54">
        <v>0</v>
      </c>
      <c r="BD568" s="54">
        <v>0</v>
      </c>
      <c r="BE568" s="54">
        <v>0</v>
      </c>
      <c r="BF568" s="54">
        <v>0</v>
      </c>
      <c r="BG568" s="54">
        <v>0</v>
      </c>
      <c r="BH568" s="54">
        <v>0</v>
      </c>
      <c r="BK568" s="104" t="str">
        <f>$V$60</f>
        <v>Joelle</v>
      </c>
      <c r="BL568" s="108">
        <v>0</v>
      </c>
      <c r="BM568" s="108">
        <v>0</v>
      </c>
      <c r="BN568" s="108">
        <v>0</v>
      </c>
      <c r="BO568" s="108">
        <v>0</v>
      </c>
      <c r="BP568" s="108">
        <v>0</v>
      </c>
      <c r="BQ568" s="108">
        <v>0</v>
      </c>
      <c r="BR568" s="108">
        <v>0</v>
      </c>
      <c r="BS568" s="108">
        <v>0</v>
      </c>
      <c r="BT568" s="108">
        <v>0</v>
      </c>
      <c r="BU568" s="108">
        <v>0</v>
      </c>
      <c r="BV568" s="108">
        <v>0</v>
      </c>
      <c r="BW568" s="108">
        <v>0</v>
      </c>
      <c r="BX568" s="108">
        <v>0</v>
      </c>
      <c r="BY568" s="108">
        <v>0</v>
      </c>
      <c r="BZ568" s="108">
        <v>0</v>
      </c>
      <c r="CA568" s="108">
        <v>0</v>
      </c>
      <c r="CB568" s="108">
        <v>0</v>
      </c>
    </row>
    <row r="569" spans="3:80" x14ac:dyDescent="0.55000000000000004">
      <c r="C569" s="104" t="str">
        <f>$V$91</f>
        <v>-</v>
      </c>
      <c r="D569" s="108">
        <f t="shared" ref="D569:S569" si="332">D91</f>
        <v>0</v>
      </c>
      <c r="E569" s="108">
        <f t="shared" si="332"/>
        <v>0</v>
      </c>
      <c r="F569" s="108">
        <f t="shared" si="332"/>
        <v>0</v>
      </c>
      <c r="G569" s="108">
        <f t="shared" si="332"/>
        <v>0</v>
      </c>
      <c r="H569" s="108">
        <f t="shared" si="332"/>
        <v>0</v>
      </c>
      <c r="I569" s="108">
        <f t="shared" si="332"/>
        <v>0</v>
      </c>
      <c r="J569" s="108">
        <f t="shared" si="332"/>
        <v>0</v>
      </c>
      <c r="K569" s="108">
        <f t="shared" si="332"/>
        <v>0</v>
      </c>
      <c r="L569" s="108">
        <f t="shared" si="332"/>
        <v>0</v>
      </c>
      <c r="M569" s="108">
        <f t="shared" si="332"/>
        <v>0</v>
      </c>
      <c r="N569" s="108">
        <f t="shared" si="332"/>
        <v>0</v>
      </c>
      <c r="O569" s="108">
        <f t="shared" si="332"/>
        <v>0</v>
      </c>
      <c r="P569" s="108">
        <f t="shared" si="332"/>
        <v>0</v>
      </c>
      <c r="Q569" s="108">
        <f t="shared" si="332"/>
        <v>0</v>
      </c>
      <c r="R569" s="108">
        <f t="shared" si="332"/>
        <v>0</v>
      </c>
      <c r="S569" s="108">
        <f t="shared" si="332"/>
        <v>0</v>
      </c>
      <c r="T569" s="28" t="s">
        <v>26</v>
      </c>
      <c r="V569" s="104" t="str">
        <f>$V$91</f>
        <v>-</v>
      </c>
      <c r="W569" s="108">
        <f t="shared" si="279"/>
        <v>-1</v>
      </c>
      <c r="X569" s="108">
        <f t="shared" si="280"/>
        <v>-1</v>
      </c>
      <c r="Y569" s="108">
        <f t="shared" si="281"/>
        <v>-1</v>
      </c>
      <c r="Z569" s="108">
        <f t="shared" si="282"/>
        <v>-1</v>
      </c>
      <c r="AA569" s="108">
        <f t="shared" si="283"/>
        <v>-1</v>
      </c>
      <c r="AB569" s="108">
        <f t="shared" si="284"/>
        <v>-1</v>
      </c>
      <c r="AC569" s="108">
        <f t="shared" si="285"/>
        <v>-1</v>
      </c>
      <c r="AD569" s="108">
        <f t="shared" si="286"/>
        <v>-1</v>
      </c>
      <c r="AE569" s="108">
        <f t="shared" si="287"/>
        <v>-1</v>
      </c>
      <c r="AF569" s="108">
        <f t="shared" si="288"/>
        <v>-1</v>
      </c>
      <c r="AG569" s="108">
        <f t="shared" si="289"/>
        <v>-1</v>
      </c>
      <c r="AH569" s="108">
        <f t="shared" si="290"/>
        <v>-1</v>
      </c>
      <c r="AI569" s="108">
        <f t="shared" si="291"/>
        <v>-1</v>
      </c>
      <c r="AJ569" s="108">
        <f t="shared" si="292"/>
        <v>-1</v>
      </c>
      <c r="AK569" s="108">
        <f t="shared" si="293"/>
        <v>-1</v>
      </c>
      <c r="AL569" s="108">
        <f t="shared" si="294"/>
        <v>-1</v>
      </c>
      <c r="AM569" s="108"/>
      <c r="AQ569" s="104" t="str">
        <f>$V$68</f>
        <v>Beatriz</v>
      </c>
      <c r="AR569" s="54">
        <v>0</v>
      </c>
      <c r="AS569" s="54">
        <v>0</v>
      </c>
      <c r="AT569" s="54">
        <v>0</v>
      </c>
      <c r="AU569" s="54">
        <v>0</v>
      </c>
      <c r="AV569" s="54">
        <v>0</v>
      </c>
      <c r="AW569" s="54">
        <v>0</v>
      </c>
      <c r="AX569" s="54">
        <v>0</v>
      </c>
      <c r="AY569" s="54">
        <v>0</v>
      </c>
      <c r="AZ569" s="54">
        <v>0</v>
      </c>
      <c r="BA569" s="54">
        <v>0</v>
      </c>
      <c r="BB569" s="54">
        <v>0</v>
      </c>
      <c r="BC569" s="54">
        <v>0</v>
      </c>
      <c r="BD569" s="54">
        <v>0</v>
      </c>
      <c r="BE569" s="54">
        <v>0</v>
      </c>
      <c r="BF569" s="54">
        <v>0</v>
      </c>
      <c r="BG569" s="54">
        <v>0</v>
      </c>
      <c r="BH569" s="54">
        <v>0</v>
      </c>
      <c r="BK569" s="104" t="str">
        <f>$V$61</f>
        <v>Alexia</v>
      </c>
      <c r="BL569" s="108">
        <v>0</v>
      </c>
      <c r="BM569" s="108">
        <v>0</v>
      </c>
      <c r="BN569" s="108">
        <v>0</v>
      </c>
      <c r="BO569" s="108">
        <v>0</v>
      </c>
      <c r="BP569" s="108">
        <v>0</v>
      </c>
      <c r="BQ569" s="108">
        <v>0</v>
      </c>
      <c r="BR569" s="108">
        <v>0</v>
      </c>
      <c r="BS569" s="108">
        <v>0</v>
      </c>
      <c r="BT569" s="108">
        <v>0</v>
      </c>
      <c r="BU569" s="108">
        <v>0</v>
      </c>
      <c r="BV569" s="108">
        <v>0</v>
      </c>
      <c r="BW569" s="108">
        <v>0</v>
      </c>
      <c r="BX569" s="108">
        <v>0</v>
      </c>
      <c r="BY569" s="108">
        <v>0</v>
      </c>
      <c r="BZ569" s="108">
        <v>0</v>
      </c>
      <c r="CA569" s="108">
        <v>0</v>
      </c>
      <c r="CB569" s="108">
        <v>0</v>
      </c>
    </row>
    <row r="570" spans="3:80" x14ac:dyDescent="0.55000000000000004">
      <c r="C570" s="104" t="str">
        <f>$V$92</f>
        <v>-</v>
      </c>
      <c r="D570" s="108">
        <f t="shared" ref="D570:S570" si="333">D92</f>
        <v>0</v>
      </c>
      <c r="E570" s="108">
        <f t="shared" si="333"/>
        <v>0</v>
      </c>
      <c r="F570" s="108">
        <f t="shared" si="333"/>
        <v>0</v>
      </c>
      <c r="G570" s="108">
        <f t="shared" si="333"/>
        <v>0</v>
      </c>
      <c r="H570" s="108">
        <f t="shared" si="333"/>
        <v>0</v>
      </c>
      <c r="I570" s="108">
        <f t="shared" si="333"/>
        <v>0</v>
      </c>
      <c r="J570" s="108">
        <f t="shared" si="333"/>
        <v>0</v>
      </c>
      <c r="K570" s="108">
        <f t="shared" si="333"/>
        <v>0</v>
      </c>
      <c r="L570" s="108">
        <f t="shared" si="333"/>
        <v>0</v>
      </c>
      <c r="M570" s="108">
        <f t="shared" si="333"/>
        <v>0</v>
      </c>
      <c r="N570" s="108">
        <f t="shared" si="333"/>
        <v>0</v>
      </c>
      <c r="O570" s="108">
        <f t="shared" si="333"/>
        <v>0</v>
      </c>
      <c r="P570" s="108">
        <f t="shared" si="333"/>
        <v>0</v>
      </c>
      <c r="Q570" s="108">
        <f t="shared" si="333"/>
        <v>0</v>
      </c>
      <c r="R570" s="108">
        <f t="shared" si="333"/>
        <v>0</v>
      </c>
      <c r="S570" s="108">
        <f t="shared" si="333"/>
        <v>0</v>
      </c>
      <c r="T570" s="28" t="s">
        <v>26</v>
      </c>
      <c r="V570" s="104" t="str">
        <f>$V$92</f>
        <v>-</v>
      </c>
      <c r="W570" s="108">
        <f t="shared" si="279"/>
        <v>-1</v>
      </c>
      <c r="X570" s="108">
        <f t="shared" si="280"/>
        <v>-1</v>
      </c>
      <c r="Y570" s="108">
        <f t="shared" si="281"/>
        <v>-1</v>
      </c>
      <c r="Z570" s="108">
        <f t="shared" si="282"/>
        <v>-1</v>
      </c>
      <c r="AA570" s="108">
        <f t="shared" si="283"/>
        <v>-1</v>
      </c>
      <c r="AB570" s="108">
        <f t="shared" si="284"/>
        <v>-1</v>
      </c>
      <c r="AC570" s="108">
        <f t="shared" si="285"/>
        <v>-1</v>
      </c>
      <c r="AD570" s="108">
        <f t="shared" si="286"/>
        <v>-1</v>
      </c>
      <c r="AE570" s="108">
        <f t="shared" si="287"/>
        <v>-1</v>
      </c>
      <c r="AF570" s="108">
        <f t="shared" si="288"/>
        <v>-1</v>
      </c>
      <c r="AG570" s="108">
        <f t="shared" si="289"/>
        <v>-1</v>
      </c>
      <c r="AH570" s="108">
        <f t="shared" si="290"/>
        <v>-1</v>
      </c>
      <c r="AI570" s="108">
        <f t="shared" si="291"/>
        <v>-1</v>
      </c>
      <c r="AJ570" s="108">
        <f t="shared" si="292"/>
        <v>-1</v>
      </c>
      <c r="AK570" s="108">
        <f t="shared" si="293"/>
        <v>-1</v>
      </c>
      <c r="AL570" s="108">
        <f t="shared" si="294"/>
        <v>-1</v>
      </c>
      <c r="AM570" s="108"/>
      <c r="AQ570" s="104" t="str">
        <f>$V$69</f>
        <v>Charelle</v>
      </c>
      <c r="AR570" s="54">
        <v>0</v>
      </c>
      <c r="AS570" s="54">
        <v>0</v>
      </c>
      <c r="AT570" s="54">
        <v>0</v>
      </c>
      <c r="AU570" s="54">
        <v>0</v>
      </c>
      <c r="AV570" s="54">
        <v>0</v>
      </c>
      <c r="AW570" s="54">
        <v>0</v>
      </c>
      <c r="AX570" s="54">
        <v>0</v>
      </c>
      <c r="AY570" s="54">
        <v>0</v>
      </c>
      <c r="AZ570" s="54">
        <v>0</v>
      </c>
      <c r="BA570" s="54">
        <v>0</v>
      </c>
      <c r="BB570" s="54">
        <v>0</v>
      </c>
      <c r="BC570" s="54">
        <v>0</v>
      </c>
      <c r="BD570" s="54">
        <v>0</v>
      </c>
      <c r="BE570" s="54">
        <v>0</v>
      </c>
      <c r="BF570" s="54">
        <v>0</v>
      </c>
      <c r="BG570" s="54">
        <v>0</v>
      </c>
      <c r="BH570" s="54">
        <v>0</v>
      </c>
      <c r="BK570" s="104" t="str">
        <f>$V$62</f>
        <v>Joao</v>
      </c>
      <c r="BL570" s="108">
        <v>0</v>
      </c>
      <c r="BM570" s="108">
        <v>0</v>
      </c>
      <c r="BN570" s="108">
        <v>0</v>
      </c>
      <c r="BO570" s="108">
        <v>0</v>
      </c>
      <c r="BP570" s="108">
        <v>0</v>
      </c>
      <c r="BQ570" s="108">
        <v>0</v>
      </c>
      <c r="BR570" s="108">
        <v>0</v>
      </c>
      <c r="BS570" s="108">
        <v>0</v>
      </c>
      <c r="BT570" s="108">
        <v>0</v>
      </c>
      <c r="BU570" s="108">
        <v>0</v>
      </c>
      <c r="BV570" s="108">
        <v>0</v>
      </c>
      <c r="BW570" s="108">
        <v>0</v>
      </c>
      <c r="BX570" s="108">
        <v>0</v>
      </c>
      <c r="BY570" s="108">
        <v>0</v>
      </c>
      <c r="BZ570" s="108">
        <v>0</v>
      </c>
      <c r="CA570" s="108">
        <v>0</v>
      </c>
      <c r="CB570" s="108">
        <v>0</v>
      </c>
    </row>
    <row r="571" spans="3:80" x14ac:dyDescent="0.55000000000000004">
      <c r="AM571" s="108"/>
      <c r="AQ571" s="104" t="str">
        <f>$V$70</f>
        <v>Dimitri</v>
      </c>
      <c r="AR571" s="54">
        <v>0</v>
      </c>
      <c r="AS571" s="54">
        <v>0</v>
      </c>
      <c r="AT571" s="54">
        <v>0</v>
      </c>
      <c r="AU571" s="54">
        <v>0</v>
      </c>
      <c r="AV571" s="54">
        <v>0</v>
      </c>
      <c r="AW571" s="54">
        <v>0</v>
      </c>
      <c r="AX571" s="54">
        <v>0</v>
      </c>
      <c r="AY571" s="54">
        <v>0</v>
      </c>
      <c r="AZ571" s="54">
        <v>0</v>
      </c>
      <c r="BA571" s="54">
        <v>0</v>
      </c>
      <c r="BB571" s="54">
        <v>0</v>
      </c>
      <c r="BC571" s="54">
        <v>0</v>
      </c>
      <c r="BD571" s="54">
        <v>0</v>
      </c>
      <c r="BE571" s="54">
        <v>0</v>
      </c>
      <c r="BF571" s="54">
        <v>0</v>
      </c>
      <c r="BG571" s="54">
        <v>0</v>
      </c>
      <c r="BH571" s="54">
        <v>0</v>
      </c>
      <c r="BK571" s="104" t="str">
        <f>$V$63</f>
        <v>Maxime</v>
      </c>
      <c r="BL571" s="108">
        <v>0</v>
      </c>
      <c r="BM571" s="108">
        <v>0</v>
      </c>
      <c r="BN571" s="108">
        <v>0</v>
      </c>
      <c r="BO571" s="108">
        <v>0</v>
      </c>
      <c r="BP571" s="108">
        <v>0</v>
      </c>
      <c r="BQ571" s="108">
        <v>0</v>
      </c>
      <c r="BR571" s="108">
        <v>0</v>
      </c>
      <c r="BS571" s="108">
        <v>0</v>
      </c>
      <c r="BT571" s="108">
        <v>0</v>
      </c>
      <c r="BU571" s="108">
        <v>0</v>
      </c>
      <c r="BV571" s="108">
        <v>0</v>
      </c>
      <c r="BW571" s="108">
        <v>0</v>
      </c>
      <c r="BX571" s="108">
        <v>0</v>
      </c>
      <c r="BY571" s="108">
        <v>0</v>
      </c>
      <c r="BZ571" s="108">
        <v>0</v>
      </c>
      <c r="CA571" s="108">
        <v>0</v>
      </c>
      <c r="CB571" s="108">
        <v>0</v>
      </c>
    </row>
    <row r="572" spans="3:80" x14ac:dyDescent="0.55000000000000004">
      <c r="AM572" s="108"/>
      <c r="AQ572" s="104" t="str">
        <f>$V$71</f>
        <v>Marina</v>
      </c>
      <c r="AR572" s="54">
        <v>0</v>
      </c>
      <c r="AS572" s="54">
        <v>0</v>
      </c>
      <c r="AT572" s="54">
        <v>0</v>
      </c>
      <c r="AU572" s="54">
        <v>0</v>
      </c>
      <c r="AV572" s="54">
        <v>0</v>
      </c>
      <c r="AW572" s="54">
        <v>0</v>
      </c>
      <c r="AX572" s="54">
        <v>0</v>
      </c>
      <c r="AY572" s="54">
        <v>0</v>
      </c>
      <c r="AZ572" s="54">
        <v>0</v>
      </c>
      <c r="BA572" s="54">
        <v>0</v>
      </c>
      <c r="BB572" s="54">
        <v>0</v>
      </c>
      <c r="BC572" s="54">
        <v>0</v>
      </c>
      <c r="BD572" s="54">
        <v>0</v>
      </c>
      <c r="BE572" s="54">
        <v>0</v>
      </c>
      <c r="BF572" s="54">
        <v>0</v>
      </c>
      <c r="BG572" s="54">
        <v>0</v>
      </c>
      <c r="BH572" s="54">
        <v>0</v>
      </c>
      <c r="BK572" s="104" t="str">
        <f>$V$64</f>
        <v>Alex</v>
      </c>
      <c r="BL572" s="108">
        <v>0</v>
      </c>
      <c r="BM572" s="108">
        <v>0</v>
      </c>
      <c r="BN572" s="108">
        <v>0</v>
      </c>
      <c r="BO572" s="108">
        <v>0</v>
      </c>
      <c r="BP572" s="108">
        <v>0</v>
      </c>
      <c r="BQ572" s="108">
        <v>0</v>
      </c>
      <c r="BR572" s="108">
        <v>0</v>
      </c>
      <c r="BS572" s="108">
        <v>0</v>
      </c>
      <c r="BT572" s="108">
        <v>0</v>
      </c>
      <c r="BU572" s="108">
        <v>0</v>
      </c>
      <c r="BV572" s="108">
        <v>0</v>
      </c>
      <c r="BW572" s="108">
        <v>0</v>
      </c>
      <c r="BX572" s="108">
        <v>0</v>
      </c>
      <c r="BY572" s="108">
        <v>0</v>
      </c>
      <c r="BZ572" s="108">
        <v>0</v>
      </c>
      <c r="CA572" s="108">
        <v>0</v>
      </c>
      <c r="CB572" s="108">
        <v>0</v>
      </c>
    </row>
    <row r="573" spans="3:80" x14ac:dyDescent="0.55000000000000004">
      <c r="AM573" s="108"/>
      <c r="AQ573" s="104" t="str">
        <f>$V$72</f>
        <v>Michel</v>
      </c>
      <c r="AR573" s="54">
        <v>0</v>
      </c>
      <c r="AS573" s="54">
        <v>0</v>
      </c>
      <c r="AT573" s="54">
        <v>0</v>
      </c>
      <c r="AU573" s="54">
        <v>0</v>
      </c>
      <c r="AV573" s="54">
        <v>0</v>
      </c>
      <c r="AW573" s="54">
        <v>0</v>
      </c>
      <c r="AX573" s="54">
        <v>0</v>
      </c>
      <c r="AY573" s="54">
        <v>0</v>
      </c>
      <c r="AZ573" s="54">
        <v>0</v>
      </c>
      <c r="BA573" s="54">
        <v>0</v>
      </c>
      <c r="BB573" s="54">
        <v>0</v>
      </c>
      <c r="BC573" s="54">
        <v>0</v>
      </c>
      <c r="BD573" s="54">
        <v>0</v>
      </c>
      <c r="BE573" s="54">
        <v>0</v>
      </c>
      <c r="BF573" s="54">
        <v>0</v>
      </c>
      <c r="BG573" s="54">
        <v>0</v>
      </c>
      <c r="BH573" s="54">
        <v>0</v>
      </c>
      <c r="BK573" s="104" t="str">
        <f>$V$65</f>
        <v>Alyssa</v>
      </c>
      <c r="BL573" s="108">
        <v>0</v>
      </c>
      <c r="BM573" s="108">
        <v>0</v>
      </c>
      <c r="BN573" s="108">
        <v>0</v>
      </c>
      <c r="BO573" s="108">
        <v>0</v>
      </c>
      <c r="BP573" s="108">
        <v>0</v>
      </c>
      <c r="BQ573" s="108">
        <v>0</v>
      </c>
      <c r="BR573" s="108">
        <v>0</v>
      </c>
      <c r="BS573" s="108">
        <v>0</v>
      </c>
      <c r="BT573" s="108">
        <v>0</v>
      </c>
      <c r="BU573" s="108">
        <v>0</v>
      </c>
      <c r="BV573" s="108">
        <v>0</v>
      </c>
      <c r="BW573" s="108">
        <v>0</v>
      </c>
      <c r="BX573" s="108">
        <v>0</v>
      </c>
      <c r="BY573" s="108">
        <v>0</v>
      </c>
      <c r="BZ573" s="108">
        <v>0</v>
      </c>
      <c r="CA573" s="108">
        <v>0</v>
      </c>
      <c r="CB573" s="108">
        <v>0</v>
      </c>
    </row>
    <row r="574" spans="3:80" x14ac:dyDescent="0.55000000000000004">
      <c r="C574" s="104" t="str">
        <f>$BK$164</f>
        <v>C-mix</v>
      </c>
      <c r="D574" s="104" t="str">
        <f>$W$33</f>
        <v>16h</v>
      </c>
      <c r="E574" s="104" t="str">
        <f>$X$33</f>
        <v>17h</v>
      </c>
      <c r="F574" s="104" t="str">
        <f>$Y$33</f>
        <v>18h</v>
      </c>
      <c r="G574" s="104" t="str">
        <f>$Z$33</f>
        <v>19h</v>
      </c>
      <c r="H574" s="104" t="str">
        <f>$AA$33</f>
        <v>20h</v>
      </c>
      <c r="I574" s="104" t="str">
        <f>$AB$33</f>
        <v>21h</v>
      </c>
      <c r="J574" s="104" t="str">
        <f>$AC$33</f>
        <v>22h</v>
      </c>
      <c r="K574" s="104" t="str">
        <f>$AD$33</f>
        <v>23h</v>
      </c>
      <c r="L574" s="104" t="str">
        <f>$AE$33</f>
        <v>00h</v>
      </c>
      <c r="M574" s="104" t="str">
        <f>$AF$33</f>
        <v>01h</v>
      </c>
      <c r="N574" s="104" t="str">
        <f>$AG$33</f>
        <v>02h</v>
      </c>
      <c r="O574" s="104" t="str">
        <f>$AH$33</f>
        <v>03h</v>
      </c>
      <c r="P574" s="104" t="str">
        <f>$AI$33</f>
        <v>04h</v>
      </c>
      <c r="Q574" s="104" t="str">
        <f>$AJ$33</f>
        <v>05h</v>
      </c>
      <c r="R574" s="104" t="str">
        <f>$AK$33</f>
        <v>06h</v>
      </c>
      <c r="S574" s="104" t="str">
        <f>$AL$33</f>
        <v>07h</v>
      </c>
      <c r="V574" s="104" t="str">
        <f>$BK$164</f>
        <v>C-mix</v>
      </c>
      <c r="W574" s="104" t="str">
        <f>$W$33</f>
        <v>16h</v>
      </c>
      <c r="X574" s="104" t="str">
        <f>$X$33</f>
        <v>17h</v>
      </c>
      <c r="Y574" s="104" t="str">
        <f>$Y$33</f>
        <v>18h</v>
      </c>
      <c r="Z574" s="104" t="str">
        <f>$Z$33</f>
        <v>19h</v>
      </c>
      <c r="AA574" s="104" t="str">
        <f>$AA$33</f>
        <v>20h</v>
      </c>
      <c r="AB574" s="104" t="str">
        <f>$AB$33</f>
        <v>21h</v>
      </c>
      <c r="AC574" s="104" t="str">
        <f>$AC$33</f>
        <v>22h</v>
      </c>
      <c r="AD574" s="104" t="str">
        <f>$AD$33</f>
        <v>23h</v>
      </c>
      <c r="AE574" s="104" t="str">
        <f>$AE$33</f>
        <v>00h</v>
      </c>
      <c r="AF574" s="104" t="str">
        <f>$AF$33</f>
        <v>01h</v>
      </c>
      <c r="AG574" s="104" t="str">
        <f>$AG$33</f>
        <v>02h</v>
      </c>
      <c r="AH574" s="104" t="str">
        <f>$AH$33</f>
        <v>03h</v>
      </c>
      <c r="AI574" s="104" t="str">
        <f>$AI$33</f>
        <v>04h</v>
      </c>
      <c r="AJ574" s="104" t="str">
        <f>$AJ$33</f>
        <v>05h</v>
      </c>
      <c r="AK574" s="104" t="str">
        <f>$AK$33</f>
        <v>06h</v>
      </c>
      <c r="AL574" s="104" t="str">
        <f>$AL$33</f>
        <v>07h</v>
      </c>
      <c r="AM574" s="108"/>
      <c r="AQ574" s="104" t="str">
        <f>$V$73</f>
        <v>Nour</v>
      </c>
      <c r="AR574" s="54">
        <v>0</v>
      </c>
      <c r="AS574" s="54">
        <v>0</v>
      </c>
      <c r="AT574" s="54">
        <v>0</v>
      </c>
      <c r="AU574" s="54">
        <v>0</v>
      </c>
      <c r="AV574" s="54">
        <v>0</v>
      </c>
      <c r="AW574" s="54">
        <v>0</v>
      </c>
      <c r="AX574" s="54">
        <v>0</v>
      </c>
      <c r="AY574" s="54">
        <v>0</v>
      </c>
      <c r="AZ574" s="54">
        <v>0</v>
      </c>
      <c r="BA574" s="54">
        <v>0</v>
      </c>
      <c r="BB574" s="54">
        <v>0</v>
      </c>
      <c r="BC574" s="54">
        <v>0</v>
      </c>
      <c r="BD574" s="54">
        <v>0</v>
      </c>
      <c r="BE574" s="54">
        <v>0</v>
      </c>
      <c r="BF574" s="54">
        <v>0</v>
      </c>
      <c r="BG574" s="54">
        <v>0</v>
      </c>
      <c r="BH574" s="54">
        <v>0</v>
      </c>
      <c r="BK574" s="104" t="str">
        <f>$V$66</f>
        <v>Amanda</v>
      </c>
      <c r="BL574" s="108">
        <v>0</v>
      </c>
      <c r="BM574" s="108">
        <v>0</v>
      </c>
      <c r="BN574" s="108">
        <v>0</v>
      </c>
      <c r="BO574" s="108">
        <v>0</v>
      </c>
      <c r="BP574" s="108">
        <v>0</v>
      </c>
      <c r="BQ574" s="108">
        <v>0</v>
      </c>
      <c r="BR574" s="108">
        <v>0</v>
      </c>
      <c r="BS574" s="108">
        <v>0</v>
      </c>
      <c r="BT574" s="108">
        <v>0</v>
      </c>
      <c r="BU574" s="108">
        <v>0</v>
      </c>
      <c r="BV574" s="108">
        <v>0</v>
      </c>
      <c r="BW574" s="108">
        <v>0</v>
      </c>
      <c r="BX574" s="108">
        <v>0</v>
      </c>
      <c r="BY574" s="108">
        <v>0</v>
      </c>
      <c r="BZ574" s="108">
        <v>0</v>
      </c>
      <c r="CA574" s="108">
        <v>0</v>
      </c>
      <c r="CB574" s="108">
        <v>0</v>
      </c>
    </row>
    <row r="575" spans="3:80" x14ac:dyDescent="0.55000000000000004">
      <c r="C575" s="104" t="str">
        <f>$V$53</f>
        <v>Jennifer</v>
      </c>
      <c r="D575" s="108">
        <f t="shared" ref="D575:S575" si="334">D53</f>
        <v>0</v>
      </c>
      <c r="E575" s="108">
        <f t="shared" si="334"/>
        <v>0</v>
      </c>
      <c r="F575" s="108">
        <f t="shared" si="334"/>
        <v>0</v>
      </c>
      <c r="G575" s="108">
        <f t="shared" si="334"/>
        <v>0</v>
      </c>
      <c r="H575" s="108">
        <f t="shared" si="334"/>
        <v>0</v>
      </c>
      <c r="I575" s="108">
        <f t="shared" si="334"/>
        <v>0</v>
      </c>
      <c r="J575" s="108">
        <f t="shared" si="334"/>
        <v>0</v>
      </c>
      <c r="K575" s="108">
        <f t="shared" si="334"/>
        <v>0</v>
      </c>
      <c r="L575" s="108">
        <f t="shared" si="334"/>
        <v>0</v>
      </c>
      <c r="M575" s="108">
        <f t="shared" si="334"/>
        <v>0</v>
      </c>
      <c r="N575" s="108">
        <f t="shared" si="334"/>
        <v>0</v>
      </c>
      <c r="O575" s="108">
        <f t="shared" si="334"/>
        <v>0</v>
      </c>
      <c r="P575" s="108">
        <f t="shared" si="334"/>
        <v>0</v>
      </c>
      <c r="Q575" s="108">
        <f t="shared" si="334"/>
        <v>0</v>
      </c>
      <c r="R575" s="108">
        <f t="shared" si="334"/>
        <v>0</v>
      </c>
      <c r="S575" s="108">
        <f t="shared" si="334"/>
        <v>0</v>
      </c>
      <c r="T575" s="28" t="s">
        <v>26</v>
      </c>
      <c r="V575" s="104" t="str">
        <f>$V$53</f>
        <v>Jennifer</v>
      </c>
      <c r="W575" s="108">
        <f t="shared" ref="W575:W614" si="335">AR154+AS154-1</f>
        <v>-1</v>
      </c>
      <c r="X575" s="108">
        <f t="shared" ref="X575:X614" si="336">AS154+AT154-1</f>
        <v>-1</v>
      </c>
      <c r="Y575" s="108">
        <f t="shared" ref="Y575:Y614" si="337">AT154+AU154-1</f>
        <v>-1</v>
      </c>
      <c r="Z575" s="108">
        <f t="shared" ref="Z575:Z614" si="338">AU154+AV154-1</f>
        <v>-1</v>
      </c>
      <c r="AA575" s="108">
        <f t="shared" ref="AA575:AA614" si="339">AV154+AW154-1</f>
        <v>-1</v>
      </c>
      <c r="AB575" s="108">
        <f t="shared" ref="AB575:AB614" si="340">AW154+AX154-1</f>
        <v>-1</v>
      </c>
      <c r="AC575" s="108">
        <f t="shared" ref="AC575:AC614" si="341">AX154+AY154-1</f>
        <v>-1</v>
      </c>
      <c r="AD575" s="108">
        <f t="shared" ref="AD575:AD614" si="342">AY154+AZ154-1</f>
        <v>-1</v>
      </c>
      <c r="AE575" s="108">
        <f t="shared" ref="AE575:AE614" si="343">AZ154+BA154-1</f>
        <v>-1</v>
      </c>
      <c r="AF575" s="108">
        <f t="shared" ref="AF575:AF614" si="344">BA154+BB154-1</f>
        <v>-1</v>
      </c>
      <c r="AG575" s="108">
        <f t="shared" ref="AG575:AG614" si="345">BB154+BC154-1</f>
        <v>-1</v>
      </c>
      <c r="AH575" s="108">
        <f t="shared" ref="AH575:AH614" si="346">BC154+BD154-1</f>
        <v>-1</v>
      </c>
      <c r="AI575" s="108">
        <f t="shared" ref="AI575:AI614" si="347">BD154+BE154-1</f>
        <v>-1</v>
      </c>
      <c r="AJ575" s="108">
        <f t="shared" ref="AJ575:AJ614" si="348">BE154+BF154-1</f>
        <v>-1</v>
      </c>
      <c r="AK575" s="108">
        <f t="shared" ref="AK575:AK614" si="349">BF154+BG154-1</f>
        <v>-1</v>
      </c>
      <c r="AL575" s="108">
        <f t="shared" ref="AL575:AL614" si="350">BG154+BH154-1</f>
        <v>-1</v>
      </c>
      <c r="AM575" s="108"/>
      <c r="AQ575" s="104" t="str">
        <f>$V$74</f>
        <v>Samuel</v>
      </c>
      <c r="AR575" s="54">
        <v>0</v>
      </c>
      <c r="AS575" s="54">
        <v>0</v>
      </c>
      <c r="AT575" s="54">
        <v>0</v>
      </c>
      <c r="AU575" s="54">
        <v>0</v>
      </c>
      <c r="AV575" s="54">
        <v>0</v>
      </c>
      <c r="AW575" s="54">
        <v>0</v>
      </c>
      <c r="AX575" s="54">
        <v>0</v>
      </c>
      <c r="AY575" s="54">
        <v>0</v>
      </c>
      <c r="AZ575" s="54">
        <v>0</v>
      </c>
      <c r="BA575" s="54">
        <v>0</v>
      </c>
      <c r="BB575" s="54">
        <v>0</v>
      </c>
      <c r="BC575" s="54">
        <v>0</v>
      </c>
      <c r="BD575" s="54">
        <v>0</v>
      </c>
      <c r="BE575" s="54">
        <v>0</v>
      </c>
      <c r="BF575" s="54">
        <v>0</v>
      </c>
      <c r="BG575" s="54">
        <v>0</v>
      </c>
      <c r="BH575" s="54">
        <v>0</v>
      </c>
      <c r="BK575" s="104" t="str">
        <f>$V$67</f>
        <v>Antoine</v>
      </c>
      <c r="BL575" s="108">
        <v>0</v>
      </c>
      <c r="BM575" s="108">
        <v>0</v>
      </c>
      <c r="BN575" s="108">
        <v>0</v>
      </c>
      <c r="BO575" s="108">
        <v>0</v>
      </c>
      <c r="BP575" s="108">
        <v>0</v>
      </c>
      <c r="BQ575" s="108">
        <v>0</v>
      </c>
      <c r="BR575" s="108">
        <v>0</v>
      </c>
      <c r="BS575" s="108">
        <v>0</v>
      </c>
      <c r="BT575" s="108">
        <v>0</v>
      </c>
      <c r="BU575" s="108">
        <v>0</v>
      </c>
      <c r="BV575" s="108">
        <v>0</v>
      </c>
      <c r="BW575" s="108">
        <v>0</v>
      </c>
      <c r="BX575" s="108">
        <v>0</v>
      </c>
      <c r="BY575" s="108">
        <v>0</v>
      </c>
      <c r="BZ575" s="108">
        <v>0</v>
      </c>
      <c r="CA575" s="108">
        <v>0</v>
      </c>
      <c r="CB575" s="108">
        <v>0</v>
      </c>
    </row>
    <row r="576" spans="3:80" x14ac:dyDescent="0.55000000000000004">
      <c r="C576" s="104" t="str">
        <f>$V$54</f>
        <v>Galileo</v>
      </c>
      <c r="D576" s="108">
        <f t="shared" ref="D576:S576" si="351">D54</f>
        <v>0</v>
      </c>
      <c r="E576" s="108">
        <f t="shared" si="351"/>
        <v>0</v>
      </c>
      <c r="F576" s="108">
        <f t="shared" si="351"/>
        <v>0</v>
      </c>
      <c r="G576" s="108">
        <f t="shared" si="351"/>
        <v>0</v>
      </c>
      <c r="H576" s="108">
        <f t="shared" si="351"/>
        <v>0</v>
      </c>
      <c r="I576" s="108">
        <f t="shared" si="351"/>
        <v>0</v>
      </c>
      <c r="J576" s="108">
        <f t="shared" si="351"/>
        <v>0</v>
      </c>
      <c r="K576" s="108">
        <f t="shared" si="351"/>
        <v>0</v>
      </c>
      <c r="L576" s="108">
        <f t="shared" si="351"/>
        <v>0</v>
      </c>
      <c r="M576" s="108">
        <f t="shared" si="351"/>
        <v>0</v>
      </c>
      <c r="N576" s="108">
        <f t="shared" si="351"/>
        <v>0</v>
      </c>
      <c r="O576" s="108">
        <f t="shared" si="351"/>
        <v>0</v>
      </c>
      <c r="P576" s="108">
        <f t="shared" si="351"/>
        <v>0</v>
      </c>
      <c r="Q576" s="108">
        <f t="shared" si="351"/>
        <v>0</v>
      </c>
      <c r="R576" s="108">
        <f t="shared" si="351"/>
        <v>0</v>
      </c>
      <c r="S576" s="108">
        <f t="shared" si="351"/>
        <v>0</v>
      </c>
      <c r="T576" s="28" t="s">
        <v>26</v>
      </c>
      <c r="V576" s="104" t="str">
        <f>$V$54</f>
        <v>Galileo</v>
      </c>
      <c r="W576" s="108">
        <f t="shared" si="335"/>
        <v>0</v>
      </c>
      <c r="X576" s="108">
        <f t="shared" si="336"/>
        <v>0</v>
      </c>
      <c r="Y576" s="108">
        <f t="shared" si="337"/>
        <v>0</v>
      </c>
      <c r="Z576" s="108">
        <f t="shared" si="338"/>
        <v>-1</v>
      </c>
      <c r="AA576" s="108">
        <f t="shared" si="339"/>
        <v>-1</v>
      </c>
      <c r="AB576" s="108">
        <f t="shared" si="340"/>
        <v>-1</v>
      </c>
      <c r="AC576" s="108">
        <f t="shared" si="341"/>
        <v>0</v>
      </c>
      <c r="AD576" s="108">
        <f t="shared" si="342"/>
        <v>0</v>
      </c>
      <c r="AE576" s="108">
        <f t="shared" si="343"/>
        <v>-1</v>
      </c>
      <c r="AF576" s="108">
        <f t="shared" si="344"/>
        <v>-1</v>
      </c>
      <c r="AG576" s="108">
        <f t="shared" si="345"/>
        <v>0</v>
      </c>
      <c r="AH576" s="108">
        <f t="shared" si="346"/>
        <v>0</v>
      </c>
      <c r="AI576" s="108">
        <f t="shared" si="347"/>
        <v>-1</v>
      </c>
      <c r="AJ576" s="108">
        <f t="shared" si="348"/>
        <v>-1</v>
      </c>
      <c r="AK576" s="108">
        <f t="shared" si="349"/>
        <v>-1</v>
      </c>
      <c r="AL576" s="108">
        <f t="shared" si="350"/>
        <v>-1</v>
      </c>
      <c r="AM576" s="108"/>
      <c r="AQ576" s="104" t="str">
        <f>$V$75</f>
        <v>Yassin</v>
      </c>
      <c r="AR576" s="54">
        <v>0</v>
      </c>
      <c r="AS576" s="54">
        <v>0</v>
      </c>
      <c r="AT576" s="54">
        <v>0</v>
      </c>
      <c r="AU576" s="54">
        <v>0</v>
      </c>
      <c r="AV576" s="54">
        <v>0</v>
      </c>
      <c r="AW576" s="54">
        <v>0</v>
      </c>
      <c r="AX576" s="54">
        <v>0</v>
      </c>
      <c r="AY576" s="54">
        <v>0</v>
      </c>
      <c r="AZ576" s="54">
        <v>0</v>
      </c>
      <c r="BA576" s="54">
        <v>0</v>
      </c>
      <c r="BB576" s="54">
        <v>0</v>
      </c>
      <c r="BC576" s="54">
        <v>0</v>
      </c>
      <c r="BD576" s="54">
        <v>0</v>
      </c>
      <c r="BE576" s="54">
        <v>0</v>
      </c>
      <c r="BF576" s="54">
        <v>0</v>
      </c>
      <c r="BG576" s="54">
        <v>0</v>
      </c>
      <c r="BH576" s="54">
        <v>0</v>
      </c>
      <c r="BK576" s="104" t="str">
        <f>$V$68</f>
        <v>Beatriz</v>
      </c>
      <c r="BL576" s="108">
        <v>0</v>
      </c>
      <c r="BM576" s="108">
        <v>0</v>
      </c>
      <c r="BN576" s="108">
        <v>0</v>
      </c>
      <c r="BO576" s="108">
        <v>0</v>
      </c>
      <c r="BP576" s="108">
        <v>0</v>
      </c>
      <c r="BQ576" s="108">
        <v>0</v>
      </c>
      <c r="BR576" s="108">
        <v>0</v>
      </c>
      <c r="BS576" s="108">
        <v>0</v>
      </c>
      <c r="BT576" s="108">
        <v>0</v>
      </c>
      <c r="BU576" s="108">
        <v>0</v>
      </c>
      <c r="BV576" s="108">
        <v>0</v>
      </c>
      <c r="BW576" s="108">
        <v>0</v>
      </c>
      <c r="BX576" s="108">
        <v>0</v>
      </c>
      <c r="BY576" s="108">
        <v>0</v>
      </c>
      <c r="BZ576" s="108">
        <v>0</v>
      </c>
      <c r="CA576" s="108">
        <v>0</v>
      </c>
      <c r="CB576" s="108">
        <v>0</v>
      </c>
    </row>
    <row r="577" spans="3:80" x14ac:dyDescent="0.55000000000000004">
      <c r="C577" s="104" t="str">
        <f>$V$55</f>
        <v>Óscar</v>
      </c>
      <c r="D577" s="108">
        <f t="shared" ref="D577:S577" si="352">D55</f>
        <v>0</v>
      </c>
      <c r="E577" s="108">
        <f t="shared" si="352"/>
        <v>0</v>
      </c>
      <c r="F577" s="108">
        <f t="shared" si="352"/>
        <v>0</v>
      </c>
      <c r="G577" s="108">
        <f t="shared" si="352"/>
        <v>0</v>
      </c>
      <c r="H577" s="108">
        <f t="shared" si="352"/>
        <v>0</v>
      </c>
      <c r="I577" s="108">
        <f t="shared" si="352"/>
        <v>0</v>
      </c>
      <c r="J577" s="108">
        <f t="shared" si="352"/>
        <v>0</v>
      </c>
      <c r="K577" s="108">
        <f t="shared" si="352"/>
        <v>0</v>
      </c>
      <c r="L577" s="108">
        <f t="shared" si="352"/>
        <v>0</v>
      </c>
      <c r="M577" s="108">
        <f t="shared" si="352"/>
        <v>0</v>
      </c>
      <c r="N577" s="108">
        <f t="shared" si="352"/>
        <v>0</v>
      </c>
      <c r="O577" s="108">
        <f t="shared" si="352"/>
        <v>0</v>
      </c>
      <c r="P577" s="108">
        <f t="shared" si="352"/>
        <v>0</v>
      </c>
      <c r="Q577" s="108">
        <f t="shared" si="352"/>
        <v>0</v>
      </c>
      <c r="R577" s="108">
        <f t="shared" si="352"/>
        <v>0</v>
      </c>
      <c r="S577" s="108">
        <f t="shared" si="352"/>
        <v>0</v>
      </c>
      <c r="T577" s="28" t="s">
        <v>26</v>
      </c>
      <c r="V577" s="104" t="str">
        <f>$V$55</f>
        <v>Óscar</v>
      </c>
      <c r="W577" s="108">
        <f t="shared" si="335"/>
        <v>-1</v>
      </c>
      <c r="X577" s="108">
        <f t="shared" si="336"/>
        <v>-1</v>
      </c>
      <c r="Y577" s="108">
        <f t="shared" si="337"/>
        <v>-1</v>
      </c>
      <c r="Z577" s="108">
        <f t="shared" si="338"/>
        <v>0</v>
      </c>
      <c r="AA577" s="108">
        <f t="shared" si="339"/>
        <v>0</v>
      </c>
      <c r="AB577" s="108">
        <f t="shared" si="340"/>
        <v>0</v>
      </c>
      <c r="AC577" s="108">
        <f t="shared" si="341"/>
        <v>0</v>
      </c>
      <c r="AD577" s="108">
        <f t="shared" si="342"/>
        <v>-1</v>
      </c>
      <c r="AE577" s="108">
        <f t="shared" si="343"/>
        <v>0</v>
      </c>
      <c r="AF577" s="108">
        <f t="shared" si="344"/>
        <v>0</v>
      </c>
      <c r="AG577" s="108">
        <f t="shared" si="345"/>
        <v>-1</v>
      </c>
      <c r="AH577" s="108">
        <f t="shared" si="346"/>
        <v>-1</v>
      </c>
      <c r="AI577" s="108">
        <f t="shared" si="347"/>
        <v>-1</v>
      </c>
      <c r="AJ577" s="108">
        <f t="shared" si="348"/>
        <v>-1</v>
      </c>
      <c r="AK577" s="108">
        <f t="shared" si="349"/>
        <v>-1</v>
      </c>
      <c r="AL577" s="108">
        <f t="shared" si="350"/>
        <v>-1</v>
      </c>
      <c r="AM577" s="108"/>
      <c r="AQ577" s="104" t="str">
        <f>$V$76</f>
        <v>Kamar</v>
      </c>
      <c r="AR577" s="54">
        <v>0</v>
      </c>
      <c r="AS577" s="54">
        <v>0</v>
      </c>
      <c r="AT577" s="54">
        <v>0</v>
      </c>
      <c r="AU577" s="54">
        <v>0</v>
      </c>
      <c r="AV577" s="54">
        <v>0</v>
      </c>
      <c r="AW577" s="54">
        <v>0</v>
      </c>
      <c r="AX577" s="54">
        <v>0</v>
      </c>
      <c r="AY577" s="54">
        <v>0</v>
      </c>
      <c r="AZ577" s="54">
        <v>0</v>
      </c>
      <c r="BA577" s="54">
        <v>0</v>
      </c>
      <c r="BB577" s="54">
        <v>0</v>
      </c>
      <c r="BC577" s="54">
        <v>0</v>
      </c>
      <c r="BD577" s="54">
        <v>0</v>
      </c>
      <c r="BE577" s="54">
        <v>0</v>
      </c>
      <c r="BF577" s="54">
        <v>0</v>
      </c>
      <c r="BG577" s="54">
        <v>0</v>
      </c>
      <c r="BH577" s="54">
        <v>0</v>
      </c>
      <c r="BK577" s="104" t="str">
        <f>$V$69</f>
        <v>Charelle</v>
      </c>
      <c r="BL577" s="108">
        <v>0</v>
      </c>
      <c r="BM577" s="108">
        <v>0</v>
      </c>
      <c r="BN577" s="108">
        <v>0</v>
      </c>
      <c r="BO577" s="108">
        <v>0</v>
      </c>
      <c r="BP577" s="108">
        <v>0</v>
      </c>
      <c r="BQ577" s="108">
        <v>0</v>
      </c>
      <c r="BR577" s="108">
        <v>0</v>
      </c>
      <c r="BS577" s="108">
        <v>0</v>
      </c>
      <c r="BT577" s="108">
        <v>0</v>
      </c>
      <c r="BU577" s="108">
        <v>0</v>
      </c>
      <c r="BV577" s="108">
        <v>0</v>
      </c>
      <c r="BW577" s="108">
        <v>0</v>
      </c>
      <c r="BX577" s="108">
        <v>0</v>
      </c>
      <c r="BY577" s="108">
        <v>0</v>
      </c>
      <c r="BZ577" s="108">
        <v>0</v>
      </c>
      <c r="CA577" s="108">
        <v>0</v>
      </c>
      <c r="CB577" s="108">
        <v>0</v>
      </c>
    </row>
    <row r="578" spans="3:80" x14ac:dyDescent="0.55000000000000004">
      <c r="C578" s="104" t="str">
        <f>$V$56</f>
        <v>Sebastián</v>
      </c>
      <c r="D578" s="108">
        <f t="shared" ref="D578:S578" si="353">D56</f>
        <v>0</v>
      </c>
      <c r="E578" s="108">
        <f t="shared" si="353"/>
        <v>0</v>
      </c>
      <c r="F578" s="108">
        <f t="shared" si="353"/>
        <v>0</v>
      </c>
      <c r="G578" s="108">
        <f t="shared" si="353"/>
        <v>0</v>
      </c>
      <c r="H578" s="108">
        <f t="shared" si="353"/>
        <v>0</v>
      </c>
      <c r="I578" s="108">
        <f t="shared" si="353"/>
        <v>0</v>
      </c>
      <c r="J578" s="108">
        <f t="shared" si="353"/>
        <v>0</v>
      </c>
      <c r="K578" s="108">
        <f t="shared" si="353"/>
        <v>0</v>
      </c>
      <c r="L578" s="108">
        <f t="shared" si="353"/>
        <v>0</v>
      </c>
      <c r="M578" s="108">
        <f t="shared" si="353"/>
        <v>0</v>
      </c>
      <c r="N578" s="108">
        <f t="shared" si="353"/>
        <v>0</v>
      </c>
      <c r="O578" s="108">
        <f t="shared" si="353"/>
        <v>0</v>
      </c>
      <c r="P578" s="108">
        <f t="shared" si="353"/>
        <v>0</v>
      </c>
      <c r="Q578" s="108">
        <f t="shared" si="353"/>
        <v>0</v>
      </c>
      <c r="R578" s="108">
        <f t="shared" si="353"/>
        <v>0</v>
      </c>
      <c r="S578" s="108">
        <f t="shared" si="353"/>
        <v>0</v>
      </c>
      <c r="T578" s="28" t="s">
        <v>26</v>
      </c>
      <c r="V578" s="104" t="str">
        <f>$V$56</f>
        <v>Sebastián</v>
      </c>
      <c r="W578" s="108">
        <f t="shared" si="335"/>
        <v>-1</v>
      </c>
      <c r="X578" s="108">
        <f t="shared" si="336"/>
        <v>-1</v>
      </c>
      <c r="Y578" s="108">
        <f t="shared" si="337"/>
        <v>-1</v>
      </c>
      <c r="Z578" s="108">
        <f t="shared" si="338"/>
        <v>-1</v>
      </c>
      <c r="AA578" s="108">
        <f t="shared" si="339"/>
        <v>-1</v>
      </c>
      <c r="AB578" s="108">
        <f t="shared" si="340"/>
        <v>-1</v>
      </c>
      <c r="AC578" s="108">
        <f t="shared" si="341"/>
        <v>-1</v>
      </c>
      <c r="AD578" s="108">
        <f t="shared" si="342"/>
        <v>0</v>
      </c>
      <c r="AE578" s="108">
        <f t="shared" si="343"/>
        <v>0</v>
      </c>
      <c r="AF578" s="108">
        <f t="shared" si="344"/>
        <v>0</v>
      </c>
      <c r="AG578" s="108">
        <f t="shared" si="345"/>
        <v>0</v>
      </c>
      <c r="AH578" s="108">
        <f t="shared" si="346"/>
        <v>-1</v>
      </c>
      <c r="AI578" s="108">
        <f t="shared" si="347"/>
        <v>-1</v>
      </c>
      <c r="AJ578" s="108">
        <f t="shared" si="348"/>
        <v>-1</v>
      </c>
      <c r="AK578" s="108">
        <f t="shared" si="349"/>
        <v>-1</v>
      </c>
      <c r="AL578" s="108">
        <f t="shared" si="350"/>
        <v>-1</v>
      </c>
      <c r="AM578" s="108"/>
      <c r="AQ578" s="104" t="str">
        <f>$V$77</f>
        <v>-</v>
      </c>
      <c r="AR578" s="54">
        <v>0</v>
      </c>
      <c r="AS578" s="54">
        <v>0</v>
      </c>
      <c r="AT578" s="54">
        <v>0</v>
      </c>
      <c r="AU578" s="54">
        <v>0</v>
      </c>
      <c r="AV578" s="54">
        <v>0</v>
      </c>
      <c r="AW578" s="54">
        <v>0</v>
      </c>
      <c r="AX578" s="54">
        <v>0</v>
      </c>
      <c r="AY578" s="54">
        <v>0</v>
      </c>
      <c r="AZ578" s="54">
        <v>0</v>
      </c>
      <c r="BA578" s="54">
        <v>0</v>
      </c>
      <c r="BB578" s="54">
        <v>0</v>
      </c>
      <c r="BC578" s="54">
        <v>0</v>
      </c>
      <c r="BD578" s="54">
        <v>0</v>
      </c>
      <c r="BE578" s="54">
        <v>0</v>
      </c>
      <c r="BF578" s="54">
        <v>0</v>
      </c>
      <c r="BG578" s="54">
        <v>0</v>
      </c>
      <c r="BH578" s="54">
        <v>0</v>
      </c>
      <c r="BK578" s="104" t="str">
        <f>$V$70</f>
        <v>Dimitri</v>
      </c>
      <c r="BL578" s="108">
        <v>0</v>
      </c>
      <c r="BM578" s="108">
        <v>0</v>
      </c>
      <c r="BN578" s="108">
        <v>0</v>
      </c>
      <c r="BO578" s="108">
        <v>0</v>
      </c>
      <c r="BP578" s="108">
        <v>0</v>
      </c>
      <c r="BQ578" s="108">
        <v>0</v>
      </c>
      <c r="BR578" s="108">
        <v>0</v>
      </c>
      <c r="BS578" s="108">
        <v>0</v>
      </c>
      <c r="BT578" s="108">
        <v>0</v>
      </c>
      <c r="BU578" s="108">
        <v>0</v>
      </c>
      <c r="BV578" s="108">
        <v>0</v>
      </c>
      <c r="BW578" s="108">
        <v>0</v>
      </c>
      <c r="BX578" s="108">
        <v>0</v>
      </c>
      <c r="BY578" s="108">
        <v>0</v>
      </c>
      <c r="BZ578" s="108">
        <v>0</v>
      </c>
      <c r="CA578" s="108">
        <v>0</v>
      </c>
      <c r="CB578" s="108">
        <v>0</v>
      </c>
    </row>
    <row r="579" spans="3:80" x14ac:dyDescent="0.55000000000000004">
      <c r="C579" s="104" t="str">
        <f>$V$57</f>
        <v>Marcos</v>
      </c>
      <c r="D579" s="108">
        <f t="shared" ref="D579:S579" si="354">D57</f>
        <v>0</v>
      </c>
      <c r="E579" s="108">
        <f t="shared" si="354"/>
        <v>0</v>
      </c>
      <c r="F579" s="108">
        <f t="shared" si="354"/>
        <v>0</v>
      </c>
      <c r="G579" s="108">
        <f t="shared" si="354"/>
        <v>0</v>
      </c>
      <c r="H579" s="108">
        <f t="shared" si="354"/>
        <v>0</v>
      </c>
      <c r="I579" s="108">
        <f t="shared" si="354"/>
        <v>0</v>
      </c>
      <c r="J579" s="108">
        <f t="shared" si="354"/>
        <v>0</v>
      </c>
      <c r="K579" s="108">
        <f t="shared" si="354"/>
        <v>0</v>
      </c>
      <c r="L579" s="108">
        <f t="shared" si="354"/>
        <v>0</v>
      </c>
      <c r="M579" s="108">
        <f t="shared" si="354"/>
        <v>0</v>
      </c>
      <c r="N579" s="108">
        <f t="shared" si="354"/>
        <v>0</v>
      </c>
      <c r="O579" s="108">
        <f t="shared" si="354"/>
        <v>0</v>
      </c>
      <c r="P579" s="108">
        <f t="shared" si="354"/>
        <v>0</v>
      </c>
      <c r="Q579" s="108">
        <f t="shared" si="354"/>
        <v>0</v>
      </c>
      <c r="R579" s="108">
        <f t="shared" si="354"/>
        <v>0</v>
      </c>
      <c r="S579" s="108">
        <f t="shared" si="354"/>
        <v>0</v>
      </c>
      <c r="T579" s="28" t="s">
        <v>26</v>
      </c>
      <c r="V579" s="104" t="str">
        <f>$V$57</f>
        <v>Marcos</v>
      </c>
      <c r="W579" s="108">
        <f t="shared" si="335"/>
        <v>0</v>
      </c>
      <c r="X579" s="108">
        <f t="shared" si="336"/>
        <v>0</v>
      </c>
      <c r="Y579" s="108">
        <f t="shared" si="337"/>
        <v>-1</v>
      </c>
      <c r="Z579" s="108">
        <f t="shared" si="338"/>
        <v>-1</v>
      </c>
      <c r="AA579" s="108">
        <f t="shared" si="339"/>
        <v>0</v>
      </c>
      <c r="AB579" s="108">
        <f t="shared" si="340"/>
        <v>0</v>
      </c>
      <c r="AC579" s="108">
        <f t="shared" si="341"/>
        <v>-1</v>
      </c>
      <c r="AD579" s="108">
        <f t="shared" si="342"/>
        <v>-1</v>
      </c>
      <c r="AE579" s="108">
        <f t="shared" si="343"/>
        <v>-1</v>
      </c>
      <c r="AF579" s="108">
        <f t="shared" si="344"/>
        <v>-1</v>
      </c>
      <c r="AG579" s="108">
        <f t="shared" si="345"/>
        <v>-1</v>
      </c>
      <c r="AH579" s="108">
        <f t="shared" si="346"/>
        <v>-1</v>
      </c>
      <c r="AI579" s="108">
        <f t="shared" si="347"/>
        <v>-1</v>
      </c>
      <c r="AJ579" s="108">
        <f t="shared" si="348"/>
        <v>-1</v>
      </c>
      <c r="AK579" s="108">
        <f t="shared" si="349"/>
        <v>-1</v>
      </c>
      <c r="AL579" s="108">
        <f t="shared" si="350"/>
        <v>-1</v>
      </c>
      <c r="AM579" s="108"/>
      <c r="AQ579" s="104" t="str">
        <f>$V$78</f>
        <v>-</v>
      </c>
      <c r="AR579" s="54">
        <v>0</v>
      </c>
      <c r="AS579" s="54">
        <v>0</v>
      </c>
      <c r="AT579" s="54">
        <v>0</v>
      </c>
      <c r="AU579" s="54">
        <v>0</v>
      </c>
      <c r="AV579" s="54">
        <v>0</v>
      </c>
      <c r="AW579" s="54">
        <v>0</v>
      </c>
      <c r="AX579" s="54">
        <v>0</v>
      </c>
      <c r="AY579" s="54">
        <v>0</v>
      </c>
      <c r="AZ579" s="54">
        <v>0</v>
      </c>
      <c r="BA579" s="54">
        <v>0</v>
      </c>
      <c r="BB579" s="54">
        <v>0</v>
      </c>
      <c r="BC579" s="54">
        <v>0</v>
      </c>
      <c r="BD579" s="54">
        <v>0</v>
      </c>
      <c r="BE579" s="54">
        <v>0</v>
      </c>
      <c r="BF579" s="54">
        <v>0</v>
      </c>
      <c r="BG579" s="54">
        <v>0</v>
      </c>
      <c r="BH579" s="54">
        <v>0</v>
      </c>
      <c r="BK579" s="104" t="str">
        <f>$V$71</f>
        <v>Marina</v>
      </c>
      <c r="BL579" s="108">
        <v>0</v>
      </c>
      <c r="BM579" s="108">
        <v>0</v>
      </c>
      <c r="BN579" s="108">
        <v>0</v>
      </c>
      <c r="BO579" s="108">
        <v>0</v>
      </c>
      <c r="BP579" s="108">
        <v>0</v>
      </c>
      <c r="BQ579" s="108">
        <v>0</v>
      </c>
      <c r="BR579" s="108">
        <v>0</v>
      </c>
      <c r="BS579" s="108">
        <v>0</v>
      </c>
      <c r="BT579" s="108">
        <v>0</v>
      </c>
      <c r="BU579" s="108">
        <v>0</v>
      </c>
      <c r="BV579" s="108">
        <v>0</v>
      </c>
      <c r="BW579" s="108">
        <v>0</v>
      </c>
      <c r="BX579" s="108">
        <v>0</v>
      </c>
      <c r="BY579" s="108">
        <v>0</v>
      </c>
      <c r="BZ579" s="108">
        <v>0</v>
      </c>
      <c r="CA579" s="108">
        <v>0</v>
      </c>
      <c r="CB579" s="108">
        <v>0</v>
      </c>
    </row>
    <row r="580" spans="3:80" x14ac:dyDescent="0.55000000000000004">
      <c r="C580" s="104" t="str">
        <f>$V$58</f>
        <v>Weixin</v>
      </c>
      <c r="D580" s="108">
        <f t="shared" ref="D580:S580" si="355">D58</f>
        <v>0</v>
      </c>
      <c r="E580" s="108">
        <f t="shared" si="355"/>
        <v>0</v>
      </c>
      <c r="F580" s="108">
        <f t="shared" si="355"/>
        <v>0</v>
      </c>
      <c r="G580" s="108">
        <f t="shared" si="355"/>
        <v>0</v>
      </c>
      <c r="H580" s="108">
        <f t="shared" si="355"/>
        <v>0</v>
      </c>
      <c r="I580" s="108">
        <f t="shared" si="355"/>
        <v>0</v>
      </c>
      <c r="J580" s="108">
        <f t="shared" si="355"/>
        <v>0</v>
      </c>
      <c r="K580" s="108">
        <f t="shared" si="355"/>
        <v>0</v>
      </c>
      <c r="L580" s="108">
        <f t="shared" si="355"/>
        <v>0</v>
      </c>
      <c r="M580" s="108">
        <f t="shared" si="355"/>
        <v>0</v>
      </c>
      <c r="N580" s="108">
        <f t="shared" si="355"/>
        <v>0</v>
      </c>
      <c r="O580" s="108">
        <f t="shared" si="355"/>
        <v>0</v>
      </c>
      <c r="P580" s="108">
        <f t="shared" si="355"/>
        <v>0</v>
      </c>
      <c r="Q580" s="108">
        <f t="shared" si="355"/>
        <v>0</v>
      </c>
      <c r="R580" s="108">
        <f t="shared" si="355"/>
        <v>0</v>
      </c>
      <c r="S580" s="108">
        <f t="shared" si="355"/>
        <v>0</v>
      </c>
      <c r="T580" s="28" t="s">
        <v>26</v>
      </c>
      <c r="V580" s="104" t="str">
        <f>$V$58</f>
        <v>Weixin</v>
      </c>
      <c r="W580" s="108">
        <f t="shared" si="335"/>
        <v>-1</v>
      </c>
      <c r="X580" s="108">
        <f t="shared" si="336"/>
        <v>-1</v>
      </c>
      <c r="Y580" s="108">
        <f t="shared" si="337"/>
        <v>-1</v>
      </c>
      <c r="Z580" s="108">
        <f t="shared" si="338"/>
        <v>-1</v>
      </c>
      <c r="AA580" s="108">
        <f t="shared" si="339"/>
        <v>-1</v>
      </c>
      <c r="AB580" s="108">
        <f t="shared" si="340"/>
        <v>-1</v>
      </c>
      <c r="AC580" s="108">
        <f t="shared" si="341"/>
        <v>-1</v>
      </c>
      <c r="AD580" s="108">
        <f t="shared" si="342"/>
        <v>-1</v>
      </c>
      <c r="AE580" s="108">
        <f t="shared" si="343"/>
        <v>-1</v>
      </c>
      <c r="AF580" s="108">
        <f t="shared" si="344"/>
        <v>0</v>
      </c>
      <c r="AG580" s="108">
        <f t="shared" si="345"/>
        <v>0</v>
      </c>
      <c r="AH580" s="108">
        <f t="shared" si="346"/>
        <v>-1</v>
      </c>
      <c r="AI580" s="108">
        <f t="shared" si="347"/>
        <v>-1</v>
      </c>
      <c r="AJ580" s="108">
        <f t="shared" si="348"/>
        <v>-1</v>
      </c>
      <c r="AK580" s="108">
        <f t="shared" si="349"/>
        <v>-1</v>
      </c>
      <c r="AL580" s="108">
        <f t="shared" si="350"/>
        <v>-1</v>
      </c>
      <c r="AM580" s="108"/>
      <c r="AQ580" s="104" t="str">
        <f>$V$79</f>
        <v>-</v>
      </c>
      <c r="AR580" s="54">
        <v>0</v>
      </c>
      <c r="AS580" s="54">
        <v>0</v>
      </c>
      <c r="AT580" s="54">
        <v>0</v>
      </c>
      <c r="AU580" s="54">
        <v>0</v>
      </c>
      <c r="AV580" s="54">
        <v>0</v>
      </c>
      <c r="AW580" s="54">
        <v>0</v>
      </c>
      <c r="AX580" s="54">
        <v>0</v>
      </c>
      <c r="AY580" s="54">
        <v>0</v>
      </c>
      <c r="AZ580" s="54">
        <v>0</v>
      </c>
      <c r="BA580" s="54">
        <v>0</v>
      </c>
      <c r="BB580" s="54">
        <v>0</v>
      </c>
      <c r="BC580" s="54">
        <v>0</v>
      </c>
      <c r="BD580" s="54">
        <v>0</v>
      </c>
      <c r="BE580" s="54">
        <v>0</v>
      </c>
      <c r="BF580" s="54">
        <v>0</v>
      </c>
      <c r="BG580" s="54">
        <v>0</v>
      </c>
      <c r="BH580" s="54">
        <v>0</v>
      </c>
      <c r="BK580" s="104" t="str">
        <f>$V$72</f>
        <v>Michel</v>
      </c>
      <c r="BL580" s="108">
        <v>0</v>
      </c>
      <c r="BM580" s="108">
        <v>0</v>
      </c>
      <c r="BN580" s="108">
        <v>0</v>
      </c>
      <c r="BO580" s="108">
        <v>0</v>
      </c>
      <c r="BP580" s="108">
        <v>0</v>
      </c>
      <c r="BQ580" s="108">
        <v>0</v>
      </c>
      <c r="BR580" s="108">
        <v>0</v>
      </c>
      <c r="BS580" s="108">
        <v>0</v>
      </c>
      <c r="BT580" s="108">
        <v>0</v>
      </c>
      <c r="BU580" s="108">
        <v>0</v>
      </c>
      <c r="BV580" s="108">
        <v>0</v>
      </c>
      <c r="BW580" s="108">
        <v>0</v>
      </c>
      <c r="BX580" s="108">
        <v>0</v>
      </c>
      <c r="BY580" s="108">
        <v>0</v>
      </c>
      <c r="BZ580" s="108">
        <v>0</v>
      </c>
      <c r="CA580" s="108">
        <v>0</v>
      </c>
      <c r="CB580" s="108">
        <v>0</v>
      </c>
    </row>
    <row r="581" spans="3:80" x14ac:dyDescent="0.55000000000000004">
      <c r="C581" s="104" t="str">
        <f>$V$59</f>
        <v>Benjamin</v>
      </c>
      <c r="D581" s="108">
        <f t="shared" ref="D581:S581" si="356">D59</f>
        <v>0</v>
      </c>
      <c r="E581" s="108">
        <f t="shared" si="356"/>
        <v>0</v>
      </c>
      <c r="F581" s="108">
        <f t="shared" si="356"/>
        <v>0</v>
      </c>
      <c r="G581" s="108">
        <f t="shared" si="356"/>
        <v>0</v>
      </c>
      <c r="H581" s="108">
        <f t="shared" si="356"/>
        <v>0</v>
      </c>
      <c r="I581" s="108">
        <f t="shared" si="356"/>
        <v>0</v>
      </c>
      <c r="J581" s="108">
        <f t="shared" si="356"/>
        <v>0</v>
      </c>
      <c r="K581" s="108">
        <f t="shared" si="356"/>
        <v>0</v>
      </c>
      <c r="L581" s="108">
        <f t="shared" si="356"/>
        <v>0</v>
      </c>
      <c r="M581" s="108">
        <f t="shared" si="356"/>
        <v>0</v>
      </c>
      <c r="N581" s="108">
        <f t="shared" si="356"/>
        <v>0</v>
      </c>
      <c r="O581" s="108">
        <f t="shared" si="356"/>
        <v>0</v>
      </c>
      <c r="P581" s="108">
        <f t="shared" si="356"/>
        <v>0</v>
      </c>
      <c r="Q581" s="108">
        <f t="shared" si="356"/>
        <v>0</v>
      </c>
      <c r="R581" s="108">
        <f t="shared" si="356"/>
        <v>0</v>
      </c>
      <c r="S581" s="108">
        <f t="shared" si="356"/>
        <v>0</v>
      </c>
      <c r="T581" s="28" t="s">
        <v>26</v>
      </c>
      <c r="V581" s="104" t="str">
        <f>$V$59</f>
        <v>Benjamin</v>
      </c>
      <c r="W581" s="108">
        <f t="shared" si="335"/>
        <v>-1</v>
      </c>
      <c r="X581" s="108">
        <f t="shared" si="336"/>
        <v>-1</v>
      </c>
      <c r="Y581" s="108">
        <f t="shared" si="337"/>
        <v>0</v>
      </c>
      <c r="Z581" s="108">
        <f t="shared" si="338"/>
        <v>0</v>
      </c>
      <c r="AA581" s="108">
        <f t="shared" si="339"/>
        <v>-1</v>
      </c>
      <c r="AB581" s="108">
        <f t="shared" si="340"/>
        <v>-1</v>
      </c>
      <c r="AC581" s="108">
        <f t="shared" si="341"/>
        <v>-1</v>
      </c>
      <c r="AD581" s="108">
        <f t="shared" si="342"/>
        <v>-1</v>
      </c>
      <c r="AE581" s="108">
        <f t="shared" si="343"/>
        <v>-1</v>
      </c>
      <c r="AF581" s="108">
        <f t="shared" si="344"/>
        <v>0</v>
      </c>
      <c r="AG581" s="108">
        <f t="shared" si="345"/>
        <v>0</v>
      </c>
      <c r="AH581" s="108">
        <f t="shared" si="346"/>
        <v>-1</v>
      </c>
      <c r="AI581" s="108">
        <f t="shared" si="347"/>
        <v>-1</v>
      </c>
      <c r="AJ581" s="108">
        <f t="shared" si="348"/>
        <v>-1</v>
      </c>
      <c r="AK581" s="108">
        <f t="shared" si="349"/>
        <v>-1</v>
      </c>
      <c r="AL581" s="108">
        <f t="shared" si="350"/>
        <v>-1</v>
      </c>
      <c r="AM581" s="108"/>
      <c r="AQ581" s="104" t="str">
        <f>$V$80</f>
        <v>-</v>
      </c>
      <c r="AR581" s="54">
        <v>0</v>
      </c>
      <c r="AS581" s="54">
        <v>0</v>
      </c>
      <c r="AT581" s="54">
        <v>0</v>
      </c>
      <c r="AU581" s="54">
        <v>0</v>
      </c>
      <c r="AV581" s="54">
        <v>0</v>
      </c>
      <c r="AW581" s="54">
        <v>0</v>
      </c>
      <c r="AX581" s="54">
        <v>0</v>
      </c>
      <c r="AY581" s="54">
        <v>0</v>
      </c>
      <c r="AZ581" s="54">
        <v>0</v>
      </c>
      <c r="BA581" s="54">
        <v>0</v>
      </c>
      <c r="BB581" s="54">
        <v>0</v>
      </c>
      <c r="BC581" s="54">
        <v>0</v>
      </c>
      <c r="BD581" s="54">
        <v>0</v>
      </c>
      <c r="BE581" s="54">
        <v>0</v>
      </c>
      <c r="BF581" s="54">
        <v>0</v>
      </c>
      <c r="BG581" s="54">
        <v>0</v>
      </c>
      <c r="BH581" s="54">
        <v>0</v>
      </c>
      <c r="BK581" s="104" t="str">
        <f>$V$73</f>
        <v>Nour</v>
      </c>
      <c r="BL581" s="108">
        <v>0</v>
      </c>
      <c r="BM581" s="108">
        <v>0</v>
      </c>
      <c r="BN581" s="108">
        <v>0</v>
      </c>
      <c r="BO581" s="108">
        <v>0</v>
      </c>
      <c r="BP581" s="108">
        <v>0</v>
      </c>
      <c r="BQ581" s="108">
        <v>0</v>
      </c>
      <c r="BR581" s="108">
        <v>0</v>
      </c>
      <c r="BS581" s="108">
        <v>0</v>
      </c>
      <c r="BT581" s="108">
        <v>0</v>
      </c>
      <c r="BU581" s="108">
        <v>0</v>
      </c>
      <c r="BV581" s="108">
        <v>0</v>
      </c>
      <c r="BW581" s="108">
        <v>0</v>
      </c>
      <c r="BX581" s="108">
        <v>0</v>
      </c>
      <c r="BY581" s="108">
        <v>0</v>
      </c>
      <c r="BZ581" s="108">
        <v>0</v>
      </c>
      <c r="CA581" s="108">
        <v>0</v>
      </c>
      <c r="CB581" s="108">
        <v>0</v>
      </c>
    </row>
    <row r="582" spans="3:80" x14ac:dyDescent="0.55000000000000004">
      <c r="C582" s="104" t="str">
        <f>$V$60</f>
        <v>Joelle</v>
      </c>
      <c r="D582" s="108">
        <f t="shared" ref="D582:S582" si="357">D60</f>
        <v>0</v>
      </c>
      <c r="E582" s="108">
        <f t="shared" si="357"/>
        <v>0</v>
      </c>
      <c r="F582" s="108">
        <f t="shared" si="357"/>
        <v>0</v>
      </c>
      <c r="G582" s="108">
        <f t="shared" si="357"/>
        <v>0</v>
      </c>
      <c r="H582" s="108">
        <f t="shared" si="357"/>
        <v>0</v>
      </c>
      <c r="I582" s="108">
        <f t="shared" si="357"/>
        <v>0</v>
      </c>
      <c r="J582" s="108">
        <f t="shared" si="357"/>
        <v>0</v>
      </c>
      <c r="K582" s="108">
        <f t="shared" si="357"/>
        <v>0</v>
      </c>
      <c r="L582" s="108">
        <f t="shared" si="357"/>
        <v>0</v>
      </c>
      <c r="M582" s="108">
        <f t="shared" si="357"/>
        <v>0</v>
      </c>
      <c r="N582" s="108">
        <f t="shared" si="357"/>
        <v>0</v>
      </c>
      <c r="O582" s="108">
        <f t="shared" si="357"/>
        <v>0</v>
      </c>
      <c r="P582" s="108">
        <f t="shared" si="357"/>
        <v>0</v>
      </c>
      <c r="Q582" s="108">
        <f t="shared" si="357"/>
        <v>0</v>
      </c>
      <c r="R582" s="108">
        <f t="shared" si="357"/>
        <v>0</v>
      </c>
      <c r="S582" s="108">
        <f t="shared" si="357"/>
        <v>0</v>
      </c>
      <c r="T582" s="28" t="s">
        <v>26</v>
      </c>
      <c r="V582" s="104" t="str">
        <f>$V$60</f>
        <v>Joelle</v>
      </c>
      <c r="W582" s="108">
        <f t="shared" si="335"/>
        <v>-1</v>
      </c>
      <c r="X582" s="108">
        <f t="shared" si="336"/>
        <v>-1</v>
      </c>
      <c r="Y582" s="108">
        <f t="shared" si="337"/>
        <v>-1</v>
      </c>
      <c r="Z582" s="108">
        <f t="shared" si="338"/>
        <v>-1</v>
      </c>
      <c r="AA582" s="108">
        <f t="shared" si="339"/>
        <v>-1</v>
      </c>
      <c r="AB582" s="108">
        <f t="shared" si="340"/>
        <v>-1</v>
      </c>
      <c r="AC582" s="108">
        <f t="shared" si="341"/>
        <v>-1</v>
      </c>
      <c r="AD582" s="108">
        <f t="shared" si="342"/>
        <v>-1</v>
      </c>
      <c r="AE582" s="108">
        <f t="shared" si="343"/>
        <v>-1</v>
      </c>
      <c r="AF582" s="108">
        <f t="shared" si="344"/>
        <v>-1</v>
      </c>
      <c r="AG582" s="108">
        <f t="shared" si="345"/>
        <v>-1</v>
      </c>
      <c r="AH582" s="108">
        <f t="shared" si="346"/>
        <v>-1</v>
      </c>
      <c r="AI582" s="108">
        <f t="shared" si="347"/>
        <v>-1</v>
      </c>
      <c r="AJ582" s="108">
        <f t="shared" si="348"/>
        <v>-1</v>
      </c>
      <c r="AK582" s="108">
        <f t="shared" si="349"/>
        <v>-1</v>
      </c>
      <c r="AL582" s="108">
        <f t="shared" si="350"/>
        <v>-1</v>
      </c>
      <c r="AM582" s="108"/>
      <c r="AQ582" s="104" t="str">
        <f>$V$81</f>
        <v>-</v>
      </c>
      <c r="AR582" s="54">
        <v>0</v>
      </c>
      <c r="AS582" s="54">
        <v>0</v>
      </c>
      <c r="AT582" s="54">
        <v>0</v>
      </c>
      <c r="AU582" s="54">
        <v>0</v>
      </c>
      <c r="AV582" s="54">
        <v>0</v>
      </c>
      <c r="AW582" s="54">
        <v>0</v>
      </c>
      <c r="AX582" s="54">
        <v>0</v>
      </c>
      <c r="AY582" s="54">
        <v>0</v>
      </c>
      <c r="AZ582" s="54">
        <v>0</v>
      </c>
      <c r="BA582" s="54">
        <v>0</v>
      </c>
      <c r="BB582" s="54">
        <v>0</v>
      </c>
      <c r="BC582" s="54">
        <v>0</v>
      </c>
      <c r="BD582" s="54">
        <v>0</v>
      </c>
      <c r="BE582" s="54">
        <v>0</v>
      </c>
      <c r="BF582" s="54">
        <v>0</v>
      </c>
      <c r="BG582" s="54">
        <v>0</v>
      </c>
      <c r="BH582" s="54">
        <v>0</v>
      </c>
      <c r="BK582" s="104" t="str">
        <f>$V$74</f>
        <v>Samuel</v>
      </c>
      <c r="BL582" s="108">
        <v>0</v>
      </c>
      <c r="BM582" s="108">
        <v>0</v>
      </c>
      <c r="BN582" s="108">
        <v>0</v>
      </c>
      <c r="BO582" s="108">
        <v>0</v>
      </c>
      <c r="BP582" s="108">
        <v>0</v>
      </c>
      <c r="BQ582" s="108">
        <v>0</v>
      </c>
      <c r="BR582" s="108">
        <v>0</v>
      </c>
      <c r="BS582" s="108">
        <v>0</v>
      </c>
      <c r="BT582" s="108">
        <v>0</v>
      </c>
      <c r="BU582" s="108">
        <v>0</v>
      </c>
      <c r="BV582" s="108">
        <v>0</v>
      </c>
      <c r="BW582" s="108">
        <v>0</v>
      </c>
      <c r="BX582" s="108">
        <v>0</v>
      </c>
      <c r="BY582" s="108">
        <v>0</v>
      </c>
      <c r="BZ582" s="108">
        <v>0</v>
      </c>
      <c r="CA582" s="108">
        <v>0</v>
      </c>
      <c r="CB582" s="108">
        <v>0</v>
      </c>
    </row>
    <row r="583" spans="3:80" x14ac:dyDescent="0.55000000000000004">
      <c r="C583" s="104" t="str">
        <f>$V$61</f>
        <v>Alexia</v>
      </c>
      <c r="D583" s="108">
        <f t="shared" ref="D583:S583" si="358">D61</f>
        <v>0</v>
      </c>
      <c r="E583" s="108">
        <f t="shared" si="358"/>
        <v>0</v>
      </c>
      <c r="F583" s="108">
        <f t="shared" si="358"/>
        <v>0</v>
      </c>
      <c r="G583" s="108">
        <f t="shared" si="358"/>
        <v>0</v>
      </c>
      <c r="H583" s="108">
        <f t="shared" si="358"/>
        <v>0</v>
      </c>
      <c r="I583" s="108">
        <f t="shared" si="358"/>
        <v>0</v>
      </c>
      <c r="J583" s="108">
        <f t="shared" si="358"/>
        <v>0</v>
      </c>
      <c r="K583" s="108">
        <f t="shared" si="358"/>
        <v>0</v>
      </c>
      <c r="L583" s="108">
        <f t="shared" si="358"/>
        <v>0</v>
      </c>
      <c r="M583" s="108">
        <f t="shared" si="358"/>
        <v>0</v>
      </c>
      <c r="N583" s="108">
        <f t="shared" si="358"/>
        <v>0</v>
      </c>
      <c r="O583" s="108">
        <f t="shared" si="358"/>
        <v>0</v>
      </c>
      <c r="P583" s="108">
        <f t="shared" si="358"/>
        <v>0</v>
      </c>
      <c r="Q583" s="108">
        <f t="shared" si="358"/>
        <v>0</v>
      </c>
      <c r="R583" s="108">
        <f t="shared" si="358"/>
        <v>0</v>
      </c>
      <c r="S583" s="108">
        <f t="shared" si="358"/>
        <v>0</v>
      </c>
      <c r="T583" s="28" t="s">
        <v>26</v>
      </c>
      <c r="V583" s="104" t="str">
        <f>$V$61</f>
        <v>Alexia</v>
      </c>
      <c r="W583" s="108">
        <f t="shared" si="335"/>
        <v>-1</v>
      </c>
      <c r="X583" s="108">
        <f t="shared" si="336"/>
        <v>-1</v>
      </c>
      <c r="Y583" s="108">
        <f t="shared" si="337"/>
        <v>-1</v>
      </c>
      <c r="Z583" s="108">
        <f t="shared" si="338"/>
        <v>-1</v>
      </c>
      <c r="AA583" s="108">
        <f t="shared" si="339"/>
        <v>-1</v>
      </c>
      <c r="AB583" s="108">
        <f t="shared" si="340"/>
        <v>-1</v>
      </c>
      <c r="AC583" s="108">
        <f t="shared" si="341"/>
        <v>-1</v>
      </c>
      <c r="AD583" s="108">
        <f t="shared" si="342"/>
        <v>-1</v>
      </c>
      <c r="AE583" s="108">
        <f t="shared" si="343"/>
        <v>-1</v>
      </c>
      <c r="AF583" s="108">
        <f t="shared" si="344"/>
        <v>-1</v>
      </c>
      <c r="AG583" s="108">
        <f t="shared" si="345"/>
        <v>-1</v>
      </c>
      <c r="AH583" s="108">
        <f t="shared" si="346"/>
        <v>-1</v>
      </c>
      <c r="AI583" s="108">
        <f t="shared" si="347"/>
        <v>-1</v>
      </c>
      <c r="AJ583" s="108">
        <f t="shared" si="348"/>
        <v>-1</v>
      </c>
      <c r="AK583" s="108">
        <f t="shared" si="349"/>
        <v>-1</v>
      </c>
      <c r="AL583" s="108">
        <f t="shared" si="350"/>
        <v>-1</v>
      </c>
      <c r="AM583" s="108"/>
      <c r="AQ583" s="104" t="str">
        <f>$V$82</f>
        <v>-</v>
      </c>
      <c r="AR583" s="54">
        <v>0</v>
      </c>
      <c r="AS583" s="54">
        <v>0</v>
      </c>
      <c r="AT583" s="54">
        <v>0</v>
      </c>
      <c r="AU583" s="54">
        <v>0</v>
      </c>
      <c r="AV583" s="54">
        <v>0</v>
      </c>
      <c r="AW583" s="54">
        <v>0</v>
      </c>
      <c r="AX583" s="54">
        <v>0</v>
      </c>
      <c r="AY583" s="54">
        <v>0</v>
      </c>
      <c r="AZ583" s="54">
        <v>0</v>
      </c>
      <c r="BA583" s="54">
        <v>0</v>
      </c>
      <c r="BB583" s="54">
        <v>0</v>
      </c>
      <c r="BC583" s="54">
        <v>0</v>
      </c>
      <c r="BD583" s="54">
        <v>0</v>
      </c>
      <c r="BE583" s="54">
        <v>0</v>
      </c>
      <c r="BF583" s="54">
        <v>0</v>
      </c>
      <c r="BG583" s="54">
        <v>0</v>
      </c>
      <c r="BH583" s="54">
        <v>0</v>
      </c>
      <c r="BK583" s="104" t="str">
        <f>$V$75</f>
        <v>Yassin</v>
      </c>
      <c r="BL583" s="108">
        <v>0</v>
      </c>
      <c r="BM583" s="108">
        <v>0</v>
      </c>
      <c r="BN583" s="108">
        <v>0</v>
      </c>
      <c r="BO583" s="108">
        <v>0</v>
      </c>
      <c r="BP583" s="108">
        <v>0</v>
      </c>
      <c r="BQ583" s="108">
        <v>0</v>
      </c>
      <c r="BR583" s="108">
        <v>0</v>
      </c>
      <c r="BS583" s="108">
        <v>0</v>
      </c>
      <c r="BT583" s="108">
        <v>0</v>
      </c>
      <c r="BU583" s="108">
        <v>0</v>
      </c>
      <c r="BV583" s="108">
        <v>0</v>
      </c>
      <c r="BW583" s="108">
        <v>0</v>
      </c>
      <c r="BX583" s="108">
        <v>0</v>
      </c>
      <c r="BY583" s="108">
        <v>0</v>
      </c>
      <c r="BZ583" s="108">
        <v>0</v>
      </c>
      <c r="CA583" s="108">
        <v>0</v>
      </c>
      <c r="CB583" s="108">
        <v>0</v>
      </c>
    </row>
    <row r="584" spans="3:80" x14ac:dyDescent="0.55000000000000004">
      <c r="C584" s="104" t="str">
        <f>$V$62</f>
        <v>Joao</v>
      </c>
      <c r="D584" s="108">
        <f t="shared" ref="D584:S584" si="359">D62</f>
        <v>0</v>
      </c>
      <c r="E584" s="108">
        <f t="shared" si="359"/>
        <v>0</v>
      </c>
      <c r="F584" s="108">
        <f t="shared" si="359"/>
        <v>0</v>
      </c>
      <c r="G584" s="108">
        <f t="shared" si="359"/>
        <v>0</v>
      </c>
      <c r="H584" s="108">
        <f t="shared" si="359"/>
        <v>0</v>
      </c>
      <c r="I584" s="108">
        <f t="shared" si="359"/>
        <v>0</v>
      </c>
      <c r="J584" s="108">
        <f t="shared" si="359"/>
        <v>0</v>
      </c>
      <c r="K584" s="108">
        <f t="shared" si="359"/>
        <v>0</v>
      </c>
      <c r="L584" s="108">
        <f t="shared" si="359"/>
        <v>0</v>
      </c>
      <c r="M584" s="108">
        <f t="shared" si="359"/>
        <v>0</v>
      </c>
      <c r="N584" s="108">
        <f t="shared" si="359"/>
        <v>0</v>
      </c>
      <c r="O584" s="108">
        <f t="shared" si="359"/>
        <v>0</v>
      </c>
      <c r="P584" s="108">
        <f t="shared" si="359"/>
        <v>0</v>
      </c>
      <c r="Q584" s="108">
        <f t="shared" si="359"/>
        <v>0</v>
      </c>
      <c r="R584" s="108">
        <f t="shared" si="359"/>
        <v>0</v>
      </c>
      <c r="S584" s="108">
        <f t="shared" si="359"/>
        <v>0</v>
      </c>
      <c r="T584" s="28" t="s">
        <v>26</v>
      </c>
      <c r="V584" s="104" t="str">
        <f>$V$62</f>
        <v>Joao</v>
      </c>
      <c r="W584" s="108">
        <f t="shared" si="335"/>
        <v>-1</v>
      </c>
      <c r="X584" s="108">
        <f t="shared" si="336"/>
        <v>-1</v>
      </c>
      <c r="Y584" s="108">
        <f t="shared" si="337"/>
        <v>-1</v>
      </c>
      <c r="Z584" s="108">
        <f t="shared" si="338"/>
        <v>-1</v>
      </c>
      <c r="AA584" s="108">
        <f t="shared" si="339"/>
        <v>-1</v>
      </c>
      <c r="AB584" s="108">
        <f t="shared" si="340"/>
        <v>-1</v>
      </c>
      <c r="AC584" s="108">
        <f t="shared" si="341"/>
        <v>-1</v>
      </c>
      <c r="AD584" s="108">
        <f t="shared" si="342"/>
        <v>-1</v>
      </c>
      <c r="AE584" s="108">
        <f t="shared" si="343"/>
        <v>-1</v>
      </c>
      <c r="AF584" s="108">
        <f t="shared" si="344"/>
        <v>-1</v>
      </c>
      <c r="AG584" s="108">
        <f t="shared" si="345"/>
        <v>-1</v>
      </c>
      <c r="AH584" s="108">
        <f t="shared" si="346"/>
        <v>-1</v>
      </c>
      <c r="AI584" s="108">
        <f t="shared" si="347"/>
        <v>-1</v>
      </c>
      <c r="AJ584" s="108">
        <f t="shared" si="348"/>
        <v>-1</v>
      </c>
      <c r="AK584" s="108">
        <f t="shared" si="349"/>
        <v>-1</v>
      </c>
      <c r="AL584" s="108">
        <f t="shared" si="350"/>
        <v>-1</v>
      </c>
      <c r="AM584" s="108"/>
      <c r="AQ584" s="104" t="str">
        <f>$V$83</f>
        <v>-</v>
      </c>
      <c r="AR584" s="54">
        <v>0</v>
      </c>
      <c r="AS584" s="54">
        <v>0</v>
      </c>
      <c r="AT584" s="54">
        <v>0</v>
      </c>
      <c r="AU584" s="54">
        <v>0</v>
      </c>
      <c r="AV584" s="54">
        <v>0</v>
      </c>
      <c r="AW584" s="54">
        <v>0</v>
      </c>
      <c r="AX584" s="54">
        <v>0</v>
      </c>
      <c r="AY584" s="54">
        <v>0</v>
      </c>
      <c r="AZ584" s="54">
        <v>0</v>
      </c>
      <c r="BA584" s="54">
        <v>0</v>
      </c>
      <c r="BB584" s="54">
        <v>0</v>
      </c>
      <c r="BC584" s="54">
        <v>0</v>
      </c>
      <c r="BD584" s="54">
        <v>0</v>
      </c>
      <c r="BE584" s="54">
        <v>0</v>
      </c>
      <c r="BF584" s="54">
        <v>0</v>
      </c>
      <c r="BG584" s="54">
        <v>0</v>
      </c>
      <c r="BH584" s="54">
        <v>0</v>
      </c>
      <c r="BK584" s="104" t="str">
        <f>$V$76</f>
        <v>Kamar</v>
      </c>
      <c r="BL584" s="108">
        <v>0</v>
      </c>
      <c r="BM584" s="108">
        <v>0</v>
      </c>
      <c r="BN584" s="108">
        <v>0</v>
      </c>
      <c r="BO584" s="108">
        <v>0</v>
      </c>
      <c r="BP584" s="108">
        <v>0</v>
      </c>
      <c r="BQ584" s="108">
        <v>0</v>
      </c>
      <c r="BR584" s="108">
        <v>0</v>
      </c>
      <c r="BS584" s="108">
        <v>0</v>
      </c>
      <c r="BT584" s="108">
        <v>0</v>
      </c>
      <c r="BU584" s="108">
        <v>0</v>
      </c>
      <c r="BV584" s="108">
        <v>0</v>
      </c>
      <c r="BW584" s="108">
        <v>0</v>
      </c>
      <c r="BX584" s="108">
        <v>0</v>
      </c>
      <c r="BY584" s="108">
        <v>0</v>
      </c>
      <c r="BZ584" s="108">
        <v>0</v>
      </c>
      <c r="CA584" s="108">
        <v>0</v>
      </c>
      <c r="CB584" s="108">
        <v>0</v>
      </c>
    </row>
    <row r="585" spans="3:80" x14ac:dyDescent="0.55000000000000004">
      <c r="C585" s="104" t="str">
        <f>$V$63</f>
        <v>Maxime</v>
      </c>
      <c r="D585" s="108">
        <f t="shared" ref="D585:S585" si="360">D63</f>
        <v>0</v>
      </c>
      <c r="E585" s="108">
        <f t="shared" si="360"/>
        <v>0</v>
      </c>
      <c r="F585" s="108">
        <f t="shared" si="360"/>
        <v>0</v>
      </c>
      <c r="G585" s="108">
        <f t="shared" si="360"/>
        <v>0</v>
      </c>
      <c r="H585" s="108">
        <f t="shared" si="360"/>
        <v>0</v>
      </c>
      <c r="I585" s="108">
        <f t="shared" si="360"/>
        <v>0</v>
      </c>
      <c r="J585" s="108">
        <f t="shared" si="360"/>
        <v>0</v>
      </c>
      <c r="K585" s="108">
        <f t="shared" si="360"/>
        <v>0</v>
      </c>
      <c r="L585" s="108">
        <f t="shared" si="360"/>
        <v>0</v>
      </c>
      <c r="M585" s="108">
        <f t="shared" si="360"/>
        <v>0</v>
      </c>
      <c r="N585" s="108">
        <f t="shared" si="360"/>
        <v>0</v>
      </c>
      <c r="O585" s="108">
        <f t="shared" si="360"/>
        <v>0</v>
      </c>
      <c r="P585" s="108">
        <f t="shared" si="360"/>
        <v>0</v>
      </c>
      <c r="Q585" s="108">
        <f t="shared" si="360"/>
        <v>0</v>
      </c>
      <c r="R585" s="108">
        <f t="shared" si="360"/>
        <v>0</v>
      </c>
      <c r="S585" s="108">
        <f t="shared" si="360"/>
        <v>0</v>
      </c>
      <c r="T585" s="28" t="s">
        <v>26</v>
      </c>
      <c r="V585" s="104" t="str">
        <f>$V$63</f>
        <v>Maxime</v>
      </c>
      <c r="W585" s="108">
        <f t="shared" si="335"/>
        <v>-1</v>
      </c>
      <c r="X585" s="108">
        <f t="shared" si="336"/>
        <v>-1</v>
      </c>
      <c r="Y585" s="108">
        <f t="shared" si="337"/>
        <v>-1</v>
      </c>
      <c r="Z585" s="108">
        <f t="shared" si="338"/>
        <v>-1</v>
      </c>
      <c r="AA585" s="108">
        <f t="shared" si="339"/>
        <v>-1</v>
      </c>
      <c r="AB585" s="108">
        <f t="shared" si="340"/>
        <v>-1</v>
      </c>
      <c r="AC585" s="108">
        <f t="shared" si="341"/>
        <v>-1</v>
      </c>
      <c r="AD585" s="108">
        <f t="shared" si="342"/>
        <v>-1</v>
      </c>
      <c r="AE585" s="108">
        <f t="shared" si="343"/>
        <v>-1</v>
      </c>
      <c r="AF585" s="108">
        <f t="shared" si="344"/>
        <v>-1</v>
      </c>
      <c r="AG585" s="108">
        <f t="shared" si="345"/>
        <v>-1</v>
      </c>
      <c r="AH585" s="108">
        <f t="shared" si="346"/>
        <v>-1</v>
      </c>
      <c r="AI585" s="108">
        <f t="shared" si="347"/>
        <v>-1</v>
      </c>
      <c r="AJ585" s="108">
        <f t="shared" si="348"/>
        <v>-1</v>
      </c>
      <c r="AK585" s="108">
        <f t="shared" si="349"/>
        <v>-1</v>
      </c>
      <c r="AL585" s="108">
        <f t="shared" si="350"/>
        <v>-1</v>
      </c>
      <c r="AM585" s="108"/>
      <c r="AQ585" s="104" t="str">
        <f>$V$84</f>
        <v>-</v>
      </c>
      <c r="AR585" s="54">
        <v>0</v>
      </c>
      <c r="AS585" s="54">
        <v>0</v>
      </c>
      <c r="AT585" s="54">
        <v>0</v>
      </c>
      <c r="AU585" s="54">
        <v>0</v>
      </c>
      <c r="AV585" s="54">
        <v>0</v>
      </c>
      <c r="AW585" s="54">
        <v>0</v>
      </c>
      <c r="AX585" s="54">
        <v>0</v>
      </c>
      <c r="AY585" s="54">
        <v>0</v>
      </c>
      <c r="AZ585" s="54">
        <v>0</v>
      </c>
      <c r="BA585" s="54">
        <v>0</v>
      </c>
      <c r="BB585" s="54">
        <v>0</v>
      </c>
      <c r="BC585" s="54">
        <v>0</v>
      </c>
      <c r="BD585" s="54">
        <v>0</v>
      </c>
      <c r="BE585" s="54">
        <v>0</v>
      </c>
      <c r="BF585" s="54">
        <v>0</v>
      </c>
      <c r="BG585" s="54">
        <v>0</v>
      </c>
      <c r="BH585" s="54">
        <v>0</v>
      </c>
      <c r="BK585" s="104" t="str">
        <f>$V$77</f>
        <v>-</v>
      </c>
      <c r="BL585" s="108">
        <v>0</v>
      </c>
      <c r="BM585" s="108">
        <v>0</v>
      </c>
      <c r="BN585" s="108">
        <v>0</v>
      </c>
      <c r="BO585" s="108">
        <v>0</v>
      </c>
      <c r="BP585" s="108">
        <v>0</v>
      </c>
      <c r="BQ585" s="108">
        <v>0</v>
      </c>
      <c r="BR585" s="108">
        <v>0</v>
      </c>
      <c r="BS585" s="108">
        <v>0</v>
      </c>
      <c r="BT585" s="108">
        <v>0</v>
      </c>
      <c r="BU585" s="108">
        <v>0</v>
      </c>
      <c r="BV585" s="108">
        <v>0</v>
      </c>
      <c r="BW585" s="108">
        <v>0</v>
      </c>
      <c r="BX585" s="108">
        <v>0</v>
      </c>
      <c r="BY585" s="108">
        <v>0</v>
      </c>
      <c r="BZ585" s="108">
        <v>0</v>
      </c>
      <c r="CA585" s="108">
        <v>0</v>
      </c>
      <c r="CB585" s="108">
        <v>0</v>
      </c>
    </row>
    <row r="586" spans="3:80" x14ac:dyDescent="0.55000000000000004">
      <c r="C586" s="104" t="str">
        <f>$V$64</f>
        <v>Alex</v>
      </c>
      <c r="D586" s="108">
        <f t="shared" ref="D586:S586" si="361">D64</f>
        <v>0</v>
      </c>
      <c r="E586" s="108">
        <f t="shared" si="361"/>
        <v>0</v>
      </c>
      <c r="F586" s="108">
        <f t="shared" si="361"/>
        <v>0</v>
      </c>
      <c r="G586" s="108">
        <f t="shared" si="361"/>
        <v>0</v>
      </c>
      <c r="H586" s="108">
        <f t="shared" si="361"/>
        <v>0</v>
      </c>
      <c r="I586" s="108">
        <f t="shared" si="361"/>
        <v>0</v>
      </c>
      <c r="J586" s="108">
        <f t="shared" si="361"/>
        <v>0</v>
      </c>
      <c r="K586" s="108">
        <f t="shared" si="361"/>
        <v>0</v>
      </c>
      <c r="L586" s="108">
        <f t="shared" si="361"/>
        <v>0</v>
      </c>
      <c r="M586" s="108">
        <f t="shared" si="361"/>
        <v>0</v>
      </c>
      <c r="N586" s="108">
        <f t="shared" si="361"/>
        <v>0</v>
      </c>
      <c r="O586" s="108">
        <f t="shared" si="361"/>
        <v>0</v>
      </c>
      <c r="P586" s="108">
        <f t="shared" si="361"/>
        <v>0</v>
      </c>
      <c r="Q586" s="108">
        <f t="shared" si="361"/>
        <v>0</v>
      </c>
      <c r="R586" s="108">
        <f t="shared" si="361"/>
        <v>0</v>
      </c>
      <c r="S586" s="108">
        <f t="shared" si="361"/>
        <v>0</v>
      </c>
      <c r="T586" s="28" t="s">
        <v>26</v>
      </c>
      <c r="V586" s="104" t="str">
        <f>$V$64</f>
        <v>Alex</v>
      </c>
      <c r="W586" s="108">
        <f t="shared" si="335"/>
        <v>-1</v>
      </c>
      <c r="X586" s="108">
        <f t="shared" si="336"/>
        <v>-1</v>
      </c>
      <c r="Y586" s="108">
        <f t="shared" si="337"/>
        <v>-1</v>
      </c>
      <c r="Z586" s="108">
        <f t="shared" si="338"/>
        <v>-1</v>
      </c>
      <c r="AA586" s="108">
        <f t="shared" si="339"/>
        <v>-1</v>
      </c>
      <c r="AB586" s="108">
        <f t="shared" si="340"/>
        <v>-1</v>
      </c>
      <c r="AC586" s="108">
        <f t="shared" si="341"/>
        <v>-1</v>
      </c>
      <c r="AD586" s="108">
        <f t="shared" si="342"/>
        <v>-1</v>
      </c>
      <c r="AE586" s="108">
        <f t="shared" si="343"/>
        <v>-1</v>
      </c>
      <c r="AF586" s="108">
        <f t="shared" si="344"/>
        <v>-3</v>
      </c>
      <c r="AG586" s="108">
        <f t="shared" si="345"/>
        <v>-3</v>
      </c>
      <c r="AH586" s="108">
        <f t="shared" si="346"/>
        <v>-1</v>
      </c>
      <c r="AI586" s="108">
        <f t="shared" si="347"/>
        <v>-1</v>
      </c>
      <c r="AJ586" s="108">
        <f t="shared" si="348"/>
        <v>-1</v>
      </c>
      <c r="AK586" s="108">
        <f t="shared" si="349"/>
        <v>-1</v>
      </c>
      <c r="AL586" s="108">
        <f t="shared" si="350"/>
        <v>-1</v>
      </c>
      <c r="AM586" s="108"/>
      <c r="AQ586" s="104" t="str">
        <f>$V$85</f>
        <v>-</v>
      </c>
      <c r="AR586" s="54">
        <v>0</v>
      </c>
      <c r="AS586" s="54">
        <v>0</v>
      </c>
      <c r="AT586" s="54">
        <v>0</v>
      </c>
      <c r="AU586" s="54">
        <v>0</v>
      </c>
      <c r="AV586" s="54">
        <v>0</v>
      </c>
      <c r="AW586" s="54">
        <v>0</v>
      </c>
      <c r="AX586" s="54">
        <v>0</v>
      </c>
      <c r="AY586" s="54">
        <v>0</v>
      </c>
      <c r="AZ586" s="54">
        <v>0</v>
      </c>
      <c r="BA586" s="54">
        <v>0</v>
      </c>
      <c r="BB586" s="54">
        <v>0</v>
      </c>
      <c r="BC586" s="54">
        <v>0</v>
      </c>
      <c r="BD586" s="54">
        <v>0</v>
      </c>
      <c r="BE586" s="54">
        <v>0</v>
      </c>
      <c r="BF586" s="54">
        <v>0</v>
      </c>
      <c r="BG586" s="54">
        <v>0</v>
      </c>
      <c r="BH586" s="54">
        <v>0</v>
      </c>
      <c r="BK586" s="104" t="str">
        <f>$V$78</f>
        <v>-</v>
      </c>
      <c r="BL586" s="108">
        <v>0</v>
      </c>
      <c r="BM586" s="108">
        <v>0</v>
      </c>
      <c r="BN586" s="108">
        <v>0</v>
      </c>
      <c r="BO586" s="108">
        <v>0</v>
      </c>
      <c r="BP586" s="108">
        <v>0</v>
      </c>
      <c r="BQ586" s="108">
        <v>0</v>
      </c>
      <c r="BR586" s="108">
        <v>0</v>
      </c>
      <c r="BS586" s="108">
        <v>0</v>
      </c>
      <c r="BT586" s="108">
        <v>0</v>
      </c>
      <c r="BU586" s="108">
        <v>0</v>
      </c>
      <c r="BV586" s="108">
        <v>0</v>
      </c>
      <c r="BW586" s="108">
        <v>0</v>
      </c>
      <c r="BX586" s="108">
        <v>0</v>
      </c>
      <c r="BY586" s="108">
        <v>0</v>
      </c>
      <c r="BZ586" s="108">
        <v>0</v>
      </c>
      <c r="CA586" s="108">
        <v>0</v>
      </c>
      <c r="CB586" s="108">
        <v>0</v>
      </c>
    </row>
    <row r="587" spans="3:80" x14ac:dyDescent="0.55000000000000004">
      <c r="C587" s="104" t="str">
        <f>$V$65</f>
        <v>Alyssa</v>
      </c>
      <c r="D587" s="108">
        <f t="shared" ref="D587:S587" si="362">D65</f>
        <v>0</v>
      </c>
      <c r="E587" s="108">
        <f t="shared" si="362"/>
        <v>0</v>
      </c>
      <c r="F587" s="108">
        <f t="shared" si="362"/>
        <v>0</v>
      </c>
      <c r="G587" s="108">
        <f t="shared" si="362"/>
        <v>0</v>
      </c>
      <c r="H587" s="108">
        <f t="shared" si="362"/>
        <v>0</v>
      </c>
      <c r="I587" s="108">
        <f t="shared" si="362"/>
        <v>0</v>
      </c>
      <c r="J587" s="108">
        <f t="shared" si="362"/>
        <v>0</v>
      </c>
      <c r="K587" s="108">
        <f t="shared" si="362"/>
        <v>0</v>
      </c>
      <c r="L587" s="108">
        <f t="shared" si="362"/>
        <v>0</v>
      </c>
      <c r="M587" s="108">
        <f t="shared" si="362"/>
        <v>0</v>
      </c>
      <c r="N587" s="108">
        <f t="shared" si="362"/>
        <v>0</v>
      </c>
      <c r="O587" s="108">
        <f t="shared" si="362"/>
        <v>0</v>
      </c>
      <c r="P587" s="108">
        <f t="shared" si="362"/>
        <v>0</v>
      </c>
      <c r="Q587" s="108">
        <f t="shared" si="362"/>
        <v>0</v>
      </c>
      <c r="R587" s="108">
        <f t="shared" si="362"/>
        <v>0</v>
      </c>
      <c r="S587" s="108">
        <f t="shared" si="362"/>
        <v>0</v>
      </c>
      <c r="T587" s="28" t="s">
        <v>26</v>
      </c>
      <c r="V587" s="104" t="str">
        <f>$V$65</f>
        <v>Alyssa</v>
      </c>
      <c r="W587" s="108">
        <f t="shared" si="335"/>
        <v>-1</v>
      </c>
      <c r="X587" s="108">
        <f t="shared" si="336"/>
        <v>-1</v>
      </c>
      <c r="Y587" s="108">
        <f t="shared" si="337"/>
        <v>-1</v>
      </c>
      <c r="Z587" s="108">
        <f t="shared" si="338"/>
        <v>-1</v>
      </c>
      <c r="AA587" s="108">
        <f t="shared" si="339"/>
        <v>-1</v>
      </c>
      <c r="AB587" s="108">
        <f t="shared" si="340"/>
        <v>-1</v>
      </c>
      <c r="AC587" s="108">
        <f t="shared" si="341"/>
        <v>-1</v>
      </c>
      <c r="AD587" s="108">
        <f t="shared" si="342"/>
        <v>-1</v>
      </c>
      <c r="AE587" s="108">
        <f t="shared" si="343"/>
        <v>-1</v>
      </c>
      <c r="AF587" s="108">
        <f t="shared" si="344"/>
        <v>-1</v>
      </c>
      <c r="AG587" s="108">
        <f t="shared" si="345"/>
        <v>-1</v>
      </c>
      <c r="AH587" s="108">
        <f t="shared" si="346"/>
        <v>-1</v>
      </c>
      <c r="AI587" s="108">
        <f t="shared" si="347"/>
        <v>-1</v>
      </c>
      <c r="AJ587" s="108">
        <f t="shared" si="348"/>
        <v>-1</v>
      </c>
      <c r="AK587" s="108">
        <f t="shared" si="349"/>
        <v>-1</v>
      </c>
      <c r="AL587" s="108">
        <f t="shared" si="350"/>
        <v>-1</v>
      </c>
      <c r="AM587" s="108"/>
      <c r="AQ587" s="104" t="str">
        <f>$V$86</f>
        <v>-</v>
      </c>
      <c r="AR587" s="54">
        <v>0</v>
      </c>
      <c r="AS587" s="54">
        <v>0</v>
      </c>
      <c r="AT587" s="54">
        <v>0</v>
      </c>
      <c r="AU587" s="54">
        <v>0</v>
      </c>
      <c r="AV587" s="54">
        <v>0</v>
      </c>
      <c r="AW587" s="54">
        <v>0</v>
      </c>
      <c r="AX587" s="54">
        <v>0</v>
      </c>
      <c r="AY587" s="54">
        <v>0</v>
      </c>
      <c r="AZ587" s="54">
        <v>0</v>
      </c>
      <c r="BA587" s="54">
        <v>0</v>
      </c>
      <c r="BB587" s="54">
        <v>0</v>
      </c>
      <c r="BC587" s="54">
        <v>0</v>
      </c>
      <c r="BD587" s="54">
        <v>0</v>
      </c>
      <c r="BE587" s="54">
        <v>0</v>
      </c>
      <c r="BF587" s="54">
        <v>0</v>
      </c>
      <c r="BG587" s="54">
        <v>0</v>
      </c>
      <c r="BH587" s="54">
        <v>0</v>
      </c>
      <c r="BK587" s="104" t="str">
        <f>$V$79</f>
        <v>-</v>
      </c>
      <c r="BL587" s="108">
        <v>0</v>
      </c>
      <c r="BM587" s="108">
        <v>0</v>
      </c>
      <c r="BN587" s="108">
        <v>0</v>
      </c>
      <c r="BO587" s="108">
        <v>0</v>
      </c>
      <c r="BP587" s="108">
        <v>0</v>
      </c>
      <c r="BQ587" s="108">
        <v>0</v>
      </c>
      <c r="BR587" s="108">
        <v>0</v>
      </c>
      <c r="BS587" s="108">
        <v>0</v>
      </c>
      <c r="BT587" s="108">
        <v>0</v>
      </c>
      <c r="BU587" s="108">
        <v>0</v>
      </c>
      <c r="BV587" s="108">
        <v>0</v>
      </c>
      <c r="BW587" s="108">
        <v>0</v>
      </c>
      <c r="BX587" s="108">
        <v>0</v>
      </c>
      <c r="BY587" s="108">
        <v>0</v>
      </c>
      <c r="BZ587" s="108">
        <v>0</v>
      </c>
      <c r="CA587" s="108">
        <v>0</v>
      </c>
      <c r="CB587" s="108">
        <v>0</v>
      </c>
    </row>
    <row r="588" spans="3:80" x14ac:dyDescent="0.55000000000000004">
      <c r="C588" s="104" t="str">
        <f>$V$66</f>
        <v>Amanda</v>
      </c>
      <c r="D588" s="108">
        <f t="shared" ref="D588:S588" si="363">D66</f>
        <v>0</v>
      </c>
      <c r="E588" s="108">
        <f t="shared" si="363"/>
        <v>0</v>
      </c>
      <c r="F588" s="108">
        <f t="shared" si="363"/>
        <v>0</v>
      </c>
      <c r="G588" s="108">
        <f t="shared" si="363"/>
        <v>0</v>
      </c>
      <c r="H588" s="108">
        <f t="shared" si="363"/>
        <v>0</v>
      </c>
      <c r="I588" s="108">
        <f t="shared" si="363"/>
        <v>0</v>
      </c>
      <c r="J588" s="108">
        <f t="shared" si="363"/>
        <v>0</v>
      </c>
      <c r="K588" s="108">
        <f t="shared" si="363"/>
        <v>0</v>
      </c>
      <c r="L588" s="108">
        <f t="shared" si="363"/>
        <v>0</v>
      </c>
      <c r="M588" s="108">
        <f t="shared" si="363"/>
        <v>0</v>
      </c>
      <c r="N588" s="108">
        <f t="shared" si="363"/>
        <v>0</v>
      </c>
      <c r="O588" s="108">
        <f t="shared" si="363"/>
        <v>0</v>
      </c>
      <c r="P588" s="108">
        <f t="shared" si="363"/>
        <v>0</v>
      </c>
      <c r="Q588" s="108">
        <f t="shared" si="363"/>
        <v>0</v>
      </c>
      <c r="R588" s="108">
        <f t="shared" si="363"/>
        <v>0</v>
      </c>
      <c r="S588" s="108">
        <f t="shared" si="363"/>
        <v>0</v>
      </c>
      <c r="T588" s="28" t="s">
        <v>26</v>
      </c>
      <c r="V588" s="104" t="str">
        <f>$V$66</f>
        <v>Amanda</v>
      </c>
      <c r="W588" s="108">
        <f t="shared" si="335"/>
        <v>-1</v>
      </c>
      <c r="X588" s="108">
        <f t="shared" si="336"/>
        <v>-1</v>
      </c>
      <c r="Y588" s="108">
        <f t="shared" si="337"/>
        <v>-1</v>
      </c>
      <c r="Z588" s="108">
        <f t="shared" si="338"/>
        <v>-1</v>
      </c>
      <c r="AA588" s="108">
        <f t="shared" si="339"/>
        <v>-1</v>
      </c>
      <c r="AB588" s="108">
        <f t="shared" si="340"/>
        <v>-1</v>
      </c>
      <c r="AC588" s="108">
        <f t="shared" si="341"/>
        <v>-1</v>
      </c>
      <c r="AD588" s="108">
        <f t="shared" si="342"/>
        <v>-1</v>
      </c>
      <c r="AE588" s="108">
        <f t="shared" si="343"/>
        <v>-1</v>
      </c>
      <c r="AF588" s="108">
        <f t="shared" si="344"/>
        <v>-1</v>
      </c>
      <c r="AG588" s="108">
        <f t="shared" si="345"/>
        <v>-1</v>
      </c>
      <c r="AH588" s="108">
        <f t="shared" si="346"/>
        <v>-1</v>
      </c>
      <c r="AI588" s="108">
        <f t="shared" si="347"/>
        <v>-1</v>
      </c>
      <c r="AJ588" s="108">
        <f t="shared" si="348"/>
        <v>-1</v>
      </c>
      <c r="AK588" s="108">
        <f t="shared" si="349"/>
        <v>-1</v>
      </c>
      <c r="AL588" s="108">
        <f t="shared" si="350"/>
        <v>-1</v>
      </c>
      <c r="AM588" s="108"/>
      <c r="AQ588" s="104" t="str">
        <f>$V$87</f>
        <v>-</v>
      </c>
      <c r="AR588" s="54">
        <v>0</v>
      </c>
      <c r="AS588" s="54">
        <v>0</v>
      </c>
      <c r="AT588" s="54">
        <v>0</v>
      </c>
      <c r="AU588" s="54">
        <v>0</v>
      </c>
      <c r="AV588" s="54">
        <v>0</v>
      </c>
      <c r="AW588" s="54">
        <v>0</v>
      </c>
      <c r="AX588" s="54">
        <v>0</v>
      </c>
      <c r="AY588" s="54">
        <v>0</v>
      </c>
      <c r="AZ588" s="54">
        <v>0</v>
      </c>
      <c r="BA588" s="54">
        <v>0</v>
      </c>
      <c r="BB588" s="54">
        <v>0</v>
      </c>
      <c r="BC588" s="54">
        <v>0</v>
      </c>
      <c r="BD588" s="54">
        <v>0</v>
      </c>
      <c r="BE588" s="54">
        <v>0</v>
      </c>
      <c r="BF588" s="54">
        <v>0</v>
      </c>
      <c r="BG588" s="54">
        <v>0</v>
      </c>
      <c r="BH588" s="54">
        <v>0</v>
      </c>
      <c r="BK588" s="104" t="str">
        <f>$V$80</f>
        <v>-</v>
      </c>
      <c r="BL588" s="108">
        <v>0</v>
      </c>
      <c r="BM588" s="108">
        <v>0</v>
      </c>
      <c r="BN588" s="108">
        <v>0</v>
      </c>
      <c r="BO588" s="108">
        <v>0</v>
      </c>
      <c r="BP588" s="108">
        <v>0</v>
      </c>
      <c r="BQ588" s="108">
        <v>0</v>
      </c>
      <c r="BR588" s="108">
        <v>0</v>
      </c>
      <c r="BS588" s="108">
        <v>0</v>
      </c>
      <c r="BT588" s="108">
        <v>0</v>
      </c>
      <c r="BU588" s="108">
        <v>0</v>
      </c>
      <c r="BV588" s="108">
        <v>0</v>
      </c>
      <c r="BW588" s="108">
        <v>0</v>
      </c>
      <c r="BX588" s="108">
        <v>0</v>
      </c>
      <c r="BY588" s="108">
        <v>0</v>
      </c>
      <c r="BZ588" s="108">
        <v>0</v>
      </c>
      <c r="CA588" s="108">
        <v>0</v>
      </c>
      <c r="CB588" s="108">
        <v>0</v>
      </c>
    </row>
    <row r="589" spans="3:80" x14ac:dyDescent="0.55000000000000004">
      <c r="C589" s="104" t="str">
        <f>$V$67</f>
        <v>Antoine</v>
      </c>
      <c r="D589" s="108">
        <f t="shared" ref="D589:S589" si="364">D67</f>
        <v>0</v>
      </c>
      <c r="E589" s="108">
        <f t="shared" si="364"/>
        <v>0</v>
      </c>
      <c r="F589" s="108">
        <f t="shared" si="364"/>
        <v>0</v>
      </c>
      <c r="G589" s="108">
        <f t="shared" si="364"/>
        <v>0</v>
      </c>
      <c r="H589" s="108">
        <f t="shared" si="364"/>
        <v>0</v>
      </c>
      <c r="I589" s="108">
        <f t="shared" si="364"/>
        <v>0</v>
      </c>
      <c r="J589" s="108">
        <f t="shared" si="364"/>
        <v>0</v>
      </c>
      <c r="K589" s="108">
        <f t="shared" si="364"/>
        <v>0</v>
      </c>
      <c r="L589" s="108">
        <f t="shared" si="364"/>
        <v>0</v>
      </c>
      <c r="M589" s="108">
        <f t="shared" si="364"/>
        <v>0</v>
      </c>
      <c r="N589" s="108">
        <f t="shared" si="364"/>
        <v>0</v>
      </c>
      <c r="O589" s="108">
        <f t="shared" si="364"/>
        <v>0</v>
      </c>
      <c r="P589" s="108">
        <f t="shared" si="364"/>
        <v>0</v>
      </c>
      <c r="Q589" s="108">
        <f t="shared" si="364"/>
        <v>0</v>
      </c>
      <c r="R589" s="108">
        <f t="shared" si="364"/>
        <v>0</v>
      </c>
      <c r="S589" s="108">
        <f t="shared" si="364"/>
        <v>0</v>
      </c>
      <c r="T589" s="28" t="s">
        <v>26</v>
      </c>
      <c r="V589" s="104" t="str">
        <f>$V$67</f>
        <v>Antoine</v>
      </c>
      <c r="W589" s="108">
        <f t="shared" si="335"/>
        <v>-1</v>
      </c>
      <c r="X589" s="108">
        <f t="shared" si="336"/>
        <v>-1</v>
      </c>
      <c r="Y589" s="108">
        <f t="shared" si="337"/>
        <v>-1</v>
      </c>
      <c r="Z589" s="108">
        <f t="shared" si="338"/>
        <v>-1</v>
      </c>
      <c r="AA589" s="108">
        <f t="shared" si="339"/>
        <v>-1</v>
      </c>
      <c r="AB589" s="108">
        <f t="shared" si="340"/>
        <v>-1</v>
      </c>
      <c r="AC589" s="108">
        <f t="shared" si="341"/>
        <v>-1</v>
      </c>
      <c r="AD589" s="108">
        <f t="shared" si="342"/>
        <v>-1</v>
      </c>
      <c r="AE589" s="108">
        <f t="shared" si="343"/>
        <v>-1</v>
      </c>
      <c r="AF589" s="108">
        <f t="shared" si="344"/>
        <v>-1</v>
      </c>
      <c r="AG589" s="108">
        <f t="shared" si="345"/>
        <v>-1</v>
      </c>
      <c r="AH589" s="108">
        <f t="shared" si="346"/>
        <v>-1</v>
      </c>
      <c r="AI589" s="108">
        <f t="shared" si="347"/>
        <v>-1</v>
      </c>
      <c r="AJ589" s="108">
        <f t="shared" si="348"/>
        <v>-1</v>
      </c>
      <c r="AK589" s="108">
        <f t="shared" si="349"/>
        <v>-1</v>
      </c>
      <c r="AL589" s="108">
        <f t="shared" si="350"/>
        <v>-1</v>
      </c>
      <c r="AM589" s="108"/>
      <c r="AQ589" s="104" t="str">
        <f>$V$88</f>
        <v>-</v>
      </c>
      <c r="AR589" s="54">
        <v>0</v>
      </c>
      <c r="AS589" s="54">
        <v>0</v>
      </c>
      <c r="AT589" s="54">
        <v>0</v>
      </c>
      <c r="AU589" s="54">
        <v>0</v>
      </c>
      <c r="AV589" s="54">
        <v>0</v>
      </c>
      <c r="AW589" s="54">
        <v>0</v>
      </c>
      <c r="AX589" s="54">
        <v>0</v>
      </c>
      <c r="AY589" s="54">
        <v>0</v>
      </c>
      <c r="AZ589" s="54">
        <v>0</v>
      </c>
      <c r="BA589" s="54">
        <v>0</v>
      </c>
      <c r="BB589" s="54">
        <v>0</v>
      </c>
      <c r="BC589" s="54">
        <v>0</v>
      </c>
      <c r="BD589" s="54">
        <v>0</v>
      </c>
      <c r="BE589" s="54">
        <v>0</v>
      </c>
      <c r="BF589" s="54">
        <v>0</v>
      </c>
      <c r="BG589" s="54">
        <v>0</v>
      </c>
      <c r="BH589" s="54">
        <v>0</v>
      </c>
      <c r="BK589" s="104" t="str">
        <f>$V$81</f>
        <v>-</v>
      </c>
      <c r="BL589" s="108">
        <v>0</v>
      </c>
      <c r="BM589" s="108">
        <v>0</v>
      </c>
      <c r="BN589" s="108">
        <v>0</v>
      </c>
      <c r="BO589" s="108">
        <v>0</v>
      </c>
      <c r="BP589" s="108">
        <v>0</v>
      </c>
      <c r="BQ589" s="108">
        <v>0</v>
      </c>
      <c r="BR589" s="108">
        <v>0</v>
      </c>
      <c r="BS589" s="108">
        <v>0</v>
      </c>
      <c r="BT589" s="108">
        <v>0</v>
      </c>
      <c r="BU589" s="108">
        <v>0</v>
      </c>
      <c r="BV589" s="108">
        <v>0</v>
      </c>
      <c r="BW589" s="108">
        <v>0</v>
      </c>
      <c r="BX589" s="108">
        <v>0</v>
      </c>
      <c r="BY589" s="108">
        <v>0</v>
      </c>
      <c r="BZ589" s="108">
        <v>0</v>
      </c>
      <c r="CA589" s="108">
        <v>0</v>
      </c>
      <c r="CB589" s="108">
        <v>0</v>
      </c>
    </row>
    <row r="590" spans="3:80" x14ac:dyDescent="0.55000000000000004">
      <c r="C590" s="104" t="str">
        <f>$V$68</f>
        <v>Beatriz</v>
      </c>
      <c r="D590" s="108">
        <f t="shared" ref="D590:S590" si="365">D68</f>
        <v>0</v>
      </c>
      <c r="E590" s="108">
        <f t="shared" si="365"/>
        <v>0</v>
      </c>
      <c r="F590" s="108">
        <f t="shared" si="365"/>
        <v>0</v>
      </c>
      <c r="G590" s="108">
        <f t="shared" si="365"/>
        <v>0</v>
      </c>
      <c r="H590" s="108">
        <f t="shared" si="365"/>
        <v>0</v>
      </c>
      <c r="I590" s="108">
        <f t="shared" si="365"/>
        <v>0</v>
      </c>
      <c r="J590" s="108">
        <f t="shared" si="365"/>
        <v>0</v>
      </c>
      <c r="K590" s="108">
        <f t="shared" si="365"/>
        <v>0</v>
      </c>
      <c r="L590" s="108">
        <f t="shared" si="365"/>
        <v>0</v>
      </c>
      <c r="M590" s="108">
        <f t="shared" si="365"/>
        <v>0</v>
      </c>
      <c r="N590" s="108">
        <f t="shared" si="365"/>
        <v>0</v>
      </c>
      <c r="O590" s="108">
        <f t="shared" si="365"/>
        <v>0</v>
      </c>
      <c r="P590" s="108">
        <f t="shared" si="365"/>
        <v>0</v>
      </c>
      <c r="Q590" s="108">
        <f t="shared" si="365"/>
        <v>0</v>
      </c>
      <c r="R590" s="108">
        <f t="shared" si="365"/>
        <v>0</v>
      </c>
      <c r="S590" s="108">
        <f t="shared" si="365"/>
        <v>0</v>
      </c>
      <c r="T590" s="28" t="s">
        <v>26</v>
      </c>
      <c r="V590" s="104" t="str">
        <f>$V$68</f>
        <v>Beatriz</v>
      </c>
      <c r="W590" s="108">
        <f t="shared" si="335"/>
        <v>-1</v>
      </c>
      <c r="X590" s="108">
        <f t="shared" si="336"/>
        <v>-1</v>
      </c>
      <c r="Y590" s="108">
        <f t="shared" si="337"/>
        <v>-1</v>
      </c>
      <c r="Z590" s="108">
        <f t="shared" si="338"/>
        <v>-1</v>
      </c>
      <c r="AA590" s="108">
        <f t="shared" si="339"/>
        <v>-1</v>
      </c>
      <c r="AB590" s="108">
        <f t="shared" si="340"/>
        <v>-1</v>
      </c>
      <c r="AC590" s="108">
        <f t="shared" si="341"/>
        <v>-1</v>
      </c>
      <c r="AD590" s="108">
        <f t="shared" si="342"/>
        <v>-1</v>
      </c>
      <c r="AE590" s="108">
        <f t="shared" si="343"/>
        <v>-1</v>
      </c>
      <c r="AF590" s="108">
        <f t="shared" si="344"/>
        <v>-1</v>
      </c>
      <c r="AG590" s="108">
        <f t="shared" si="345"/>
        <v>-1</v>
      </c>
      <c r="AH590" s="108">
        <f t="shared" si="346"/>
        <v>-1</v>
      </c>
      <c r="AI590" s="108">
        <f t="shared" si="347"/>
        <v>-1</v>
      </c>
      <c r="AJ590" s="108">
        <f t="shared" si="348"/>
        <v>-1</v>
      </c>
      <c r="AK590" s="108">
        <f t="shared" si="349"/>
        <v>-1</v>
      </c>
      <c r="AL590" s="108">
        <f t="shared" si="350"/>
        <v>-1</v>
      </c>
      <c r="AM590" s="108"/>
      <c r="AQ590" s="104" t="str">
        <f>$V$89</f>
        <v>-</v>
      </c>
      <c r="AR590" s="54">
        <v>0</v>
      </c>
      <c r="AS590" s="54">
        <v>0</v>
      </c>
      <c r="AT590" s="54">
        <v>0</v>
      </c>
      <c r="AU590" s="54">
        <v>0</v>
      </c>
      <c r="AV590" s="54">
        <v>0</v>
      </c>
      <c r="AW590" s="54">
        <v>0</v>
      </c>
      <c r="AX590" s="54">
        <v>0</v>
      </c>
      <c r="AY590" s="54">
        <v>0</v>
      </c>
      <c r="AZ590" s="54">
        <v>0</v>
      </c>
      <c r="BA590" s="54">
        <v>0</v>
      </c>
      <c r="BB590" s="54">
        <v>0</v>
      </c>
      <c r="BC590" s="54">
        <v>0</v>
      </c>
      <c r="BD590" s="54">
        <v>0</v>
      </c>
      <c r="BE590" s="54">
        <v>0</v>
      </c>
      <c r="BF590" s="54">
        <v>0</v>
      </c>
      <c r="BG590" s="54">
        <v>0</v>
      </c>
      <c r="BH590" s="54">
        <v>0</v>
      </c>
      <c r="BK590" s="104" t="str">
        <f>$V$82</f>
        <v>-</v>
      </c>
      <c r="BL590" s="108">
        <v>0</v>
      </c>
      <c r="BM590" s="108">
        <v>0</v>
      </c>
      <c r="BN590" s="108">
        <v>0</v>
      </c>
      <c r="BO590" s="108">
        <v>0</v>
      </c>
      <c r="BP590" s="108">
        <v>0</v>
      </c>
      <c r="BQ590" s="108">
        <v>0</v>
      </c>
      <c r="BR590" s="108">
        <v>0</v>
      </c>
      <c r="BS590" s="108">
        <v>0</v>
      </c>
      <c r="BT590" s="108">
        <v>0</v>
      </c>
      <c r="BU590" s="108">
        <v>0</v>
      </c>
      <c r="BV590" s="108">
        <v>0</v>
      </c>
      <c r="BW590" s="108">
        <v>0</v>
      </c>
      <c r="BX590" s="108">
        <v>0</v>
      </c>
      <c r="BY590" s="108">
        <v>0</v>
      </c>
      <c r="BZ590" s="108">
        <v>0</v>
      </c>
      <c r="CA590" s="108">
        <v>0</v>
      </c>
      <c r="CB590" s="108">
        <v>0</v>
      </c>
    </row>
    <row r="591" spans="3:80" x14ac:dyDescent="0.55000000000000004">
      <c r="C591" s="104" t="str">
        <f>$V$69</f>
        <v>Charelle</v>
      </c>
      <c r="D591" s="108">
        <f t="shared" ref="D591:S591" si="366">D69</f>
        <v>0</v>
      </c>
      <c r="E591" s="108">
        <f t="shared" si="366"/>
        <v>0</v>
      </c>
      <c r="F591" s="108">
        <f t="shared" si="366"/>
        <v>0</v>
      </c>
      <c r="G591" s="108">
        <f t="shared" si="366"/>
        <v>0</v>
      </c>
      <c r="H591" s="108">
        <f t="shared" si="366"/>
        <v>0</v>
      </c>
      <c r="I591" s="108">
        <f t="shared" si="366"/>
        <v>0</v>
      </c>
      <c r="J591" s="108">
        <f t="shared" si="366"/>
        <v>0</v>
      </c>
      <c r="K591" s="108">
        <f t="shared" si="366"/>
        <v>0</v>
      </c>
      <c r="L591" s="108">
        <f t="shared" si="366"/>
        <v>0</v>
      </c>
      <c r="M591" s="108">
        <f t="shared" si="366"/>
        <v>0</v>
      </c>
      <c r="N591" s="108">
        <f t="shared" si="366"/>
        <v>0</v>
      </c>
      <c r="O591" s="108">
        <f t="shared" si="366"/>
        <v>0</v>
      </c>
      <c r="P591" s="108">
        <f t="shared" si="366"/>
        <v>0</v>
      </c>
      <c r="Q591" s="108">
        <f t="shared" si="366"/>
        <v>0</v>
      </c>
      <c r="R591" s="108">
        <f t="shared" si="366"/>
        <v>0</v>
      </c>
      <c r="S591" s="108">
        <f t="shared" si="366"/>
        <v>0</v>
      </c>
      <c r="T591" s="28" t="s">
        <v>26</v>
      </c>
      <c r="V591" s="104" t="str">
        <f>$V$69</f>
        <v>Charelle</v>
      </c>
      <c r="W591" s="108">
        <f t="shared" si="335"/>
        <v>-1</v>
      </c>
      <c r="X591" s="108">
        <f t="shared" si="336"/>
        <v>-1</v>
      </c>
      <c r="Y591" s="108">
        <f t="shared" si="337"/>
        <v>-1</v>
      </c>
      <c r="Z591" s="108">
        <f t="shared" si="338"/>
        <v>-1</v>
      </c>
      <c r="AA591" s="108">
        <f t="shared" si="339"/>
        <v>-1</v>
      </c>
      <c r="AB591" s="108">
        <f t="shared" si="340"/>
        <v>-1</v>
      </c>
      <c r="AC591" s="108">
        <f t="shared" si="341"/>
        <v>-1</v>
      </c>
      <c r="AD591" s="108">
        <f t="shared" si="342"/>
        <v>-1</v>
      </c>
      <c r="AE591" s="108">
        <f t="shared" si="343"/>
        <v>-1</v>
      </c>
      <c r="AF591" s="108">
        <f t="shared" si="344"/>
        <v>-1</v>
      </c>
      <c r="AG591" s="108">
        <f t="shared" si="345"/>
        <v>-1</v>
      </c>
      <c r="AH591" s="108">
        <f t="shared" si="346"/>
        <v>-1</v>
      </c>
      <c r="AI591" s="108">
        <f t="shared" si="347"/>
        <v>-1</v>
      </c>
      <c r="AJ591" s="108">
        <f t="shared" si="348"/>
        <v>-1</v>
      </c>
      <c r="AK591" s="108">
        <f t="shared" si="349"/>
        <v>-1</v>
      </c>
      <c r="AL591" s="108">
        <f t="shared" si="350"/>
        <v>-1</v>
      </c>
      <c r="AM591" s="108"/>
      <c r="AQ591" s="104" t="str">
        <f>$V$90</f>
        <v>-</v>
      </c>
      <c r="AR591" s="54">
        <v>0</v>
      </c>
      <c r="AS591" s="54">
        <v>0</v>
      </c>
      <c r="AT591" s="54">
        <v>0</v>
      </c>
      <c r="AU591" s="54">
        <v>0</v>
      </c>
      <c r="AV591" s="54">
        <v>0</v>
      </c>
      <c r="AW591" s="54">
        <v>0</v>
      </c>
      <c r="AX591" s="54">
        <v>0</v>
      </c>
      <c r="AY591" s="54">
        <v>0</v>
      </c>
      <c r="AZ591" s="54">
        <v>0</v>
      </c>
      <c r="BA591" s="54">
        <v>0</v>
      </c>
      <c r="BB591" s="54">
        <v>0</v>
      </c>
      <c r="BC591" s="54">
        <v>0</v>
      </c>
      <c r="BD591" s="54">
        <v>0</v>
      </c>
      <c r="BE591" s="54">
        <v>0</v>
      </c>
      <c r="BF591" s="54">
        <v>0</v>
      </c>
      <c r="BG591" s="54">
        <v>0</v>
      </c>
      <c r="BH591" s="54">
        <v>0</v>
      </c>
      <c r="BK591" s="104" t="str">
        <f>$V$83</f>
        <v>-</v>
      </c>
      <c r="BL591" s="108">
        <v>0</v>
      </c>
      <c r="BM591" s="108">
        <v>0</v>
      </c>
      <c r="BN591" s="108">
        <v>0</v>
      </c>
      <c r="BO591" s="108">
        <v>0</v>
      </c>
      <c r="BP591" s="108">
        <v>0</v>
      </c>
      <c r="BQ591" s="108">
        <v>0</v>
      </c>
      <c r="BR591" s="108">
        <v>0</v>
      </c>
      <c r="BS591" s="108">
        <v>0</v>
      </c>
      <c r="BT591" s="108">
        <v>0</v>
      </c>
      <c r="BU591" s="108">
        <v>0</v>
      </c>
      <c r="BV591" s="108">
        <v>0</v>
      </c>
      <c r="BW591" s="108">
        <v>0</v>
      </c>
      <c r="BX591" s="108">
        <v>0</v>
      </c>
      <c r="BY591" s="108">
        <v>0</v>
      </c>
      <c r="BZ591" s="108">
        <v>0</v>
      </c>
      <c r="CA591" s="108">
        <v>0</v>
      </c>
      <c r="CB591" s="108">
        <v>0</v>
      </c>
    </row>
    <row r="592" spans="3:80" x14ac:dyDescent="0.55000000000000004">
      <c r="C592" s="104" t="str">
        <f>$V$70</f>
        <v>Dimitri</v>
      </c>
      <c r="D592" s="108">
        <f t="shared" ref="D592:S592" si="367">D70</f>
        <v>0</v>
      </c>
      <c r="E592" s="108">
        <f t="shared" si="367"/>
        <v>0</v>
      </c>
      <c r="F592" s="108">
        <f t="shared" si="367"/>
        <v>0</v>
      </c>
      <c r="G592" s="108">
        <f t="shared" si="367"/>
        <v>0</v>
      </c>
      <c r="H592" s="108">
        <f t="shared" si="367"/>
        <v>0</v>
      </c>
      <c r="I592" s="108">
        <f t="shared" si="367"/>
        <v>0</v>
      </c>
      <c r="J592" s="108">
        <f t="shared" si="367"/>
        <v>0</v>
      </c>
      <c r="K592" s="108">
        <f t="shared" si="367"/>
        <v>0</v>
      </c>
      <c r="L592" s="108">
        <f t="shared" si="367"/>
        <v>0</v>
      </c>
      <c r="M592" s="108">
        <f t="shared" si="367"/>
        <v>0</v>
      </c>
      <c r="N592" s="108">
        <f t="shared" si="367"/>
        <v>0</v>
      </c>
      <c r="O592" s="108">
        <f t="shared" si="367"/>
        <v>0</v>
      </c>
      <c r="P592" s="108">
        <f t="shared" si="367"/>
        <v>0</v>
      </c>
      <c r="Q592" s="108">
        <f t="shared" si="367"/>
        <v>0</v>
      </c>
      <c r="R592" s="108">
        <f t="shared" si="367"/>
        <v>0</v>
      </c>
      <c r="S592" s="108">
        <f t="shared" si="367"/>
        <v>0</v>
      </c>
      <c r="T592" s="28" t="s">
        <v>26</v>
      </c>
      <c r="V592" s="104" t="str">
        <f>$V$70</f>
        <v>Dimitri</v>
      </c>
      <c r="W592" s="108">
        <f t="shared" si="335"/>
        <v>-1</v>
      </c>
      <c r="X592" s="108">
        <f t="shared" si="336"/>
        <v>-1</v>
      </c>
      <c r="Y592" s="108">
        <f t="shared" si="337"/>
        <v>-1</v>
      </c>
      <c r="Z592" s="108">
        <f t="shared" si="338"/>
        <v>-1</v>
      </c>
      <c r="AA592" s="108">
        <f t="shared" si="339"/>
        <v>-1</v>
      </c>
      <c r="AB592" s="108">
        <f t="shared" si="340"/>
        <v>-1</v>
      </c>
      <c r="AC592" s="108">
        <f t="shared" si="341"/>
        <v>-1</v>
      </c>
      <c r="AD592" s="108">
        <f t="shared" si="342"/>
        <v>-1</v>
      </c>
      <c r="AE592" s="108">
        <f t="shared" si="343"/>
        <v>-1</v>
      </c>
      <c r="AF592" s="108">
        <f t="shared" si="344"/>
        <v>-1</v>
      </c>
      <c r="AG592" s="108">
        <f t="shared" si="345"/>
        <v>-1</v>
      </c>
      <c r="AH592" s="108">
        <f t="shared" si="346"/>
        <v>-1</v>
      </c>
      <c r="AI592" s="108">
        <f t="shared" si="347"/>
        <v>-1</v>
      </c>
      <c r="AJ592" s="108">
        <f t="shared" si="348"/>
        <v>-1</v>
      </c>
      <c r="AK592" s="108">
        <f t="shared" si="349"/>
        <v>-1</v>
      </c>
      <c r="AL592" s="108">
        <f t="shared" si="350"/>
        <v>-1</v>
      </c>
      <c r="AM592" s="108"/>
      <c r="AQ592" s="104" t="str">
        <f>$V$91</f>
        <v>-</v>
      </c>
      <c r="AR592" s="54">
        <v>0</v>
      </c>
      <c r="AS592" s="54">
        <v>0</v>
      </c>
      <c r="AT592" s="54">
        <v>0</v>
      </c>
      <c r="AU592" s="54">
        <v>0</v>
      </c>
      <c r="AV592" s="54">
        <v>0</v>
      </c>
      <c r="AW592" s="54">
        <v>0</v>
      </c>
      <c r="AX592" s="54">
        <v>0</v>
      </c>
      <c r="AY592" s="54">
        <v>0</v>
      </c>
      <c r="AZ592" s="54">
        <v>0</v>
      </c>
      <c r="BA592" s="54">
        <v>0</v>
      </c>
      <c r="BB592" s="54">
        <v>0</v>
      </c>
      <c r="BC592" s="54">
        <v>0</v>
      </c>
      <c r="BD592" s="54">
        <v>0</v>
      </c>
      <c r="BE592" s="54">
        <v>0</v>
      </c>
      <c r="BF592" s="54">
        <v>0</v>
      </c>
      <c r="BG592" s="54">
        <v>0</v>
      </c>
      <c r="BH592" s="54">
        <v>0</v>
      </c>
      <c r="BK592" s="104" t="str">
        <f>$V$84</f>
        <v>-</v>
      </c>
      <c r="BL592" s="108">
        <v>0</v>
      </c>
      <c r="BM592" s="108">
        <v>0</v>
      </c>
      <c r="BN592" s="108">
        <v>0</v>
      </c>
      <c r="BO592" s="108">
        <v>0</v>
      </c>
      <c r="BP592" s="108">
        <v>0</v>
      </c>
      <c r="BQ592" s="108">
        <v>0</v>
      </c>
      <c r="BR592" s="108">
        <v>0</v>
      </c>
      <c r="BS592" s="108">
        <v>0</v>
      </c>
      <c r="BT592" s="108">
        <v>0</v>
      </c>
      <c r="BU592" s="108">
        <v>0</v>
      </c>
      <c r="BV592" s="108">
        <v>0</v>
      </c>
      <c r="BW592" s="108">
        <v>0</v>
      </c>
      <c r="BX592" s="108">
        <v>0</v>
      </c>
      <c r="BY592" s="108">
        <v>0</v>
      </c>
      <c r="BZ592" s="108">
        <v>0</v>
      </c>
      <c r="CA592" s="108">
        <v>0</v>
      </c>
      <c r="CB592" s="108">
        <v>0</v>
      </c>
    </row>
    <row r="593" spans="3:80" x14ac:dyDescent="0.55000000000000004">
      <c r="C593" s="104" t="str">
        <f>$V$71</f>
        <v>Marina</v>
      </c>
      <c r="D593" s="108">
        <f t="shared" ref="D593:S593" si="368">D71</f>
        <v>0</v>
      </c>
      <c r="E593" s="108">
        <f t="shared" si="368"/>
        <v>0</v>
      </c>
      <c r="F593" s="108">
        <f t="shared" si="368"/>
        <v>0</v>
      </c>
      <c r="G593" s="108">
        <f t="shared" si="368"/>
        <v>0</v>
      </c>
      <c r="H593" s="108">
        <f t="shared" si="368"/>
        <v>0</v>
      </c>
      <c r="I593" s="108">
        <f t="shared" si="368"/>
        <v>0</v>
      </c>
      <c r="J593" s="108">
        <f t="shared" si="368"/>
        <v>0</v>
      </c>
      <c r="K593" s="108">
        <f t="shared" si="368"/>
        <v>0</v>
      </c>
      <c r="L593" s="108">
        <f t="shared" si="368"/>
        <v>0</v>
      </c>
      <c r="M593" s="108">
        <f t="shared" si="368"/>
        <v>0</v>
      </c>
      <c r="N593" s="108">
        <f t="shared" si="368"/>
        <v>0</v>
      </c>
      <c r="O593" s="108">
        <f t="shared" si="368"/>
        <v>0</v>
      </c>
      <c r="P593" s="108">
        <f t="shared" si="368"/>
        <v>0</v>
      </c>
      <c r="Q593" s="108">
        <f t="shared" si="368"/>
        <v>0</v>
      </c>
      <c r="R593" s="108">
        <f t="shared" si="368"/>
        <v>0</v>
      </c>
      <c r="S593" s="108">
        <f t="shared" si="368"/>
        <v>0</v>
      </c>
      <c r="T593" s="28" t="s">
        <v>26</v>
      </c>
      <c r="V593" s="104" t="str">
        <f>$V$71</f>
        <v>Marina</v>
      </c>
      <c r="W593" s="108">
        <f t="shared" si="335"/>
        <v>-1</v>
      </c>
      <c r="X593" s="108">
        <f t="shared" si="336"/>
        <v>-1</v>
      </c>
      <c r="Y593" s="108">
        <f t="shared" si="337"/>
        <v>-1</v>
      </c>
      <c r="Z593" s="108">
        <f t="shared" si="338"/>
        <v>-1</v>
      </c>
      <c r="AA593" s="108">
        <f t="shared" si="339"/>
        <v>-1</v>
      </c>
      <c r="AB593" s="108">
        <f t="shared" si="340"/>
        <v>-1</v>
      </c>
      <c r="AC593" s="108">
        <f t="shared" si="341"/>
        <v>-1</v>
      </c>
      <c r="AD593" s="108">
        <f t="shared" si="342"/>
        <v>-1</v>
      </c>
      <c r="AE593" s="108">
        <f t="shared" si="343"/>
        <v>-1</v>
      </c>
      <c r="AF593" s="108">
        <f t="shared" si="344"/>
        <v>-1</v>
      </c>
      <c r="AG593" s="108">
        <f t="shared" si="345"/>
        <v>-1</v>
      </c>
      <c r="AH593" s="108">
        <f t="shared" si="346"/>
        <v>-1</v>
      </c>
      <c r="AI593" s="108">
        <f t="shared" si="347"/>
        <v>-1</v>
      </c>
      <c r="AJ593" s="108">
        <f t="shared" si="348"/>
        <v>-1</v>
      </c>
      <c r="AK593" s="108">
        <f t="shared" si="349"/>
        <v>-1</v>
      </c>
      <c r="AL593" s="108">
        <f t="shared" si="350"/>
        <v>-1</v>
      </c>
      <c r="AM593" s="108"/>
      <c r="AQ593" s="104" t="str">
        <f>$V$92</f>
        <v>-</v>
      </c>
      <c r="AR593" s="54">
        <v>0</v>
      </c>
      <c r="AS593" s="54">
        <v>0</v>
      </c>
      <c r="AT593" s="54">
        <v>0</v>
      </c>
      <c r="AU593" s="54">
        <v>0</v>
      </c>
      <c r="AV593" s="54">
        <v>0</v>
      </c>
      <c r="AW593" s="54">
        <v>0</v>
      </c>
      <c r="AX593" s="54">
        <v>0</v>
      </c>
      <c r="AY593" s="54">
        <v>0</v>
      </c>
      <c r="AZ593" s="54">
        <v>0</v>
      </c>
      <c r="BA593" s="54">
        <v>0</v>
      </c>
      <c r="BB593" s="54">
        <v>0</v>
      </c>
      <c r="BC593" s="54">
        <v>0</v>
      </c>
      <c r="BD593" s="54">
        <v>0</v>
      </c>
      <c r="BE593" s="54">
        <v>0</v>
      </c>
      <c r="BF593" s="54">
        <v>0</v>
      </c>
      <c r="BG593" s="54">
        <v>0</v>
      </c>
      <c r="BH593" s="54">
        <v>0</v>
      </c>
      <c r="BK593" s="104" t="str">
        <f>$V$85</f>
        <v>-</v>
      </c>
      <c r="BL593" s="108">
        <v>0</v>
      </c>
      <c r="BM593" s="108">
        <v>0</v>
      </c>
      <c r="BN593" s="108">
        <v>0</v>
      </c>
      <c r="BO593" s="108">
        <v>0</v>
      </c>
      <c r="BP593" s="108">
        <v>0</v>
      </c>
      <c r="BQ593" s="108">
        <v>0</v>
      </c>
      <c r="BR593" s="108">
        <v>0</v>
      </c>
      <c r="BS593" s="108">
        <v>0</v>
      </c>
      <c r="BT593" s="108">
        <v>0</v>
      </c>
      <c r="BU593" s="108">
        <v>0</v>
      </c>
      <c r="BV593" s="108">
        <v>0</v>
      </c>
      <c r="BW593" s="108">
        <v>0</v>
      </c>
      <c r="BX593" s="108">
        <v>0</v>
      </c>
      <c r="BY593" s="108">
        <v>0</v>
      </c>
      <c r="BZ593" s="108">
        <v>0</v>
      </c>
      <c r="CA593" s="108">
        <v>0</v>
      </c>
      <c r="CB593" s="108">
        <v>0</v>
      </c>
    </row>
    <row r="594" spans="3:80" x14ac:dyDescent="0.55000000000000004">
      <c r="C594" s="104" t="str">
        <f>$V$72</f>
        <v>Michel</v>
      </c>
      <c r="D594" s="108">
        <f t="shared" ref="D594:S594" si="369">D72</f>
        <v>0</v>
      </c>
      <c r="E594" s="108">
        <f t="shared" si="369"/>
        <v>0</v>
      </c>
      <c r="F594" s="108">
        <f t="shared" si="369"/>
        <v>0</v>
      </c>
      <c r="G594" s="108">
        <f t="shared" si="369"/>
        <v>0</v>
      </c>
      <c r="H594" s="108">
        <f t="shared" si="369"/>
        <v>0</v>
      </c>
      <c r="I594" s="108">
        <f t="shared" si="369"/>
        <v>0</v>
      </c>
      <c r="J594" s="108">
        <f t="shared" si="369"/>
        <v>0</v>
      </c>
      <c r="K594" s="108">
        <f t="shared" si="369"/>
        <v>0</v>
      </c>
      <c r="L594" s="108">
        <f t="shared" si="369"/>
        <v>0</v>
      </c>
      <c r="M594" s="108">
        <f t="shared" si="369"/>
        <v>0</v>
      </c>
      <c r="N594" s="108">
        <f t="shared" si="369"/>
        <v>0</v>
      </c>
      <c r="O594" s="108">
        <f t="shared" si="369"/>
        <v>0</v>
      </c>
      <c r="P594" s="108">
        <f t="shared" si="369"/>
        <v>0</v>
      </c>
      <c r="Q594" s="108">
        <f t="shared" si="369"/>
        <v>0</v>
      </c>
      <c r="R594" s="108">
        <f t="shared" si="369"/>
        <v>0</v>
      </c>
      <c r="S594" s="108">
        <f t="shared" si="369"/>
        <v>0</v>
      </c>
      <c r="T594" s="28" t="s">
        <v>26</v>
      </c>
      <c r="V594" s="104" t="str">
        <f>$V$72</f>
        <v>Michel</v>
      </c>
      <c r="W594" s="108">
        <f t="shared" si="335"/>
        <v>-1</v>
      </c>
      <c r="X594" s="108">
        <f t="shared" si="336"/>
        <v>-1</v>
      </c>
      <c r="Y594" s="108">
        <f t="shared" si="337"/>
        <v>-1</v>
      </c>
      <c r="Z594" s="108">
        <f t="shared" si="338"/>
        <v>-1</v>
      </c>
      <c r="AA594" s="108">
        <f t="shared" si="339"/>
        <v>-1</v>
      </c>
      <c r="AB594" s="108">
        <f t="shared" si="340"/>
        <v>-1</v>
      </c>
      <c r="AC594" s="108">
        <f t="shared" si="341"/>
        <v>-1</v>
      </c>
      <c r="AD594" s="108">
        <f t="shared" si="342"/>
        <v>-1</v>
      </c>
      <c r="AE594" s="108">
        <f t="shared" si="343"/>
        <v>-1</v>
      </c>
      <c r="AF594" s="108">
        <f t="shared" si="344"/>
        <v>-1</v>
      </c>
      <c r="AG594" s="108">
        <f t="shared" si="345"/>
        <v>-1</v>
      </c>
      <c r="AH594" s="108">
        <f t="shared" si="346"/>
        <v>-1</v>
      </c>
      <c r="AI594" s="108">
        <f t="shared" si="347"/>
        <v>-1</v>
      </c>
      <c r="AJ594" s="108">
        <f t="shared" si="348"/>
        <v>-1</v>
      </c>
      <c r="AK594" s="108">
        <f t="shared" si="349"/>
        <v>-1</v>
      </c>
      <c r="AL594" s="108">
        <f t="shared" si="350"/>
        <v>-1</v>
      </c>
      <c r="AM594" s="108"/>
      <c r="AP594" t="str">
        <f>$V$48</f>
        <v>Dummy 4</v>
      </c>
      <c r="AQ594" s="104" t="str">
        <f>$V$53</f>
        <v>Jennifer</v>
      </c>
      <c r="AR594" s="54">
        <v>0</v>
      </c>
      <c r="AS594" s="54">
        <v>0</v>
      </c>
      <c r="AT594" s="54">
        <v>0</v>
      </c>
      <c r="AU594" s="54">
        <v>0</v>
      </c>
      <c r="AV594" s="54">
        <v>0</v>
      </c>
      <c r="AW594" s="54">
        <v>0</v>
      </c>
      <c r="AX594" s="54">
        <v>0</v>
      </c>
      <c r="AY594" s="54">
        <v>0</v>
      </c>
      <c r="AZ594" s="54">
        <v>0</v>
      </c>
      <c r="BA594" s="54">
        <v>0</v>
      </c>
      <c r="BB594" s="54">
        <v>0</v>
      </c>
      <c r="BC594" s="54">
        <v>0</v>
      </c>
      <c r="BD594" s="54">
        <v>0</v>
      </c>
      <c r="BE594" s="54">
        <v>0</v>
      </c>
      <c r="BF594" s="54">
        <v>0</v>
      </c>
      <c r="BG594" s="54">
        <v>0</v>
      </c>
      <c r="BH594" s="54">
        <v>0</v>
      </c>
      <c r="BK594" s="104" t="str">
        <f>$V$86</f>
        <v>-</v>
      </c>
      <c r="BL594" s="108">
        <v>0</v>
      </c>
      <c r="BM594" s="108">
        <v>0</v>
      </c>
      <c r="BN594" s="108">
        <v>0</v>
      </c>
      <c r="BO594" s="108">
        <v>0</v>
      </c>
      <c r="BP594" s="108">
        <v>0</v>
      </c>
      <c r="BQ594" s="108">
        <v>0</v>
      </c>
      <c r="BR594" s="108">
        <v>0</v>
      </c>
      <c r="BS594" s="108">
        <v>0</v>
      </c>
      <c r="BT594" s="108">
        <v>0</v>
      </c>
      <c r="BU594" s="108">
        <v>0</v>
      </c>
      <c r="BV594" s="108">
        <v>0</v>
      </c>
      <c r="BW594" s="108">
        <v>0</v>
      </c>
      <c r="BX594" s="108">
        <v>0</v>
      </c>
      <c r="BY594" s="108">
        <v>0</v>
      </c>
      <c r="BZ594" s="108">
        <v>0</v>
      </c>
      <c r="CA594" s="108">
        <v>0</v>
      </c>
      <c r="CB594" s="108">
        <v>0</v>
      </c>
    </row>
    <row r="595" spans="3:80" x14ac:dyDescent="0.55000000000000004">
      <c r="C595" s="104" t="str">
        <f>$V$73</f>
        <v>Nour</v>
      </c>
      <c r="D595" s="108">
        <f t="shared" ref="D595:S595" si="370">D73</f>
        <v>0</v>
      </c>
      <c r="E595" s="108">
        <f t="shared" si="370"/>
        <v>0</v>
      </c>
      <c r="F595" s="108">
        <f t="shared" si="370"/>
        <v>0</v>
      </c>
      <c r="G595" s="108">
        <f t="shared" si="370"/>
        <v>0</v>
      </c>
      <c r="H595" s="108">
        <f t="shared" si="370"/>
        <v>0</v>
      </c>
      <c r="I595" s="108">
        <f t="shared" si="370"/>
        <v>0</v>
      </c>
      <c r="J595" s="108">
        <f t="shared" si="370"/>
        <v>0</v>
      </c>
      <c r="K595" s="108">
        <f t="shared" si="370"/>
        <v>0</v>
      </c>
      <c r="L595" s="108">
        <f t="shared" si="370"/>
        <v>0</v>
      </c>
      <c r="M595" s="108">
        <f t="shared" si="370"/>
        <v>0</v>
      </c>
      <c r="N595" s="108">
        <f t="shared" si="370"/>
        <v>0</v>
      </c>
      <c r="O595" s="108">
        <f t="shared" si="370"/>
        <v>0</v>
      </c>
      <c r="P595" s="108">
        <f t="shared" si="370"/>
        <v>0</v>
      </c>
      <c r="Q595" s="108">
        <f t="shared" si="370"/>
        <v>0</v>
      </c>
      <c r="R595" s="108">
        <f t="shared" si="370"/>
        <v>0</v>
      </c>
      <c r="S595" s="108">
        <f t="shared" si="370"/>
        <v>0</v>
      </c>
      <c r="T595" s="28" t="s">
        <v>26</v>
      </c>
      <c r="V595" s="104" t="str">
        <f>$V$73</f>
        <v>Nour</v>
      </c>
      <c r="W595" s="108">
        <f t="shared" si="335"/>
        <v>-1</v>
      </c>
      <c r="X595" s="108">
        <f t="shared" si="336"/>
        <v>-1</v>
      </c>
      <c r="Y595" s="108">
        <f t="shared" si="337"/>
        <v>-1</v>
      </c>
      <c r="Z595" s="108">
        <f t="shared" si="338"/>
        <v>-1</v>
      </c>
      <c r="AA595" s="108">
        <f t="shared" si="339"/>
        <v>-1</v>
      </c>
      <c r="AB595" s="108">
        <f t="shared" si="340"/>
        <v>-1</v>
      </c>
      <c r="AC595" s="108">
        <f t="shared" si="341"/>
        <v>-1</v>
      </c>
      <c r="AD595" s="108">
        <f t="shared" si="342"/>
        <v>-1</v>
      </c>
      <c r="AE595" s="108">
        <f t="shared" si="343"/>
        <v>-1</v>
      </c>
      <c r="AF595" s="108">
        <f t="shared" si="344"/>
        <v>-1</v>
      </c>
      <c r="AG595" s="108">
        <f t="shared" si="345"/>
        <v>-1</v>
      </c>
      <c r="AH595" s="108">
        <f t="shared" si="346"/>
        <v>-1</v>
      </c>
      <c r="AI595" s="108">
        <f t="shared" si="347"/>
        <v>-1</v>
      </c>
      <c r="AJ595" s="108">
        <f t="shared" si="348"/>
        <v>-1</v>
      </c>
      <c r="AK595" s="108">
        <f t="shared" si="349"/>
        <v>-1</v>
      </c>
      <c r="AL595" s="108">
        <f t="shared" si="350"/>
        <v>-1</v>
      </c>
      <c r="AM595" s="108"/>
      <c r="AQ595" s="104" t="str">
        <f>$V$54</f>
        <v>Galileo</v>
      </c>
      <c r="AR595" s="54">
        <v>0</v>
      </c>
      <c r="AS595" s="54">
        <v>0</v>
      </c>
      <c r="AT595" s="54">
        <v>0</v>
      </c>
      <c r="AU595" s="54">
        <v>0</v>
      </c>
      <c r="AV595" s="54">
        <v>0</v>
      </c>
      <c r="AW595" s="54">
        <v>0</v>
      </c>
      <c r="AX595" s="54">
        <v>0</v>
      </c>
      <c r="AY595" s="54">
        <v>0</v>
      </c>
      <c r="AZ595" s="54">
        <v>0</v>
      </c>
      <c r="BA595" s="54">
        <v>0</v>
      </c>
      <c r="BB595" s="54">
        <v>0</v>
      </c>
      <c r="BC595" s="54">
        <v>0</v>
      </c>
      <c r="BD595" s="54">
        <v>0</v>
      </c>
      <c r="BE595" s="54">
        <v>0</v>
      </c>
      <c r="BF595" s="54">
        <v>0</v>
      </c>
      <c r="BG595" s="54">
        <v>0</v>
      </c>
      <c r="BH595" s="54">
        <v>0</v>
      </c>
      <c r="BK595" s="104" t="str">
        <f>$V$87</f>
        <v>-</v>
      </c>
      <c r="BL595" s="108">
        <v>0</v>
      </c>
      <c r="BM595" s="108">
        <v>0</v>
      </c>
      <c r="BN595" s="108">
        <v>0</v>
      </c>
      <c r="BO595" s="108">
        <v>0</v>
      </c>
      <c r="BP595" s="108">
        <v>0</v>
      </c>
      <c r="BQ595" s="108">
        <v>0</v>
      </c>
      <c r="BR595" s="108">
        <v>0</v>
      </c>
      <c r="BS595" s="108">
        <v>0</v>
      </c>
      <c r="BT595" s="108">
        <v>0</v>
      </c>
      <c r="BU595" s="108">
        <v>0</v>
      </c>
      <c r="BV595" s="108">
        <v>0</v>
      </c>
      <c r="BW595" s="108">
        <v>0</v>
      </c>
      <c r="BX595" s="108">
        <v>0</v>
      </c>
      <c r="BY595" s="108">
        <v>0</v>
      </c>
      <c r="BZ595" s="108">
        <v>0</v>
      </c>
      <c r="CA595" s="108">
        <v>0</v>
      </c>
      <c r="CB595" s="108">
        <v>0</v>
      </c>
    </row>
    <row r="596" spans="3:80" x14ac:dyDescent="0.55000000000000004">
      <c r="C596" s="104" t="str">
        <f>$V$74</f>
        <v>Samuel</v>
      </c>
      <c r="D596" s="108">
        <f t="shared" ref="D596:S596" si="371">D74</f>
        <v>0</v>
      </c>
      <c r="E596" s="108">
        <f t="shared" si="371"/>
        <v>0</v>
      </c>
      <c r="F596" s="108">
        <f t="shared" si="371"/>
        <v>0</v>
      </c>
      <c r="G596" s="108">
        <f t="shared" si="371"/>
        <v>0</v>
      </c>
      <c r="H596" s="108">
        <f t="shared" si="371"/>
        <v>0</v>
      </c>
      <c r="I596" s="108">
        <f t="shared" si="371"/>
        <v>0</v>
      </c>
      <c r="J596" s="108">
        <f t="shared" si="371"/>
        <v>0</v>
      </c>
      <c r="K596" s="108">
        <f t="shared" si="371"/>
        <v>0</v>
      </c>
      <c r="L596" s="108">
        <f t="shared" si="371"/>
        <v>0</v>
      </c>
      <c r="M596" s="108">
        <f t="shared" si="371"/>
        <v>0</v>
      </c>
      <c r="N596" s="108">
        <f t="shared" si="371"/>
        <v>0</v>
      </c>
      <c r="O596" s="108">
        <f t="shared" si="371"/>
        <v>0</v>
      </c>
      <c r="P596" s="108">
        <f t="shared" si="371"/>
        <v>0</v>
      </c>
      <c r="Q596" s="108">
        <f t="shared" si="371"/>
        <v>0</v>
      </c>
      <c r="R596" s="108">
        <f t="shared" si="371"/>
        <v>0</v>
      </c>
      <c r="S596" s="108">
        <f t="shared" si="371"/>
        <v>0</v>
      </c>
      <c r="T596" s="28" t="s">
        <v>26</v>
      </c>
      <c r="V596" s="104" t="str">
        <f>$V$74</f>
        <v>Samuel</v>
      </c>
      <c r="W596" s="108">
        <f t="shared" si="335"/>
        <v>-1</v>
      </c>
      <c r="X596" s="108">
        <f t="shared" si="336"/>
        <v>-1</v>
      </c>
      <c r="Y596" s="108">
        <f t="shared" si="337"/>
        <v>-1</v>
      </c>
      <c r="Z596" s="108">
        <f t="shared" si="338"/>
        <v>-1</v>
      </c>
      <c r="AA596" s="108">
        <f t="shared" si="339"/>
        <v>-1</v>
      </c>
      <c r="AB596" s="108">
        <f t="shared" si="340"/>
        <v>-1</v>
      </c>
      <c r="AC596" s="108">
        <f t="shared" si="341"/>
        <v>-1</v>
      </c>
      <c r="AD596" s="108">
        <f t="shared" si="342"/>
        <v>-1</v>
      </c>
      <c r="AE596" s="108">
        <f t="shared" si="343"/>
        <v>-1</v>
      </c>
      <c r="AF596" s="108">
        <f t="shared" si="344"/>
        <v>-1</v>
      </c>
      <c r="AG596" s="108">
        <f t="shared" si="345"/>
        <v>-1</v>
      </c>
      <c r="AH596" s="108">
        <f t="shared" si="346"/>
        <v>-1</v>
      </c>
      <c r="AI596" s="108">
        <f t="shared" si="347"/>
        <v>-1</v>
      </c>
      <c r="AJ596" s="108">
        <f t="shared" si="348"/>
        <v>-1</v>
      </c>
      <c r="AK596" s="108">
        <f t="shared" si="349"/>
        <v>-1</v>
      </c>
      <c r="AL596" s="108">
        <f t="shared" si="350"/>
        <v>-1</v>
      </c>
      <c r="AM596" s="108"/>
      <c r="AQ596" s="104" t="str">
        <f>$V$55</f>
        <v>Óscar</v>
      </c>
      <c r="AR596" s="54">
        <v>0</v>
      </c>
      <c r="AS596" s="54">
        <v>0</v>
      </c>
      <c r="AT596" s="54">
        <v>0</v>
      </c>
      <c r="AU596" s="54">
        <v>0</v>
      </c>
      <c r="AV596" s="54">
        <v>0</v>
      </c>
      <c r="AW596" s="54">
        <v>0</v>
      </c>
      <c r="AX596" s="54">
        <v>0</v>
      </c>
      <c r="AY596" s="54">
        <v>0</v>
      </c>
      <c r="AZ596" s="54">
        <v>0</v>
      </c>
      <c r="BA596" s="54">
        <v>0</v>
      </c>
      <c r="BB596" s="54">
        <v>0</v>
      </c>
      <c r="BC596" s="54">
        <v>0</v>
      </c>
      <c r="BD596" s="54">
        <v>0</v>
      </c>
      <c r="BE596" s="54">
        <v>0</v>
      </c>
      <c r="BF596" s="54">
        <v>0</v>
      </c>
      <c r="BG596" s="54">
        <v>0</v>
      </c>
      <c r="BH596" s="54">
        <v>0</v>
      </c>
      <c r="BK596" s="104" t="str">
        <f>$V$88</f>
        <v>-</v>
      </c>
      <c r="BL596" s="108">
        <v>0</v>
      </c>
      <c r="BM596" s="108">
        <v>0</v>
      </c>
      <c r="BN596" s="108">
        <v>0</v>
      </c>
      <c r="BO596" s="108">
        <v>0</v>
      </c>
      <c r="BP596" s="108">
        <v>0</v>
      </c>
      <c r="BQ596" s="108">
        <v>0</v>
      </c>
      <c r="BR596" s="108">
        <v>0</v>
      </c>
      <c r="BS596" s="108">
        <v>0</v>
      </c>
      <c r="BT596" s="108">
        <v>0</v>
      </c>
      <c r="BU596" s="108">
        <v>0</v>
      </c>
      <c r="BV596" s="108">
        <v>0</v>
      </c>
      <c r="BW596" s="108">
        <v>0</v>
      </c>
      <c r="BX596" s="108">
        <v>0</v>
      </c>
      <c r="BY596" s="108">
        <v>0</v>
      </c>
      <c r="BZ596" s="108">
        <v>0</v>
      </c>
      <c r="CA596" s="108">
        <v>0</v>
      </c>
      <c r="CB596" s="108">
        <v>0</v>
      </c>
    </row>
    <row r="597" spans="3:80" x14ac:dyDescent="0.55000000000000004">
      <c r="C597" s="104" t="str">
        <f>$V$75</f>
        <v>Yassin</v>
      </c>
      <c r="D597" s="108">
        <f t="shared" ref="D597:S597" si="372">D75</f>
        <v>0</v>
      </c>
      <c r="E597" s="108">
        <f t="shared" si="372"/>
        <v>0</v>
      </c>
      <c r="F597" s="108">
        <f t="shared" si="372"/>
        <v>0</v>
      </c>
      <c r="G597" s="108">
        <f t="shared" si="372"/>
        <v>0</v>
      </c>
      <c r="H597" s="108">
        <f t="shared" si="372"/>
        <v>0</v>
      </c>
      <c r="I597" s="108">
        <f t="shared" si="372"/>
        <v>0</v>
      </c>
      <c r="J597" s="108">
        <f t="shared" si="372"/>
        <v>0</v>
      </c>
      <c r="K597" s="108">
        <f t="shared" si="372"/>
        <v>0</v>
      </c>
      <c r="L597" s="108">
        <f t="shared" si="372"/>
        <v>0</v>
      </c>
      <c r="M597" s="108">
        <f t="shared" si="372"/>
        <v>0</v>
      </c>
      <c r="N597" s="108">
        <f t="shared" si="372"/>
        <v>0</v>
      </c>
      <c r="O597" s="108">
        <f t="shared" si="372"/>
        <v>0</v>
      </c>
      <c r="P597" s="108">
        <f t="shared" si="372"/>
        <v>0</v>
      </c>
      <c r="Q597" s="108">
        <f t="shared" si="372"/>
        <v>0</v>
      </c>
      <c r="R597" s="108">
        <f t="shared" si="372"/>
        <v>0</v>
      </c>
      <c r="S597" s="108">
        <f t="shared" si="372"/>
        <v>0</v>
      </c>
      <c r="T597" s="28" t="s">
        <v>26</v>
      </c>
      <c r="V597" s="104" t="str">
        <f>$V$75</f>
        <v>Yassin</v>
      </c>
      <c r="W597" s="108">
        <f t="shared" si="335"/>
        <v>-1</v>
      </c>
      <c r="X597" s="108">
        <f t="shared" si="336"/>
        <v>-1</v>
      </c>
      <c r="Y597" s="108">
        <f t="shared" si="337"/>
        <v>-1</v>
      </c>
      <c r="Z597" s="108">
        <f t="shared" si="338"/>
        <v>-1</v>
      </c>
      <c r="AA597" s="108">
        <f t="shared" si="339"/>
        <v>-1</v>
      </c>
      <c r="AB597" s="108">
        <f t="shared" si="340"/>
        <v>-1</v>
      </c>
      <c r="AC597" s="108">
        <f t="shared" si="341"/>
        <v>-1</v>
      </c>
      <c r="AD597" s="108">
        <f t="shared" si="342"/>
        <v>-1</v>
      </c>
      <c r="AE597" s="108">
        <f t="shared" si="343"/>
        <v>-1</v>
      </c>
      <c r="AF597" s="108">
        <f t="shared" si="344"/>
        <v>-1</v>
      </c>
      <c r="AG597" s="108">
        <f t="shared" si="345"/>
        <v>-1</v>
      </c>
      <c r="AH597" s="108">
        <f t="shared" si="346"/>
        <v>-1</v>
      </c>
      <c r="AI597" s="108">
        <f t="shared" si="347"/>
        <v>-1</v>
      </c>
      <c r="AJ597" s="108">
        <f t="shared" si="348"/>
        <v>-1</v>
      </c>
      <c r="AK597" s="108">
        <f t="shared" si="349"/>
        <v>-1</v>
      </c>
      <c r="AL597" s="108">
        <f t="shared" si="350"/>
        <v>-1</v>
      </c>
      <c r="AM597" s="108"/>
      <c r="AQ597" s="104" t="str">
        <f>$V$56</f>
        <v>Sebastián</v>
      </c>
      <c r="AR597" s="54">
        <v>0</v>
      </c>
      <c r="AS597" s="54">
        <v>0</v>
      </c>
      <c r="AT597" s="54">
        <v>0</v>
      </c>
      <c r="AU597" s="54">
        <v>0</v>
      </c>
      <c r="AV597" s="54">
        <v>0</v>
      </c>
      <c r="AW597" s="54">
        <v>0</v>
      </c>
      <c r="AX597" s="54">
        <v>1</v>
      </c>
      <c r="AY597" s="54">
        <v>0</v>
      </c>
      <c r="AZ597" s="54">
        <v>0</v>
      </c>
      <c r="BA597" s="54">
        <v>0</v>
      </c>
      <c r="BB597" s="54">
        <v>0</v>
      </c>
      <c r="BC597" s="54">
        <v>0</v>
      </c>
      <c r="BD597" s="54">
        <v>0</v>
      </c>
      <c r="BE597" s="54">
        <v>0</v>
      </c>
      <c r="BF597" s="54">
        <v>0</v>
      </c>
      <c r="BG597" s="54">
        <v>0</v>
      </c>
      <c r="BH597" s="54">
        <v>0</v>
      </c>
      <c r="BK597" s="104" t="str">
        <f>$V$89</f>
        <v>-</v>
      </c>
      <c r="BL597" s="108">
        <v>0</v>
      </c>
      <c r="BM597" s="108">
        <v>0</v>
      </c>
      <c r="BN597" s="108">
        <v>0</v>
      </c>
      <c r="BO597" s="108">
        <v>0</v>
      </c>
      <c r="BP597" s="108">
        <v>0</v>
      </c>
      <c r="BQ597" s="108">
        <v>0</v>
      </c>
      <c r="BR597" s="108">
        <v>0</v>
      </c>
      <c r="BS597" s="108">
        <v>0</v>
      </c>
      <c r="BT597" s="108">
        <v>0</v>
      </c>
      <c r="BU597" s="108">
        <v>0</v>
      </c>
      <c r="BV597" s="108">
        <v>0</v>
      </c>
      <c r="BW597" s="108">
        <v>0</v>
      </c>
      <c r="BX597" s="108">
        <v>0</v>
      </c>
      <c r="BY597" s="108">
        <v>0</v>
      </c>
      <c r="BZ597" s="108">
        <v>0</v>
      </c>
      <c r="CA597" s="108">
        <v>0</v>
      </c>
      <c r="CB597" s="108">
        <v>0</v>
      </c>
    </row>
    <row r="598" spans="3:80" x14ac:dyDescent="0.55000000000000004">
      <c r="C598" s="104" t="str">
        <f>$V$76</f>
        <v>Kamar</v>
      </c>
      <c r="D598" s="108">
        <f t="shared" ref="D598:S598" si="373">D76</f>
        <v>0</v>
      </c>
      <c r="E598" s="108">
        <f t="shared" si="373"/>
        <v>0</v>
      </c>
      <c r="F598" s="108">
        <f t="shared" si="373"/>
        <v>0</v>
      </c>
      <c r="G598" s="108">
        <f t="shared" si="373"/>
        <v>0</v>
      </c>
      <c r="H598" s="108">
        <f t="shared" si="373"/>
        <v>0</v>
      </c>
      <c r="I598" s="108">
        <f t="shared" si="373"/>
        <v>0</v>
      </c>
      <c r="J598" s="108">
        <f t="shared" si="373"/>
        <v>0</v>
      </c>
      <c r="K598" s="108">
        <f t="shared" si="373"/>
        <v>0</v>
      </c>
      <c r="L598" s="108">
        <f t="shared" si="373"/>
        <v>0</v>
      </c>
      <c r="M598" s="108">
        <f t="shared" si="373"/>
        <v>0</v>
      </c>
      <c r="N598" s="108">
        <f t="shared" si="373"/>
        <v>0</v>
      </c>
      <c r="O598" s="108">
        <f t="shared" si="373"/>
        <v>0</v>
      </c>
      <c r="P598" s="108">
        <f t="shared" si="373"/>
        <v>0</v>
      </c>
      <c r="Q598" s="108">
        <f t="shared" si="373"/>
        <v>0</v>
      </c>
      <c r="R598" s="108">
        <f t="shared" si="373"/>
        <v>0</v>
      </c>
      <c r="S598" s="108">
        <f t="shared" si="373"/>
        <v>0</v>
      </c>
      <c r="T598" s="28" t="s">
        <v>26</v>
      </c>
      <c r="V598" s="104" t="str">
        <f>$V$76</f>
        <v>Kamar</v>
      </c>
      <c r="W598" s="108">
        <f t="shared" si="335"/>
        <v>-1</v>
      </c>
      <c r="X598" s="108">
        <f t="shared" si="336"/>
        <v>-1</v>
      </c>
      <c r="Y598" s="108">
        <f t="shared" si="337"/>
        <v>-1</v>
      </c>
      <c r="Z598" s="108">
        <f t="shared" si="338"/>
        <v>-1</v>
      </c>
      <c r="AA598" s="108">
        <f t="shared" si="339"/>
        <v>-1</v>
      </c>
      <c r="AB598" s="108">
        <f t="shared" si="340"/>
        <v>-1</v>
      </c>
      <c r="AC598" s="108">
        <f t="shared" si="341"/>
        <v>-1</v>
      </c>
      <c r="AD598" s="108">
        <f t="shared" si="342"/>
        <v>-1</v>
      </c>
      <c r="AE598" s="108">
        <f t="shared" si="343"/>
        <v>-1</v>
      </c>
      <c r="AF598" s="108">
        <f t="shared" si="344"/>
        <v>-1</v>
      </c>
      <c r="AG598" s="108">
        <f t="shared" si="345"/>
        <v>-1</v>
      </c>
      <c r="AH598" s="108">
        <f t="shared" si="346"/>
        <v>-1</v>
      </c>
      <c r="AI598" s="108">
        <f t="shared" si="347"/>
        <v>-1</v>
      </c>
      <c r="AJ598" s="108">
        <f t="shared" si="348"/>
        <v>-1</v>
      </c>
      <c r="AK598" s="108">
        <f t="shared" si="349"/>
        <v>-1</v>
      </c>
      <c r="AL598" s="108">
        <f t="shared" si="350"/>
        <v>-1</v>
      </c>
      <c r="AM598" s="108"/>
      <c r="AQ598" s="104" t="str">
        <f>$V$57</f>
        <v>Marcos</v>
      </c>
      <c r="AR598" s="54">
        <v>0</v>
      </c>
      <c r="AS598" s="54">
        <v>0</v>
      </c>
      <c r="AT598" s="54">
        <v>0</v>
      </c>
      <c r="AU598" s="54">
        <v>0</v>
      </c>
      <c r="AV598" s="54">
        <v>0</v>
      </c>
      <c r="AW598" s="54">
        <v>0</v>
      </c>
      <c r="AX598" s="54">
        <v>1</v>
      </c>
      <c r="AY598" s="54">
        <v>0</v>
      </c>
      <c r="AZ598" s="54">
        <v>0</v>
      </c>
      <c r="BA598" s="54">
        <v>0</v>
      </c>
      <c r="BB598" s="54">
        <v>0</v>
      </c>
      <c r="BC598" s="54">
        <v>0</v>
      </c>
      <c r="BD598" s="54">
        <v>0</v>
      </c>
      <c r="BE598" s="54">
        <v>0</v>
      </c>
      <c r="BF598" s="54">
        <v>0</v>
      </c>
      <c r="BG598" s="54">
        <v>0</v>
      </c>
      <c r="BH598" s="54">
        <v>0</v>
      </c>
      <c r="BK598" s="104" t="str">
        <f>$V$90</f>
        <v>-</v>
      </c>
      <c r="BL598" s="108">
        <v>0</v>
      </c>
      <c r="BM598" s="108">
        <v>0</v>
      </c>
      <c r="BN598" s="108">
        <v>0</v>
      </c>
      <c r="BO598" s="108">
        <v>0</v>
      </c>
      <c r="BP598" s="108">
        <v>0</v>
      </c>
      <c r="BQ598" s="108">
        <v>0</v>
      </c>
      <c r="BR598" s="108">
        <v>0</v>
      </c>
      <c r="BS598" s="108">
        <v>0</v>
      </c>
      <c r="BT598" s="108">
        <v>0</v>
      </c>
      <c r="BU598" s="108">
        <v>0</v>
      </c>
      <c r="BV598" s="108">
        <v>0</v>
      </c>
      <c r="BW598" s="108">
        <v>0</v>
      </c>
      <c r="BX598" s="108">
        <v>0</v>
      </c>
      <c r="BY598" s="108">
        <v>0</v>
      </c>
      <c r="BZ598" s="108">
        <v>0</v>
      </c>
      <c r="CA598" s="108">
        <v>0</v>
      </c>
      <c r="CB598" s="108">
        <v>0</v>
      </c>
    </row>
    <row r="599" spans="3:80" x14ac:dyDescent="0.55000000000000004">
      <c r="C599" s="104" t="str">
        <f>$V$77</f>
        <v>-</v>
      </c>
      <c r="D599" s="108">
        <f t="shared" ref="D599:S599" si="374">D77</f>
        <v>0</v>
      </c>
      <c r="E599" s="108">
        <f t="shared" si="374"/>
        <v>0</v>
      </c>
      <c r="F599" s="108">
        <f t="shared" si="374"/>
        <v>0</v>
      </c>
      <c r="G599" s="108">
        <f t="shared" si="374"/>
        <v>0</v>
      </c>
      <c r="H599" s="108">
        <f t="shared" si="374"/>
        <v>0</v>
      </c>
      <c r="I599" s="108">
        <f t="shared" si="374"/>
        <v>0</v>
      </c>
      <c r="J599" s="108">
        <f t="shared" si="374"/>
        <v>0</v>
      </c>
      <c r="K599" s="108">
        <f t="shared" si="374"/>
        <v>0</v>
      </c>
      <c r="L599" s="108">
        <f t="shared" si="374"/>
        <v>0</v>
      </c>
      <c r="M599" s="108">
        <f t="shared" si="374"/>
        <v>0</v>
      </c>
      <c r="N599" s="108">
        <f t="shared" si="374"/>
        <v>0</v>
      </c>
      <c r="O599" s="108">
        <f t="shared" si="374"/>
        <v>0</v>
      </c>
      <c r="P599" s="108">
        <f t="shared" si="374"/>
        <v>0</v>
      </c>
      <c r="Q599" s="108">
        <f t="shared" si="374"/>
        <v>0</v>
      </c>
      <c r="R599" s="108">
        <f t="shared" si="374"/>
        <v>0</v>
      </c>
      <c r="S599" s="108">
        <f t="shared" si="374"/>
        <v>0</v>
      </c>
      <c r="T599" s="28" t="s">
        <v>26</v>
      </c>
      <c r="V599" s="104" t="str">
        <f>$V$77</f>
        <v>-</v>
      </c>
      <c r="W599" s="108">
        <f t="shared" si="335"/>
        <v>-1</v>
      </c>
      <c r="X599" s="108">
        <f t="shared" si="336"/>
        <v>-1</v>
      </c>
      <c r="Y599" s="108">
        <f t="shared" si="337"/>
        <v>-1</v>
      </c>
      <c r="Z599" s="108">
        <f t="shared" si="338"/>
        <v>-1</v>
      </c>
      <c r="AA599" s="108">
        <f t="shared" si="339"/>
        <v>-1</v>
      </c>
      <c r="AB599" s="108">
        <f t="shared" si="340"/>
        <v>-1</v>
      </c>
      <c r="AC599" s="108">
        <f t="shared" si="341"/>
        <v>-1</v>
      </c>
      <c r="AD599" s="108">
        <f t="shared" si="342"/>
        <v>-1</v>
      </c>
      <c r="AE599" s="108">
        <f t="shared" si="343"/>
        <v>-1</v>
      </c>
      <c r="AF599" s="108">
        <f t="shared" si="344"/>
        <v>-1</v>
      </c>
      <c r="AG599" s="108">
        <f t="shared" si="345"/>
        <v>-1</v>
      </c>
      <c r="AH599" s="108">
        <f t="shared" si="346"/>
        <v>-1</v>
      </c>
      <c r="AI599" s="108">
        <f t="shared" si="347"/>
        <v>-1</v>
      </c>
      <c r="AJ599" s="108">
        <f t="shared" si="348"/>
        <v>-1</v>
      </c>
      <c r="AK599" s="108">
        <f t="shared" si="349"/>
        <v>-1</v>
      </c>
      <c r="AL599" s="108">
        <f t="shared" si="350"/>
        <v>-1</v>
      </c>
      <c r="AM599" s="108"/>
      <c r="AQ599" s="104" t="str">
        <f>$V$58</f>
        <v>Weixin</v>
      </c>
      <c r="AR599" s="54">
        <v>0</v>
      </c>
      <c r="AS599" s="54">
        <v>0</v>
      </c>
      <c r="AT599" s="54">
        <v>0</v>
      </c>
      <c r="AU599" s="54">
        <v>0</v>
      </c>
      <c r="AV599" s="54">
        <v>0</v>
      </c>
      <c r="AW599" s="54">
        <v>0</v>
      </c>
      <c r="AX599" s="54">
        <v>0</v>
      </c>
      <c r="AY599" s="54">
        <v>0</v>
      </c>
      <c r="AZ599" s="54">
        <v>0</v>
      </c>
      <c r="BA599" s="54">
        <v>0</v>
      </c>
      <c r="BB599" s="54">
        <v>0</v>
      </c>
      <c r="BC599" s="54">
        <v>0</v>
      </c>
      <c r="BD599" s="54">
        <v>0</v>
      </c>
      <c r="BE599" s="54">
        <v>0</v>
      </c>
      <c r="BF599" s="54">
        <v>0</v>
      </c>
      <c r="BG599" s="54">
        <v>0</v>
      </c>
      <c r="BH599" s="54">
        <v>0</v>
      </c>
      <c r="BK599" s="104" t="str">
        <f>$V$91</f>
        <v>-</v>
      </c>
      <c r="BL599" s="108">
        <v>0</v>
      </c>
      <c r="BM599" s="108">
        <v>0</v>
      </c>
      <c r="BN599" s="108">
        <v>0</v>
      </c>
      <c r="BO599" s="108">
        <v>0</v>
      </c>
      <c r="BP599" s="108">
        <v>0</v>
      </c>
      <c r="BQ599" s="108">
        <v>0</v>
      </c>
      <c r="BR599" s="108">
        <v>0</v>
      </c>
      <c r="BS599" s="108">
        <v>0</v>
      </c>
      <c r="BT599" s="108">
        <v>0</v>
      </c>
      <c r="BU599" s="108">
        <v>0</v>
      </c>
      <c r="BV599" s="108">
        <v>0</v>
      </c>
      <c r="BW599" s="108">
        <v>0</v>
      </c>
      <c r="BX599" s="108">
        <v>0</v>
      </c>
      <c r="BY599" s="108">
        <v>0</v>
      </c>
      <c r="BZ599" s="108">
        <v>0</v>
      </c>
      <c r="CA599" s="108">
        <v>0</v>
      </c>
      <c r="CB599" s="108">
        <v>0</v>
      </c>
    </row>
    <row r="600" spans="3:80" x14ac:dyDescent="0.55000000000000004">
      <c r="C600" s="104" t="str">
        <f>$V$78</f>
        <v>-</v>
      </c>
      <c r="D600" s="108">
        <f t="shared" ref="D600:S600" si="375">D78</f>
        <v>0</v>
      </c>
      <c r="E600" s="108">
        <f t="shared" si="375"/>
        <v>0</v>
      </c>
      <c r="F600" s="108">
        <f t="shared" si="375"/>
        <v>0</v>
      </c>
      <c r="G600" s="108">
        <f t="shared" si="375"/>
        <v>0</v>
      </c>
      <c r="H600" s="108">
        <f t="shared" si="375"/>
        <v>0</v>
      </c>
      <c r="I600" s="108">
        <f t="shared" si="375"/>
        <v>0</v>
      </c>
      <c r="J600" s="108">
        <f t="shared" si="375"/>
        <v>0</v>
      </c>
      <c r="K600" s="108">
        <f t="shared" si="375"/>
        <v>0</v>
      </c>
      <c r="L600" s="108">
        <f t="shared" si="375"/>
        <v>0</v>
      </c>
      <c r="M600" s="108">
        <f t="shared" si="375"/>
        <v>0</v>
      </c>
      <c r="N600" s="108">
        <f t="shared" si="375"/>
        <v>0</v>
      </c>
      <c r="O600" s="108">
        <f t="shared" si="375"/>
        <v>0</v>
      </c>
      <c r="P600" s="108">
        <f t="shared" si="375"/>
        <v>0</v>
      </c>
      <c r="Q600" s="108">
        <f t="shared" si="375"/>
        <v>0</v>
      </c>
      <c r="R600" s="108">
        <f t="shared" si="375"/>
        <v>0</v>
      </c>
      <c r="S600" s="108">
        <f t="shared" si="375"/>
        <v>0</v>
      </c>
      <c r="T600" s="28" t="s">
        <v>26</v>
      </c>
      <c r="V600" s="104" t="str">
        <f>$V$78</f>
        <v>-</v>
      </c>
      <c r="W600" s="108">
        <f t="shared" si="335"/>
        <v>-1</v>
      </c>
      <c r="X600" s="108">
        <f t="shared" si="336"/>
        <v>-1</v>
      </c>
      <c r="Y600" s="108">
        <f t="shared" si="337"/>
        <v>-1</v>
      </c>
      <c r="Z600" s="108">
        <f t="shared" si="338"/>
        <v>-1</v>
      </c>
      <c r="AA600" s="108">
        <f t="shared" si="339"/>
        <v>-1</v>
      </c>
      <c r="AB600" s="108">
        <f t="shared" si="340"/>
        <v>-1</v>
      </c>
      <c r="AC600" s="108">
        <f t="shared" si="341"/>
        <v>-1</v>
      </c>
      <c r="AD600" s="108">
        <f t="shared" si="342"/>
        <v>-1</v>
      </c>
      <c r="AE600" s="108">
        <f t="shared" si="343"/>
        <v>-1</v>
      </c>
      <c r="AF600" s="108">
        <f t="shared" si="344"/>
        <v>-1</v>
      </c>
      <c r="AG600" s="108">
        <f t="shared" si="345"/>
        <v>-1</v>
      </c>
      <c r="AH600" s="108">
        <f t="shared" si="346"/>
        <v>-1</v>
      </c>
      <c r="AI600" s="108">
        <f t="shared" si="347"/>
        <v>-1</v>
      </c>
      <c r="AJ600" s="108">
        <f t="shared" si="348"/>
        <v>-1</v>
      </c>
      <c r="AK600" s="108">
        <f t="shared" si="349"/>
        <v>-1</v>
      </c>
      <c r="AL600" s="108">
        <f t="shared" si="350"/>
        <v>-1</v>
      </c>
      <c r="AQ600" s="104" t="str">
        <f>$V$59</f>
        <v>Benjamin</v>
      </c>
      <c r="AR600" s="54">
        <v>0</v>
      </c>
      <c r="AS600" s="54">
        <v>0</v>
      </c>
      <c r="AT600" s="54">
        <v>0</v>
      </c>
      <c r="AU600" s="54">
        <v>0</v>
      </c>
      <c r="AV600" s="54">
        <v>0</v>
      </c>
      <c r="AW600" s="54">
        <v>0</v>
      </c>
      <c r="AX600" s="54">
        <v>0</v>
      </c>
      <c r="AY600" s="54">
        <v>0</v>
      </c>
      <c r="AZ600" s="54">
        <v>0</v>
      </c>
      <c r="BA600" s="54">
        <v>0</v>
      </c>
      <c r="BB600" s="54">
        <v>0</v>
      </c>
      <c r="BC600" s="54">
        <v>0</v>
      </c>
      <c r="BD600" s="54">
        <v>0</v>
      </c>
      <c r="BE600" s="54">
        <v>0</v>
      </c>
      <c r="BF600" s="54">
        <v>0</v>
      </c>
      <c r="BG600" s="54">
        <v>0</v>
      </c>
      <c r="BH600" s="54">
        <v>0</v>
      </c>
      <c r="BK600" s="104" t="str">
        <f>$V$92</f>
        <v>-</v>
      </c>
      <c r="BL600" s="108">
        <v>0</v>
      </c>
      <c r="BM600" s="108">
        <v>0</v>
      </c>
      <c r="BN600" s="108">
        <v>0</v>
      </c>
      <c r="BO600" s="108">
        <v>0</v>
      </c>
      <c r="BP600" s="108">
        <v>0</v>
      </c>
      <c r="BQ600" s="108">
        <v>0</v>
      </c>
      <c r="BR600" s="108">
        <v>0</v>
      </c>
      <c r="BS600" s="108">
        <v>0</v>
      </c>
      <c r="BT600" s="108">
        <v>0</v>
      </c>
      <c r="BU600" s="108">
        <v>0</v>
      </c>
      <c r="BV600" s="108">
        <v>0</v>
      </c>
      <c r="BW600" s="108">
        <v>0</v>
      </c>
      <c r="BX600" s="108">
        <v>0</v>
      </c>
      <c r="BY600" s="108">
        <v>0</v>
      </c>
      <c r="BZ600" s="108">
        <v>0</v>
      </c>
      <c r="CA600" s="108">
        <v>0</v>
      </c>
      <c r="CB600" s="108">
        <v>0</v>
      </c>
    </row>
    <row r="601" spans="3:80" x14ac:dyDescent="0.55000000000000004">
      <c r="C601" s="104" t="str">
        <f>$V$79</f>
        <v>-</v>
      </c>
      <c r="D601" s="108">
        <f t="shared" ref="D601:S601" si="376">D79</f>
        <v>0</v>
      </c>
      <c r="E601" s="108">
        <f t="shared" si="376"/>
        <v>0</v>
      </c>
      <c r="F601" s="108">
        <f t="shared" si="376"/>
        <v>0</v>
      </c>
      <c r="G601" s="108">
        <f t="shared" si="376"/>
        <v>0</v>
      </c>
      <c r="H601" s="108">
        <f t="shared" si="376"/>
        <v>0</v>
      </c>
      <c r="I601" s="108">
        <f t="shared" si="376"/>
        <v>0</v>
      </c>
      <c r="J601" s="108">
        <f t="shared" si="376"/>
        <v>0</v>
      </c>
      <c r="K601" s="108">
        <f t="shared" si="376"/>
        <v>0</v>
      </c>
      <c r="L601" s="108">
        <f t="shared" si="376"/>
        <v>0</v>
      </c>
      <c r="M601" s="108">
        <f t="shared" si="376"/>
        <v>0</v>
      </c>
      <c r="N601" s="108">
        <f t="shared" si="376"/>
        <v>0</v>
      </c>
      <c r="O601" s="108">
        <f t="shared" si="376"/>
        <v>0</v>
      </c>
      <c r="P601" s="108">
        <f t="shared" si="376"/>
        <v>0</v>
      </c>
      <c r="Q601" s="108">
        <f t="shared" si="376"/>
        <v>0</v>
      </c>
      <c r="R601" s="108">
        <f t="shared" si="376"/>
        <v>0</v>
      </c>
      <c r="S601" s="108">
        <f t="shared" si="376"/>
        <v>0</v>
      </c>
      <c r="T601" s="28" t="s">
        <v>26</v>
      </c>
      <c r="V601" s="104" t="str">
        <f>$V$79</f>
        <v>-</v>
      </c>
      <c r="W601" s="108">
        <f t="shared" si="335"/>
        <v>-1</v>
      </c>
      <c r="X601" s="108">
        <f t="shared" si="336"/>
        <v>-1</v>
      </c>
      <c r="Y601" s="108">
        <f t="shared" si="337"/>
        <v>-1</v>
      </c>
      <c r="Z601" s="108">
        <f t="shared" si="338"/>
        <v>-1</v>
      </c>
      <c r="AA601" s="108">
        <f t="shared" si="339"/>
        <v>-1</v>
      </c>
      <c r="AB601" s="108">
        <f t="shared" si="340"/>
        <v>-1</v>
      </c>
      <c r="AC601" s="108">
        <f t="shared" si="341"/>
        <v>-1</v>
      </c>
      <c r="AD601" s="108">
        <f t="shared" si="342"/>
        <v>-1</v>
      </c>
      <c r="AE601" s="108">
        <f t="shared" si="343"/>
        <v>-1</v>
      </c>
      <c r="AF601" s="108">
        <f t="shared" si="344"/>
        <v>-1</v>
      </c>
      <c r="AG601" s="108">
        <f t="shared" si="345"/>
        <v>-1</v>
      </c>
      <c r="AH601" s="108">
        <f t="shared" si="346"/>
        <v>-1</v>
      </c>
      <c r="AI601" s="108">
        <f t="shared" si="347"/>
        <v>-1</v>
      </c>
      <c r="AJ601" s="108">
        <f t="shared" si="348"/>
        <v>-1</v>
      </c>
      <c r="AK601" s="108">
        <f t="shared" si="349"/>
        <v>-1</v>
      </c>
      <c r="AL601" s="108">
        <f t="shared" si="350"/>
        <v>-1</v>
      </c>
      <c r="AQ601" s="104" t="str">
        <f>$V$60</f>
        <v>Joelle</v>
      </c>
      <c r="AR601" s="54">
        <v>0</v>
      </c>
      <c r="AS601" s="54">
        <v>0</v>
      </c>
      <c r="AT601" s="54">
        <v>0</v>
      </c>
      <c r="AU601" s="54">
        <v>0</v>
      </c>
      <c r="AV601" s="54">
        <v>0</v>
      </c>
      <c r="AW601" s="54">
        <v>0</v>
      </c>
      <c r="AX601" s="54">
        <v>0</v>
      </c>
      <c r="AY601" s="54">
        <v>0</v>
      </c>
      <c r="AZ601" s="54">
        <v>0</v>
      </c>
      <c r="BA601" s="54">
        <v>0</v>
      </c>
      <c r="BB601" s="54">
        <v>0</v>
      </c>
      <c r="BC601" s="54">
        <v>0</v>
      </c>
      <c r="BD601" s="54">
        <v>0</v>
      </c>
      <c r="BE601" s="54">
        <v>0</v>
      </c>
      <c r="BF601" s="54">
        <v>0</v>
      </c>
      <c r="BG601" s="54">
        <v>0</v>
      </c>
      <c r="BH601" s="54">
        <v>0</v>
      </c>
    </row>
    <row r="602" spans="3:80" x14ac:dyDescent="0.55000000000000004">
      <c r="C602" s="104" t="str">
        <f>$V$80</f>
        <v>-</v>
      </c>
      <c r="D602" s="108">
        <f t="shared" ref="D602:S602" si="377">D80</f>
        <v>0</v>
      </c>
      <c r="E602" s="108">
        <f t="shared" si="377"/>
        <v>0</v>
      </c>
      <c r="F602" s="108">
        <f t="shared" si="377"/>
        <v>0</v>
      </c>
      <c r="G602" s="108">
        <f t="shared" si="377"/>
        <v>0</v>
      </c>
      <c r="H602" s="108">
        <f t="shared" si="377"/>
        <v>0</v>
      </c>
      <c r="I602" s="108">
        <f t="shared" si="377"/>
        <v>0</v>
      </c>
      <c r="J602" s="108">
        <f t="shared" si="377"/>
        <v>0</v>
      </c>
      <c r="K602" s="108">
        <f t="shared" si="377"/>
        <v>0</v>
      </c>
      <c r="L602" s="108">
        <f t="shared" si="377"/>
        <v>0</v>
      </c>
      <c r="M602" s="108">
        <f t="shared" si="377"/>
        <v>0</v>
      </c>
      <c r="N602" s="108">
        <f t="shared" si="377"/>
        <v>0</v>
      </c>
      <c r="O602" s="108">
        <f t="shared" si="377"/>
        <v>0</v>
      </c>
      <c r="P602" s="108">
        <f t="shared" si="377"/>
        <v>0</v>
      </c>
      <c r="Q602" s="108">
        <f t="shared" si="377"/>
        <v>0</v>
      </c>
      <c r="R602" s="108">
        <f t="shared" si="377"/>
        <v>0</v>
      </c>
      <c r="S602" s="108">
        <f t="shared" si="377"/>
        <v>0</v>
      </c>
      <c r="T602" s="28" t="s">
        <v>26</v>
      </c>
      <c r="V602" s="104" t="str">
        <f>$V$80</f>
        <v>-</v>
      </c>
      <c r="W602" s="108">
        <f t="shared" si="335"/>
        <v>-1</v>
      </c>
      <c r="X602" s="108">
        <f t="shared" si="336"/>
        <v>-1</v>
      </c>
      <c r="Y602" s="108">
        <f t="shared" si="337"/>
        <v>-1</v>
      </c>
      <c r="Z602" s="108">
        <f t="shared" si="338"/>
        <v>-1</v>
      </c>
      <c r="AA602" s="108">
        <f t="shared" si="339"/>
        <v>-1</v>
      </c>
      <c r="AB602" s="108">
        <f t="shared" si="340"/>
        <v>-1</v>
      </c>
      <c r="AC602" s="108">
        <f t="shared" si="341"/>
        <v>-1</v>
      </c>
      <c r="AD602" s="108">
        <f t="shared" si="342"/>
        <v>-1</v>
      </c>
      <c r="AE602" s="108">
        <f t="shared" si="343"/>
        <v>-1</v>
      </c>
      <c r="AF602" s="108">
        <f t="shared" si="344"/>
        <v>-1</v>
      </c>
      <c r="AG602" s="108">
        <f t="shared" si="345"/>
        <v>-1</v>
      </c>
      <c r="AH602" s="108">
        <f t="shared" si="346"/>
        <v>-1</v>
      </c>
      <c r="AI602" s="108">
        <f t="shared" si="347"/>
        <v>-1</v>
      </c>
      <c r="AJ602" s="108">
        <f t="shared" si="348"/>
        <v>-1</v>
      </c>
      <c r="AK602" s="108">
        <f t="shared" si="349"/>
        <v>-1</v>
      </c>
      <c r="AL602" s="108">
        <f t="shared" si="350"/>
        <v>-1</v>
      </c>
      <c r="AQ602" s="104" t="str">
        <f>$V$61</f>
        <v>Alexia</v>
      </c>
      <c r="AR602" s="54">
        <v>0</v>
      </c>
      <c r="AS602" s="54">
        <v>0</v>
      </c>
      <c r="AT602" s="54">
        <v>0</v>
      </c>
      <c r="AU602" s="54">
        <v>0</v>
      </c>
      <c r="AV602" s="54">
        <v>0</v>
      </c>
      <c r="AW602" s="54">
        <v>0</v>
      </c>
      <c r="AX602" s="54">
        <v>0</v>
      </c>
      <c r="AY602" s="54">
        <v>0</v>
      </c>
      <c r="AZ602" s="54">
        <v>0</v>
      </c>
      <c r="BA602" s="54">
        <v>0</v>
      </c>
      <c r="BB602" s="54">
        <v>0</v>
      </c>
      <c r="BC602" s="54">
        <v>0</v>
      </c>
      <c r="BD602" s="54">
        <v>0</v>
      </c>
      <c r="BE602" s="54">
        <v>0</v>
      </c>
      <c r="BF602" s="54">
        <v>0</v>
      </c>
      <c r="BG602" s="54">
        <v>0</v>
      </c>
      <c r="BH602" s="54">
        <v>0</v>
      </c>
    </row>
    <row r="603" spans="3:80" x14ac:dyDescent="0.55000000000000004">
      <c r="C603" s="104" t="str">
        <f>$V$81</f>
        <v>-</v>
      </c>
      <c r="D603" s="108">
        <f t="shared" ref="D603:S603" si="378">D81</f>
        <v>0</v>
      </c>
      <c r="E603" s="108">
        <f t="shared" si="378"/>
        <v>0</v>
      </c>
      <c r="F603" s="108">
        <f t="shared" si="378"/>
        <v>0</v>
      </c>
      <c r="G603" s="108">
        <f t="shared" si="378"/>
        <v>0</v>
      </c>
      <c r="H603" s="108">
        <f t="shared" si="378"/>
        <v>0</v>
      </c>
      <c r="I603" s="108">
        <f t="shared" si="378"/>
        <v>0</v>
      </c>
      <c r="J603" s="108">
        <f t="shared" si="378"/>
        <v>0</v>
      </c>
      <c r="K603" s="108">
        <f t="shared" si="378"/>
        <v>0</v>
      </c>
      <c r="L603" s="108">
        <f t="shared" si="378"/>
        <v>0</v>
      </c>
      <c r="M603" s="108">
        <f t="shared" si="378"/>
        <v>0</v>
      </c>
      <c r="N603" s="108">
        <f t="shared" si="378"/>
        <v>0</v>
      </c>
      <c r="O603" s="108">
        <f t="shared" si="378"/>
        <v>0</v>
      </c>
      <c r="P603" s="108">
        <f t="shared" si="378"/>
        <v>0</v>
      </c>
      <c r="Q603" s="108">
        <f t="shared" si="378"/>
        <v>0</v>
      </c>
      <c r="R603" s="108">
        <f t="shared" si="378"/>
        <v>0</v>
      </c>
      <c r="S603" s="108">
        <f t="shared" si="378"/>
        <v>0</v>
      </c>
      <c r="T603" s="28" t="s">
        <v>26</v>
      </c>
      <c r="V603" s="104" t="str">
        <f>$V$81</f>
        <v>-</v>
      </c>
      <c r="W603" s="108">
        <f t="shared" si="335"/>
        <v>-1</v>
      </c>
      <c r="X603" s="108">
        <f t="shared" si="336"/>
        <v>-1</v>
      </c>
      <c r="Y603" s="108">
        <f t="shared" si="337"/>
        <v>-1</v>
      </c>
      <c r="Z603" s="108">
        <f t="shared" si="338"/>
        <v>-1</v>
      </c>
      <c r="AA603" s="108">
        <f t="shared" si="339"/>
        <v>-1</v>
      </c>
      <c r="AB603" s="108">
        <f t="shared" si="340"/>
        <v>-1</v>
      </c>
      <c r="AC603" s="108">
        <f t="shared" si="341"/>
        <v>-1</v>
      </c>
      <c r="AD603" s="108">
        <f t="shared" si="342"/>
        <v>-1</v>
      </c>
      <c r="AE603" s="108">
        <f t="shared" si="343"/>
        <v>-1</v>
      </c>
      <c r="AF603" s="108">
        <f t="shared" si="344"/>
        <v>-1</v>
      </c>
      <c r="AG603" s="108">
        <f t="shared" si="345"/>
        <v>-1</v>
      </c>
      <c r="AH603" s="108">
        <f t="shared" si="346"/>
        <v>-1</v>
      </c>
      <c r="AI603" s="108">
        <f t="shared" si="347"/>
        <v>-1</v>
      </c>
      <c r="AJ603" s="108">
        <f t="shared" si="348"/>
        <v>-1</v>
      </c>
      <c r="AK603" s="108">
        <f t="shared" si="349"/>
        <v>-1</v>
      </c>
      <c r="AL603" s="108">
        <f t="shared" si="350"/>
        <v>-1</v>
      </c>
      <c r="AQ603" s="104" t="str">
        <f>$V$62</f>
        <v>Joao</v>
      </c>
      <c r="AR603" s="54">
        <v>0</v>
      </c>
      <c r="AS603" s="54">
        <v>0</v>
      </c>
      <c r="AT603" s="54">
        <v>0</v>
      </c>
      <c r="AU603" s="54">
        <v>0</v>
      </c>
      <c r="AV603" s="54">
        <v>0</v>
      </c>
      <c r="AW603" s="54">
        <v>0</v>
      </c>
      <c r="AX603" s="54">
        <v>0</v>
      </c>
      <c r="AY603" s="54">
        <v>0</v>
      </c>
      <c r="AZ603" s="54">
        <v>0</v>
      </c>
      <c r="BA603" s="54">
        <v>0</v>
      </c>
      <c r="BB603" s="54">
        <v>0</v>
      </c>
      <c r="BC603" s="54">
        <v>0</v>
      </c>
      <c r="BD603" s="54">
        <v>0</v>
      </c>
      <c r="BE603" s="54">
        <v>0</v>
      </c>
      <c r="BF603" s="54">
        <v>0</v>
      </c>
      <c r="BG603" s="54">
        <v>0</v>
      </c>
      <c r="BH603" s="54">
        <v>0</v>
      </c>
      <c r="BK603" s="104" t="str">
        <f>CONCATENATE("OBLIGATORIEDAD DE (",BK604,")")</f>
        <v>OBLIGATORIEDAD DE (Dummy 3)</v>
      </c>
    </row>
    <row r="604" spans="3:80" x14ac:dyDescent="0.55000000000000004">
      <c r="C604" s="104" t="str">
        <f>$V$82</f>
        <v>-</v>
      </c>
      <c r="D604" s="108">
        <f t="shared" ref="D604:S604" si="379">D82</f>
        <v>0</v>
      </c>
      <c r="E604" s="108">
        <f t="shared" si="379"/>
        <v>0</v>
      </c>
      <c r="F604" s="108">
        <f t="shared" si="379"/>
        <v>0</v>
      </c>
      <c r="G604" s="108">
        <f t="shared" si="379"/>
        <v>0</v>
      </c>
      <c r="H604" s="108">
        <f t="shared" si="379"/>
        <v>0</v>
      </c>
      <c r="I604" s="108">
        <f t="shared" si="379"/>
        <v>0</v>
      </c>
      <c r="J604" s="108">
        <f t="shared" si="379"/>
        <v>0</v>
      </c>
      <c r="K604" s="108">
        <f t="shared" si="379"/>
        <v>0</v>
      </c>
      <c r="L604" s="108">
        <f t="shared" si="379"/>
        <v>0</v>
      </c>
      <c r="M604" s="108">
        <f t="shared" si="379"/>
        <v>0</v>
      </c>
      <c r="N604" s="108">
        <f t="shared" si="379"/>
        <v>0</v>
      </c>
      <c r="O604" s="108">
        <f t="shared" si="379"/>
        <v>0</v>
      </c>
      <c r="P604" s="108">
        <f t="shared" si="379"/>
        <v>0</v>
      </c>
      <c r="Q604" s="108">
        <f t="shared" si="379"/>
        <v>0</v>
      </c>
      <c r="R604" s="108">
        <f t="shared" si="379"/>
        <v>0</v>
      </c>
      <c r="S604" s="108">
        <f t="shared" si="379"/>
        <v>0</v>
      </c>
      <c r="T604" s="28" t="s">
        <v>26</v>
      </c>
      <c r="V604" s="104" t="str">
        <f>$V$82</f>
        <v>-</v>
      </c>
      <c r="W604" s="108">
        <f t="shared" si="335"/>
        <v>-1</v>
      </c>
      <c r="X604" s="108">
        <f t="shared" si="336"/>
        <v>-1</v>
      </c>
      <c r="Y604" s="108">
        <f t="shared" si="337"/>
        <v>-1</v>
      </c>
      <c r="Z604" s="108">
        <f t="shared" si="338"/>
        <v>-1</v>
      </c>
      <c r="AA604" s="108">
        <f t="shared" si="339"/>
        <v>-1</v>
      </c>
      <c r="AB604" s="108">
        <f t="shared" si="340"/>
        <v>-1</v>
      </c>
      <c r="AC604" s="108">
        <f t="shared" si="341"/>
        <v>-1</v>
      </c>
      <c r="AD604" s="108">
        <f t="shared" si="342"/>
        <v>-1</v>
      </c>
      <c r="AE604" s="108">
        <f t="shared" si="343"/>
        <v>-1</v>
      </c>
      <c r="AF604" s="108">
        <f t="shared" si="344"/>
        <v>-1</v>
      </c>
      <c r="AG604" s="108">
        <f t="shared" si="345"/>
        <v>-1</v>
      </c>
      <c r="AH604" s="108">
        <f t="shared" si="346"/>
        <v>-1</v>
      </c>
      <c r="AI604" s="108">
        <f t="shared" si="347"/>
        <v>-1</v>
      </c>
      <c r="AJ604" s="108">
        <f t="shared" si="348"/>
        <v>-1</v>
      </c>
      <c r="AK604" s="108">
        <f t="shared" si="349"/>
        <v>-1</v>
      </c>
      <c r="AL604" s="108">
        <f t="shared" si="350"/>
        <v>-1</v>
      </c>
      <c r="AM604" s="108"/>
      <c r="AQ604" s="104" t="str">
        <f>$V$63</f>
        <v>Maxime</v>
      </c>
      <c r="AR604" s="54">
        <v>0</v>
      </c>
      <c r="AS604" s="54">
        <v>0</v>
      </c>
      <c r="AT604" s="54">
        <v>0</v>
      </c>
      <c r="AU604" s="54">
        <v>0</v>
      </c>
      <c r="AV604" s="54">
        <v>0</v>
      </c>
      <c r="AW604" s="54">
        <v>0</v>
      </c>
      <c r="AX604" s="54">
        <v>0</v>
      </c>
      <c r="AY604" s="54">
        <v>0</v>
      </c>
      <c r="AZ604" s="54">
        <v>0</v>
      </c>
      <c r="BA604" s="54">
        <v>0</v>
      </c>
      <c r="BB604" s="54">
        <v>0</v>
      </c>
      <c r="BC604" s="54">
        <v>0</v>
      </c>
      <c r="BD604" s="54">
        <v>0</v>
      </c>
      <c r="BE604" s="54">
        <v>0</v>
      </c>
      <c r="BF604" s="54">
        <v>0</v>
      </c>
      <c r="BG604" s="54">
        <v>0</v>
      </c>
      <c r="BH604" s="54">
        <v>0</v>
      </c>
      <c r="BK604" s="104" t="str">
        <f>V47</f>
        <v>Dummy 3</v>
      </c>
      <c r="BL604" s="104" t="str">
        <f>$W$33</f>
        <v>16h</v>
      </c>
      <c r="BM604" s="104" t="str">
        <f>$X$33</f>
        <v>17h</v>
      </c>
      <c r="BN604" s="104" t="str">
        <f>$Y$33</f>
        <v>18h</v>
      </c>
      <c r="BO604" s="104" t="str">
        <f>$Z$33</f>
        <v>19h</v>
      </c>
      <c r="BP604" s="104" t="str">
        <f>$AA$33</f>
        <v>20h</v>
      </c>
      <c r="BQ604" s="104" t="str">
        <f>$AB$33</f>
        <v>21h</v>
      </c>
      <c r="BR604" s="104" t="str">
        <f>$AC$33</f>
        <v>22h</v>
      </c>
      <c r="BS604" s="104" t="str">
        <f>$AD$33</f>
        <v>23h</v>
      </c>
      <c r="BT604" s="104" t="str">
        <f>$AE$33</f>
        <v>00h</v>
      </c>
      <c r="BU604" s="104" t="str">
        <f>$AF$33</f>
        <v>01h</v>
      </c>
      <c r="BV604" s="104" t="str">
        <f>$AG$33</f>
        <v>02h</v>
      </c>
      <c r="BW604" s="104" t="str">
        <f>$AH$33</f>
        <v>03h</v>
      </c>
      <c r="BX604" s="104" t="str">
        <f>$AI$33</f>
        <v>04h</v>
      </c>
      <c r="BY604" s="104" t="str">
        <f>$AJ$33</f>
        <v>05h</v>
      </c>
      <c r="BZ604" s="104" t="str">
        <f>$AK$33</f>
        <v>06h</v>
      </c>
      <c r="CA604" s="104" t="str">
        <f>$AL$33</f>
        <v>07h</v>
      </c>
      <c r="CB604" s="104" t="str">
        <f>$AM$33</f>
        <v>08h</v>
      </c>
    </row>
    <row r="605" spans="3:80" x14ac:dyDescent="0.55000000000000004">
      <c r="C605" s="104" t="str">
        <f>$V$83</f>
        <v>-</v>
      </c>
      <c r="D605" s="108">
        <f t="shared" ref="D605:S605" si="380">D83</f>
        <v>0</v>
      </c>
      <c r="E605" s="108">
        <f t="shared" si="380"/>
        <v>0</v>
      </c>
      <c r="F605" s="108">
        <f t="shared" si="380"/>
        <v>0</v>
      </c>
      <c r="G605" s="108">
        <f t="shared" si="380"/>
        <v>0</v>
      </c>
      <c r="H605" s="108">
        <f t="shared" si="380"/>
        <v>0</v>
      </c>
      <c r="I605" s="108">
        <f t="shared" si="380"/>
        <v>0</v>
      </c>
      <c r="J605" s="108">
        <f t="shared" si="380"/>
        <v>0</v>
      </c>
      <c r="K605" s="108">
        <f t="shared" si="380"/>
        <v>0</v>
      </c>
      <c r="L605" s="108">
        <f t="shared" si="380"/>
        <v>0</v>
      </c>
      <c r="M605" s="108">
        <f t="shared" si="380"/>
        <v>0</v>
      </c>
      <c r="N605" s="108">
        <f t="shared" si="380"/>
        <v>0</v>
      </c>
      <c r="O605" s="108">
        <f t="shared" si="380"/>
        <v>0</v>
      </c>
      <c r="P605" s="108">
        <f t="shared" si="380"/>
        <v>0</v>
      </c>
      <c r="Q605" s="108">
        <f t="shared" si="380"/>
        <v>0</v>
      </c>
      <c r="R605" s="108">
        <f t="shared" si="380"/>
        <v>0</v>
      </c>
      <c r="S605" s="108">
        <f t="shared" si="380"/>
        <v>0</v>
      </c>
      <c r="T605" s="28" t="s">
        <v>26</v>
      </c>
      <c r="V605" s="104" t="str">
        <f>$V$83</f>
        <v>-</v>
      </c>
      <c r="W605" s="108">
        <f t="shared" si="335"/>
        <v>-1</v>
      </c>
      <c r="X605" s="108">
        <f t="shared" si="336"/>
        <v>-1</v>
      </c>
      <c r="Y605" s="108">
        <f t="shared" si="337"/>
        <v>-1</v>
      </c>
      <c r="Z605" s="108">
        <f t="shared" si="338"/>
        <v>-1</v>
      </c>
      <c r="AA605" s="108">
        <f t="shared" si="339"/>
        <v>-1</v>
      </c>
      <c r="AB605" s="108">
        <f t="shared" si="340"/>
        <v>-1</v>
      </c>
      <c r="AC605" s="108">
        <f t="shared" si="341"/>
        <v>-1</v>
      </c>
      <c r="AD605" s="108">
        <f t="shared" si="342"/>
        <v>-1</v>
      </c>
      <c r="AE605" s="108">
        <f t="shared" si="343"/>
        <v>-1</v>
      </c>
      <c r="AF605" s="108">
        <f t="shared" si="344"/>
        <v>-1</v>
      </c>
      <c r="AG605" s="108">
        <f t="shared" si="345"/>
        <v>-1</v>
      </c>
      <c r="AH605" s="108">
        <f t="shared" si="346"/>
        <v>-1</v>
      </c>
      <c r="AI605" s="108">
        <f t="shared" si="347"/>
        <v>-1</v>
      </c>
      <c r="AJ605" s="108">
        <f t="shared" si="348"/>
        <v>-1</v>
      </c>
      <c r="AK605" s="108">
        <f t="shared" si="349"/>
        <v>-1</v>
      </c>
      <c r="AL605" s="108">
        <f t="shared" si="350"/>
        <v>-1</v>
      </c>
      <c r="AM605" s="108"/>
      <c r="AQ605" s="104" t="str">
        <f>$V$64</f>
        <v>Alex</v>
      </c>
      <c r="AR605" s="54">
        <v>0</v>
      </c>
      <c r="AS605" s="54">
        <v>0</v>
      </c>
      <c r="AT605" s="54">
        <v>0</v>
      </c>
      <c r="AU605" s="54">
        <v>0</v>
      </c>
      <c r="AV605" s="54">
        <v>0</v>
      </c>
      <c r="AW605" s="54">
        <v>0</v>
      </c>
      <c r="AX605" s="54">
        <v>0</v>
      </c>
      <c r="AY605" s="54">
        <v>0</v>
      </c>
      <c r="AZ605" s="54">
        <v>0</v>
      </c>
      <c r="BA605" s="54">
        <v>0</v>
      </c>
      <c r="BB605" s="54">
        <v>0</v>
      </c>
      <c r="BC605" s="54">
        <v>0</v>
      </c>
      <c r="BD605" s="54">
        <v>0</v>
      </c>
      <c r="BE605" s="54">
        <v>0</v>
      </c>
      <c r="BF605" s="54">
        <v>0</v>
      </c>
      <c r="BG605" s="54">
        <v>0</v>
      </c>
      <c r="BH605" s="54">
        <v>0</v>
      </c>
      <c r="BK605" s="104" t="str">
        <f>$V$53</f>
        <v>Jennifer</v>
      </c>
      <c r="BL605" s="108">
        <v>0</v>
      </c>
      <c r="BM605" s="108">
        <v>0</v>
      </c>
      <c r="BN605" s="108">
        <v>0</v>
      </c>
      <c r="BO605" s="108">
        <v>0</v>
      </c>
      <c r="BP605" s="108">
        <v>0</v>
      </c>
      <c r="BQ605" s="108">
        <v>0</v>
      </c>
      <c r="BR605" s="108">
        <v>0</v>
      </c>
      <c r="BS605" s="108">
        <v>0</v>
      </c>
      <c r="BT605" s="108">
        <v>0</v>
      </c>
      <c r="BU605" s="108">
        <v>0</v>
      </c>
      <c r="BV605" s="108">
        <v>0</v>
      </c>
      <c r="BW605" s="108">
        <v>0</v>
      </c>
      <c r="BX605" s="108">
        <v>0</v>
      </c>
      <c r="BY605" s="108">
        <v>0</v>
      </c>
      <c r="BZ605" s="108">
        <v>0</v>
      </c>
      <c r="CA605" s="108">
        <v>0</v>
      </c>
      <c r="CB605" s="108">
        <v>0</v>
      </c>
    </row>
    <row r="606" spans="3:80" x14ac:dyDescent="0.55000000000000004">
      <c r="C606" s="104" t="str">
        <f>$V$84</f>
        <v>-</v>
      </c>
      <c r="D606" s="108">
        <f t="shared" ref="D606:S606" si="381">D84</f>
        <v>0</v>
      </c>
      <c r="E606" s="108">
        <f t="shared" si="381"/>
        <v>0</v>
      </c>
      <c r="F606" s="108">
        <f t="shared" si="381"/>
        <v>0</v>
      </c>
      <c r="G606" s="108">
        <f t="shared" si="381"/>
        <v>0</v>
      </c>
      <c r="H606" s="108">
        <f t="shared" si="381"/>
        <v>0</v>
      </c>
      <c r="I606" s="108">
        <f t="shared" si="381"/>
        <v>0</v>
      </c>
      <c r="J606" s="108">
        <f t="shared" si="381"/>
        <v>0</v>
      </c>
      <c r="K606" s="108">
        <f t="shared" si="381"/>
        <v>0</v>
      </c>
      <c r="L606" s="108">
        <f t="shared" si="381"/>
        <v>0</v>
      </c>
      <c r="M606" s="108">
        <f t="shared" si="381"/>
        <v>0</v>
      </c>
      <c r="N606" s="108">
        <f t="shared" si="381"/>
        <v>0</v>
      </c>
      <c r="O606" s="108">
        <f t="shared" si="381"/>
        <v>0</v>
      </c>
      <c r="P606" s="108">
        <f t="shared" si="381"/>
        <v>0</v>
      </c>
      <c r="Q606" s="108">
        <f t="shared" si="381"/>
        <v>0</v>
      </c>
      <c r="R606" s="108">
        <f t="shared" si="381"/>
        <v>0</v>
      </c>
      <c r="S606" s="108">
        <f t="shared" si="381"/>
        <v>0</v>
      </c>
      <c r="T606" s="28" t="s">
        <v>26</v>
      </c>
      <c r="V606" s="104" t="str">
        <f>$V$84</f>
        <v>-</v>
      </c>
      <c r="W606" s="108">
        <f t="shared" si="335"/>
        <v>-1</v>
      </c>
      <c r="X606" s="108">
        <f t="shared" si="336"/>
        <v>-1</v>
      </c>
      <c r="Y606" s="108">
        <f t="shared" si="337"/>
        <v>-1</v>
      </c>
      <c r="Z606" s="108">
        <f t="shared" si="338"/>
        <v>-1</v>
      </c>
      <c r="AA606" s="108">
        <f t="shared" si="339"/>
        <v>-1</v>
      </c>
      <c r="AB606" s="108">
        <f t="shared" si="340"/>
        <v>-1</v>
      </c>
      <c r="AC606" s="108">
        <f t="shared" si="341"/>
        <v>-1</v>
      </c>
      <c r="AD606" s="108">
        <f t="shared" si="342"/>
        <v>-1</v>
      </c>
      <c r="AE606" s="108">
        <f t="shared" si="343"/>
        <v>-1</v>
      </c>
      <c r="AF606" s="108">
        <f t="shared" si="344"/>
        <v>-1</v>
      </c>
      <c r="AG606" s="108">
        <f t="shared" si="345"/>
        <v>-1</v>
      </c>
      <c r="AH606" s="108">
        <f t="shared" si="346"/>
        <v>-1</v>
      </c>
      <c r="AI606" s="108">
        <f t="shared" si="347"/>
        <v>-1</v>
      </c>
      <c r="AJ606" s="108">
        <f t="shared" si="348"/>
        <v>-1</v>
      </c>
      <c r="AK606" s="108">
        <f t="shared" si="349"/>
        <v>-1</v>
      </c>
      <c r="AL606" s="108">
        <f t="shared" si="350"/>
        <v>-1</v>
      </c>
      <c r="AM606" s="108"/>
      <c r="AQ606" s="104" t="str">
        <f>$V$65</f>
        <v>Alyssa</v>
      </c>
      <c r="AR606" s="54">
        <v>0</v>
      </c>
      <c r="AS606" s="54">
        <v>0</v>
      </c>
      <c r="AT606" s="54">
        <v>0</v>
      </c>
      <c r="AU606" s="54">
        <v>0</v>
      </c>
      <c r="AV606" s="54">
        <v>0</v>
      </c>
      <c r="AW606" s="54">
        <v>0</v>
      </c>
      <c r="AX606" s="54">
        <v>0</v>
      </c>
      <c r="AY606" s="54">
        <v>0</v>
      </c>
      <c r="AZ606" s="54">
        <v>0</v>
      </c>
      <c r="BA606" s="54">
        <v>0</v>
      </c>
      <c r="BB606" s="54">
        <v>0</v>
      </c>
      <c r="BC606" s="54">
        <v>0</v>
      </c>
      <c r="BD606" s="54">
        <v>0</v>
      </c>
      <c r="BE606" s="54">
        <v>0</v>
      </c>
      <c r="BF606" s="54">
        <v>0</v>
      </c>
      <c r="BG606" s="54">
        <v>0</v>
      </c>
      <c r="BH606" s="54">
        <v>0</v>
      </c>
      <c r="BK606" s="104" t="str">
        <f>$V$54</f>
        <v>Galileo</v>
      </c>
      <c r="BL606" s="108">
        <v>0</v>
      </c>
      <c r="BM606" s="108">
        <v>0</v>
      </c>
      <c r="BN606" s="108">
        <v>0</v>
      </c>
      <c r="BO606" s="108">
        <v>0</v>
      </c>
      <c r="BP606" s="108">
        <v>0</v>
      </c>
      <c r="BQ606" s="108">
        <v>0</v>
      </c>
      <c r="BR606" s="108">
        <v>0</v>
      </c>
      <c r="BS606" s="108">
        <v>0</v>
      </c>
      <c r="BT606" s="108">
        <v>0</v>
      </c>
      <c r="BU606" s="108">
        <v>0</v>
      </c>
      <c r="BV606" s="108">
        <v>0</v>
      </c>
      <c r="BW606" s="108">
        <v>0</v>
      </c>
      <c r="BX606" s="108">
        <v>0</v>
      </c>
      <c r="BY606" s="108">
        <v>0</v>
      </c>
      <c r="BZ606" s="108">
        <v>0</v>
      </c>
      <c r="CA606" s="108">
        <v>0</v>
      </c>
      <c r="CB606" s="108">
        <v>0</v>
      </c>
    </row>
    <row r="607" spans="3:80" x14ac:dyDescent="0.55000000000000004">
      <c r="C607" s="104" t="str">
        <f>$V$85</f>
        <v>-</v>
      </c>
      <c r="D607" s="108">
        <f t="shared" ref="D607:S607" si="382">D85</f>
        <v>0</v>
      </c>
      <c r="E607" s="108">
        <f t="shared" si="382"/>
        <v>0</v>
      </c>
      <c r="F607" s="108">
        <f t="shared" si="382"/>
        <v>0</v>
      </c>
      <c r="G607" s="108">
        <f t="shared" si="382"/>
        <v>0</v>
      </c>
      <c r="H607" s="108">
        <f t="shared" si="382"/>
        <v>0</v>
      </c>
      <c r="I607" s="108">
        <f t="shared" si="382"/>
        <v>0</v>
      </c>
      <c r="J607" s="108">
        <f t="shared" si="382"/>
        <v>0</v>
      </c>
      <c r="K607" s="108">
        <f t="shared" si="382"/>
        <v>0</v>
      </c>
      <c r="L607" s="108">
        <f t="shared" si="382"/>
        <v>0</v>
      </c>
      <c r="M607" s="108">
        <f t="shared" si="382"/>
        <v>0</v>
      </c>
      <c r="N607" s="108">
        <f t="shared" si="382"/>
        <v>0</v>
      </c>
      <c r="O607" s="108">
        <f t="shared" si="382"/>
        <v>0</v>
      </c>
      <c r="P607" s="108">
        <f t="shared" si="382"/>
        <v>0</v>
      </c>
      <c r="Q607" s="108">
        <f t="shared" si="382"/>
        <v>0</v>
      </c>
      <c r="R607" s="108">
        <f t="shared" si="382"/>
        <v>0</v>
      </c>
      <c r="S607" s="108">
        <f t="shared" si="382"/>
        <v>0</v>
      </c>
      <c r="T607" s="28" t="s">
        <v>26</v>
      </c>
      <c r="V607" s="104" t="str">
        <f>$V$85</f>
        <v>-</v>
      </c>
      <c r="W607" s="108">
        <f t="shared" si="335"/>
        <v>-1</v>
      </c>
      <c r="X607" s="108">
        <f t="shared" si="336"/>
        <v>-1</v>
      </c>
      <c r="Y607" s="108">
        <f t="shared" si="337"/>
        <v>-1</v>
      </c>
      <c r="Z607" s="108">
        <f t="shared" si="338"/>
        <v>-1</v>
      </c>
      <c r="AA607" s="108">
        <f t="shared" si="339"/>
        <v>-1</v>
      </c>
      <c r="AB607" s="108">
        <f t="shared" si="340"/>
        <v>-1</v>
      </c>
      <c r="AC607" s="108">
        <f t="shared" si="341"/>
        <v>-1</v>
      </c>
      <c r="AD607" s="108">
        <f t="shared" si="342"/>
        <v>-1</v>
      </c>
      <c r="AE607" s="108">
        <f t="shared" si="343"/>
        <v>-1</v>
      </c>
      <c r="AF607" s="108">
        <f t="shared" si="344"/>
        <v>-1</v>
      </c>
      <c r="AG607" s="108">
        <f t="shared" si="345"/>
        <v>-1</v>
      </c>
      <c r="AH607" s="108">
        <f t="shared" si="346"/>
        <v>-1</v>
      </c>
      <c r="AI607" s="108">
        <f t="shared" si="347"/>
        <v>-1</v>
      </c>
      <c r="AJ607" s="108">
        <f t="shared" si="348"/>
        <v>-1</v>
      </c>
      <c r="AK607" s="108">
        <f t="shared" si="349"/>
        <v>-1</v>
      </c>
      <c r="AL607" s="108">
        <f t="shared" si="350"/>
        <v>-1</v>
      </c>
      <c r="AM607" s="108"/>
      <c r="AQ607" s="104" t="str">
        <f>$V$66</f>
        <v>Amanda</v>
      </c>
      <c r="AR607" s="54">
        <v>0</v>
      </c>
      <c r="AS607" s="54">
        <v>0</v>
      </c>
      <c r="AT607" s="54">
        <v>0</v>
      </c>
      <c r="AU607" s="54">
        <v>0</v>
      </c>
      <c r="AV607" s="54">
        <v>0</v>
      </c>
      <c r="AW607" s="54">
        <v>0</v>
      </c>
      <c r="AX607" s="54">
        <v>0</v>
      </c>
      <c r="AY607" s="54">
        <v>0</v>
      </c>
      <c r="AZ607" s="54">
        <v>0</v>
      </c>
      <c r="BA607" s="54">
        <v>0</v>
      </c>
      <c r="BB607" s="54">
        <v>0</v>
      </c>
      <c r="BC607" s="54">
        <v>0</v>
      </c>
      <c r="BD607" s="54">
        <v>0</v>
      </c>
      <c r="BE607" s="54">
        <v>0</v>
      </c>
      <c r="BF607" s="54">
        <v>0</v>
      </c>
      <c r="BG607" s="54">
        <v>0</v>
      </c>
      <c r="BH607" s="54">
        <v>0</v>
      </c>
      <c r="BK607" s="104" t="str">
        <f>$V$55</f>
        <v>Óscar</v>
      </c>
      <c r="BL607" s="108">
        <v>0</v>
      </c>
      <c r="BM607" s="108">
        <v>0</v>
      </c>
      <c r="BN607" s="108">
        <v>0</v>
      </c>
      <c r="BO607" s="108">
        <v>0</v>
      </c>
      <c r="BP607" s="108">
        <v>0</v>
      </c>
      <c r="BQ607" s="108">
        <v>0</v>
      </c>
      <c r="BR607" s="108">
        <v>0</v>
      </c>
      <c r="BS607" s="108">
        <v>0</v>
      </c>
      <c r="BT607" s="108">
        <v>0</v>
      </c>
      <c r="BU607" s="108">
        <v>0</v>
      </c>
      <c r="BV607" s="108">
        <v>0</v>
      </c>
      <c r="BW607" s="108">
        <v>0</v>
      </c>
      <c r="BX607" s="108">
        <v>0</v>
      </c>
      <c r="BY607" s="108">
        <v>0</v>
      </c>
      <c r="BZ607" s="108">
        <v>0</v>
      </c>
      <c r="CA607" s="108">
        <v>0</v>
      </c>
      <c r="CB607" s="108">
        <v>0</v>
      </c>
    </row>
    <row r="608" spans="3:80" x14ac:dyDescent="0.55000000000000004">
      <c r="C608" s="104" t="str">
        <f>$V$86</f>
        <v>-</v>
      </c>
      <c r="D608" s="108">
        <f t="shared" ref="D608:S608" si="383">D86</f>
        <v>0</v>
      </c>
      <c r="E608" s="108">
        <f t="shared" si="383"/>
        <v>0</v>
      </c>
      <c r="F608" s="108">
        <f t="shared" si="383"/>
        <v>0</v>
      </c>
      <c r="G608" s="108">
        <f t="shared" si="383"/>
        <v>0</v>
      </c>
      <c r="H608" s="108">
        <f t="shared" si="383"/>
        <v>0</v>
      </c>
      <c r="I608" s="108">
        <f t="shared" si="383"/>
        <v>0</v>
      </c>
      <c r="J608" s="108">
        <f t="shared" si="383"/>
        <v>0</v>
      </c>
      <c r="K608" s="108">
        <f t="shared" si="383"/>
        <v>0</v>
      </c>
      <c r="L608" s="108">
        <f t="shared" si="383"/>
        <v>0</v>
      </c>
      <c r="M608" s="108">
        <f t="shared" si="383"/>
        <v>0</v>
      </c>
      <c r="N608" s="108">
        <f t="shared" si="383"/>
        <v>0</v>
      </c>
      <c r="O608" s="108">
        <f t="shared" si="383"/>
        <v>0</v>
      </c>
      <c r="P608" s="108">
        <f t="shared" si="383"/>
        <v>0</v>
      </c>
      <c r="Q608" s="108">
        <f t="shared" si="383"/>
        <v>0</v>
      </c>
      <c r="R608" s="108">
        <f t="shared" si="383"/>
        <v>0</v>
      </c>
      <c r="S608" s="108">
        <f t="shared" si="383"/>
        <v>0</v>
      </c>
      <c r="T608" s="28" t="s">
        <v>26</v>
      </c>
      <c r="V608" s="104" t="str">
        <f>$V$86</f>
        <v>-</v>
      </c>
      <c r="W608" s="108">
        <f t="shared" si="335"/>
        <v>-1</v>
      </c>
      <c r="X608" s="108">
        <f t="shared" si="336"/>
        <v>-1</v>
      </c>
      <c r="Y608" s="108">
        <f t="shared" si="337"/>
        <v>-1</v>
      </c>
      <c r="Z608" s="108">
        <f t="shared" si="338"/>
        <v>-1</v>
      </c>
      <c r="AA608" s="108">
        <f t="shared" si="339"/>
        <v>-1</v>
      </c>
      <c r="AB608" s="108">
        <f t="shared" si="340"/>
        <v>-1</v>
      </c>
      <c r="AC608" s="108">
        <f t="shared" si="341"/>
        <v>-1</v>
      </c>
      <c r="AD608" s="108">
        <f t="shared" si="342"/>
        <v>-1</v>
      </c>
      <c r="AE608" s="108">
        <f t="shared" si="343"/>
        <v>-1</v>
      </c>
      <c r="AF608" s="108">
        <f t="shared" si="344"/>
        <v>-1</v>
      </c>
      <c r="AG608" s="108">
        <f t="shared" si="345"/>
        <v>-1</v>
      </c>
      <c r="AH608" s="108">
        <f t="shared" si="346"/>
        <v>-1</v>
      </c>
      <c r="AI608" s="108">
        <f t="shared" si="347"/>
        <v>-1</v>
      </c>
      <c r="AJ608" s="108">
        <f t="shared" si="348"/>
        <v>-1</v>
      </c>
      <c r="AK608" s="108">
        <f t="shared" si="349"/>
        <v>-1</v>
      </c>
      <c r="AL608" s="108">
        <f t="shared" si="350"/>
        <v>-1</v>
      </c>
      <c r="AM608" s="108"/>
      <c r="AQ608" s="104" t="str">
        <f>$V$67</f>
        <v>Antoine</v>
      </c>
      <c r="AR608" s="54">
        <v>0</v>
      </c>
      <c r="AS608" s="54">
        <v>0</v>
      </c>
      <c r="AT608" s="54">
        <v>0</v>
      </c>
      <c r="AU608" s="54">
        <v>0</v>
      </c>
      <c r="AV608" s="54">
        <v>0</v>
      </c>
      <c r="AW608" s="54">
        <v>0</v>
      </c>
      <c r="AX608" s="54">
        <v>0</v>
      </c>
      <c r="AY608" s="54">
        <v>0</v>
      </c>
      <c r="AZ608" s="54">
        <v>0</v>
      </c>
      <c r="BA608" s="54">
        <v>0</v>
      </c>
      <c r="BB608" s="54">
        <v>0</v>
      </c>
      <c r="BC608" s="54">
        <v>0</v>
      </c>
      <c r="BD608" s="54">
        <v>0</v>
      </c>
      <c r="BE608" s="54">
        <v>0</v>
      </c>
      <c r="BF608" s="54">
        <v>0</v>
      </c>
      <c r="BG608" s="54">
        <v>0</v>
      </c>
      <c r="BH608" s="54">
        <v>0</v>
      </c>
      <c r="BK608" s="104" t="str">
        <f>$V$56</f>
        <v>Sebastián</v>
      </c>
      <c r="BL608" s="108">
        <v>0</v>
      </c>
      <c r="BM608" s="108">
        <v>0</v>
      </c>
      <c r="BN608" s="108">
        <v>0</v>
      </c>
      <c r="BO608" s="108">
        <v>0</v>
      </c>
      <c r="BP608" s="108">
        <v>0</v>
      </c>
      <c r="BQ608" s="108">
        <v>0</v>
      </c>
      <c r="BR608" s="108">
        <v>0</v>
      </c>
      <c r="BS608" s="108">
        <v>0</v>
      </c>
      <c r="BT608" s="108">
        <v>0</v>
      </c>
      <c r="BU608" s="108">
        <v>0</v>
      </c>
      <c r="BV608" s="108">
        <v>0</v>
      </c>
      <c r="BW608" s="108">
        <v>0</v>
      </c>
      <c r="BX608" s="108">
        <v>0</v>
      </c>
      <c r="BY608" s="108">
        <v>0</v>
      </c>
      <c r="BZ608" s="108">
        <v>0</v>
      </c>
      <c r="CA608" s="108">
        <v>0</v>
      </c>
      <c r="CB608" s="108">
        <v>0</v>
      </c>
    </row>
    <row r="609" spans="3:80" x14ac:dyDescent="0.55000000000000004">
      <c r="C609" s="104" t="str">
        <f>$V$87</f>
        <v>-</v>
      </c>
      <c r="D609" s="108">
        <f t="shared" ref="D609:S609" si="384">D87</f>
        <v>0</v>
      </c>
      <c r="E609" s="108">
        <f t="shared" si="384"/>
        <v>0</v>
      </c>
      <c r="F609" s="108">
        <f t="shared" si="384"/>
        <v>0</v>
      </c>
      <c r="G609" s="108">
        <f t="shared" si="384"/>
        <v>0</v>
      </c>
      <c r="H609" s="108">
        <f t="shared" si="384"/>
        <v>0</v>
      </c>
      <c r="I609" s="108">
        <f t="shared" si="384"/>
        <v>0</v>
      </c>
      <c r="J609" s="108">
        <f t="shared" si="384"/>
        <v>0</v>
      </c>
      <c r="K609" s="108">
        <f t="shared" si="384"/>
        <v>0</v>
      </c>
      <c r="L609" s="108">
        <f t="shared" si="384"/>
        <v>0</v>
      </c>
      <c r="M609" s="108">
        <f t="shared" si="384"/>
        <v>0</v>
      </c>
      <c r="N609" s="108">
        <f t="shared" si="384"/>
        <v>0</v>
      </c>
      <c r="O609" s="108">
        <f t="shared" si="384"/>
        <v>0</v>
      </c>
      <c r="P609" s="108">
        <f t="shared" si="384"/>
        <v>0</v>
      </c>
      <c r="Q609" s="108">
        <f t="shared" si="384"/>
        <v>0</v>
      </c>
      <c r="R609" s="108">
        <f t="shared" si="384"/>
        <v>0</v>
      </c>
      <c r="S609" s="108">
        <f t="shared" si="384"/>
        <v>0</v>
      </c>
      <c r="T609" s="28" t="s">
        <v>26</v>
      </c>
      <c r="V609" s="104" t="str">
        <f>$V$87</f>
        <v>-</v>
      </c>
      <c r="W609" s="108">
        <f t="shared" si="335"/>
        <v>-1</v>
      </c>
      <c r="X609" s="108">
        <f t="shared" si="336"/>
        <v>-1</v>
      </c>
      <c r="Y609" s="108">
        <f t="shared" si="337"/>
        <v>-1</v>
      </c>
      <c r="Z609" s="108">
        <f t="shared" si="338"/>
        <v>-1</v>
      </c>
      <c r="AA609" s="108">
        <f t="shared" si="339"/>
        <v>-1</v>
      </c>
      <c r="AB609" s="108">
        <f t="shared" si="340"/>
        <v>-1</v>
      </c>
      <c r="AC609" s="108">
        <f t="shared" si="341"/>
        <v>-1</v>
      </c>
      <c r="AD609" s="108">
        <f t="shared" si="342"/>
        <v>-1</v>
      </c>
      <c r="AE609" s="108">
        <f t="shared" si="343"/>
        <v>-1</v>
      </c>
      <c r="AF609" s="108">
        <f t="shared" si="344"/>
        <v>-1</v>
      </c>
      <c r="AG609" s="108">
        <f t="shared" si="345"/>
        <v>-1</v>
      </c>
      <c r="AH609" s="108">
        <f t="shared" si="346"/>
        <v>-1</v>
      </c>
      <c r="AI609" s="108">
        <f t="shared" si="347"/>
        <v>-1</v>
      </c>
      <c r="AJ609" s="108">
        <f t="shared" si="348"/>
        <v>-1</v>
      </c>
      <c r="AK609" s="108">
        <f t="shared" si="349"/>
        <v>-1</v>
      </c>
      <c r="AL609" s="108">
        <f t="shared" si="350"/>
        <v>-1</v>
      </c>
      <c r="AM609" s="108"/>
      <c r="AQ609" s="104" t="str">
        <f>$V$68</f>
        <v>Beatriz</v>
      </c>
      <c r="AR609" s="54">
        <v>0</v>
      </c>
      <c r="AS609" s="54">
        <v>0</v>
      </c>
      <c r="AT609" s="54">
        <v>0</v>
      </c>
      <c r="AU609" s="54">
        <v>0</v>
      </c>
      <c r="AV609" s="54">
        <v>0</v>
      </c>
      <c r="AW609" s="54">
        <v>0</v>
      </c>
      <c r="AX609" s="54">
        <v>0</v>
      </c>
      <c r="AY609" s="54">
        <v>0</v>
      </c>
      <c r="AZ609" s="54">
        <v>0</v>
      </c>
      <c r="BA609" s="54">
        <v>0</v>
      </c>
      <c r="BB609" s="54">
        <v>0</v>
      </c>
      <c r="BC609" s="54">
        <v>0</v>
      </c>
      <c r="BD609" s="54">
        <v>0</v>
      </c>
      <c r="BE609" s="54">
        <v>0</v>
      </c>
      <c r="BF609" s="54">
        <v>0</v>
      </c>
      <c r="BG609" s="54">
        <v>0</v>
      </c>
      <c r="BH609" s="54">
        <v>0</v>
      </c>
      <c r="BK609" s="104" t="str">
        <f>$V$57</f>
        <v>Marcos</v>
      </c>
      <c r="BL609" s="108">
        <v>0</v>
      </c>
      <c r="BM609" s="108">
        <v>0</v>
      </c>
      <c r="BN609" s="108">
        <v>0</v>
      </c>
      <c r="BO609" s="108">
        <v>0</v>
      </c>
      <c r="BP609" s="108">
        <v>0</v>
      </c>
      <c r="BQ609" s="108">
        <v>0</v>
      </c>
      <c r="BR609" s="108">
        <v>0</v>
      </c>
      <c r="BS609" s="108">
        <v>0</v>
      </c>
      <c r="BT609" s="108">
        <v>0</v>
      </c>
      <c r="BU609" s="108">
        <v>0</v>
      </c>
      <c r="BV609" s="108">
        <v>0</v>
      </c>
      <c r="BW609" s="108">
        <v>0</v>
      </c>
      <c r="BX609" s="108">
        <v>0</v>
      </c>
      <c r="BY609" s="108">
        <v>0</v>
      </c>
      <c r="BZ609" s="108">
        <v>0</v>
      </c>
      <c r="CA609" s="108">
        <v>0</v>
      </c>
      <c r="CB609" s="108">
        <v>0</v>
      </c>
    </row>
    <row r="610" spans="3:80" x14ac:dyDescent="0.55000000000000004">
      <c r="C610" s="104" t="str">
        <f>$V$88</f>
        <v>-</v>
      </c>
      <c r="D610" s="108">
        <f t="shared" ref="D610:S610" si="385">D88</f>
        <v>0</v>
      </c>
      <c r="E610" s="108">
        <f t="shared" si="385"/>
        <v>0</v>
      </c>
      <c r="F610" s="108">
        <f t="shared" si="385"/>
        <v>0</v>
      </c>
      <c r="G610" s="108">
        <f t="shared" si="385"/>
        <v>0</v>
      </c>
      <c r="H610" s="108">
        <f t="shared" si="385"/>
        <v>0</v>
      </c>
      <c r="I610" s="108">
        <f t="shared" si="385"/>
        <v>0</v>
      </c>
      <c r="J610" s="108">
        <f t="shared" si="385"/>
        <v>0</v>
      </c>
      <c r="K610" s="108">
        <f t="shared" si="385"/>
        <v>0</v>
      </c>
      <c r="L610" s="108">
        <f t="shared" si="385"/>
        <v>0</v>
      </c>
      <c r="M610" s="108">
        <f t="shared" si="385"/>
        <v>0</v>
      </c>
      <c r="N610" s="108">
        <f t="shared" si="385"/>
        <v>0</v>
      </c>
      <c r="O610" s="108">
        <f t="shared" si="385"/>
        <v>0</v>
      </c>
      <c r="P610" s="108">
        <f t="shared" si="385"/>
        <v>0</v>
      </c>
      <c r="Q610" s="108">
        <f t="shared" si="385"/>
        <v>0</v>
      </c>
      <c r="R610" s="108">
        <f t="shared" si="385"/>
        <v>0</v>
      </c>
      <c r="S610" s="108">
        <f t="shared" si="385"/>
        <v>0</v>
      </c>
      <c r="T610" s="28" t="s">
        <v>26</v>
      </c>
      <c r="V610" s="104" t="str">
        <f>$V$88</f>
        <v>-</v>
      </c>
      <c r="W610" s="108">
        <f t="shared" si="335"/>
        <v>-1</v>
      </c>
      <c r="X610" s="108">
        <f t="shared" si="336"/>
        <v>-1</v>
      </c>
      <c r="Y610" s="108">
        <f t="shared" si="337"/>
        <v>-1</v>
      </c>
      <c r="Z610" s="108">
        <f t="shared" si="338"/>
        <v>-1</v>
      </c>
      <c r="AA610" s="108">
        <f t="shared" si="339"/>
        <v>-1</v>
      </c>
      <c r="AB610" s="108">
        <f t="shared" si="340"/>
        <v>-1</v>
      </c>
      <c r="AC610" s="108">
        <f t="shared" si="341"/>
        <v>-1</v>
      </c>
      <c r="AD610" s="108">
        <f t="shared" si="342"/>
        <v>-1</v>
      </c>
      <c r="AE610" s="108">
        <f t="shared" si="343"/>
        <v>-1</v>
      </c>
      <c r="AF610" s="108">
        <f t="shared" si="344"/>
        <v>-1</v>
      </c>
      <c r="AG610" s="108">
        <f t="shared" si="345"/>
        <v>-1</v>
      </c>
      <c r="AH610" s="108">
        <f t="shared" si="346"/>
        <v>-1</v>
      </c>
      <c r="AI610" s="108">
        <f t="shared" si="347"/>
        <v>-1</v>
      </c>
      <c r="AJ610" s="108">
        <f t="shared" si="348"/>
        <v>-1</v>
      </c>
      <c r="AK610" s="108">
        <f t="shared" si="349"/>
        <v>-1</v>
      </c>
      <c r="AL610" s="108">
        <f t="shared" si="350"/>
        <v>-1</v>
      </c>
      <c r="AM610" s="108"/>
      <c r="AQ610" s="104" t="str">
        <f>$V$69</f>
        <v>Charelle</v>
      </c>
      <c r="AR610" s="54">
        <v>0</v>
      </c>
      <c r="AS610" s="54">
        <v>0</v>
      </c>
      <c r="AT610" s="54">
        <v>0</v>
      </c>
      <c r="AU610" s="54">
        <v>0</v>
      </c>
      <c r="AV610" s="54">
        <v>0</v>
      </c>
      <c r="AW610" s="54">
        <v>0</v>
      </c>
      <c r="AX610" s="54">
        <v>0</v>
      </c>
      <c r="AY610" s="54">
        <v>0</v>
      </c>
      <c r="AZ610" s="54">
        <v>0</v>
      </c>
      <c r="BA610" s="54">
        <v>0</v>
      </c>
      <c r="BB610" s="54">
        <v>0</v>
      </c>
      <c r="BC610" s="54">
        <v>0</v>
      </c>
      <c r="BD610" s="54">
        <v>0</v>
      </c>
      <c r="BE610" s="54">
        <v>0</v>
      </c>
      <c r="BF610" s="54">
        <v>0</v>
      </c>
      <c r="BG610" s="54">
        <v>0</v>
      </c>
      <c r="BH610" s="54">
        <v>0</v>
      </c>
      <c r="BK610" s="104" t="str">
        <f>$V$58</f>
        <v>Weixin</v>
      </c>
      <c r="BL610" s="108">
        <v>0</v>
      </c>
      <c r="BM610" s="108">
        <v>0</v>
      </c>
      <c r="BN610" s="108">
        <v>0</v>
      </c>
      <c r="BO610" s="108">
        <v>0</v>
      </c>
      <c r="BP610" s="108">
        <v>0</v>
      </c>
      <c r="BQ610" s="108">
        <v>0</v>
      </c>
      <c r="BR610" s="108">
        <v>0</v>
      </c>
      <c r="BS610" s="108">
        <v>0</v>
      </c>
      <c r="BT610" s="108">
        <v>0</v>
      </c>
      <c r="BU610" s="108">
        <v>0</v>
      </c>
      <c r="BV610" s="108">
        <v>0</v>
      </c>
      <c r="BW610" s="108">
        <v>0</v>
      </c>
      <c r="BX610" s="108">
        <v>0</v>
      </c>
      <c r="BY610" s="108">
        <v>0</v>
      </c>
      <c r="BZ610" s="108">
        <v>0</v>
      </c>
      <c r="CA610" s="108">
        <v>0</v>
      </c>
      <c r="CB610" s="108">
        <v>0</v>
      </c>
    </row>
    <row r="611" spans="3:80" x14ac:dyDescent="0.55000000000000004">
      <c r="C611" s="104" t="str">
        <f>$V$89</f>
        <v>-</v>
      </c>
      <c r="D611" s="108">
        <f t="shared" ref="D611:S611" si="386">D89</f>
        <v>0</v>
      </c>
      <c r="E611" s="108">
        <f t="shared" si="386"/>
        <v>0</v>
      </c>
      <c r="F611" s="108">
        <f t="shared" si="386"/>
        <v>0</v>
      </c>
      <c r="G611" s="108">
        <f t="shared" si="386"/>
        <v>0</v>
      </c>
      <c r="H611" s="108">
        <f t="shared" si="386"/>
        <v>0</v>
      </c>
      <c r="I611" s="108">
        <f t="shared" si="386"/>
        <v>0</v>
      </c>
      <c r="J611" s="108">
        <f t="shared" si="386"/>
        <v>0</v>
      </c>
      <c r="K611" s="108">
        <f t="shared" si="386"/>
        <v>0</v>
      </c>
      <c r="L611" s="108">
        <f t="shared" si="386"/>
        <v>0</v>
      </c>
      <c r="M611" s="108">
        <f t="shared" si="386"/>
        <v>0</v>
      </c>
      <c r="N611" s="108">
        <f t="shared" si="386"/>
        <v>0</v>
      </c>
      <c r="O611" s="108">
        <f t="shared" si="386"/>
        <v>0</v>
      </c>
      <c r="P611" s="108">
        <f t="shared" si="386"/>
        <v>0</v>
      </c>
      <c r="Q611" s="108">
        <f t="shared" si="386"/>
        <v>0</v>
      </c>
      <c r="R611" s="108">
        <f t="shared" si="386"/>
        <v>0</v>
      </c>
      <c r="S611" s="108">
        <f t="shared" si="386"/>
        <v>0</v>
      </c>
      <c r="T611" s="28" t="s">
        <v>26</v>
      </c>
      <c r="V611" s="104" t="str">
        <f>$V$89</f>
        <v>-</v>
      </c>
      <c r="W611" s="108">
        <f t="shared" si="335"/>
        <v>-1</v>
      </c>
      <c r="X611" s="108">
        <f t="shared" si="336"/>
        <v>-1</v>
      </c>
      <c r="Y611" s="108">
        <f t="shared" si="337"/>
        <v>-1</v>
      </c>
      <c r="Z611" s="108">
        <f t="shared" si="338"/>
        <v>-1</v>
      </c>
      <c r="AA611" s="108">
        <f t="shared" si="339"/>
        <v>-1</v>
      </c>
      <c r="AB611" s="108">
        <f t="shared" si="340"/>
        <v>-1</v>
      </c>
      <c r="AC611" s="108">
        <f t="shared" si="341"/>
        <v>-1</v>
      </c>
      <c r="AD611" s="108">
        <f t="shared" si="342"/>
        <v>-1</v>
      </c>
      <c r="AE611" s="108">
        <f t="shared" si="343"/>
        <v>-1</v>
      </c>
      <c r="AF611" s="108">
        <f t="shared" si="344"/>
        <v>-1</v>
      </c>
      <c r="AG611" s="108">
        <f t="shared" si="345"/>
        <v>-1</v>
      </c>
      <c r="AH611" s="108">
        <f t="shared" si="346"/>
        <v>-1</v>
      </c>
      <c r="AI611" s="108">
        <f t="shared" si="347"/>
        <v>-1</v>
      </c>
      <c r="AJ611" s="108">
        <f t="shared" si="348"/>
        <v>-1</v>
      </c>
      <c r="AK611" s="108">
        <f t="shared" si="349"/>
        <v>-1</v>
      </c>
      <c r="AL611" s="108">
        <f t="shared" si="350"/>
        <v>-1</v>
      </c>
      <c r="AM611" s="108"/>
      <c r="AQ611" s="104" t="str">
        <f>$V$70</f>
        <v>Dimitri</v>
      </c>
      <c r="AR611" s="54">
        <v>0</v>
      </c>
      <c r="AS611" s="54">
        <v>0</v>
      </c>
      <c r="AT611" s="54">
        <v>0</v>
      </c>
      <c r="AU611" s="54">
        <v>0</v>
      </c>
      <c r="AV611" s="54">
        <v>0</v>
      </c>
      <c r="AW611" s="54">
        <v>0</v>
      </c>
      <c r="AX611" s="54">
        <v>-2</v>
      </c>
      <c r="AY611" s="54">
        <v>0</v>
      </c>
      <c r="AZ611" s="54">
        <v>0</v>
      </c>
      <c r="BA611" s="54">
        <v>0</v>
      </c>
      <c r="BB611" s="54">
        <v>0</v>
      </c>
      <c r="BC611" s="54">
        <v>0</v>
      </c>
      <c r="BD611" s="54">
        <v>0</v>
      </c>
      <c r="BE611" s="54">
        <v>0</v>
      </c>
      <c r="BF611" s="54">
        <v>0</v>
      </c>
      <c r="BG611" s="54">
        <v>0</v>
      </c>
      <c r="BH611" s="54">
        <v>0</v>
      </c>
      <c r="BK611" s="104" t="str">
        <f>$V$59</f>
        <v>Benjamin</v>
      </c>
      <c r="BL611" s="108">
        <v>0</v>
      </c>
      <c r="BM611" s="108">
        <v>0</v>
      </c>
      <c r="BN611" s="108">
        <v>0</v>
      </c>
      <c r="BO611" s="108">
        <v>0</v>
      </c>
      <c r="BP611" s="108">
        <v>0</v>
      </c>
      <c r="BQ611" s="108">
        <v>0</v>
      </c>
      <c r="BR611" s="108">
        <v>0</v>
      </c>
      <c r="BS611" s="108">
        <v>0</v>
      </c>
      <c r="BT611" s="108">
        <v>0</v>
      </c>
      <c r="BU611" s="108">
        <v>0</v>
      </c>
      <c r="BV611" s="108">
        <v>0</v>
      </c>
      <c r="BW611" s="108">
        <v>0</v>
      </c>
      <c r="BX611" s="108">
        <v>0</v>
      </c>
      <c r="BY611" s="108">
        <v>0</v>
      </c>
      <c r="BZ611" s="108">
        <v>0</v>
      </c>
      <c r="CA611" s="108">
        <v>0</v>
      </c>
      <c r="CB611" s="108">
        <v>0</v>
      </c>
    </row>
    <row r="612" spans="3:80" x14ac:dyDescent="0.55000000000000004">
      <c r="C612" s="104" t="str">
        <f>$V$90</f>
        <v>-</v>
      </c>
      <c r="D612" s="108">
        <f t="shared" ref="D612:S612" si="387">D90</f>
        <v>0</v>
      </c>
      <c r="E612" s="108">
        <f t="shared" si="387"/>
        <v>0</v>
      </c>
      <c r="F612" s="108">
        <f t="shared" si="387"/>
        <v>0</v>
      </c>
      <c r="G612" s="108">
        <f t="shared" si="387"/>
        <v>0</v>
      </c>
      <c r="H612" s="108">
        <f t="shared" si="387"/>
        <v>0</v>
      </c>
      <c r="I612" s="108">
        <f t="shared" si="387"/>
        <v>0</v>
      </c>
      <c r="J612" s="108">
        <f t="shared" si="387"/>
        <v>0</v>
      </c>
      <c r="K612" s="108">
        <f t="shared" si="387"/>
        <v>0</v>
      </c>
      <c r="L612" s="108">
        <f t="shared" si="387"/>
        <v>0</v>
      </c>
      <c r="M612" s="108">
        <f t="shared" si="387"/>
        <v>0</v>
      </c>
      <c r="N612" s="108">
        <f t="shared" si="387"/>
        <v>0</v>
      </c>
      <c r="O612" s="108">
        <f t="shared" si="387"/>
        <v>0</v>
      </c>
      <c r="P612" s="108">
        <f t="shared" si="387"/>
        <v>0</v>
      </c>
      <c r="Q612" s="108">
        <f t="shared" si="387"/>
        <v>0</v>
      </c>
      <c r="R612" s="108">
        <f t="shared" si="387"/>
        <v>0</v>
      </c>
      <c r="S612" s="108">
        <f t="shared" si="387"/>
        <v>0</v>
      </c>
      <c r="T612" s="28" t="s">
        <v>26</v>
      </c>
      <c r="V612" s="104" t="str">
        <f>$V$90</f>
        <v>-</v>
      </c>
      <c r="W612" s="108">
        <f t="shared" si="335"/>
        <v>-1</v>
      </c>
      <c r="X612" s="108">
        <f t="shared" si="336"/>
        <v>-1</v>
      </c>
      <c r="Y612" s="108">
        <f t="shared" si="337"/>
        <v>-1</v>
      </c>
      <c r="Z612" s="108">
        <f t="shared" si="338"/>
        <v>-1</v>
      </c>
      <c r="AA612" s="108">
        <f t="shared" si="339"/>
        <v>-1</v>
      </c>
      <c r="AB612" s="108">
        <f t="shared" si="340"/>
        <v>-1</v>
      </c>
      <c r="AC612" s="108">
        <f t="shared" si="341"/>
        <v>-1</v>
      </c>
      <c r="AD612" s="108">
        <f t="shared" si="342"/>
        <v>-1</v>
      </c>
      <c r="AE612" s="108">
        <f t="shared" si="343"/>
        <v>-1</v>
      </c>
      <c r="AF612" s="108">
        <f t="shared" si="344"/>
        <v>-1</v>
      </c>
      <c r="AG612" s="108">
        <f t="shared" si="345"/>
        <v>-1</v>
      </c>
      <c r="AH612" s="108">
        <f t="shared" si="346"/>
        <v>-1</v>
      </c>
      <c r="AI612" s="108">
        <f t="shared" si="347"/>
        <v>-1</v>
      </c>
      <c r="AJ612" s="108">
        <f t="shared" si="348"/>
        <v>-1</v>
      </c>
      <c r="AK612" s="108">
        <f t="shared" si="349"/>
        <v>-1</v>
      </c>
      <c r="AL612" s="108">
        <f t="shared" si="350"/>
        <v>-1</v>
      </c>
      <c r="AM612" s="108"/>
      <c r="AQ612" s="104" t="str">
        <f>$V$71</f>
        <v>Marina</v>
      </c>
      <c r="AR612" s="54">
        <v>0</v>
      </c>
      <c r="AS612" s="54">
        <v>0</v>
      </c>
      <c r="AT612" s="54">
        <v>0</v>
      </c>
      <c r="AU612" s="54">
        <v>0</v>
      </c>
      <c r="AV612" s="54">
        <v>0</v>
      </c>
      <c r="AW612" s="54">
        <v>0</v>
      </c>
      <c r="AX612" s="54">
        <v>0</v>
      </c>
      <c r="AY612" s="54">
        <v>0</v>
      </c>
      <c r="AZ612" s="54">
        <v>0</v>
      </c>
      <c r="BA612" s="54">
        <v>0</v>
      </c>
      <c r="BB612" s="54">
        <v>0</v>
      </c>
      <c r="BC612" s="54">
        <v>0</v>
      </c>
      <c r="BD612" s="54">
        <v>0</v>
      </c>
      <c r="BE612" s="54">
        <v>0</v>
      </c>
      <c r="BF612" s="54">
        <v>0</v>
      </c>
      <c r="BG612" s="54">
        <v>0</v>
      </c>
      <c r="BH612" s="54">
        <v>0</v>
      </c>
      <c r="BK612" s="104" t="str">
        <f>$V$60</f>
        <v>Joelle</v>
      </c>
      <c r="BL612" s="108">
        <v>0</v>
      </c>
      <c r="BM612" s="108">
        <v>0</v>
      </c>
      <c r="BN612" s="108">
        <v>0</v>
      </c>
      <c r="BO612" s="108">
        <v>0</v>
      </c>
      <c r="BP612" s="108">
        <v>0</v>
      </c>
      <c r="BQ612" s="108">
        <v>0</v>
      </c>
      <c r="BR612" s="108">
        <v>0</v>
      </c>
      <c r="BS612" s="108">
        <v>0</v>
      </c>
      <c r="BT612" s="108">
        <v>0</v>
      </c>
      <c r="BU612" s="108">
        <v>0</v>
      </c>
      <c r="BV612" s="108">
        <v>0</v>
      </c>
      <c r="BW612" s="108">
        <v>0</v>
      </c>
      <c r="BX612" s="108">
        <v>0</v>
      </c>
      <c r="BY612" s="108">
        <v>0</v>
      </c>
      <c r="BZ612" s="108">
        <v>0</v>
      </c>
      <c r="CA612" s="108">
        <v>0</v>
      </c>
      <c r="CB612" s="108">
        <v>0</v>
      </c>
    </row>
    <row r="613" spans="3:80" x14ac:dyDescent="0.55000000000000004">
      <c r="C613" s="104" t="str">
        <f>$V$91</f>
        <v>-</v>
      </c>
      <c r="D613" s="108">
        <f t="shared" ref="D613:S613" si="388">D91</f>
        <v>0</v>
      </c>
      <c r="E613" s="108">
        <f t="shared" si="388"/>
        <v>0</v>
      </c>
      <c r="F613" s="108">
        <f t="shared" si="388"/>
        <v>0</v>
      </c>
      <c r="G613" s="108">
        <f t="shared" si="388"/>
        <v>0</v>
      </c>
      <c r="H613" s="108">
        <f t="shared" si="388"/>
        <v>0</v>
      </c>
      <c r="I613" s="108">
        <f t="shared" si="388"/>
        <v>0</v>
      </c>
      <c r="J613" s="108">
        <f t="shared" si="388"/>
        <v>0</v>
      </c>
      <c r="K613" s="108">
        <f t="shared" si="388"/>
        <v>0</v>
      </c>
      <c r="L613" s="108">
        <f t="shared" si="388"/>
        <v>0</v>
      </c>
      <c r="M613" s="108">
        <f t="shared" si="388"/>
        <v>0</v>
      </c>
      <c r="N613" s="108">
        <f t="shared" si="388"/>
        <v>0</v>
      </c>
      <c r="O613" s="108">
        <f t="shared" si="388"/>
        <v>0</v>
      </c>
      <c r="P613" s="108">
        <f t="shared" si="388"/>
        <v>0</v>
      </c>
      <c r="Q613" s="108">
        <f t="shared" si="388"/>
        <v>0</v>
      </c>
      <c r="R613" s="108">
        <f t="shared" si="388"/>
        <v>0</v>
      </c>
      <c r="S613" s="108">
        <f t="shared" si="388"/>
        <v>0</v>
      </c>
      <c r="T613" s="28" t="s">
        <v>26</v>
      </c>
      <c r="V613" s="104" t="str">
        <f>$V$91</f>
        <v>-</v>
      </c>
      <c r="W613" s="108">
        <f t="shared" si="335"/>
        <v>-1</v>
      </c>
      <c r="X613" s="108">
        <f t="shared" si="336"/>
        <v>-1</v>
      </c>
      <c r="Y613" s="108">
        <f t="shared" si="337"/>
        <v>-1</v>
      </c>
      <c r="Z613" s="108">
        <f t="shared" si="338"/>
        <v>-1</v>
      </c>
      <c r="AA613" s="108">
        <f t="shared" si="339"/>
        <v>-1</v>
      </c>
      <c r="AB613" s="108">
        <f t="shared" si="340"/>
        <v>-1</v>
      </c>
      <c r="AC613" s="108">
        <f t="shared" si="341"/>
        <v>-1</v>
      </c>
      <c r="AD613" s="108">
        <f t="shared" si="342"/>
        <v>-1</v>
      </c>
      <c r="AE613" s="108">
        <f t="shared" si="343"/>
        <v>-1</v>
      </c>
      <c r="AF613" s="108">
        <f t="shared" si="344"/>
        <v>-1</v>
      </c>
      <c r="AG613" s="108">
        <f t="shared" si="345"/>
        <v>-1</v>
      </c>
      <c r="AH613" s="108">
        <f t="shared" si="346"/>
        <v>-1</v>
      </c>
      <c r="AI613" s="108">
        <f t="shared" si="347"/>
        <v>-1</v>
      </c>
      <c r="AJ613" s="108">
        <f t="shared" si="348"/>
        <v>-1</v>
      </c>
      <c r="AK613" s="108">
        <f t="shared" si="349"/>
        <v>-1</v>
      </c>
      <c r="AL613" s="108">
        <f t="shared" si="350"/>
        <v>-1</v>
      </c>
      <c r="AM613" s="108"/>
      <c r="AQ613" s="104" t="str">
        <f>$V$72</f>
        <v>Michel</v>
      </c>
      <c r="AR613" s="54">
        <v>0</v>
      </c>
      <c r="AS613" s="54">
        <v>0</v>
      </c>
      <c r="AT613" s="54">
        <v>0</v>
      </c>
      <c r="AU613" s="54">
        <v>0</v>
      </c>
      <c r="AV613" s="54">
        <v>0</v>
      </c>
      <c r="AW613" s="54">
        <v>0</v>
      </c>
      <c r="AX613" s="54">
        <v>0</v>
      </c>
      <c r="AY613" s="54">
        <v>0</v>
      </c>
      <c r="AZ613" s="54">
        <v>0</v>
      </c>
      <c r="BA613" s="54">
        <v>0</v>
      </c>
      <c r="BB613" s="54">
        <v>0</v>
      </c>
      <c r="BC613" s="54">
        <v>0</v>
      </c>
      <c r="BD613" s="54">
        <v>0</v>
      </c>
      <c r="BE613" s="54">
        <v>0</v>
      </c>
      <c r="BF613" s="54">
        <v>0</v>
      </c>
      <c r="BG613" s="54">
        <v>0</v>
      </c>
      <c r="BH613" s="54">
        <v>0</v>
      </c>
      <c r="BK613" s="104" t="str">
        <f>$V$61</f>
        <v>Alexia</v>
      </c>
      <c r="BL613" s="108">
        <v>0</v>
      </c>
      <c r="BM613" s="108">
        <v>0</v>
      </c>
      <c r="BN613" s="108">
        <v>0</v>
      </c>
      <c r="BO613" s="108">
        <v>0</v>
      </c>
      <c r="BP613" s="108">
        <v>0</v>
      </c>
      <c r="BQ613" s="108">
        <v>0</v>
      </c>
      <c r="BR613" s="108">
        <v>0</v>
      </c>
      <c r="BS613" s="108">
        <v>0</v>
      </c>
      <c r="BT613" s="108">
        <v>0</v>
      </c>
      <c r="BU613" s="108">
        <v>0</v>
      </c>
      <c r="BV613" s="108">
        <v>0</v>
      </c>
      <c r="BW613" s="108">
        <v>0</v>
      </c>
      <c r="BX613" s="108">
        <v>0</v>
      </c>
      <c r="BY613" s="108">
        <v>0</v>
      </c>
      <c r="BZ613" s="108">
        <v>0</v>
      </c>
      <c r="CA613" s="108">
        <v>0</v>
      </c>
      <c r="CB613" s="108">
        <v>0</v>
      </c>
    </row>
    <row r="614" spans="3:80" x14ac:dyDescent="0.55000000000000004">
      <c r="C614" s="104" t="str">
        <f>$V$92</f>
        <v>-</v>
      </c>
      <c r="D614" s="108">
        <f t="shared" ref="D614:S614" si="389">D92</f>
        <v>0</v>
      </c>
      <c r="E614" s="108">
        <f t="shared" si="389"/>
        <v>0</v>
      </c>
      <c r="F614" s="108">
        <f t="shared" si="389"/>
        <v>0</v>
      </c>
      <c r="G614" s="108">
        <f t="shared" si="389"/>
        <v>0</v>
      </c>
      <c r="H614" s="108">
        <f t="shared" si="389"/>
        <v>0</v>
      </c>
      <c r="I614" s="108">
        <f t="shared" si="389"/>
        <v>0</v>
      </c>
      <c r="J614" s="108">
        <f t="shared" si="389"/>
        <v>0</v>
      </c>
      <c r="K614" s="108">
        <f t="shared" si="389"/>
        <v>0</v>
      </c>
      <c r="L614" s="108">
        <f t="shared" si="389"/>
        <v>0</v>
      </c>
      <c r="M614" s="108">
        <f t="shared" si="389"/>
        <v>0</v>
      </c>
      <c r="N614" s="108">
        <f t="shared" si="389"/>
        <v>0</v>
      </c>
      <c r="O614" s="108">
        <f t="shared" si="389"/>
        <v>0</v>
      </c>
      <c r="P614" s="108">
        <f t="shared" si="389"/>
        <v>0</v>
      </c>
      <c r="Q614" s="108">
        <f t="shared" si="389"/>
        <v>0</v>
      </c>
      <c r="R614" s="108">
        <f t="shared" si="389"/>
        <v>0</v>
      </c>
      <c r="S614" s="108">
        <f t="shared" si="389"/>
        <v>0</v>
      </c>
      <c r="T614" s="28" t="s">
        <v>26</v>
      </c>
      <c r="V614" s="104" t="str">
        <f>$V$92</f>
        <v>-</v>
      </c>
      <c r="W614" s="108">
        <f t="shared" si="335"/>
        <v>-1</v>
      </c>
      <c r="X614" s="108">
        <f t="shared" si="336"/>
        <v>-1</v>
      </c>
      <c r="Y614" s="108">
        <f t="shared" si="337"/>
        <v>-1</v>
      </c>
      <c r="Z614" s="108">
        <f t="shared" si="338"/>
        <v>-1</v>
      </c>
      <c r="AA614" s="108">
        <f t="shared" si="339"/>
        <v>-1</v>
      </c>
      <c r="AB614" s="108">
        <f t="shared" si="340"/>
        <v>-1</v>
      </c>
      <c r="AC614" s="108">
        <f t="shared" si="341"/>
        <v>-1</v>
      </c>
      <c r="AD614" s="108">
        <f t="shared" si="342"/>
        <v>-1</v>
      </c>
      <c r="AE614" s="108">
        <f t="shared" si="343"/>
        <v>-1</v>
      </c>
      <c r="AF614" s="108">
        <f t="shared" si="344"/>
        <v>-1</v>
      </c>
      <c r="AG614" s="108">
        <f t="shared" si="345"/>
        <v>-1</v>
      </c>
      <c r="AH614" s="108">
        <f t="shared" si="346"/>
        <v>-1</v>
      </c>
      <c r="AI614" s="108">
        <f t="shared" si="347"/>
        <v>-1</v>
      </c>
      <c r="AJ614" s="108">
        <f t="shared" si="348"/>
        <v>-1</v>
      </c>
      <c r="AK614" s="108">
        <f t="shared" si="349"/>
        <v>-1</v>
      </c>
      <c r="AL614" s="108">
        <f t="shared" si="350"/>
        <v>-1</v>
      </c>
      <c r="AM614" s="108"/>
      <c r="AQ614" s="104" t="str">
        <f>$V$73</f>
        <v>Nour</v>
      </c>
      <c r="AR614" s="54">
        <v>0</v>
      </c>
      <c r="AS614" s="54">
        <v>0</v>
      </c>
      <c r="AT614" s="54">
        <v>0</v>
      </c>
      <c r="AU614" s="54">
        <v>0</v>
      </c>
      <c r="AV614" s="54">
        <v>0</v>
      </c>
      <c r="AW614" s="54">
        <v>0</v>
      </c>
      <c r="AX614" s="54">
        <v>0</v>
      </c>
      <c r="AY614" s="54">
        <v>0</v>
      </c>
      <c r="AZ614" s="54">
        <v>0</v>
      </c>
      <c r="BA614" s="54">
        <v>0</v>
      </c>
      <c r="BB614" s="54">
        <v>0</v>
      </c>
      <c r="BC614" s="54">
        <v>0</v>
      </c>
      <c r="BD614" s="54">
        <v>0</v>
      </c>
      <c r="BE614" s="54">
        <v>0</v>
      </c>
      <c r="BF614" s="54">
        <v>0</v>
      </c>
      <c r="BG614" s="54">
        <v>0</v>
      </c>
      <c r="BH614" s="54">
        <v>0</v>
      </c>
      <c r="BK614" s="104" t="str">
        <f>$V$62</f>
        <v>Joao</v>
      </c>
      <c r="BL614" s="108">
        <v>0</v>
      </c>
      <c r="BM614" s="108">
        <v>0</v>
      </c>
      <c r="BN614" s="108">
        <v>0</v>
      </c>
      <c r="BO614" s="108">
        <v>0</v>
      </c>
      <c r="BP614" s="108">
        <v>0</v>
      </c>
      <c r="BQ614" s="108">
        <v>0</v>
      </c>
      <c r="BR614" s="108">
        <v>0</v>
      </c>
      <c r="BS614" s="108">
        <v>0</v>
      </c>
      <c r="BT614" s="108">
        <v>0</v>
      </c>
      <c r="BU614" s="108">
        <v>0</v>
      </c>
      <c r="BV614" s="108">
        <v>0</v>
      </c>
      <c r="BW614" s="108">
        <v>0</v>
      </c>
      <c r="BX614" s="108">
        <v>0</v>
      </c>
      <c r="BY614" s="108">
        <v>0</v>
      </c>
      <c r="BZ614" s="108">
        <v>0</v>
      </c>
      <c r="CA614" s="108">
        <v>0</v>
      </c>
      <c r="CB614" s="108">
        <v>0</v>
      </c>
    </row>
    <row r="615" spans="3:80" x14ac:dyDescent="0.55000000000000004">
      <c r="AM615" s="108"/>
      <c r="AQ615" s="104" t="str">
        <f>$V$74</f>
        <v>Samuel</v>
      </c>
      <c r="AR615" s="54">
        <v>0</v>
      </c>
      <c r="AS615" s="54">
        <v>0</v>
      </c>
      <c r="AT615" s="54">
        <v>0</v>
      </c>
      <c r="AU615" s="54">
        <v>0</v>
      </c>
      <c r="AV615" s="54">
        <v>0</v>
      </c>
      <c r="AW615" s="54">
        <v>0</v>
      </c>
      <c r="AX615" s="54">
        <v>0</v>
      </c>
      <c r="AY615" s="54">
        <v>0</v>
      </c>
      <c r="AZ615" s="54">
        <v>0</v>
      </c>
      <c r="BA615" s="54">
        <v>0</v>
      </c>
      <c r="BB615" s="54">
        <v>0</v>
      </c>
      <c r="BC615" s="54">
        <v>0</v>
      </c>
      <c r="BD615" s="54">
        <v>0</v>
      </c>
      <c r="BE615" s="54">
        <v>0</v>
      </c>
      <c r="BF615" s="54">
        <v>0</v>
      </c>
      <c r="BG615" s="54">
        <v>0</v>
      </c>
      <c r="BH615" s="54">
        <v>0</v>
      </c>
      <c r="BK615" s="104" t="str">
        <f>$V$63</f>
        <v>Maxime</v>
      </c>
      <c r="BL615" s="108">
        <v>0</v>
      </c>
      <c r="BM615" s="108">
        <v>0</v>
      </c>
      <c r="BN615" s="108">
        <v>0</v>
      </c>
      <c r="BO615" s="108">
        <v>0</v>
      </c>
      <c r="BP615" s="108">
        <v>0</v>
      </c>
      <c r="BQ615" s="108">
        <v>0</v>
      </c>
      <c r="BR615" s="108">
        <v>0</v>
      </c>
      <c r="BS615" s="108">
        <v>0</v>
      </c>
      <c r="BT615" s="108">
        <v>0</v>
      </c>
      <c r="BU615" s="108">
        <v>0</v>
      </c>
      <c r="BV615" s="108">
        <v>0</v>
      </c>
      <c r="BW615" s="108">
        <v>0</v>
      </c>
      <c r="BX615" s="108">
        <v>0</v>
      </c>
      <c r="BY615" s="108">
        <v>0</v>
      </c>
      <c r="BZ615" s="108">
        <v>0</v>
      </c>
      <c r="CA615" s="108">
        <v>0</v>
      </c>
      <c r="CB615" s="108">
        <v>0</v>
      </c>
    </row>
    <row r="616" spans="3:80" x14ac:dyDescent="0.55000000000000004">
      <c r="AM616" s="108"/>
      <c r="AQ616" s="104" t="str">
        <f>$V$75</f>
        <v>Yassin</v>
      </c>
      <c r="AR616" s="54">
        <v>0</v>
      </c>
      <c r="AS616" s="54">
        <v>0</v>
      </c>
      <c r="AT616" s="54">
        <v>0</v>
      </c>
      <c r="AU616" s="54">
        <v>0</v>
      </c>
      <c r="AV616" s="54">
        <v>0</v>
      </c>
      <c r="AW616" s="54">
        <v>0</v>
      </c>
      <c r="AX616" s="54">
        <v>0</v>
      </c>
      <c r="AY616" s="54">
        <v>0</v>
      </c>
      <c r="AZ616" s="54">
        <v>0</v>
      </c>
      <c r="BA616" s="54">
        <v>0</v>
      </c>
      <c r="BB616" s="54">
        <v>0</v>
      </c>
      <c r="BC616" s="54">
        <v>0</v>
      </c>
      <c r="BD616" s="54">
        <v>0</v>
      </c>
      <c r="BE616" s="54">
        <v>0</v>
      </c>
      <c r="BF616" s="54">
        <v>0</v>
      </c>
      <c r="BG616" s="54">
        <v>0</v>
      </c>
      <c r="BH616" s="54">
        <v>0</v>
      </c>
      <c r="BK616" s="104" t="str">
        <f>$V$64</f>
        <v>Alex</v>
      </c>
      <c r="BL616" s="108">
        <v>0</v>
      </c>
      <c r="BM616" s="108">
        <v>0</v>
      </c>
      <c r="BN616" s="108">
        <v>0</v>
      </c>
      <c r="BO616" s="108">
        <v>0</v>
      </c>
      <c r="BP616" s="108">
        <v>0</v>
      </c>
      <c r="BQ616" s="108">
        <v>0</v>
      </c>
      <c r="BR616" s="108">
        <v>0</v>
      </c>
      <c r="BS616" s="108">
        <v>0</v>
      </c>
      <c r="BT616" s="108">
        <v>0</v>
      </c>
      <c r="BU616" s="108">
        <v>0</v>
      </c>
      <c r="BV616" s="108">
        <v>0</v>
      </c>
      <c r="BW616" s="108">
        <v>0</v>
      </c>
      <c r="BX616" s="108">
        <v>0</v>
      </c>
      <c r="BY616" s="108">
        <v>0</v>
      </c>
      <c r="BZ616" s="108">
        <v>0</v>
      </c>
      <c r="CA616" s="108">
        <v>0</v>
      </c>
      <c r="CB616" s="108">
        <v>0</v>
      </c>
    </row>
    <row r="617" spans="3:80" x14ac:dyDescent="0.55000000000000004">
      <c r="AM617" s="108"/>
      <c r="AQ617" s="104" t="str">
        <f>$V$76</f>
        <v>Kamar</v>
      </c>
      <c r="AR617" s="54">
        <v>0</v>
      </c>
      <c r="AS617" s="54">
        <v>0</v>
      </c>
      <c r="AT617" s="54">
        <v>0</v>
      </c>
      <c r="AU617" s="54">
        <v>0</v>
      </c>
      <c r="AV617" s="54">
        <v>0</v>
      </c>
      <c r="AW617" s="54">
        <v>0</v>
      </c>
      <c r="AX617" s="54">
        <v>0</v>
      </c>
      <c r="AY617" s="54">
        <v>0</v>
      </c>
      <c r="AZ617" s="54">
        <v>0</v>
      </c>
      <c r="BA617" s="54">
        <v>0</v>
      </c>
      <c r="BB617" s="54">
        <v>0</v>
      </c>
      <c r="BC617" s="54">
        <v>0</v>
      </c>
      <c r="BD617" s="54">
        <v>0</v>
      </c>
      <c r="BE617" s="54">
        <v>0</v>
      </c>
      <c r="BF617" s="54">
        <v>0</v>
      </c>
      <c r="BG617" s="54">
        <v>0</v>
      </c>
      <c r="BH617" s="54">
        <v>0</v>
      </c>
      <c r="BK617" s="104" t="str">
        <f>$V$65</f>
        <v>Alyssa</v>
      </c>
      <c r="BL617" s="108">
        <v>0</v>
      </c>
      <c r="BM617" s="108">
        <v>0</v>
      </c>
      <c r="BN617" s="108">
        <v>0</v>
      </c>
      <c r="BO617" s="108">
        <v>0</v>
      </c>
      <c r="BP617" s="108">
        <v>0</v>
      </c>
      <c r="BQ617" s="108">
        <v>0</v>
      </c>
      <c r="BR617" s="108">
        <v>0</v>
      </c>
      <c r="BS617" s="108">
        <v>0</v>
      </c>
      <c r="BT617" s="108">
        <v>0</v>
      </c>
      <c r="BU617" s="108">
        <v>0</v>
      </c>
      <c r="BV617" s="108">
        <v>0</v>
      </c>
      <c r="BW617" s="108">
        <v>0</v>
      </c>
      <c r="BX617" s="108">
        <v>0</v>
      </c>
      <c r="BY617" s="108">
        <v>0</v>
      </c>
      <c r="BZ617" s="108">
        <v>0</v>
      </c>
      <c r="CA617" s="108">
        <v>0</v>
      </c>
      <c r="CB617" s="108">
        <v>0</v>
      </c>
    </row>
    <row r="618" spans="3:80" x14ac:dyDescent="0.55000000000000004">
      <c r="C618" s="104" t="str">
        <f>$BK$208</f>
        <v>Rez</v>
      </c>
      <c r="D618" s="104" t="str">
        <f>$W$33</f>
        <v>16h</v>
      </c>
      <c r="E618" s="104" t="str">
        <f>$X$33</f>
        <v>17h</v>
      </c>
      <c r="F618" s="104" t="str">
        <f>$Y$33</f>
        <v>18h</v>
      </c>
      <c r="G618" s="104" t="str">
        <f>$Z$33</f>
        <v>19h</v>
      </c>
      <c r="H618" s="104" t="str">
        <f>$AA$33</f>
        <v>20h</v>
      </c>
      <c r="I618" s="104" t="str">
        <f>$AB$33</f>
        <v>21h</v>
      </c>
      <c r="J618" s="104" t="str">
        <f>$AC$33</f>
        <v>22h</v>
      </c>
      <c r="K618" s="104" t="str">
        <f>$AD$33</f>
        <v>23h</v>
      </c>
      <c r="L618" s="104" t="str">
        <f>$AE$33</f>
        <v>00h</v>
      </c>
      <c r="M618" s="104" t="str">
        <f>$AF$33</f>
        <v>01h</v>
      </c>
      <c r="N618" s="104" t="str">
        <f>$AG$33</f>
        <v>02h</v>
      </c>
      <c r="O618" s="104" t="str">
        <f>$AH$33</f>
        <v>03h</v>
      </c>
      <c r="P618" s="104" t="str">
        <f>$AI$33</f>
        <v>04h</v>
      </c>
      <c r="Q618" s="104" t="str">
        <f>$AJ$33</f>
        <v>05h</v>
      </c>
      <c r="R618" s="104" t="str">
        <f>$AK$33</f>
        <v>06h</v>
      </c>
      <c r="S618" s="104" t="str">
        <f>$AL$33</f>
        <v>07h</v>
      </c>
      <c r="T618" s="28" t="s">
        <v>26</v>
      </c>
      <c r="V618" s="104" t="str">
        <f>$BK$208</f>
        <v>Rez</v>
      </c>
      <c r="W618" s="104" t="str">
        <f>$W$33</f>
        <v>16h</v>
      </c>
      <c r="X618" s="104" t="str">
        <f>$X$33</f>
        <v>17h</v>
      </c>
      <c r="Y618" s="104" t="str">
        <f>$Y$33</f>
        <v>18h</v>
      </c>
      <c r="Z618" s="104" t="str">
        <f>$Z$33</f>
        <v>19h</v>
      </c>
      <c r="AA618" s="104" t="str">
        <f>$AA$33</f>
        <v>20h</v>
      </c>
      <c r="AB618" s="104" t="str">
        <f>$AB$33</f>
        <v>21h</v>
      </c>
      <c r="AC618" s="104" t="str">
        <f>$AC$33</f>
        <v>22h</v>
      </c>
      <c r="AD618" s="104" t="str">
        <f>$AD$33</f>
        <v>23h</v>
      </c>
      <c r="AE618" s="104" t="str">
        <f>$AE$33</f>
        <v>00h</v>
      </c>
      <c r="AF618" s="104" t="str">
        <f>$AF$33</f>
        <v>01h</v>
      </c>
      <c r="AG618" s="104" t="str">
        <f>$AG$33</f>
        <v>02h</v>
      </c>
      <c r="AH618" s="104" t="str">
        <f>$AH$33</f>
        <v>03h</v>
      </c>
      <c r="AI618" s="104" t="str">
        <f>$AI$33</f>
        <v>04h</v>
      </c>
      <c r="AJ618" s="104" t="str">
        <f>$AJ$33</f>
        <v>05h</v>
      </c>
      <c r="AK618" s="104" t="str">
        <f>$AK$33</f>
        <v>06h</v>
      </c>
      <c r="AL618" s="104" t="str">
        <f>$AL$33</f>
        <v>07h</v>
      </c>
      <c r="AM618" s="108"/>
      <c r="AQ618" s="104" t="str">
        <f>$V$77</f>
        <v>-</v>
      </c>
      <c r="AR618" s="54">
        <v>0</v>
      </c>
      <c r="AS618" s="54">
        <v>0</v>
      </c>
      <c r="AT618" s="54">
        <v>0</v>
      </c>
      <c r="AU618" s="54">
        <v>0</v>
      </c>
      <c r="AV618" s="54">
        <v>0</v>
      </c>
      <c r="AW618" s="54">
        <v>0</v>
      </c>
      <c r="AX618" s="54">
        <v>0</v>
      </c>
      <c r="AY618" s="54">
        <v>0</v>
      </c>
      <c r="AZ618" s="54">
        <v>0</v>
      </c>
      <c r="BA618" s="54">
        <v>0</v>
      </c>
      <c r="BB618" s="54">
        <v>0</v>
      </c>
      <c r="BC618" s="54">
        <v>0</v>
      </c>
      <c r="BD618" s="54">
        <v>0</v>
      </c>
      <c r="BE618" s="54">
        <v>0</v>
      </c>
      <c r="BF618" s="54">
        <v>0</v>
      </c>
      <c r="BG618" s="54">
        <v>0</v>
      </c>
      <c r="BH618" s="54">
        <v>0</v>
      </c>
      <c r="BK618" s="104" t="str">
        <f>$V$66</f>
        <v>Amanda</v>
      </c>
      <c r="BL618" s="108">
        <v>0</v>
      </c>
      <c r="BM618" s="108">
        <v>0</v>
      </c>
      <c r="BN618" s="108">
        <v>0</v>
      </c>
      <c r="BO618" s="108">
        <v>0</v>
      </c>
      <c r="BP618" s="108">
        <v>0</v>
      </c>
      <c r="BQ618" s="108">
        <v>0</v>
      </c>
      <c r="BR618" s="108">
        <v>0</v>
      </c>
      <c r="BS618" s="108">
        <v>0</v>
      </c>
      <c r="BT618" s="108">
        <v>0</v>
      </c>
      <c r="BU618" s="108">
        <v>0</v>
      </c>
      <c r="BV618" s="108">
        <v>0</v>
      </c>
      <c r="BW618" s="108">
        <v>0</v>
      </c>
      <c r="BX618" s="108">
        <v>0</v>
      </c>
      <c r="BY618" s="108">
        <v>0</v>
      </c>
      <c r="BZ618" s="108">
        <v>0</v>
      </c>
      <c r="CA618" s="108">
        <v>0</v>
      </c>
      <c r="CB618" s="108">
        <v>0</v>
      </c>
    </row>
    <row r="619" spans="3:80" x14ac:dyDescent="0.55000000000000004">
      <c r="C619" s="104" t="str">
        <f>$V$53</f>
        <v>Jennifer</v>
      </c>
      <c r="D619" s="108">
        <f t="shared" ref="D619:S619" si="390">D53</f>
        <v>0</v>
      </c>
      <c r="E619" s="108">
        <f t="shared" si="390"/>
        <v>0</v>
      </c>
      <c r="F619" s="108">
        <f t="shared" si="390"/>
        <v>0</v>
      </c>
      <c r="G619" s="108">
        <f t="shared" si="390"/>
        <v>0</v>
      </c>
      <c r="H619" s="108">
        <f t="shared" si="390"/>
        <v>0</v>
      </c>
      <c r="I619" s="108">
        <f t="shared" si="390"/>
        <v>0</v>
      </c>
      <c r="J619" s="108">
        <f t="shared" si="390"/>
        <v>0</v>
      </c>
      <c r="K619" s="108">
        <f t="shared" si="390"/>
        <v>0</v>
      </c>
      <c r="L619" s="108">
        <f t="shared" si="390"/>
        <v>0</v>
      </c>
      <c r="M619" s="108">
        <f t="shared" si="390"/>
        <v>0</v>
      </c>
      <c r="N619" s="108">
        <f t="shared" si="390"/>
        <v>0</v>
      </c>
      <c r="O619" s="108">
        <f t="shared" si="390"/>
        <v>0</v>
      </c>
      <c r="P619" s="108">
        <f t="shared" si="390"/>
        <v>0</v>
      </c>
      <c r="Q619" s="108">
        <f t="shared" si="390"/>
        <v>0</v>
      </c>
      <c r="R619" s="108">
        <f t="shared" si="390"/>
        <v>0</v>
      </c>
      <c r="S619" s="108">
        <f t="shared" si="390"/>
        <v>0</v>
      </c>
      <c r="T619" s="28" t="s">
        <v>26</v>
      </c>
      <c r="V619" s="104" t="str">
        <f>$V$53</f>
        <v>Jennifer</v>
      </c>
      <c r="W619" s="108">
        <f t="shared" ref="W619:W658" si="391">AR194+AS194-1</f>
        <v>-1</v>
      </c>
      <c r="X619" s="108">
        <f t="shared" ref="X619:X658" si="392">AS194+AT194-1</f>
        <v>-1</v>
      </c>
      <c r="Y619" s="108">
        <f t="shared" ref="Y619:Y658" si="393">AT194+AU194-1</f>
        <v>-1</v>
      </c>
      <c r="Z619" s="108">
        <f t="shared" ref="Z619:Z658" si="394">AU194+AV194-1</f>
        <v>-1</v>
      </c>
      <c r="AA619" s="108">
        <f t="shared" ref="AA619:AA658" si="395">AV194+AW194-1</f>
        <v>0</v>
      </c>
      <c r="AB619" s="108">
        <f t="shared" ref="AB619:AB658" si="396">AW194+AX194-1</f>
        <v>0</v>
      </c>
      <c r="AC619" s="108">
        <f t="shared" ref="AC619:AC658" si="397">AX194+AY194-1</f>
        <v>0</v>
      </c>
      <c r="AD619" s="108">
        <f t="shared" ref="AD619:AD658" si="398">AY194+AZ194-1</f>
        <v>0</v>
      </c>
      <c r="AE619" s="108">
        <f t="shared" ref="AE619:AE658" si="399">AZ194+BA194-1</f>
        <v>-1</v>
      </c>
      <c r="AF619" s="108">
        <f t="shared" ref="AF619:AF658" si="400">BA194+BB194-1</f>
        <v>0</v>
      </c>
      <c r="AG619" s="108">
        <f t="shared" ref="AG619:AG658" si="401">BB194+BC194-1</f>
        <v>0</v>
      </c>
      <c r="AH619" s="108">
        <f t="shared" ref="AH619:AH658" si="402">BC194+BD194-1</f>
        <v>-1</v>
      </c>
      <c r="AI619" s="108">
        <f t="shared" ref="AI619:AI658" si="403">BD194+BE194-1</f>
        <v>-1</v>
      </c>
      <c r="AJ619" s="108">
        <f t="shared" ref="AJ619:AJ658" si="404">BE194+BF194-1</f>
        <v>-1</v>
      </c>
      <c r="AK619" s="108">
        <f t="shared" ref="AK619:AK658" si="405">BF194+BG194-1</f>
        <v>-1</v>
      </c>
      <c r="AL619" s="108">
        <f t="shared" ref="AL619:AL658" si="406">BG194+BH194-1</f>
        <v>-1</v>
      </c>
      <c r="AM619" s="108"/>
      <c r="AQ619" s="104" t="str">
        <f>$V$78</f>
        <v>-</v>
      </c>
      <c r="AR619" s="54">
        <v>0</v>
      </c>
      <c r="AS619" s="54">
        <v>0</v>
      </c>
      <c r="AT619" s="54">
        <v>0</v>
      </c>
      <c r="AU619" s="54">
        <v>0</v>
      </c>
      <c r="AV619" s="54">
        <v>0</v>
      </c>
      <c r="AW619" s="54">
        <v>0</v>
      </c>
      <c r="AX619" s="54">
        <v>0</v>
      </c>
      <c r="AY619" s="54">
        <v>0</v>
      </c>
      <c r="AZ619" s="54">
        <v>0</v>
      </c>
      <c r="BA619" s="54">
        <v>0</v>
      </c>
      <c r="BB619" s="54">
        <v>0</v>
      </c>
      <c r="BC619" s="54">
        <v>0</v>
      </c>
      <c r="BD619" s="54">
        <v>0</v>
      </c>
      <c r="BE619" s="54">
        <v>0</v>
      </c>
      <c r="BF619" s="54">
        <v>0</v>
      </c>
      <c r="BG619" s="54">
        <v>0</v>
      </c>
      <c r="BH619" s="54">
        <v>0</v>
      </c>
      <c r="BK619" s="104" t="str">
        <f>$V$67</f>
        <v>Antoine</v>
      </c>
      <c r="BL619" s="108">
        <v>0</v>
      </c>
      <c r="BM619" s="108">
        <v>0</v>
      </c>
      <c r="BN619" s="108">
        <v>0</v>
      </c>
      <c r="BO619" s="108">
        <v>0</v>
      </c>
      <c r="BP619" s="108">
        <v>0</v>
      </c>
      <c r="BQ619" s="108">
        <v>0</v>
      </c>
      <c r="BR619" s="108">
        <v>0</v>
      </c>
      <c r="BS619" s="108">
        <v>0</v>
      </c>
      <c r="BT619" s="108">
        <v>0</v>
      </c>
      <c r="BU619" s="108">
        <v>0</v>
      </c>
      <c r="BV619" s="108">
        <v>0</v>
      </c>
      <c r="BW619" s="108">
        <v>0</v>
      </c>
      <c r="BX619" s="108">
        <v>0</v>
      </c>
      <c r="BY619" s="108">
        <v>0</v>
      </c>
      <c r="BZ619" s="108">
        <v>0</v>
      </c>
      <c r="CA619" s="108">
        <v>0</v>
      </c>
      <c r="CB619" s="108">
        <v>0</v>
      </c>
    </row>
    <row r="620" spans="3:80" x14ac:dyDescent="0.55000000000000004">
      <c r="C620" s="104" t="str">
        <f>$V$54</f>
        <v>Galileo</v>
      </c>
      <c r="D620" s="108">
        <f t="shared" ref="D620:S620" si="407">D54</f>
        <v>0</v>
      </c>
      <c r="E620" s="108">
        <f t="shared" si="407"/>
        <v>0</v>
      </c>
      <c r="F620" s="108">
        <f t="shared" si="407"/>
        <v>0</v>
      </c>
      <c r="G620" s="108">
        <f t="shared" si="407"/>
        <v>0</v>
      </c>
      <c r="H620" s="108">
        <f t="shared" si="407"/>
        <v>0</v>
      </c>
      <c r="I620" s="108">
        <f t="shared" si="407"/>
        <v>0</v>
      </c>
      <c r="J620" s="108">
        <f t="shared" si="407"/>
        <v>0</v>
      </c>
      <c r="K620" s="108">
        <f t="shared" si="407"/>
        <v>0</v>
      </c>
      <c r="L620" s="108">
        <f t="shared" si="407"/>
        <v>0</v>
      </c>
      <c r="M620" s="108">
        <f t="shared" si="407"/>
        <v>0</v>
      </c>
      <c r="N620" s="108">
        <f t="shared" si="407"/>
        <v>0</v>
      </c>
      <c r="O620" s="108">
        <f t="shared" si="407"/>
        <v>0</v>
      </c>
      <c r="P620" s="108">
        <f t="shared" si="407"/>
        <v>0</v>
      </c>
      <c r="Q620" s="108">
        <f t="shared" si="407"/>
        <v>0</v>
      </c>
      <c r="R620" s="108">
        <f t="shared" si="407"/>
        <v>0</v>
      </c>
      <c r="S620" s="108">
        <f t="shared" si="407"/>
        <v>0</v>
      </c>
      <c r="T620" s="28" t="s">
        <v>26</v>
      </c>
      <c r="V620" s="104" t="str">
        <f>$V$54</f>
        <v>Galileo</v>
      </c>
      <c r="W620" s="108">
        <f t="shared" si="391"/>
        <v>-1</v>
      </c>
      <c r="X620" s="108">
        <f t="shared" si="392"/>
        <v>-1</v>
      </c>
      <c r="Y620" s="108">
        <f t="shared" si="393"/>
        <v>-1</v>
      </c>
      <c r="Z620" s="108">
        <f t="shared" si="394"/>
        <v>-1</v>
      </c>
      <c r="AA620" s="108">
        <f t="shared" si="395"/>
        <v>-1</v>
      </c>
      <c r="AB620" s="108">
        <f t="shared" si="396"/>
        <v>0</v>
      </c>
      <c r="AC620" s="108">
        <f t="shared" si="397"/>
        <v>0</v>
      </c>
      <c r="AD620" s="108">
        <f t="shared" si="398"/>
        <v>-1</v>
      </c>
      <c r="AE620" s="108">
        <f t="shared" si="399"/>
        <v>0</v>
      </c>
      <c r="AF620" s="108">
        <f t="shared" si="400"/>
        <v>0</v>
      </c>
      <c r="AG620" s="108">
        <f t="shared" si="401"/>
        <v>-1</v>
      </c>
      <c r="AH620" s="108">
        <f t="shared" si="402"/>
        <v>-1</v>
      </c>
      <c r="AI620" s="108">
        <f t="shared" si="403"/>
        <v>-1</v>
      </c>
      <c r="AJ620" s="108">
        <f t="shared" si="404"/>
        <v>-1</v>
      </c>
      <c r="AK620" s="108">
        <f t="shared" si="405"/>
        <v>-1</v>
      </c>
      <c r="AL620" s="108">
        <f t="shared" si="406"/>
        <v>-1</v>
      </c>
      <c r="AM620" s="108"/>
      <c r="AQ620" s="104" t="str">
        <f>$V$79</f>
        <v>-</v>
      </c>
      <c r="AR620" s="54">
        <v>0</v>
      </c>
      <c r="AS620" s="54">
        <v>0</v>
      </c>
      <c r="AT620" s="54">
        <v>0</v>
      </c>
      <c r="AU620" s="54">
        <v>0</v>
      </c>
      <c r="AV620" s="54">
        <v>0</v>
      </c>
      <c r="AW620" s="54">
        <v>0</v>
      </c>
      <c r="AX620" s="54">
        <v>0</v>
      </c>
      <c r="AY620" s="54">
        <v>0</v>
      </c>
      <c r="AZ620" s="54">
        <v>0</v>
      </c>
      <c r="BA620" s="54">
        <v>0</v>
      </c>
      <c r="BB620" s="54">
        <v>0</v>
      </c>
      <c r="BC620" s="54">
        <v>0</v>
      </c>
      <c r="BD620" s="54">
        <v>0</v>
      </c>
      <c r="BE620" s="54">
        <v>0</v>
      </c>
      <c r="BF620" s="54">
        <v>0</v>
      </c>
      <c r="BG620" s="54">
        <v>0</v>
      </c>
      <c r="BH620" s="54">
        <v>0</v>
      </c>
      <c r="BK620" s="104" t="str">
        <f>$V$68</f>
        <v>Beatriz</v>
      </c>
      <c r="BL620" s="108">
        <v>0</v>
      </c>
      <c r="BM620" s="108">
        <v>0</v>
      </c>
      <c r="BN620" s="108">
        <v>0</v>
      </c>
      <c r="BO620" s="108">
        <v>0</v>
      </c>
      <c r="BP620" s="108">
        <v>0</v>
      </c>
      <c r="BQ620" s="108">
        <v>0</v>
      </c>
      <c r="BR620" s="108">
        <v>0</v>
      </c>
      <c r="BS620" s="108">
        <v>0</v>
      </c>
      <c r="BT620" s="108">
        <v>0</v>
      </c>
      <c r="BU620" s="108">
        <v>0</v>
      </c>
      <c r="BV620" s="108">
        <v>0</v>
      </c>
      <c r="BW620" s="108">
        <v>0</v>
      </c>
      <c r="BX620" s="108">
        <v>0</v>
      </c>
      <c r="BY620" s="108">
        <v>0</v>
      </c>
      <c r="BZ620" s="108">
        <v>0</v>
      </c>
      <c r="CA620" s="108">
        <v>0</v>
      </c>
      <c r="CB620" s="108">
        <v>0</v>
      </c>
    </row>
    <row r="621" spans="3:80" x14ac:dyDescent="0.55000000000000004">
      <c r="C621" s="104" t="str">
        <f>$V$55</f>
        <v>Óscar</v>
      </c>
      <c r="D621" s="108">
        <f t="shared" ref="D621:S621" si="408">D55</f>
        <v>0</v>
      </c>
      <c r="E621" s="108">
        <f t="shared" si="408"/>
        <v>0</v>
      </c>
      <c r="F621" s="108">
        <f t="shared" si="408"/>
        <v>0</v>
      </c>
      <c r="G621" s="108">
        <f t="shared" si="408"/>
        <v>0</v>
      </c>
      <c r="H621" s="108">
        <f t="shared" si="408"/>
        <v>0</v>
      </c>
      <c r="I621" s="108">
        <f t="shared" si="408"/>
        <v>0</v>
      </c>
      <c r="J621" s="108">
        <f t="shared" si="408"/>
        <v>0</v>
      </c>
      <c r="K621" s="108">
        <f t="shared" si="408"/>
        <v>0</v>
      </c>
      <c r="L621" s="108">
        <f t="shared" si="408"/>
        <v>0</v>
      </c>
      <c r="M621" s="108">
        <f t="shared" si="408"/>
        <v>0</v>
      </c>
      <c r="N621" s="108">
        <f t="shared" si="408"/>
        <v>0</v>
      </c>
      <c r="O621" s="108">
        <f t="shared" si="408"/>
        <v>0</v>
      </c>
      <c r="P621" s="108">
        <f t="shared" si="408"/>
        <v>0</v>
      </c>
      <c r="Q621" s="108">
        <f t="shared" si="408"/>
        <v>0</v>
      </c>
      <c r="R621" s="108">
        <f t="shared" si="408"/>
        <v>0</v>
      </c>
      <c r="S621" s="108">
        <f t="shared" si="408"/>
        <v>0</v>
      </c>
      <c r="T621" s="28" t="s">
        <v>26</v>
      </c>
      <c r="V621" s="104" t="str">
        <f>$V$55</f>
        <v>Óscar</v>
      </c>
      <c r="W621" s="108">
        <f t="shared" si="391"/>
        <v>0</v>
      </c>
      <c r="X621" s="108">
        <f t="shared" si="392"/>
        <v>0</v>
      </c>
      <c r="Y621" s="108">
        <f t="shared" si="393"/>
        <v>0</v>
      </c>
      <c r="Z621" s="108">
        <f t="shared" si="394"/>
        <v>0</v>
      </c>
      <c r="AA621" s="108">
        <f t="shared" si="395"/>
        <v>-1</v>
      </c>
      <c r="AB621" s="108">
        <f t="shared" si="396"/>
        <v>-1</v>
      </c>
      <c r="AC621" s="108">
        <f t="shared" si="397"/>
        <v>-1</v>
      </c>
      <c r="AD621" s="108">
        <f t="shared" si="398"/>
        <v>-1</v>
      </c>
      <c r="AE621" s="108">
        <f t="shared" si="399"/>
        <v>-1</v>
      </c>
      <c r="AF621" s="108">
        <f t="shared" si="400"/>
        <v>-1</v>
      </c>
      <c r="AG621" s="108">
        <f t="shared" si="401"/>
        <v>-1</v>
      </c>
      <c r="AH621" s="108">
        <f t="shared" si="402"/>
        <v>-1</v>
      </c>
      <c r="AI621" s="108">
        <f t="shared" si="403"/>
        <v>-1</v>
      </c>
      <c r="AJ621" s="108">
        <f t="shared" si="404"/>
        <v>-1</v>
      </c>
      <c r="AK621" s="108">
        <f t="shared" si="405"/>
        <v>-1</v>
      </c>
      <c r="AL621" s="108">
        <f t="shared" si="406"/>
        <v>-1</v>
      </c>
      <c r="AM621" s="108"/>
      <c r="AQ621" s="104" t="str">
        <f>$V$80</f>
        <v>-</v>
      </c>
      <c r="AR621" s="54">
        <v>0</v>
      </c>
      <c r="AS621" s="54">
        <v>0</v>
      </c>
      <c r="AT621" s="54">
        <v>0</v>
      </c>
      <c r="AU621" s="54">
        <v>0</v>
      </c>
      <c r="AV621" s="54">
        <v>0</v>
      </c>
      <c r="AW621" s="54">
        <v>0</v>
      </c>
      <c r="AX621" s="54">
        <v>0</v>
      </c>
      <c r="AY621" s="54">
        <v>0</v>
      </c>
      <c r="AZ621" s="54">
        <v>0</v>
      </c>
      <c r="BA621" s="54">
        <v>0</v>
      </c>
      <c r="BB621" s="54">
        <v>0</v>
      </c>
      <c r="BC621" s="54">
        <v>0</v>
      </c>
      <c r="BD621" s="54">
        <v>0</v>
      </c>
      <c r="BE621" s="54">
        <v>0</v>
      </c>
      <c r="BF621" s="54">
        <v>0</v>
      </c>
      <c r="BG621" s="54">
        <v>0</v>
      </c>
      <c r="BH621" s="54">
        <v>0</v>
      </c>
      <c r="BK621" s="104" t="str">
        <f>$V$69</f>
        <v>Charelle</v>
      </c>
      <c r="BL621" s="108">
        <v>0</v>
      </c>
      <c r="BM621" s="108">
        <v>0</v>
      </c>
      <c r="BN621" s="108">
        <v>0</v>
      </c>
      <c r="BO621" s="108">
        <v>0</v>
      </c>
      <c r="BP621" s="108">
        <v>0</v>
      </c>
      <c r="BQ621" s="108">
        <v>0</v>
      </c>
      <c r="BR621" s="108">
        <v>0</v>
      </c>
      <c r="BS621" s="108">
        <v>0</v>
      </c>
      <c r="BT621" s="108">
        <v>0</v>
      </c>
      <c r="BU621" s="108">
        <v>0</v>
      </c>
      <c r="BV621" s="108">
        <v>0</v>
      </c>
      <c r="BW621" s="108">
        <v>0</v>
      </c>
      <c r="BX621" s="108">
        <v>0</v>
      </c>
      <c r="BY621" s="108">
        <v>0</v>
      </c>
      <c r="BZ621" s="108">
        <v>0</v>
      </c>
      <c r="CA621" s="108">
        <v>0</v>
      </c>
      <c r="CB621" s="108">
        <v>0</v>
      </c>
    </row>
    <row r="622" spans="3:80" x14ac:dyDescent="0.55000000000000004">
      <c r="C622" s="104" t="str">
        <f>$V$56</f>
        <v>Sebastián</v>
      </c>
      <c r="D622" s="108">
        <f t="shared" ref="D622:S622" si="409">D56</f>
        <v>0</v>
      </c>
      <c r="E622" s="108">
        <f t="shared" si="409"/>
        <v>0</v>
      </c>
      <c r="F622" s="108">
        <f t="shared" si="409"/>
        <v>0</v>
      </c>
      <c r="G622" s="108">
        <f t="shared" si="409"/>
        <v>0</v>
      </c>
      <c r="H622" s="108">
        <f t="shared" si="409"/>
        <v>0</v>
      </c>
      <c r="I622" s="108">
        <f t="shared" si="409"/>
        <v>0</v>
      </c>
      <c r="J622" s="108">
        <f t="shared" si="409"/>
        <v>0</v>
      </c>
      <c r="K622" s="108">
        <f t="shared" si="409"/>
        <v>0</v>
      </c>
      <c r="L622" s="108">
        <f t="shared" si="409"/>
        <v>0</v>
      </c>
      <c r="M622" s="108">
        <f t="shared" si="409"/>
        <v>0</v>
      </c>
      <c r="N622" s="108">
        <f t="shared" si="409"/>
        <v>0</v>
      </c>
      <c r="O622" s="108">
        <f t="shared" si="409"/>
        <v>0</v>
      </c>
      <c r="P622" s="108">
        <f t="shared" si="409"/>
        <v>0</v>
      </c>
      <c r="Q622" s="108">
        <f t="shared" si="409"/>
        <v>0</v>
      </c>
      <c r="R622" s="108">
        <f t="shared" si="409"/>
        <v>0</v>
      </c>
      <c r="S622" s="108">
        <f t="shared" si="409"/>
        <v>0</v>
      </c>
      <c r="T622" s="28" t="s">
        <v>26</v>
      </c>
      <c r="V622" s="104" t="str">
        <f>$V$56</f>
        <v>Sebastián</v>
      </c>
      <c r="W622" s="108">
        <f t="shared" si="391"/>
        <v>0</v>
      </c>
      <c r="X622" s="108">
        <f t="shared" si="392"/>
        <v>0</v>
      </c>
      <c r="Y622" s="108">
        <f t="shared" si="393"/>
        <v>0</v>
      </c>
      <c r="Z622" s="108">
        <f t="shared" si="394"/>
        <v>-1</v>
      </c>
      <c r="AA622" s="108">
        <f t="shared" si="395"/>
        <v>-1</v>
      </c>
      <c r="AB622" s="108">
        <f t="shared" si="396"/>
        <v>-1</v>
      </c>
      <c r="AC622" s="108">
        <f t="shared" si="397"/>
        <v>-1</v>
      </c>
      <c r="AD622" s="108">
        <f t="shared" si="398"/>
        <v>-1</v>
      </c>
      <c r="AE622" s="108">
        <f t="shared" si="399"/>
        <v>-1</v>
      </c>
      <c r="AF622" s="108">
        <f t="shared" si="400"/>
        <v>-1</v>
      </c>
      <c r="AG622" s="108">
        <f t="shared" si="401"/>
        <v>-1</v>
      </c>
      <c r="AH622" s="108">
        <f t="shared" si="402"/>
        <v>-1</v>
      </c>
      <c r="AI622" s="108">
        <f t="shared" si="403"/>
        <v>-1</v>
      </c>
      <c r="AJ622" s="108">
        <f t="shared" si="404"/>
        <v>-1</v>
      </c>
      <c r="AK622" s="108">
        <f t="shared" si="405"/>
        <v>-1</v>
      </c>
      <c r="AL622" s="108">
        <f t="shared" si="406"/>
        <v>-1</v>
      </c>
      <c r="AM622" s="108"/>
      <c r="AQ622" s="104" t="str">
        <f>$V$81</f>
        <v>-</v>
      </c>
      <c r="AR622" s="54">
        <v>0</v>
      </c>
      <c r="AS622" s="54">
        <v>0</v>
      </c>
      <c r="AT622" s="54">
        <v>0</v>
      </c>
      <c r="AU622" s="54">
        <v>0</v>
      </c>
      <c r="AV622" s="54">
        <v>0</v>
      </c>
      <c r="AW622" s="54">
        <v>0</v>
      </c>
      <c r="AX622" s="54">
        <v>0</v>
      </c>
      <c r="AY622" s="54">
        <v>0</v>
      </c>
      <c r="AZ622" s="54">
        <v>0</v>
      </c>
      <c r="BA622" s="54">
        <v>0</v>
      </c>
      <c r="BB622" s="54">
        <v>0</v>
      </c>
      <c r="BC622" s="54">
        <v>0</v>
      </c>
      <c r="BD622" s="54">
        <v>0</v>
      </c>
      <c r="BE622" s="54">
        <v>0</v>
      </c>
      <c r="BF622" s="54">
        <v>0</v>
      </c>
      <c r="BG622" s="54">
        <v>0</v>
      </c>
      <c r="BH622" s="54">
        <v>0</v>
      </c>
      <c r="BK622" s="104" t="str">
        <f>$V$70</f>
        <v>Dimitri</v>
      </c>
      <c r="BL622" s="108">
        <v>0</v>
      </c>
      <c r="BM622" s="108">
        <v>0</v>
      </c>
      <c r="BN622" s="108">
        <v>0</v>
      </c>
      <c r="BO622" s="108">
        <v>0</v>
      </c>
      <c r="BP622" s="108">
        <v>0</v>
      </c>
      <c r="BQ622" s="108">
        <v>0</v>
      </c>
      <c r="BR622" s="108">
        <v>0</v>
      </c>
      <c r="BS622" s="108">
        <v>0</v>
      </c>
      <c r="BT622" s="108">
        <v>0</v>
      </c>
      <c r="BU622" s="108">
        <v>0</v>
      </c>
      <c r="BV622" s="108">
        <v>0</v>
      </c>
      <c r="BW622" s="108">
        <v>0</v>
      </c>
      <c r="BX622" s="108">
        <v>0</v>
      </c>
      <c r="BY622" s="108">
        <v>0</v>
      </c>
      <c r="BZ622" s="108">
        <v>0</v>
      </c>
      <c r="CA622" s="108">
        <v>0</v>
      </c>
      <c r="CB622" s="108">
        <v>0</v>
      </c>
    </row>
    <row r="623" spans="3:80" x14ac:dyDescent="0.55000000000000004">
      <c r="C623" s="104" t="str">
        <f>$V$57</f>
        <v>Marcos</v>
      </c>
      <c r="D623" s="108">
        <f t="shared" ref="D623:S623" si="410">D57</f>
        <v>0</v>
      </c>
      <c r="E623" s="108">
        <f t="shared" si="410"/>
        <v>0</v>
      </c>
      <c r="F623" s="108">
        <f t="shared" si="410"/>
        <v>0</v>
      </c>
      <c r="G623" s="108">
        <f t="shared" si="410"/>
        <v>0</v>
      </c>
      <c r="H623" s="108">
        <f t="shared" si="410"/>
        <v>0</v>
      </c>
      <c r="I623" s="108">
        <f t="shared" si="410"/>
        <v>0</v>
      </c>
      <c r="J623" s="108">
        <f t="shared" si="410"/>
        <v>0</v>
      </c>
      <c r="K623" s="108">
        <f t="shared" si="410"/>
        <v>0</v>
      </c>
      <c r="L623" s="108">
        <f t="shared" si="410"/>
        <v>0</v>
      </c>
      <c r="M623" s="108">
        <f t="shared" si="410"/>
        <v>0</v>
      </c>
      <c r="N623" s="108">
        <f t="shared" si="410"/>
        <v>0</v>
      </c>
      <c r="O623" s="108">
        <f t="shared" si="410"/>
        <v>0</v>
      </c>
      <c r="P623" s="108">
        <f t="shared" si="410"/>
        <v>0</v>
      </c>
      <c r="Q623" s="108">
        <f t="shared" si="410"/>
        <v>0</v>
      </c>
      <c r="R623" s="108">
        <f t="shared" si="410"/>
        <v>0</v>
      </c>
      <c r="S623" s="108">
        <f t="shared" si="410"/>
        <v>0</v>
      </c>
      <c r="T623" s="28" t="s">
        <v>26</v>
      </c>
      <c r="V623" s="104" t="str">
        <f>$V$57</f>
        <v>Marcos</v>
      </c>
      <c r="W623" s="108">
        <f t="shared" si="391"/>
        <v>-1</v>
      </c>
      <c r="X623" s="108">
        <f t="shared" si="392"/>
        <v>0</v>
      </c>
      <c r="Y623" s="108">
        <f t="shared" si="393"/>
        <v>0</v>
      </c>
      <c r="Z623" s="108">
        <f t="shared" si="394"/>
        <v>0</v>
      </c>
      <c r="AA623" s="108">
        <f t="shared" si="395"/>
        <v>0</v>
      </c>
      <c r="AB623" s="108">
        <f t="shared" si="396"/>
        <v>-1</v>
      </c>
      <c r="AC623" s="108">
        <f t="shared" si="397"/>
        <v>-1</v>
      </c>
      <c r="AD623" s="108">
        <f t="shared" si="398"/>
        <v>-1</v>
      </c>
      <c r="AE623" s="108">
        <f t="shared" si="399"/>
        <v>-1</v>
      </c>
      <c r="AF623" s="108">
        <f t="shared" si="400"/>
        <v>-1</v>
      </c>
      <c r="AG623" s="108">
        <f t="shared" si="401"/>
        <v>-1</v>
      </c>
      <c r="AH623" s="108">
        <f t="shared" si="402"/>
        <v>-1</v>
      </c>
      <c r="AI623" s="108">
        <f t="shared" si="403"/>
        <v>-1</v>
      </c>
      <c r="AJ623" s="108">
        <f t="shared" si="404"/>
        <v>-1</v>
      </c>
      <c r="AK623" s="108">
        <f t="shared" si="405"/>
        <v>-1</v>
      </c>
      <c r="AL623" s="108">
        <f t="shared" si="406"/>
        <v>-1</v>
      </c>
      <c r="AM623" s="108"/>
      <c r="AQ623" s="104" t="str">
        <f>$V$82</f>
        <v>-</v>
      </c>
      <c r="AR623" s="54">
        <v>0</v>
      </c>
      <c r="AS623" s="54">
        <v>0</v>
      </c>
      <c r="AT623" s="54">
        <v>0</v>
      </c>
      <c r="AU623" s="54">
        <v>0</v>
      </c>
      <c r="AV623" s="54">
        <v>0</v>
      </c>
      <c r="AW623" s="54">
        <v>0</v>
      </c>
      <c r="AX623" s="54">
        <v>0</v>
      </c>
      <c r="AY623" s="54">
        <v>0</v>
      </c>
      <c r="AZ623" s="54">
        <v>0</v>
      </c>
      <c r="BA623" s="54">
        <v>0</v>
      </c>
      <c r="BB623" s="54">
        <v>0</v>
      </c>
      <c r="BC623" s="54">
        <v>0</v>
      </c>
      <c r="BD623" s="54">
        <v>0</v>
      </c>
      <c r="BE623" s="54">
        <v>0</v>
      </c>
      <c r="BF623" s="54">
        <v>0</v>
      </c>
      <c r="BG623" s="54">
        <v>0</v>
      </c>
      <c r="BH623" s="54">
        <v>0</v>
      </c>
      <c r="BK623" s="104" t="str">
        <f>$V$71</f>
        <v>Marina</v>
      </c>
      <c r="BL623" s="108">
        <v>0</v>
      </c>
      <c r="BM623" s="108">
        <v>0</v>
      </c>
      <c r="BN623" s="108">
        <v>0</v>
      </c>
      <c r="BO623" s="108">
        <v>0</v>
      </c>
      <c r="BP623" s="108">
        <v>0</v>
      </c>
      <c r="BQ623" s="108">
        <v>0</v>
      </c>
      <c r="BR623" s="108">
        <v>0</v>
      </c>
      <c r="BS623" s="108">
        <v>0</v>
      </c>
      <c r="BT623" s="108">
        <v>0</v>
      </c>
      <c r="BU623" s="108">
        <v>0</v>
      </c>
      <c r="BV623" s="108">
        <v>0</v>
      </c>
      <c r="BW623" s="108">
        <v>0</v>
      </c>
      <c r="BX623" s="108">
        <v>0</v>
      </c>
      <c r="BY623" s="108">
        <v>0</v>
      </c>
      <c r="BZ623" s="108">
        <v>0</v>
      </c>
      <c r="CA623" s="108">
        <v>0</v>
      </c>
      <c r="CB623" s="108">
        <v>0</v>
      </c>
    </row>
    <row r="624" spans="3:80" x14ac:dyDescent="0.55000000000000004">
      <c r="C624" s="104" t="str">
        <f>$V$58</f>
        <v>Weixin</v>
      </c>
      <c r="D624" s="108">
        <f t="shared" ref="D624:S624" si="411">D58</f>
        <v>0</v>
      </c>
      <c r="E624" s="108">
        <f t="shared" si="411"/>
        <v>0</v>
      </c>
      <c r="F624" s="108">
        <f t="shared" si="411"/>
        <v>0</v>
      </c>
      <c r="G624" s="108">
        <f t="shared" si="411"/>
        <v>0</v>
      </c>
      <c r="H624" s="108">
        <f t="shared" si="411"/>
        <v>0</v>
      </c>
      <c r="I624" s="108">
        <f t="shared" si="411"/>
        <v>0</v>
      </c>
      <c r="J624" s="108">
        <f t="shared" si="411"/>
        <v>0</v>
      </c>
      <c r="K624" s="108">
        <f t="shared" si="411"/>
        <v>0</v>
      </c>
      <c r="L624" s="108">
        <f t="shared" si="411"/>
        <v>0</v>
      </c>
      <c r="M624" s="108">
        <f t="shared" si="411"/>
        <v>0</v>
      </c>
      <c r="N624" s="108">
        <f t="shared" si="411"/>
        <v>0</v>
      </c>
      <c r="O624" s="108">
        <f t="shared" si="411"/>
        <v>0</v>
      </c>
      <c r="P624" s="108">
        <f t="shared" si="411"/>
        <v>0</v>
      </c>
      <c r="Q624" s="108">
        <f t="shared" si="411"/>
        <v>0</v>
      </c>
      <c r="R624" s="108">
        <f t="shared" si="411"/>
        <v>0</v>
      </c>
      <c r="S624" s="108">
        <f t="shared" si="411"/>
        <v>0</v>
      </c>
      <c r="T624" s="28" t="s">
        <v>26</v>
      </c>
      <c r="V624" s="104" t="str">
        <f>$V$58</f>
        <v>Weixin</v>
      </c>
      <c r="W624" s="108">
        <f t="shared" si="391"/>
        <v>-1</v>
      </c>
      <c r="X624" s="108">
        <f t="shared" si="392"/>
        <v>0</v>
      </c>
      <c r="Y624" s="108">
        <f t="shared" si="393"/>
        <v>0</v>
      </c>
      <c r="Z624" s="108">
        <f t="shared" si="394"/>
        <v>-1</v>
      </c>
      <c r="AA624" s="108">
        <f t="shared" si="395"/>
        <v>-1</v>
      </c>
      <c r="AB624" s="108">
        <f t="shared" si="396"/>
        <v>-1</v>
      </c>
      <c r="AC624" s="108">
        <f t="shared" si="397"/>
        <v>-1</v>
      </c>
      <c r="AD624" s="108">
        <f t="shared" si="398"/>
        <v>0</v>
      </c>
      <c r="AE624" s="108">
        <f t="shared" si="399"/>
        <v>0</v>
      </c>
      <c r="AF624" s="108">
        <f t="shared" si="400"/>
        <v>-1</v>
      </c>
      <c r="AG624" s="108">
        <f t="shared" si="401"/>
        <v>0</v>
      </c>
      <c r="AH624" s="108">
        <f t="shared" si="402"/>
        <v>0</v>
      </c>
      <c r="AI624" s="108">
        <f t="shared" si="403"/>
        <v>-1</v>
      </c>
      <c r="AJ624" s="108">
        <f t="shared" si="404"/>
        <v>-1</v>
      </c>
      <c r="AK624" s="108">
        <f t="shared" si="405"/>
        <v>-1</v>
      </c>
      <c r="AL624" s="108">
        <f t="shared" si="406"/>
        <v>-1</v>
      </c>
      <c r="AM624" s="108"/>
      <c r="AQ624" s="104" t="str">
        <f>$V$83</f>
        <v>-</v>
      </c>
      <c r="AR624" s="54">
        <v>0</v>
      </c>
      <c r="AS624" s="54">
        <v>0</v>
      </c>
      <c r="AT624" s="54">
        <v>0</v>
      </c>
      <c r="AU624" s="54">
        <v>0</v>
      </c>
      <c r="AV624" s="54">
        <v>0</v>
      </c>
      <c r="AW624" s="54">
        <v>0</v>
      </c>
      <c r="AX624" s="54">
        <v>0</v>
      </c>
      <c r="AY624" s="54">
        <v>0</v>
      </c>
      <c r="AZ624" s="54">
        <v>0</v>
      </c>
      <c r="BA624" s="54">
        <v>0</v>
      </c>
      <c r="BB624" s="54">
        <v>0</v>
      </c>
      <c r="BC624" s="54">
        <v>0</v>
      </c>
      <c r="BD624" s="54">
        <v>0</v>
      </c>
      <c r="BE624" s="54">
        <v>0</v>
      </c>
      <c r="BF624" s="54">
        <v>0</v>
      </c>
      <c r="BG624" s="54">
        <v>0</v>
      </c>
      <c r="BH624" s="54">
        <v>0</v>
      </c>
      <c r="BK624" s="104" t="str">
        <f>$V$72</f>
        <v>Michel</v>
      </c>
      <c r="BL624" s="108">
        <v>0</v>
      </c>
      <c r="BM624" s="108">
        <v>0</v>
      </c>
      <c r="BN624" s="108">
        <v>0</v>
      </c>
      <c r="BO624" s="108">
        <v>0</v>
      </c>
      <c r="BP624" s="108">
        <v>0</v>
      </c>
      <c r="BQ624" s="108">
        <v>0</v>
      </c>
      <c r="BR624" s="108">
        <v>0</v>
      </c>
      <c r="BS624" s="108">
        <v>0</v>
      </c>
      <c r="BT624" s="108">
        <v>0</v>
      </c>
      <c r="BU624" s="108">
        <v>0</v>
      </c>
      <c r="BV624" s="108">
        <v>0</v>
      </c>
      <c r="BW624" s="108">
        <v>0</v>
      </c>
      <c r="BX624" s="108">
        <v>0</v>
      </c>
      <c r="BY624" s="108">
        <v>0</v>
      </c>
      <c r="BZ624" s="108">
        <v>0</v>
      </c>
      <c r="CA624" s="108">
        <v>0</v>
      </c>
      <c r="CB624" s="108">
        <v>0</v>
      </c>
    </row>
    <row r="625" spans="3:80" x14ac:dyDescent="0.55000000000000004">
      <c r="C625" s="104" t="str">
        <f>$V$59</f>
        <v>Benjamin</v>
      </c>
      <c r="D625" s="108">
        <f t="shared" ref="D625:S625" si="412">D59</f>
        <v>0</v>
      </c>
      <c r="E625" s="108">
        <f t="shared" si="412"/>
        <v>0</v>
      </c>
      <c r="F625" s="108">
        <f t="shared" si="412"/>
        <v>0</v>
      </c>
      <c r="G625" s="108">
        <f t="shared" si="412"/>
        <v>0</v>
      </c>
      <c r="H625" s="108">
        <f t="shared" si="412"/>
        <v>0</v>
      </c>
      <c r="I625" s="108">
        <f t="shared" si="412"/>
        <v>0</v>
      </c>
      <c r="J625" s="108">
        <f t="shared" si="412"/>
        <v>0</v>
      </c>
      <c r="K625" s="108">
        <f t="shared" si="412"/>
        <v>0</v>
      </c>
      <c r="L625" s="108">
        <f t="shared" si="412"/>
        <v>0</v>
      </c>
      <c r="M625" s="108">
        <f t="shared" si="412"/>
        <v>0</v>
      </c>
      <c r="N625" s="108">
        <f t="shared" si="412"/>
        <v>0</v>
      </c>
      <c r="O625" s="108">
        <f t="shared" si="412"/>
        <v>0</v>
      </c>
      <c r="P625" s="108">
        <f t="shared" si="412"/>
        <v>0</v>
      </c>
      <c r="Q625" s="108">
        <f t="shared" si="412"/>
        <v>0</v>
      </c>
      <c r="R625" s="108">
        <f t="shared" si="412"/>
        <v>0</v>
      </c>
      <c r="S625" s="108">
        <f t="shared" si="412"/>
        <v>0</v>
      </c>
      <c r="T625" s="28" t="s">
        <v>26</v>
      </c>
      <c r="V625" s="104" t="str">
        <f>$V$59</f>
        <v>Benjamin</v>
      </c>
      <c r="W625" s="108">
        <f t="shared" si="391"/>
        <v>-1</v>
      </c>
      <c r="X625" s="108">
        <f t="shared" si="392"/>
        <v>-1</v>
      </c>
      <c r="Y625" s="108">
        <f t="shared" si="393"/>
        <v>-1</v>
      </c>
      <c r="Z625" s="108">
        <f t="shared" si="394"/>
        <v>-1</v>
      </c>
      <c r="AA625" s="108">
        <f t="shared" si="395"/>
        <v>-1</v>
      </c>
      <c r="AB625" s="108">
        <f t="shared" si="396"/>
        <v>-1</v>
      </c>
      <c r="AC625" s="108">
        <f t="shared" si="397"/>
        <v>-1</v>
      </c>
      <c r="AD625" s="108">
        <f t="shared" si="398"/>
        <v>-1</v>
      </c>
      <c r="AE625" s="108">
        <f t="shared" si="399"/>
        <v>-1</v>
      </c>
      <c r="AF625" s="108">
        <f t="shared" si="400"/>
        <v>-1</v>
      </c>
      <c r="AG625" s="108">
        <f t="shared" si="401"/>
        <v>-1</v>
      </c>
      <c r="AH625" s="108">
        <f t="shared" si="402"/>
        <v>-1</v>
      </c>
      <c r="AI625" s="108">
        <f t="shared" si="403"/>
        <v>-1</v>
      </c>
      <c r="AJ625" s="108">
        <f t="shared" si="404"/>
        <v>-1</v>
      </c>
      <c r="AK625" s="108">
        <f t="shared" si="405"/>
        <v>-1</v>
      </c>
      <c r="AL625" s="108">
        <f t="shared" si="406"/>
        <v>-1</v>
      </c>
      <c r="AM625" s="108"/>
      <c r="AQ625" s="104" t="str">
        <f>$V$84</f>
        <v>-</v>
      </c>
      <c r="AR625" s="54">
        <v>0</v>
      </c>
      <c r="AS625" s="54">
        <v>0</v>
      </c>
      <c r="AT625" s="54">
        <v>0</v>
      </c>
      <c r="AU625" s="54">
        <v>0</v>
      </c>
      <c r="AV625" s="54">
        <v>0</v>
      </c>
      <c r="AW625" s="54">
        <v>0</v>
      </c>
      <c r="AX625" s="54">
        <v>0</v>
      </c>
      <c r="AY625" s="54">
        <v>0</v>
      </c>
      <c r="AZ625" s="54">
        <v>0</v>
      </c>
      <c r="BA625" s="54">
        <v>0</v>
      </c>
      <c r="BB625" s="54">
        <v>0</v>
      </c>
      <c r="BC625" s="54">
        <v>0</v>
      </c>
      <c r="BD625" s="54">
        <v>0</v>
      </c>
      <c r="BE625" s="54">
        <v>0</v>
      </c>
      <c r="BF625" s="54">
        <v>0</v>
      </c>
      <c r="BG625" s="54">
        <v>0</v>
      </c>
      <c r="BH625" s="54">
        <v>0</v>
      </c>
      <c r="BK625" s="104" t="str">
        <f>$V$73</f>
        <v>Nour</v>
      </c>
      <c r="BL625" s="108">
        <v>0</v>
      </c>
      <c r="BM625" s="108">
        <v>0</v>
      </c>
      <c r="BN625" s="108">
        <v>0</v>
      </c>
      <c r="BO625" s="108">
        <v>0</v>
      </c>
      <c r="BP625" s="108">
        <v>0</v>
      </c>
      <c r="BQ625" s="108">
        <v>0</v>
      </c>
      <c r="BR625" s="108">
        <v>0</v>
      </c>
      <c r="BS625" s="108">
        <v>0</v>
      </c>
      <c r="BT625" s="108">
        <v>0</v>
      </c>
      <c r="BU625" s="108">
        <v>0</v>
      </c>
      <c r="BV625" s="108">
        <v>0</v>
      </c>
      <c r="BW625" s="108">
        <v>0</v>
      </c>
      <c r="BX625" s="108">
        <v>0</v>
      </c>
      <c r="BY625" s="108">
        <v>0</v>
      </c>
      <c r="BZ625" s="108">
        <v>0</v>
      </c>
      <c r="CA625" s="108">
        <v>0</v>
      </c>
      <c r="CB625" s="108">
        <v>0</v>
      </c>
    </row>
    <row r="626" spans="3:80" x14ac:dyDescent="0.55000000000000004">
      <c r="C626" s="104" t="str">
        <f>$V$60</f>
        <v>Joelle</v>
      </c>
      <c r="D626" s="108">
        <f t="shared" ref="D626:S626" si="413">D60</f>
        <v>0</v>
      </c>
      <c r="E626" s="108">
        <f t="shared" si="413"/>
        <v>0</v>
      </c>
      <c r="F626" s="108">
        <f t="shared" si="413"/>
        <v>0</v>
      </c>
      <c r="G626" s="108">
        <f t="shared" si="413"/>
        <v>0</v>
      </c>
      <c r="H626" s="108">
        <f t="shared" si="413"/>
        <v>0</v>
      </c>
      <c r="I626" s="108">
        <f t="shared" si="413"/>
        <v>0</v>
      </c>
      <c r="J626" s="108">
        <f t="shared" si="413"/>
        <v>0</v>
      </c>
      <c r="K626" s="108">
        <f t="shared" si="413"/>
        <v>0</v>
      </c>
      <c r="L626" s="108">
        <f t="shared" si="413"/>
        <v>0</v>
      </c>
      <c r="M626" s="108">
        <f t="shared" si="413"/>
        <v>0</v>
      </c>
      <c r="N626" s="108">
        <f t="shared" si="413"/>
        <v>0</v>
      </c>
      <c r="O626" s="108">
        <f t="shared" si="413"/>
        <v>0</v>
      </c>
      <c r="P626" s="108">
        <f t="shared" si="413"/>
        <v>0</v>
      </c>
      <c r="Q626" s="108">
        <f t="shared" si="413"/>
        <v>0</v>
      </c>
      <c r="R626" s="108">
        <f t="shared" si="413"/>
        <v>0</v>
      </c>
      <c r="S626" s="108">
        <f t="shared" si="413"/>
        <v>0</v>
      </c>
      <c r="T626" s="28" t="s">
        <v>26</v>
      </c>
      <c r="V626" s="104" t="str">
        <f>$V$60</f>
        <v>Joelle</v>
      </c>
      <c r="W626" s="108">
        <f t="shared" si="391"/>
        <v>-1</v>
      </c>
      <c r="X626" s="108">
        <f t="shared" si="392"/>
        <v>-1</v>
      </c>
      <c r="Y626" s="108">
        <f t="shared" si="393"/>
        <v>-1</v>
      </c>
      <c r="Z626" s="108">
        <f t="shared" si="394"/>
        <v>-1</v>
      </c>
      <c r="AA626" s="108">
        <f t="shared" si="395"/>
        <v>-1</v>
      </c>
      <c r="AB626" s="108">
        <f t="shared" si="396"/>
        <v>-1</v>
      </c>
      <c r="AC626" s="108">
        <f t="shared" si="397"/>
        <v>-1</v>
      </c>
      <c r="AD626" s="108">
        <f t="shared" si="398"/>
        <v>-1</v>
      </c>
      <c r="AE626" s="108">
        <f t="shared" si="399"/>
        <v>-1</v>
      </c>
      <c r="AF626" s="108">
        <f t="shared" si="400"/>
        <v>-1</v>
      </c>
      <c r="AG626" s="108">
        <f t="shared" si="401"/>
        <v>-1</v>
      </c>
      <c r="AH626" s="108">
        <f t="shared" si="402"/>
        <v>-1</v>
      </c>
      <c r="AI626" s="108">
        <f t="shared" si="403"/>
        <v>-1</v>
      </c>
      <c r="AJ626" s="108">
        <f t="shared" si="404"/>
        <v>-1</v>
      </c>
      <c r="AK626" s="108">
        <f t="shared" si="405"/>
        <v>-1</v>
      </c>
      <c r="AL626" s="108">
        <f t="shared" si="406"/>
        <v>-1</v>
      </c>
      <c r="AM626" s="108"/>
      <c r="AQ626" s="104" t="str">
        <f>$V$85</f>
        <v>-</v>
      </c>
      <c r="AR626" s="54">
        <v>0</v>
      </c>
      <c r="AS626" s="54">
        <v>0</v>
      </c>
      <c r="AT626" s="54">
        <v>0</v>
      </c>
      <c r="AU626" s="54">
        <v>0</v>
      </c>
      <c r="AV626" s="54">
        <v>0</v>
      </c>
      <c r="AW626" s="54">
        <v>0</v>
      </c>
      <c r="AX626" s="54">
        <v>0</v>
      </c>
      <c r="AY626" s="54">
        <v>0</v>
      </c>
      <c r="AZ626" s="54">
        <v>0</v>
      </c>
      <c r="BA626" s="54">
        <v>0</v>
      </c>
      <c r="BB626" s="54">
        <v>0</v>
      </c>
      <c r="BC626" s="54">
        <v>0</v>
      </c>
      <c r="BD626" s="54">
        <v>0</v>
      </c>
      <c r="BE626" s="54">
        <v>0</v>
      </c>
      <c r="BF626" s="54">
        <v>0</v>
      </c>
      <c r="BG626" s="54">
        <v>0</v>
      </c>
      <c r="BH626" s="54">
        <v>0</v>
      </c>
      <c r="BK626" s="104" t="str">
        <f>$V$74</f>
        <v>Samuel</v>
      </c>
      <c r="BL626" s="108">
        <v>0</v>
      </c>
      <c r="BM626" s="108">
        <v>0</v>
      </c>
      <c r="BN626" s="108">
        <v>0</v>
      </c>
      <c r="BO626" s="108">
        <v>0</v>
      </c>
      <c r="BP626" s="108">
        <v>0</v>
      </c>
      <c r="BQ626" s="108">
        <v>0</v>
      </c>
      <c r="BR626" s="108">
        <v>0</v>
      </c>
      <c r="BS626" s="108">
        <v>0</v>
      </c>
      <c r="BT626" s="108">
        <v>0</v>
      </c>
      <c r="BU626" s="108">
        <v>0</v>
      </c>
      <c r="BV626" s="108">
        <v>0</v>
      </c>
      <c r="BW626" s="108">
        <v>0</v>
      </c>
      <c r="BX626" s="108">
        <v>0</v>
      </c>
      <c r="BY626" s="108">
        <v>0</v>
      </c>
      <c r="BZ626" s="108">
        <v>0</v>
      </c>
      <c r="CA626" s="108">
        <v>0</v>
      </c>
      <c r="CB626" s="108">
        <v>0</v>
      </c>
    </row>
    <row r="627" spans="3:80" x14ac:dyDescent="0.55000000000000004">
      <c r="C627" s="104" t="str">
        <f>$V$61</f>
        <v>Alexia</v>
      </c>
      <c r="D627" s="108">
        <f t="shared" ref="D627:S627" si="414">D61</f>
        <v>0</v>
      </c>
      <c r="E627" s="108">
        <f t="shared" si="414"/>
        <v>0</v>
      </c>
      <c r="F627" s="108">
        <f t="shared" si="414"/>
        <v>0</v>
      </c>
      <c r="G627" s="108">
        <f t="shared" si="414"/>
        <v>0</v>
      </c>
      <c r="H627" s="108">
        <f t="shared" si="414"/>
        <v>0</v>
      </c>
      <c r="I627" s="108">
        <f t="shared" si="414"/>
        <v>0</v>
      </c>
      <c r="J627" s="108">
        <f t="shared" si="414"/>
        <v>0</v>
      </c>
      <c r="K627" s="108">
        <f t="shared" si="414"/>
        <v>0</v>
      </c>
      <c r="L627" s="108">
        <f t="shared" si="414"/>
        <v>0</v>
      </c>
      <c r="M627" s="108">
        <f t="shared" si="414"/>
        <v>0</v>
      </c>
      <c r="N627" s="108">
        <f t="shared" si="414"/>
        <v>0</v>
      </c>
      <c r="O627" s="108">
        <f t="shared" si="414"/>
        <v>0</v>
      </c>
      <c r="P627" s="108">
        <f t="shared" si="414"/>
        <v>0</v>
      </c>
      <c r="Q627" s="108">
        <f t="shared" si="414"/>
        <v>0</v>
      </c>
      <c r="R627" s="108">
        <f t="shared" si="414"/>
        <v>0</v>
      </c>
      <c r="S627" s="108">
        <f t="shared" si="414"/>
        <v>0</v>
      </c>
      <c r="T627" s="28" t="s">
        <v>26</v>
      </c>
      <c r="V627" s="104" t="str">
        <f>$V$61</f>
        <v>Alexia</v>
      </c>
      <c r="W627" s="108">
        <f t="shared" si="391"/>
        <v>-1</v>
      </c>
      <c r="X627" s="108">
        <f t="shared" si="392"/>
        <v>-1</v>
      </c>
      <c r="Y627" s="108">
        <f t="shared" si="393"/>
        <v>-1</v>
      </c>
      <c r="Z627" s="108">
        <f t="shared" si="394"/>
        <v>-1</v>
      </c>
      <c r="AA627" s="108">
        <f t="shared" si="395"/>
        <v>-1</v>
      </c>
      <c r="AB627" s="108">
        <f t="shared" si="396"/>
        <v>-1</v>
      </c>
      <c r="AC627" s="108">
        <f t="shared" si="397"/>
        <v>-1</v>
      </c>
      <c r="AD627" s="108">
        <f t="shared" si="398"/>
        <v>-1</v>
      </c>
      <c r="AE627" s="108">
        <f t="shared" si="399"/>
        <v>-1</v>
      </c>
      <c r="AF627" s="108">
        <f t="shared" si="400"/>
        <v>-1</v>
      </c>
      <c r="AG627" s="108">
        <f t="shared" si="401"/>
        <v>-1</v>
      </c>
      <c r="AH627" s="108">
        <f t="shared" si="402"/>
        <v>-1</v>
      </c>
      <c r="AI627" s="108">
        <f t="shared" si="403"/>
        <v>-1</v>
      </c>
      <c r="AJ627" s="108">
        <f t="shared" si="404"/>
        <v>-1</v>
      </c>
      <c r="AK627" s="108">
        <f t="shared" si="405"/>
        <v>-1</v>
      </c>
      <c r="AL627" s="108">
        <f t="shared" si="406"/>
        <v>-1</v>
      </c>
      <c r="AM627" s="108"/>
      <c r="AQ627" s="104" t="str">
        <f>$V$86</f>
        <v>-</v>
      </c>
      <c r="AR627" s="54">
        <v>0</v>
      </c>
      <c r="AS627" s="54">
        <v>0</v>
      </c>
      <c r="AT627" s="54">
        <v>0</v>
      </c>
      <c r="AU627" s="54">
        <v>0</v>
      </c>
      <c r="AV627" s="54">
        <v>0</v>
      </c>
      <c r="AW627" s="54">
        <v>0</v>
      </c>
      <c r="AX627" s="54">
        <v>0</v>
      </c>
      <c r="AY627" s="54">
        <v>0</v>
      </c>
      <c r="AZ627" s="54">
        <v>0</v>
      </c>
      <c r="BA627" s="54">
        <v>0</v>
      </c>
      <c r="BB627" s="54">
        <v>0</v>
      </c>
      <c r="BC627" s="54">
        <v>0</v>
      </c>
      <c r="BD627" s="54">
        <v>0</v>
      </c>
      <c r="BE627" s="54">
        <v>0</v>
      </c>
      <c r="BF627" s="54">
        <v>0</v>
      </c>
      <c r="BG627" s="54">
        <v>0</v>
      </c>
      <c r="BH627" s="54">
        <v>0</v>
      </c>
      <c r="BK627" s="104" t="str">
        <f>$V$75</f>
        <v>Yassin</v>
      </c>
      <c r="BL627" s="108">
        <v>0</v>
      </c>
      <c r="BM627" s="108">
        <v>0</v>
      </c>
      <c r="BN627" s="108">
        <v>0</v>
      </c>
      <c r="BO627" s="108">
        <v>0</v>
      </c>
      <c r="BP627" s="108">
        <v>0</v>
      </c>
      <c r="BQ627" s="108">
        <v>0</v>
      </c>
      <c r="BR627" s="108">
        <v>0</v>
      </c>
      <c r="BS627" s="108">
        <v>0</v>
      </c>
      <c r="BT627" s="108">
        <v>0</v>
      </c>
      <c r="BU627" s="108">
        <v>0</v>
      </c>
      <c r="BV627" s="108">
        <v>0</v>
      </c>
      <c r="BW627" s="108">
        <v>0</v>
      </c>
      <c r="BX627" s="108">
        <v>0</v>
      </c>
      <c r="BY627" s="108">
        <v>0</v>
      </c>
      <c r="BZ627" s="108">
        <v>0</v>
      </c>
      <c r="CA627" s="108">
        <v>0</v>
      </c>
      <c r="CB627" s="108">
        <v>0</v>
      </c>
    </row>
    <row r="628" spans="3:80" x14ac:dyDescent="0.55000000000000004">
      <c r="C628" s="104" t="str">
        <f>$V$62</f>
        <v>Joao</v>
      </c>
      <c r="D628" s="108">
        <f t="shared" ref="D628:S628" si="415">D62</f>
        <v>0</v>
      </c>
      <c r="E628" s="108">
        <f t="shared" si="415"/>
        <v>0</v>
      </c>
      <c r="F628" s="108">
        <f t="shared" si="415"/>
        <v>0</v>
      </c>
      <c r="G628" s="108">
        <f t="shared" si="415"/>
        <v>0</v>
      </c>
      <c r="H628" s="108">
        <f t="shared" si="415"/>
        <v>0</v>
      </c>
      <c r="I628" s="108">
        <f t="shared" si="415"/>
        <v>0</v>
      </c>
      <c r="J628" s="108">
        <f t="shared" si="415"/>
        <v>0</v>
      </c>
      <c r="K628" s="108">
        <f t="shared" si="415"/>
        <v>0</v>
      </c>
      <c r="L628" s="108">
        <f t="shared" si="415"/>
        <v>0</v>
      </c>
      <c r="M628" s="108">
        <f t="shared" si="415"/>
        <v>0</v>
      </c>
      <c r="N628" s="108">
        <f t="shared" si="415"/>
        <v>0</v>
      </c>
      <c r="O628" s="108">
        <f t="shared" si="415"/>
        <v>0</v>
      </c>
      <c r="P628" s="108">
        <f t="shared" si="415"/>
        <v>0</v>
      </c>
      <c r="Q628" s="108">
        <f t="shared" si="415"/>
        <v>0</v>
      </c>
      <c r="R628" s="108">
        <f t="shared" si="415"/>
        <v>0</v>
      </c>
      <c r="S628" s="108">
        <f t="shared" si="415"/>
        <v>0</v>
      </c>
      <c r="T628" s="28" t="s">
        <v>26</v>
      </c>
      <c r="V628" s="104" t="str">
        <f>$V$62</f>
        <v>Joao</v>
      </c>
      <c r="W628" s="108">
        <f t="shared" si="391"/>
        <v>-1</v>
      </c>
      <c r="X628" s="108">
        <f t="shared" si="392"/>
        <v>-1</v>
      </c>
      <c r="Y628" s="108">
        <f t="shared" si="393"/>
        <v>-1</v>
      </c>
      <c r="Z628" s="108">
        <f t="shared" si="394"/>
        <v>-1</v>
      </c>
      <c r="AA628" s="108">
        <f t="shared" si="395"/>
        <v>-1</v>
      </c>
      <c r="AB628" s="108">
        <f t="shared" si="396"/>
        <v>-1</v>
      </c>
      <c r="AC628" s="108">
        <f t="shared" si="397"/>
        <v>-1</v>
      </c>
      <c r="AD628" s="108">
        <f t="shared" si="398"/>
        <v>-1</v>
      </c>
      <c r="AE628" s="108">
        <f t="shared" si="399"/>
        <v>-1</v>
      </c>
      <c r="AF628" s="108">
        <f t="shared" si="400"/>
        <v>-1</v>
      </c>
      <c r="AG628" s="108">
        <f t="shared" si="401"/>
        <v>-1</v>
      </c>
      <c r="AH628" s="108">
        <f t="shared" si="402"/>
        <v>-1</v>
      </c>
      <c r="AI628" s="108">
        <f t="shared" si="403"/>
        <v>-1</v>
      </c>
      <c r="AJ628" s="108">
        <f t="shared" si="404"/>
        <v>-1</v>
      </c>
      <c r="AK628" s="108">
        <f t="shared" si="405"/>
        <v>-1</v>
      </c>
      <c r="AL628" s="108">
        <f t="shared" si="406"/>
        <v>-1</v>
      </c>
      <c r="AM628" s="108"/>
      <c r="AQ628" s="104" t="str">
        <f>$V$87</f>
        <v>-</v>
      </c>
      <c r="AR628" s="54">
        <v>0</v>
      </c>
      <c r="AS628" s="54">
        <v>0</v>
      </c>
      <c r="AT628" s="54">
        <v>0</v>
      </c>
      <c r="AU628" s="54">
        <v>0</v>
      </c>
      <c r="AV628" s="54">
        <v>0</v>
      </c>
      <c r="AW628" s="54">
        <v>0</v>
      </c>
      <c r="AX628" s="54">
        <v>0</v>
      </c>
      <c r="AY628" s="54">
        <v>0</v>
      </c>
      <c r="AZ628" s="54">
        <v>0</v>
      </c>
      <c r="BA628" s="54">
        <v>0</v>
      </c>
      <c r="BB628" s="54">
        <v>0</v>
      </c>
      <c r="BC628" s="54">
        <v>0</v>
      </c>
      <c r="BD628" s="54">
        <v>0</v>
      </c>
      <c r="BE628" s="54">
        <v>0</v>
      </c>
      <c r="BF628" s="54">
        <v>0</v>
      </c>
      <c r="BG628" s="54">
        <v>0</v>
      </c>
      <c r="BH628" s="54">
        <v>0</v>
      </c>
      <c r="BK628" s="104" t="str">
        <f>$V$76</f>
        <v>Kamar</v>
      </c>
      <c r="BL628" s="108">
        <v>0</v>
      </c>
      <c r="BM628" s="108">
        <v>0</v>
      </c>
      <c r="BN628" s="108">
        <v>0</v>
      </c>
      <c r="BO628" s="108">
        <v>0</v>
      </c>
      <c r="BP628" s="108">
        <v>0</v>
      </c>
      <c r="BQ628" s="108">
        <v>0</v>
      </c>
      <c r="BR628" s="108">
        <v>0</v>
      </c>
      <c r="BS628" s="108">
        <v>0</v>
      </c>
      <c r="BT628" s="108">
        <v>0</v>
      </c>
      <c r="BU628" s="108">
        <v>0</v>
      </c>
      <c r="BV628" s="108">
        <v>0</v>
      </c>
      <c r="BW628" s="108">
        <v>0</v>
      </c>
      <c r="BX628" s="108">
        <v>0</v>
      </c>
      <c r="BY628" s="108">
        <v>0</v>
      </c>
      <c r="BZ628" s="108">
        <v>0</v>
      </c>
      <c r="CA628" s="108">
        <v>0</v>
      </c>
      <c r="CB628" s="108">
        <v>0</v>
      </c>
    </row>
    <row r="629" spans="3:80" x14ac:dyDescent="0.55000000000000004">
      <c r="C629" s="104" t="str">
        <f>$V$63</f>
        <v>Maxime</v>
      </c>
      <c r="D629" s="108">
        <f t="shared" ref="D629:S629" si="416">D63</f>
        <v>0</v>
      </c>
      <c r="E629" s="108">
        <f t="shared" si="416"/>
        <v>0</v>
      </c>
      <c r="F629" s="108">
        <f t="shared" si="416"/>
        <v>0</v>
      </c>
      <c r="G629" s="108">
        <f t="shared" si="416"/>
        <v>0</v>
      </c>
      <c r="H629" s="108">
        <f t="shared" si="416"/>
        <v>0</v>
      </c>
      <c r="I629" s="108">
        <f t="shared" si="416"/>
        <v>0</v>
      </c>
      <c r="J629" s="108">
        <f t="shared" si="416"/>
        <v>0</v>
      </c>
      <c r="K629" s="108">
        <f t="shared" si="416"/>
        <v>0</v>
      </c>
      <c r="L629" s="108">
        <f t="shared" si="416"/>
        <v>0</v>
      </c>
      <c r="M629" s="108">
        <f t="shared" si="416"/>
        <v>0</v>
      </c>
      <c r="N629" s="108">
        <f t="shared" si="416"/>
        <v>0</v>
      </c>
      <c r="O629" s="108">
        <f t="shared" si="416"/>
        <v>0</v>
      </c>
      <c r="P629" s="108">
        <f t="shared" si="416"/>
        <v>0</v>
      </c>
      <c r="Q629" s="108">
        <f t="shared" si="416"/>
        <v>0</v>
      </c>
      <c r="R629" s="108">
        <f t="shared" si="416"/>
        <v>0</v>
      </c>
      <c r="S629" s="108">
        <f t="shared" si="416"/>
        <v>0</v>
      </c>
      <c r="T629" s="28" t="s">
        <v>26</v>
      </c>
      <c r="V629" s="104" t="str">
        <f>$V$63</f>
        <v>Maxime</v>
      </c>
      <c r="W629" s="108">
        <f t="shared" si="391"/>
        <v>-1</v>
      </c>
      <c r="X629" s="108">
        <f t="shared" si="392"/>
        <v>-1</v>
      </c>
      <c r="Y629" s="108">
        <f t="shared" si="393"/>
        <v>-1</v>
      </c>
      <c r="Z629" s="108">
        <f t="shared" si="394"/>
        <v>-1</v>
      </c>
      <c r="AA629" s="108">
        <f t="shared" si="395"/>
        <v>-1</v>
      </c>
      <c r="AB629" s="108">
        <f t="shared" si="396"/>
        <v>-1</v>
      </c>
      <c r="AC629" s="108">
        <f t="shared" si="397"/>
        <v>-1</v>
      </c>
      <c r="AD629" s="108">
        <f t="shared" si="398"/>
        <v>-1</v>
      </c>
      <c r="AE629" s="108">
        <f t="shared" si="399"/>
        <v>-1</v>
      </c>
      <c r="AF629" s="108">
        <f t="shared" si="400"/>
        <v>-1</v>
      </c>
      <c r="AG629" s="108">
        <f t="shared" si="401"/>
        <v>-1</v>
      </c>
      <c r="AH629" s="108">
        <f t="shared" si="402"/>
        <v>-1</v>
      </c>
      <c r="AI629" s="108">
        <f t="shared" si="403"/>
        <v>-1</v>
      </c>
      <c r="AJ629" s="108">
        <f t="shared" si="404"/>
        <v>-1</v>
      </c>
      <c r="AK629" s="108">
        <f t="shared" si="405"/>
        <v>-1</v>
      </c>
      <c r="AL629" s="108">
        <f t="shared" si="406"/>
        <v>-1</v>
      </c>
      <c r="AM629" s="108"/>
      <c r="AQ629" s="104" t="str">
        <f>$V$88</f>
        <v>-</v>
      </c>
      <c r="AR629" s="54">
        <v>0</v>
      </c>
      <c r="AS629" s="54">
        <v>0</v>
      </c>
      <c r="AT629" s="54">
        <v>0</v>
      </c>
      <c r="AU629" s="54">
        <v>0</v>
      </c>
      <c r="AV629" s="54">
        <v>0</v>
      </c>
      <c r="AW629" s="54">
        <v>0</v>
      </c>
      <c r="AX629" s="54">
        <v>0</v>
      </c>
      <c r="AY629" s="54">
        <v>0</v>
      </c>
      <c r="AZ629" s="54">
        <v>0</v>
      </c>
      <c r="BA629" s="54">
        <v>0</v>
      </c>
      <c r="BB629" s="54">
        <v>0</v>
      </c>
      <c r="BC629" s="54">
        <v>0</v>
      </c>
      <c r="BD629" s="54">
        <v>0</v>
      </c>
      <c r="BE629" s="54">
        <v>0</v>
      </c>
      <c r="BF629" s="54">
        <v>0</v>
      </c>
      <c r="BG629" s="54">
        <v>0</v>
      </c>
      <c r="BH629" s="54">
        <v>0</v>
      </c>
      <c r="BK629" s="104" t="str">
        <f>$V$77</f>
        <v>-</v>
      </c>
      <c r="BL629" s="108">
        <v>0</v>
      </c>
      <c r="BM629" s="108">
        <v>0</v>
      </c>
      <c r="BN629" s="108">
        <v>0</v>
      </c>
      <c r="BO629" s="108">
        <v>0</v>
      </c>
      <c r="BP629" s="108">
        <v>0</v>
      </c>
      <c r="BQ629" s="108">
        <v>0</v>
      </c>
      <c r="BR629" s="108">
        <v>0</v>
      </c>
      <c r="BS629" s="108">
        <v>0</v>
      </c>
      <c r="BT629" s="108">
        <v>0</v>
      </c>
      <c r="BU629" s="108">
        <v>0</v>
      </c>
      <c r="BV629" s="108">
        <v>0</v>
      </c>
      <c r="BW629" s="108">
        <v>0</v>
      </c>
      <c r="BX629" s="108">
        <v>0</v>
      </c>
      <c r="BY629" s="108">
        <v>0</v>
      </c>
      <c r="BZ629" s="108">
        <v>0</v>
      </c>
      <c r="CA629" s="108">
        <v>0</v>
      </c>
      <c r="CB629" s="108">
        <v>0</v>
      </c>
    </row>
    <row r="630" spans="3:80" x14ac:dyDescent="0.55000000000000004">
      <c r="C630" s="104" t="str">
        <f>$V$64</f>
        <v>Alex</v>
      </c>
      <c r="D630" s="108">
        <f t="shared" ref="D630:S630" si="417">D64</f>
        <v>0</v>
      </c>
      <c r="E630" s="108">
        <f t="shared" si="417"/>
        <v>0</v>
      </c>
      <c r="F630" s="108">
        <f t="shared" si="417"/>
        <v>0</v>
      </c>
      <c r="G630" s="108">
        <f t="shared" si="417"/>
        <v>0</v>
      </c>
      <c r="H630" s="108">
        <f t="shared" si="417"/>
        <v>0</v>
      </c>
      <c r="I630" s="108">
        <f t="shared" si="417"/>
        <v>0</v>
      </c>
      <c r="J630" s="108">
        <f t="shared" si="417"/>
        <v>0</v>
      </c>
      <c r="K630" s="108">
        <f t="shared" si="417"/>
        <v>0</v>
      </c>
      <c r="L630" s="108">
        <f t="shared" si="417"/>
        <v>0</v>
      </c>
      <c r="M630" s="108">
        <f t="shared" si="417"/>
        <v>0</v>
      </c>
      <c r="N630" s="108">
        <f t="shared" si="417"/>
        <v>0</v>
      </c>
      <c r="O630" s="108">
        <f t="shared" si="417"/>
        <v>0</v>
      </c>
      <c r="P630" s="108">
        <f t="shared" si="417"/>
        <v>0</v>
      </c>
      <c r="Q630" s="108">
        <f t="shared" si="417"/>
        <v>0</v>
      </c>
      <c r="R630" s="108">
        <f t="shared" si="417"/>
        <v>0</v>
      </c>
      <c r="S630" s="108">
        <f t="shared" si="417"/>
        <v>0</v>
      </c>
      <c r="T630" s="28" t="s">
        <v>26</v>
      </c>
      <c r="V630" s="104" t="str">
        <f>$V$64</f>
        <v>Alex</v>
      </c>
      <c r="W630" s="108">
        <f t="shared" si="391"/>
        <v>-1</v>
      </c>
      <c r="X630" s="108">
        <f t="shared" si="392"/>
        <v>-1</v>
      </c>
      <c r="Y630" s="108">
        <f t="shared" si="393"/>
        <v>-1</v>
      </c>
      <c r="Z630" s="108">
        <f t="shared" si="394"/>
        <v>-1</v>
      </c>
      <c r="AA630" s="108">
        <f t="shared" si="395"/>
        <v>-1</v>
      </c>
      <c r="AB630" s="108">
        <f t="shared" si="396"/>
        <v>-1</v>
      </c>
      <c r="AC630" s="108">
        <f t="shared" si="397"/>
        <v>-1</v>
      </c>
      <c r="AD630" s="108">
        <f t="shared" si="398"/>
        <v>-1</v>
      </c>
      <c r="AE630" s="108">
        <f t="shared" si="399"/>
        <v>-1</v>
      </c>
      <c r="AF630" s="108">
        <f t="shared" si="400"/>
        <v>-1</v>
      </c>
      <c r="AG630" s="108">
        <f t="shared" si="401"/>
        <v>-1</v>
      </c>
      <c r="AH630" s="108">
        <f t="shared" si="402"/>
        <v>-1</v>
      </c>
      <c r="AI630" s="108">
        <f t="shared" si="403"/>
        <v>-1</v>
      </c>
      <c r="AJ630" s="108">
        <f t="shared" si="404"/>
        <v>-1</v>
      </c>
      <c r="AK630" s="108">
        <f t="shared" si="405"/>
        <v>-1</v>
      </c>
      <c r="AL630" s="108">
        <f t="shared" si="406"/>
        <v>-1</v>
      </c>
      <c r="AM630" s="108"/>
      <c r="AQ630" s="104" t="str">
        <f>$V$89</f>
        <v>-</v>
      </c>
      <c r="AR630" s="54">
        <v>0</v>
      </c>
      <c r="AS630" s="54">
        <v>0</v>
      </c>
      <c r="AT630" s="54">
        <v>0</v>
      </c>
      <c r="AU630" s="54">
        <v>0</v>
      </c>
      <c r="AV630" s="54">
        <v>0</v>
      </c>
      <c r="AW630" s="54">
        <v>0</v>
      </c>
      <c r="AX630" s="54">
        <v>0</v>
      </c>
      <c r="AY630" s="54">
        <v>0</v>
      </c>
      <c r="AZ630" s="54">
        <v>0</v>
      </c>
      <c r="BA630" s="54">
        <v>0</v>
      </c>
      <c r="BB630" s="54">
        <v>0</v>
      </c>
      <c r="BC630" s="54">
        <v>0</v>
      </c>
      <c r="BD630" s="54">
        <v>0</v>
      </c>
      <c r="BE630" s="54">
        <v>0</v>
      </c>
      <c r="BF630" s="54">
        <v>0</v>
      </c>
      <c r="BG630" s="54">
        <v>0</v>
      </c>
      <c r="BH630" s="54">
        <v>0</v>
      </c>
      <c r="BK630" s="104" t="str">
        <f>$V$78</f>
        <v>-</v>
      </c>
      <c r="BL630" s="108">
        <v>0</v>
      </c>
      <c r="BM630" s="108">
        <v>0</v>
      </c>
      <c r="BN630" s="108">
        <v>0</v>
      </c>
      <c r="BO630" s="108">
        <v>0</v>
      </c>
      <c r="BP630" s="108">
        <v>0</v>
      </c>
      <c r="BQ630" s="108">
        <v>0</v>
      </c>
      <c r="BR630" s="108">
        <v>0</v>
      </c>
      <c r="BS630" s="108">
        <v>0</v>
      </c>
      <c r="BT630" s="108">
        <v>0</v>
      </c>
      <c r="BU630" s="108">
        <v>0</v>
      </c>
      <c r="BV630" s="108">
        <v>0</v>
      </c>
      <c r="BW630" s="108">
        <v>0</v>
      </c>
      <c r="BX630" s="108">
        <v>0</v>
      </c>
      <c r="BY630" s="108">
        <v>0</v>
      </c>
      <c r="BZ630" s="108">
        <v>0</v>
      </c>
      <c r="CA630" s="108">
        <v>0</v>
      </c>
      <c r="CB630" s="108">
        <v>0</v>
      </c>
    </row>
    <row r="631" spans="3:80" x14ac:dyDescent="0.55000000000000004">
      <c r="C631" s="104" t="str">
        <f>$V$65</f>
        <v>Alyssa</v>
      </c>
      <c r="D631" s="108">
        <f t="shared" ref="D631:S631" si="418">D65</f>
        <v>0</v>
      </c>
      <c r="E631" s="108">
        <f t="shared" si="418"/>
        <v>0</v>
      </c>
      <c r="F631" s="108">
        <f t="shared" si="418"/>
        <v>0</v>
      </c>
      <c r="G631" s="108">
        <f t="shared" si="418"/>
        <v>0</v>
      </c>
      <c r="H631" s="108">
        <f t="shared" si="418"/>
        <v>0</v>
      </c>
      <c r="I631" s="108">
        <f t="shared" si="418"/>
        <v>0</v>
      </c>
      <c r="J631" s="108">
        <f t="shared" si="418"/>
        <v>0</v>
      </c>
      <c r="K631" s="108">
        <f t="shared" si="418"/>
        <v>0</v>
      </c>
      <c r="L631" s="108">
        <f t="shared" si="418"/>
        <v>0</v>
      </c>
      <c r="M631" s="108">
        <f t="shared" si="418"/>
        <v>0</v>
      </c>
      <c r="N631" s="108">
        <f t="shared" si="418"/>
        <v>0</v>
      </c>
      <c r="O631" s="108">
        <f t="shared" si="418"/>
        <v>0</v>
      </c>
      <c r="P631" s="108">
        <f t="shared" si="418"/>
        <v>0</v>
      </c>
      <c r="Q631" s="108">
        <f t="shared" si="418"/>
        <v>0</v>
      </c>
      <c r="R631" s="108">
        <f t="shared" si="418"/>
        <v>0</v>
      </c>
      <c r="S631" s="108">
        <f t="shared" si="418"/>
        <v>0</v>
      </c>
      <c r="T631" s="28" t="s">
        <v>26</v>
      </c>
      <c r="V631" s="104" t="str">
        <f>$V$65</f>
        <v>Alyssa</v>
      </c>
      <c r="W631" s="108">
        <f t="shared" si="391"/>
        <v>-1</v>
      </c>
      <c r="X631" s="108">
        <f t="shared" si="392"/>
        <v>-1</v>
      </c>
      <c r="Y631" s="108">
        <f t="shared" si="393"/>
        <v>-1</v>
      </c>
      <c r="Z631" s="108">
        <f t="shared" si="394"/>
        <v>-1</v>
      </c>
      <c r="AA631" s="108">
        <f t="shared" si="395"/>
        <v>-1</v>
      </c>
      <c r="AB631" s="108">
        <f t="shared" si="396"/>
        <v>-1</v>
      </c>
      <c r="AC631" s="108">
        <f t="shared" si="397"/>
        <v>-1</v>
      </c>
      <c r="AD631" s="108">
        <f t="shared" si="398"/>
        <v>-1</v>
      </c>
      <c r="AE631" s="108">
        <f t="shared" si="399"/>
        <v>-1</v>
      </c>
      <c r="AF631" s="108">
        <f t="shared" si="400"/>
        <v>-1</v>
      </c>
      <c r="AG631" s="108">
        <f t="shared" si="401"/>
        <v>-1</v>
      </c>
      <c r="AH631" s="108">
        <f t="shared" si="402"/>
        <v>-1</v>
      </c>
      <c r="AI631" s="108">
        <f t="shared" si="403"/>
        <v>-1</v>
      </c>
      <c r="AJ631" s="108">
        <f t="shared" si="404"/>
        <v>-1</v>
      </c>
      <c r="AK631" s="108">
        <f t="shared" si="405"/>
        <v>-1</v>
      </c>
      <c r="AL631" s="108">
        <f t="shared" si="406"/>
        <v>-1</v>
      </c>
      <c r="AM631" s="108"/>
      <c r="AQ631" s="104" t="str">
        <f>$V$90</f>
        <v>-</v>
      </c>
      <c r="AR631" s="54">
        <v>0</v>
      </c>
      <c r="AS631" s="54">
        <v>0</v>
      </c>
      <c r="AT631" s="54">
        <v>0</v>
      </c>
      <c r="AU631" s="54">
        <v>0</v>
      </c>
      <c r="AV631" s="54">
        <v>0</v>
      </c>
      <c r="AW631" s="54">
        <v>0</v>
      </c>
      <c r="AX631" s="54">
        <v>0</v>
      </c>
      <c r="AY631" s="54">
        <v>0</v>
      </c>
      <c r="AZ631" s="54">
        <v>0</v>
      </c>
      <c r="BA631" s="54">
        <v>0</v>
      </c>
      <c r="BB631" s="54">
        <v>0</v>
      </c>
      <c r="BC631" s="54">
        <v>0</v>
      </c>
      <c r="BD631" s="54">
        <v>0</v>
      </c>
      <c r="BE631" s="54">
        <v>0</v>
      </c>
      <c r="BF631" s="54">
        <v>0</v>
      </c>
      <c r="BG631" s="54">
        <v>0</v>
      </c>
      <c r="BH631" s="54">
        <v>0</v>
      </c>
      <c r="BK631" s="104" t="str">
        <f>$V$79</f>
        <v>-</v>
      </c>
      <c r="BL631" s="108">
        <v>0</v>
      </c>
      <c r="BM631" s="108">
        <v>0</v>
      </c>
      <c r="BN631" s="108">
        <v>0</v>
      </c>
      <c r="BO631" s="108">
        <v>0</v>
      </c>
      <c r="BP631" s="108">
        <v>0</v>
      </c>
      <c r="BQ631" s="108">
        <v>0</v>
      </c>
      <c r="BR631" s="108">
        <v>0</v>
      </c>
      <c r="BS631" s="108">
        <v>0</v>
      </c>
      <c r="BT631" s="108">
        <v>0</v>
      </c>
      <c r="BU631" s="108">
        <v>0</v>
      </c>
      <c r="BV631" s="108">
        <v>0</v>
      </c>
      <c r="BW631" s="108">
        <v>0</v>
      </c>
      <c r="BX631" s="108">
        <v>0</v>
      </c>
      <c r="BY631" s="108">
        <v>0</v>
      </c>
      <c r="BZ631" s="108">
        <v>0</v>
      </c>
      <c r="CA631" s="108">
        <v>0</v>
      </c>
      <c r="CB631" s="108">
        <v>0</v>
      </c>
    </row>
    <row r="632" spans="3:80" x14ac:dyDescent="0.55000000000000004">
      <c r="C632" s="104" t="str">
        <f>$V$66</f>
        <v>Amanda</v>
      </c>
      <c r="D632" s="108">
        <f t="shared" ref="D632:S632" si="419">D66</f>
        <v>0</v>
      </c>
      <c r="E632" s="108">
        <f t="shared" si="419"/>
        <v>0</v>
      </c>
      <c r="F632" s="108">
        <f t="shared" si="419"/>
        <v>0</v>
      </c>
      <c r="G632" s="108">
        <f t="shared" si="419"/>
        <v>0</v>
      </c>
      <c r="H632" s="108">
        <f t="shared" si="419"/>
        <v>0</v>
      </c>
      <c r="I632" s="108">
        <f t="shared" si="419"/>
        <v>0</v>
      </c>
      <c r="J632" s="108">
        <f t="shared" si="419"/>
        <v>0</v>
      </c>
      <c r="K632" s="108">
        <f t="shared" si="419"/>
        <v>0</v>
      </c>
      <c r="L632" s="108">
        <f t="shared" si="419"/>
        <v>0</v>
      </c>
      <c r="M632" s="108">
        <f t="shared" si="419"/>
        <v>0</v>
      </c>
      <c r="N632" s="108">
        <f t="shared" si="419"/>
        <v>0</v>
      </c>
      <c r="O632" s="108">
        <f t="shared" si="419"/>
        <v>0</v>
      </c>
      <c r="P632" s="108">
        <f t="shared" si="419"/>
        <v>0</v>
      </c>
      <c r="Q632" s="108">
        <f t="shared" si="419"/>
        <v>0</v>
      </c>
      <c r="R632" s="108">
        <f t="shared" si="419"/>
        <v>0</v>
      </c>
      <c r="S632" s="108">
        <f t="shared" si="419"/>
        <v>0</v>
      </c>
      <c r="T632" s="28" t="s">
        <v>26</v>
      </c>
      <c r="V632" s="104" t="str">
        <f>$V$66</f>
        <v>Amanda</v>
      </c>
      <c r="W632" s="108">
        <f t="shared" si="391"/>
        <v>-1</v>
      </c>
      <c r="X632" s="108">
        <f t="shared" si="392"/>
        <v>-1</v>
      </c>
      <c r="Y632" s="108">
        <f t="shared" si="393"/>
        <v>-1</v>
      </c>
      <c r="Z632" s="108">
        <f t="shared" si="394"/>
        <v>-1</v>
      </c>
      <c r="AA632" s="108">
        <f t="shared" si="395"/>
        <v>-1</v>
      </c>
      <c r="AB632" s="108">
        <f t="shared" si="396"/>
        <v>-1</v>
      </c>
      <c r="AC632" s="108">
        <f t="shared" si="397"/>
        <v>-1</v>
      </c>
      <c r="AD632" s="108">
        <f t="shared" si="398"/>
        <v>-1</v>
      </c>
      <c r="AE632" s="108">
        <f t="shared" si="399"/>
        <v>-1</v>
      </c>
      <c r="AF632" s="108">
        <f t="shared" si="400"/>
        <v>-1</v>
      </c>
      <c r="AG632" s="108">
        <f t="shared" si="401"/>
        <v>-1</v>
      </c>
      <c r="AH632" s="108">
        <f t="shared" si="402"/>
        <v>-1</v>
      </c>
      <c r="AI632" s="108">
        <f t="shared" si="403"/>
        <v>-1</v>
      </c>
      <c r="AJ632" s="108">
        <f t="shared" si="404"/>
        <v>-1</v>
      </c>
      <c r="AK632" s="108">
        <f t="shared" si="405"/>
        <v>-1</v>
      </c>
      <c r="AL632" s="108">
        <f t="shared" si="406"/>
        <v>-1</v>
      </c>
      <c r="AM632" s="108"/>
      <c r="AQ632" s="104" t="str">
        <f>$V$91</f>
        <v>-</v>
      </c>
      <c r="AR632" s="54">
        <v>0</v>
      </c>
      <c r="AS632" s="54">
        <v>0</v>
      </c>
      <c r="AT632" s="54">
        <v>0</v>
      </c>
      <c r="AU632" s="54">
        <v>0</v>
      </c>
      <c r="AV632" s="54">
        <v>0</v>
      </c>
      <c r="AW632" s="54">
        <v>0</v>
      </c>
      <c r="AX632" s="54">
        <v>0</v>
      </c>
      <c r="AY632" s="54">
        <v>0</v>
      </c>
      <c r="AZ632" s="54">
        <v>0</v>
      </c>
      <c r="BA632" s="54">
        <v>0</v>
      </c>
      <c r="BB632" s="54">
        <v>0</v>
      </c>
      <c r="BC632" s="54">
        <v>0</v>
      </c>
      <c r="BD632" s="54">
        <v>0</v>
      </c>
      <c r="BE632" s="54">
        <v>0</v>
      </c>
      <c r="BF632" s="54">
        <v>0</v>
      </c>
      <c r="BG632" s="54">
        <v>0</v>
      </c>
      <c r="BH632" s="54">
        <v>0</v>
      </c>
      <c r="BK632" s="104" t="str">
        <f>$V$80</f>
        <v>-</v>
      </c>
      <c r="BL632" s="108">
        <v>0</v>
      </c>
      <c r="BM632" s="108">
        <v>0</v>
      </c>
      <c r="BN632" s="108">
        <v>0</v>
      </c>
      <c r="BO632" s="108">
        <v>0</v>
      </c>
      <c r="BP632" s="108">
        <v>0</v>
      </c>
      <c r="BQ632" s="108">
        <v>0</v>
      </c>
      <c r="BR632" s="108">
        <v>0</v>
      </c>
      <c r="BS632" s="108">
        <v>0</v>
      </c>
      <c r="BT632" s="108">
        <v>0</v>
      </c>
      <c r="BU632" s="108">
        <v>0</v>
      </c>
      <c r="BV632" s="108">
        <v>0</v>
      </c>
      <c r="BW632" s="108">
        <v>0</v>
      </c>
      <c r="BX632" s="108">
        <v>0</v>
      </c>
      <c r="BY632" s="108">
        <v>0</v>
      </c>
      <c r="BZ632" s="108">
        <v>0</v>
      </c>
      <c r="CA632" s="108">
        <v>0</v>
      </c>
      <c r="CB632" s="108">
        <v>0</v>
      </c>
    </row>
    <row r="633" spans="3:80" x14ac:dyDescent="0.55000000000000004">
      <c r="C633" s="104" t="str">
        <f>$V$67</f>
        <v>Antoine</v>
      </c>
      <c r="D633" s="108">
        <f t="shared" ref="D633:S633" si="420">D67</f>
        <v>0</v>
      </c>
      <c r="E633" s="108">
        <f t="shared" si="420"/>
        <v>0</v>
      </c>
      <c r="F633" s="108">
        <f t="shared" si="420"/>
        <v>0</v>
      </c>
      <c r="G633" s="108">
        <f t="shared" si="420"/>
        <v>0</v>
      </c>
      <c r="H633" s="108">
        <f t="shared" si="420"/>
        <v>0</v>
      </c>
      <c r="I633" s="108">
        <f t="shared" si="420"/>
        <v>0</v>
      </c>
      <c r="J633" s="108">
        <f t="shared" si="420"/>
        <v>0</v>
      </c>
      <c r="K633" s="108">
        <f t="shared" si="420"/>
        <v>0</v>
      </c>
      <c r="L633" s="108">
        <f t="shared" si="420"/>
        <v>0</v>
      </c>
      <c r="M633" s="108">
        <f t="shared" si="420"/>
        <v>0</v>
      </c>
      <c r="N633" s="108">
        <f t="shared" si="420"/>
        <v>0</v>
      </c>
      <c r="O633" s="108">
        <f t="shared" si="420"/>
        <v>0</v>
      </c>
      <c r="P633" s="108">
        <f t="shared" si="420"/>
        <v>0</v>
      </c>
      <c r="Q633" s="108">
        <f t="shared" si="420"/>
        <v>0</v>
      </c>
      <c r="R633" s="108">
        <f t="shared" si="420"/>
        <v>0</v>
      </c>
      <c r="S633" s="108">
        <f t="shared" si="420"/>
        <v>0</v>
      </c>
      <c r="T633" s="28" t="s">
        <v>26</v>
      </c>
      <c r="V633" s="104" t="str">
        <f>$V$67</f>
        <v>Antoine</v>
      </c>
      <c r="W633" s="108">
        <f t="shared" si="391"/>
        <v>-1</v>
      </c>
      <c r="X633" s="108">
        <f t="shared" si="392"/>
        <v>-1</v>
      </c>
      <c r="Y633" s="108">
        <f t="shared" si="393"/>
        <v>-1</v>
      </c>
      <c r="Z633" s="108">
        <f t="shared" si="394"/>
        <v>-1</v>
      </c>
      <c r="AA633" s="108">
        <f t="shared" si="395"/>
        <v>-1</v>
      </c>
      <c r="AB633" s="108">
        <f t="shared" si="396"/>
        <v>-1</v>
      </c>
      <c r="AC633" s="108">
        <f t="shared" si="397"/>
        <v>-1</v>
      </c>
      <c r="AD633" s="108">
        <f t="shared" si="398"/>
        <v>-1</v>
      </c>
      <c r="AE633" s="108">
        <f t="shared" si="399"/>
        <v>-1</v>
      </c>
      <c r="AF633" s="108">
        <f t="shared" si="400"/>
        <v>-1</v>
      </c>
      <c r="AG633" s="108">
        <f t="shared" si="401"/>
        <v>-1</v>
      </c>
      <c r="AH633" s="108">
        <f t="shared" si="402"/>
        <v>-1</v>
      </c>
      <c r="AI633" s="108">
        <f t="shared" si="403"/>
        <v>-1</v>
      </c>
      <c r="AJ633" s="108">
        <f t="shared" si="404"/>
        <v>-1</v>
      </c>
      <c r="AK633" s="108">
        <f t="shared" si="405"/>
        <v>-1</v>
      </c>
      <c r="AL633" s="108">
        <f t="shared" si="406"/>
        <v>-1</v>
      </c>
      <c r="AM633" s="108"/>
      <c r="AQ633" s="104" t="str">
        <f>$V$92</f>
        <v>-</v>
      </c>
      <c r="AR633" s="54">
        <v>0</v>
      </c>
      <c r="AS633" s="54">
        <v>0</v>
      </c>
      <c r="AT633" s="54">
        <v>0</v>
      </c>
      <c r="AU633" s="54">
        <v>0</v>
      </c>
      <c r="AV633" s="54">
        <v>0</v>
      </c>
      <c r="AW633" s="54">
        <v>0</v>
      </c>
      <c r="AX633" s="54">
        <v>0</v>
      </c>
      <c r="AY633" s="54">
        <v>0</v>
      </c>
      <c r="AZ633" s="54">
        <v>0</v>
      </c>
      <c r="BA633" s="54">
        <v>0</v>
      </c>
      <c r="BB633" s="54">
        <v>0</v>
      </c>
      <c r="BC633" s="54">
        <v>0</v>
      </c>
      <c r="BD633" s="54">
        <v>0</v>
      </c>
      <c r="BE633" s="54">
        <v>0</v>
      </c>
      <c r="BF633" s="54">
        <v>0</v>
      </c>
      <c r="BG633" s="54">
        <v>0</v>
      </c>
      <c r="BH633" s="54">
        <v>0</v>
      </c>
      <c r="BK633" s="104" t="str">
        <f>$V$81</f>
        <v>-</v>
      </c>
      <c r="BL633" s="108">
        <v>0</v>
      </c>
      <c r="BM633" s="108">
        <v>0</v>
      </c>
      <c r="BN633" s="108">
        <v>0</v>
      </c>
      <c r="BO633" s="108">
        <v>0</v>
      </c>
      <c r="BP633" s="108">
        <v>0</v>
      </c>
      <c r="BQ633" s="108">
        <v>0</v>
      </c>
      <c r="BR633" s="108">
        <v>0</v>
      </c>
      <c r="BS633" s="108">
        <v>0</v>
      </c>
      <c r="BT633" s="108">
        <v>0</v>
      </c>
      <c r="BU633" s="108">
        <v>0</v>
      </c>
      <c r="BV633" s="108">
        <v>0</v>
      </c>
      <c r="BW633" s="108">
        <v>0</v>
      </c>
      <c r="BX633" s="108">
        <v>0</v>
      </c>
      <c r="BY633" s="108">
        <v>0</v>
      </c>
      <c r="BZ633" s="108">
        <v>0</v>
      </c>
      <c r="CA633" s="108">
        <v>0</v>
      </c>
      <c r="CB633" s="108">
        <v>0</v>
      </c>
    </row>
    <row r="634" spans="3:80" x14ac:dyDescent="0.55000000000000004">
      <c r="C634" s="104" t="str">
        <f>$V$68</f>
        <v>Beatriz</v>
      </c>
      <c r="D634" s="108">
        <f t="shared" ref="D634:S634" si="421">D68</f>
        <v>0</v>
      </c>
      <c r="E634" s="108">
        <f t="shared" si="421"/>
        <v>0</v>
      </c>
      <c r="F634" s="108">
        <f t="shared" si="421"/>
        <v>0</v>
      </c>
      <c r="G634" s="108">
        <f t="shared" si="421"/>
        <v>0</v>
      </c>
      <c r="H634" s="108">
        <f t="shared" si="421"/>
        <v>0</v>
      </c>
      <c r="I634" s="108">
        <f t="shared" si="421"/>
        <v>0</v>
      </c>
      <c r="J634" s="108">
        <f t="shared" si="421"/>
        <v>0</v>
      </c>
      <c r="K634" s="108">
        <f t="shared" si="421"/>
        <v>0</v>
      </c>
      <c r="L634" s="108">
        <f t="shared" si="421"/>
        <v>0</v>
      </c>
      <c r="M634" s="108">
        <f t="shared" si="421"/>
        <v>0</v>
      </c>
      <c r="N634" s="108">
        <f t="shared" si="421"/>
        <v>0</v>
      </c>
      <c r="O634" s="108">
        <f t="shared" si="421"/>
        <v>0</v>
      </c>
      <c r="P634" s="108">
        <f t="shared" si="421"/>
        <v>0</v>
      </c>
      <c r="Q634" s="108">
        <f t="shared" si="421"/>
        <v>0</v>
      </c>
      <c r="R634" s="108">
        <f t="shared" si="421"/>
        <v>0</v>
      </c>
      <c r="S634" s="108">
        <f t="shared" si="421"/>
        <v>0</v>
      </c>
      <c r="T634" s="28" t="s">
        <v>26</v>
      </c>
      <c r="V634" s="104" t="str">
        <f>$V$68</f>
        <v>Beatriz</v>
      </c>
      <c r="W634" s="108">
        <f t="shared" si="391"/>
        <v>-1</v>
      </c>
      <c r="X634" s="108">
        <f t="shared" si="392"/>
        <v>-1</v>
      </c>
      <c r="Y634" s="108">
        <f t="shared" si="393"/>
        <v>-1</v>
      </c>
      <c r="Z634" s="108">
        <f t="shared" si="394"/>
        <v>-1</v>
      </c>
      <c r="AA634" s="108">
        <f t="shared" si="395"/>
        <v>-1</v>
      </c>
      <c r="AB634" s="108">
        <f t="shared" si="396"/>
        <v>-1</v>
      </c>
      <c r="AC634" s="108">
        <f t="shared" si="397"/>
        <v>-1</v>
      </c>
      <c r="AD634" s="108">
        <f t="shared" si="398"/>
        <v>-1</v>
      </c>
      <c r="AE634" s="108">
        <f t="shared" si="399"/>
        <v>-1</v>
      </c>
      <c r="AF634" s="108">
        <f t="shared" si="400"/>
        <v>-1</v>
      </c>
      <c r="AG634" s="108">
        <f t="shared" si="401"/>
        <v>-1</v>
      </c>
      <c r="AH634" s="108">
        <f t="shared" si="402"/>
        <v>-1</v>
      </c>
      <c r="AI634" s="108">
        <f t="shared" si="403"/>
        <v>-1</v>
      </c>
      <c r="AJ634" s="108">
        <f t="shared" si="404"/>
        <v>-1</v>
      </c>
      <c r="AK634" s="108">
        <f t="shared" si="405"/>
        <v>-1</v>
      </c>
      <c r="AL634" s="108">
        <f t="shared" si="406"/>
        <v>-1</v>
      </c>
      <c r="AM634" s="108"/>
      <c r="BK634" s="104" t="str">
        <f>$V$82</f>
        <v>-</v>
      </c>
      <c r="BL634" s="108">
        <v>0</v>
      </c>
      <c r="BM634" s="108">
        <v>0</v>
      </c>
      <c r="BN634" s="108">
        <v>0</v>
      </c>
      <c r="BO634" s="108">
        <v>0</v>
      </c>
      <c r="BP634" s="108">
        <v>0</v>
      </c>
      <c r="BQ634" s="108">
        <v>0</v>
      </c>
      <c r="BR634" s="108">
        <v>0</v>
      </c>
      <c r="BS634" s="108">
        <v>0</v>
      </c>
      <c r="BT634" s="108">
        <v>0</v>
      </c>
      <c r="BU634" s="108">
        <v>0</v>
      </c>
      <c r="BV634" s="108">
        <v>0</v>
      </c>
      <c r="BW634" s="108">
        <v>0</v>
      </c>
      <c r="BX634" s="108">
        <v>0</v>
      </c>
      <c r="BY634" s="108">
        <v>0</v>
      </c>
      <c r="BZ634" s="108">
        <v>0</v>
      </c>
      <c r="CA634" s="108">
        <v>0</v>
      </c>
      <c r="CB634" s="108">
        <v>0</v>
      </c>
    </row>
    <row r="635" spans="3:80" x14ac:dyDescent="0.55000000000000004">
      <c r="C635" s="104" t="str">
        <f>$V$69</f>
        <v>Charelle</v>
      </c>
      <c r="D635" s="108">
        <f t="shared" ref="D635:S635" si="422">D69</f>
        <v>0</v>
      </c>
      <c r="E635" s="108">
        <f t="shared" si="422"/>
        <v>0</v>
      </c>
      <c r="F635" s="108">
        <f t="shared" si="422"/>
        <v>0</v>
      </c>
      <c r="G635" s="108">
        <f t="shared" si="422"/>
        <v>0</v>
      </c>
      <c r="H635" s="108">
        <f t="shared" si="422"/>
        <v>0</v>
      </c>
      <c r="I635" s="108">
        <f t="shared" si="422"/>
        <v>0</v>
      </c>
      <c r="J635" s="108">
        <f t="shared" si="422"/>
        <v>0</v>
      </c>
      <c r="K635" s="108">
        <f t="shared" si="422"/>
        <v>0</v>
      </c>
      <c r="L635" s="108">
        <f t="shared" si="422"/>
        <v>0</v>
      </c>
      <c r="M635" s="108">
        <f t="shared" si="422"/>
        <v>0</v>
      </c>
      <c r="N635" s="108">
        <f t="shared" si="422"/>
        <v>0</v>
      </c>
      <c r="O635" s="108">
        <f t="shared" si="422"/>
        <v>0</v>
      </c>
      <c r="P635" s="108">
        <f t="shared" si="422"/>
        <v>0</v>
      </c>
      <c r="Q635" s="108">
        <f t="shared" si="422"/>
        <v>0</v>
      </c>
      <c r="R635" s="108">
        <f t="shared" si="422"/>
        <v>0</v>
      </c>
      <c r="S635" s="108">
        <f t="shared" si="422"/>
        <v>0</v>
      </c>
      <c r="T635" s="28" t="s">
        <v>26</v>
      </c>
      <c r="V635" s="104" t="str">
        <f>$V$69</f>
        <v>Charelle</v>
      </c>
      <c r="W635" s="108">
        <f t="shared" si="391"/>
        <v>-1</v>
      </c>
      <c r="X635" s="108">
        <f t="shared" si="392"/>
        <v>-1</v>
      </c>
      <c r="Y635" s="108">
        <f t="shared" si="393"/>
        <v>-1</v>
      </c>
      <c r="Z635" s="108">
        <f t="shared" si="394"/>
        <v>-1</v>
      </c>
      <c r="AA635" s="108">
        <f t="shared" si="395"/>
        <v>-1</v>
      </c>
      <c r="AB635" s="108">
        <f t="shared" si="396"/>
        <v>-1</v>
      </c>
      <c r="AC635" s="108">
        <f t="shared" si="397"/>
        <v>-1</v>
      </c>
      <c r="AD635" s="108">
        <f t="shared" si="398"/>
        <v>-1</v>
      </c>
      <c r="AE635" s="108">
        <f t="shared" si="399"/>
        <v>-1</v>
      </c>
      <c r="AF635" s="108">
        <f t="shared" si="400"/>
        <v>-1</v>
      </c>
      <c r="AG635" s="108">
        <f t="shared" si="401"/>
        <v>-1</v>
      </c>
      <c r="AH635" s="108">
        <f t="shared" si="402"/>
        <v>-1</v>
      </c>
      <c r="AI635" s="108">
        <f t="shared" si="403"/>
        <v>-1</v>
      </c>
      <c r="AJ635" s="108">
        <f t="shared" si="404"/>
        <v>-1</v>
      </c>
      <c r="AK635" s="108">
        <f t="shared" si="405"/>
        <v>-1</v>
      </c>
      <c r="AL635" s="108">
        <f t="shared" si="406"/>
        <v>-1</v>
      </c>
      <c r="AM635" s="108"/>
      <c r="BK635" s="104" t="str">
        <f>$V$83</f>
        <v>-</v>
      </c>
      <c r="BL635" s="108">
        <v>0</v>
      </c>
      <c r="BM635" s="108">
        <v>0</v>
      </c>
      <c r="BN635" s="108">
        <v>0</v>
      </c>
      <c r="BO635" s="108">
        <v>0</v>
      </c>
      <c r="BP635" s="108">
        <v>0</v>
      </c>
      <c r="BQ635" s="108">
        <v>0</v>
      </c>
      <c r="BR635" s="108">
        <v>0</v>
      </c>
      <c r="BS635" s="108">
        <v>0</v>
      </c>
      <c r="BT635" s="108">
        <v>0</v>
      </c>
      <c r="BU635" s="108">
        <v>0</v>
      </c>
      <c r="BV635" s="108">
        <v>0</v>
      </c>
      <c r="BW635" s="108">
        <v>0</v>
      </c>
      <c r="BX635" s="108">
        <v>0</v>
      </c>
      <c r="BY635" s="108">
        <v>0</v>
      </c>
      <c r="BZ635" s="108">
        <v>0</v>
      </c>
      <c r="CA635" s="108">
        <v>0</v>
      </c>
      <c r="CB635" s="108">
        <v>0</v>
      </c>
    </row>
    <row r="636" spans="3:80" x14ac:dyDescent="0.55000000000000004">
      <c r="C636" s="104" t="str">
        <f>$V$70</f>
        <v>Dimitri</v>
      </c>
      <c r="D636" s="108">
        <f t="shared" ref="D636:S636" si="423">D70</f>
        <v>0</v>
      </c>
      <c r="E636" s="108">
        <f t="shared" si="423"/>
        <v>0</v>
      </c>
      <c r="F636" s="108">
        <f t="shared" si="423"/>
        <v>0</v>
      </c>
      <c r="G636" s="108">
        <f t="shared" si="423"/>
        <v>0</v>
      </c>
      <c r="H636" s="108">
        <f t="shared" si="423"/>
        <v>0</v>
      </c>
      <c r="I636" s="108">
        <f t="shared" si="423"/>
        <v>0</v>
      </c>
      <c r="J636" s="108">
        <f t="shared" si="423"/>
        <v>0</v>
      </c>
      <c r="K636" s="108">
        <f t="shared" si="423"/>
        <v>0</v>
      </c>
      <c r="L636" s="108">
        <f t="shared" si="423"/>
        <v>0</v>
      </c>
      <c r="M636" s="108">
        <f t="shared" si="423"/>
        <v>0</v>
      </c>
      <c r="N636" s="108">
        <f t="shared" si="423"/>
        <v>0</v>
      </c>
      <c r="O636" s="108">
        <f t="shared" si="423"/>
        <v>0</v>
      </c>
      <c r="P636" s="108">
        <f t="shared" si="423"/>
        <v>0</v>
      </c>
      <c r="Q636" s="108">
        <f t="shared" si="423"/>
        <v>0</v>
      </c>
      <c r="R636" s="108">
        <f t="shared" si="423"/>
        <v>0</v>
      </c>
      <c r="S636" s="108">
        <f t="shared" si="423"/>
        <v>0</v>
      </c>
      <c r="T636" s="28" t="s">
        <v>26</v>
      </c>
      <c r="V636" s="104" t="str">
        <f>$V$70</f>
        <v>Dimitri</v>
      </c>
      <c r="W636" s="108">
        <f t="shared" si="391"/>
        <v>-1</v>
      </c>
      <c r="X636" s="108">
        <f t="shared" si="392"/>
        <v>-1</v>
      </c>
      <c r="Y636" s="108">
        <f t="shared" si="393"/>
        <v>-1</v>
      </c>
      <c r="Z636" s="108">
        <f t="shared" si="394"/>
        <v>-1</v>
      </c>
      <c r="AA636" s="108">
        <f t="shared" si="395"/>
        <v>-1</v>
      </c>
      <c r="AB636" s="108">
        <f t="shared" si="396"/>
        <v>-1</v>
      </c>
      <c r="AC636" s="108">
        <f t="shared" si="397"/>
        <v>-1</v>
      </c>
      <c r="AD636" s="108">
        <f t="shared" si="398"/>
        <v>-1</v>
      </c>
      <c r="AE636" s="108">
        <f t="shared" si="399"/>
        <v>-1</v>
      </c>
      <c r="AF636" s="108">
        <f t="shared" si="400"/>
        <v>-1</v>
      </c>
      <c r="AG636" s="108">
        <f t="shared" si="401"/>
        <v>-1</v>
      </c>
      <c r="AH636" s="108">
        <f t="shared" si="402"/>
        <v>-1</v>
      </c>
      <c r="AI636" s="108">
        <f t="shared" si="403"/>
        <v>-1</v>
      </c>
      <c r="AJ636" s="108">
        <f t="shared" si="404"/>
        <v>-1</v>
      </c>
      <c r="AK636" s="108">
        <f t="shared" si="405"/>
        <v>-1</v>
      </c>
      <c r="AL636" s="108">
        <f t="shared" si="406"/>
        <v>-1</v>
      </c>
      <c r="AM636" s="108"/>
      <c r="BK636" s="104" t="str">
        <f>$V$84</f>
        <v>-</v>
      </c>
      <c r="BL636" s="108">
        <v>0</v>
      </c>
      <c r="BM636" s="108">
        <v>0</v>
      </c>
      <c r="BN636" s="108">
        <v>0</v>
      </c>
      <c r="BO636" s="108">
        <v>0</v>
      </c>
      <c r="BP636" s="108">
        <v>0</v>
      </c>
      <c r="BQ636" s="108">
        <v>0</v>
      </c>
      <c r="BR636" s="108">
        <v>0</v>
      </c>
      <c r="BS636" s="108">
        <v>0</v>
      </c>
      <c r="BT636" s="108">
        <v>0</v>
      </c>
      <c r="BU636" s="108">
        <v>0</v>
      </c>
      <c r="BV636" s="108">
        <v>0</v>
      </c>
      <c r="BW636" s="108">
        <v>0</v>
      </c>
      <c r="BX636" s="108">
        <v>0</v>
      </c>
      <c r="BY636" s="108">
        <v>0</v>
      </c>
      <c r="BZ636" s="108">
        <v>0</v>
      </c>
      <c r="CA636" s="108">
        <v>0</v>
      </c>
      <c r="CB636" s="108">
        <v>0</v>
      </c>
    </row>
    <row r="637" spans="3:80" x14ac:dyDescent="0.55000000000000004">
      <c r="C637" s="104" t="str">
        <f>$V$71</f>
        <v>Marina</v>
      </c>
      <c r="D637" s="108">
        <f t="shared" ref="D637:S637" si="424">D71</f>
        <v>0</v>
      </c>
      <c r="E637" s="108">
        <f t="shared" si="424"/>
        <v>0</v>
      </c>
      <c r="F637" s="108">
        <f t="shared" si="424"/>
        <v>0</v>
      </c>
      <c r="G637" s="108">
        <f t="shared" si="424"/>
        <v>0</v>
      </c>
      <c r="H637" s="108">
        <f t="shared" si="424"/>
        <v>0</v>
      </c>
      <c r="I637" s="108">
        <f t="shared" si="424"/>
        <v>0</v>
      </c>
      <c r="J637" s="108">
        <f t="shared" si="424"/>
        <v>0</v>
      </c>
      <c r="K637" s="108">
        <f t="shared" si="424"/>
        <v>0</v>
      </c>
      <c r="L637" s="108">
        <f t="shared" si="424"/>
        <v>0</v>
      </c>
      <c r="M637" s="108">
        <f t="shared" si="424"/>
        <v>0</v>
      </c>
      <c r="N637" s="108">
        <f t="shared" si="424"/>
        <v>0</v>
      </c>
      <c r="O637" s="108">
        <f t="shared" si="424"/>
        <v>0</v>
      </c>
      <c r="P637" s="108">
        <f t="shared" si="424"/>
        <v>0</v>
      </c>
      <c r="Q637" s="108">
        <f t="shared" si="424"/>
        <v>0</v>
      </c>
      <c r="R637" s="108">
        <f t="shared" si="424"/>
        <v>0</v>
      </c>
      <c r="S637" s="108">
        <f t="shared" si="424"/>
        <v>0</v>
      </c>
      <c r="T637" s="28" t="s">
        <v>26</v>
      </c>
      <c r="V637" s="104" t="str">
        <f>$V$71</f>
        <v>Marina</v>
      </c>
      <c r="W637" s="108">
        <f t="shared" si="391"/>
        <v>-1</v>
      </c>
      <c r="X637" s="108">
        <f t="shared" si="392"/>
        <v>-1</v>
      </c>
      <c r="Y637" s="108">
        <f t="shared" si="393"/>
        <v>-1</v>
      </c>
      <c r="Z637" s="108">
        <f t="shared" si="394"/>
        <v>-1</v>
      </c>
      <c r="AA637" s="108">
        <f t="shared" si="395"/>
        <v>-1</v>
      </c>
      <c r="AB637" s="108">
        <f t="shared" si="396"/>
        <v>-1</v>
      </c>
      <c r="AC637" s="108">
        <f t="shared" si="397"/>
        <v>-1</v>
      </c>
      <c r="AD637" s="108">
        <f t="shared" si="398"/>
        <v>-1</v>
      </c>
      <c r="AE637" s="108">
        <f t="shared" si="399"/>
        <v>-1</v>
      </c>
      <c r="AF637" s="108">
        <f t="shared" si="400"/>
        <v>-1</v>
      </c>
      <c r="AG637" s="108">
        <f t="shared" si="401"/>
        <v>-1</v>
      </c>
      <c r="AH637" s="108">
        <f t="shared" si="402"/>
        <v>-1</v>
      </c>
      <c r="AI637" s="108">
        <f t="shared" si="403"/>
        <v>-1</v>
      </c>
      <c r="AJ637" s="108">
        <f t="shared" si="404"/>
        <v>-1</v>
      </c>
      <c r="AK637" s="108">
        <f t="shared" si="405"/>
        <v>-1</v>
      </c>
      <c r="AL637" s="108">
        <f t="shared" si="406"/>
        <v>-1</v>
      </c>
      <c r="AM637" s="108"/>
      <c r="BK637" s="104" t="str">
        <f>$V$85</f>
        <v>-</v>
      </c>
      <c r="BL637" s="108">
        <v>0</v>
      </c>
      <c r="BM637" s="108">
        <v>0</v>
      </c>
      <c r="BN637" s="108">
        <v>0</v>
      </c>
      <c r="BO637" s="108">
        <v>0</v>
      </c>
      <c r="BP637" s="108">
        <v>0</v>
      </c>
      <c r="BQ637" s="108">
        <v>0</v>
      </c>
      <c r="BR637" s="108">
        <v>0</v>
      </c>
      <c r="BS637" s="108">
        <v>0</v>
      </c>
      <c r="BT637" s="108">
        <v>0</v>
      </c>
      <c r="BU637" s="108">
        <v>0</v>
      </c>
      <c r="BV637" s="108">
        <v>0</v>
      </c>
      <c r="BW637" s="108">
        <v>0</v>
      </c>
      <c r="BX637" s="108">
        <v>0</v>
      </c>
      <c r="BY637" s="108">
        <v>0</v>
      </c>
      <c r="BZ637" s="108">
        <v>0</v>
      </c>
      <c r="CA637" s="108">
        <v>0</v>
      </c>
      <c r="CB637" s="108">
        <v>0</v>
      </c>
    </row>
    <row r="638" spans="3:80" x14ac:dyDescent="0.55000000000000004">
      <c r="C638" s="104" t="str">
        <f>$V$72</f>
        <v>Michel</v>
      </c>
      <c r="D638" s="108">
        <f t="shared" ref="D638:S638" si="425">D72</f>
        <v>0</v>
      </c>
      <c r="E638" s="108">
        <f t="shared" si="425"/>
        <v>0</v>
      </c>
      <c r="F638" s="108">
        <f t="shared" si="425"/>
        <v>0</v>
      </c>
      <c r="G638" s="108">
        <f t="shared" si="425"/>
        <v>0</v>
      </c>
      <c r="H638" s="108">
        <f t="shared" si="425"/>
        <v>0</v>
      </c>
      <c r="I638" s="108">
        <f t="shared" si="425"/>
        <v>0</v>
      </c>
      <c r="J638" s="108">
        <f t="shared" si="425"/>
        <v>0</v>
      </c>
      <c r="K638" s="108">
        <f t="shared" si="425"/>
        <v>0</v>
      </c>
      <c r="L638" s="108">
        <f t="shared" si="425"/>
        <v>0</v>
      </c>
      <c r="M638" s="108">
        <f t="shared" si="425"/>
        <v>0</v>
      </c>
      <c r="N638" s="108">
        <f t="shared" si="425"/>
        <v>0</v>
      </c>
      <c r="O638" s="108">
        <f t="shared" si="425"/>
        <v>0</v>
      </c>
      <c r="P638" s="108">
        <f t="shared" si="425"/>
        <v>0</v>
      </c>
      <c r="Q638" s="108">
        <f t="shared" si="425"/>
        <v>0</v>
      </c>
      <c r="R638" s="108">
        <f t="shared" si="425"/>
        <v>0</v>
      </c>
      <c r="S638" s="108">
        <f t="shared" si="425"/>
        <v>0</v>
      </c>
      <c r="T638" s="28" t="s">
        <v>26</v>
      </c>
      <c r="V638" s="104" t="str">
        <f>$V$72</f>
        <v>Michel</v>
      </c>
      <c r="W638" s="108">
        <f t="shared" si="391"/>
        <v>-1</v>
      </c>
      <c r="X638" s="108">
        <f t="shared" si="392"/>
        <v>-1</v>
      </c>
      <c r="Y638" s="108">
        <f t="shared" si="393"/>
        <v>-1</v>
      </c>
      <c r="Z638" s="108">
        <f t="shared" si="394"/>
        <v>-1</v>
      </c>
      <c r="AA638" s="108">
        <f t="shared" si="395"/>
        <v>-1</v>
      </c>
      <c r="AB638" s="108">
        <f t="shared" si="396"/>
        <v>-1</v>
      </c>
      <c r="AC638" s="108">
        <f t="shared" si="397"/>
        <v>-1</v>
      </c>
      <c r="AD638" s="108">
        <f t="shared" si="398"/>
        <v>-1</v>
      </c>
      <c r="AE638" s="108">
        <f t="shared" si="399"/>
        <v>-1</v>
      </c>
      <c r="AF638" s="108">
        <f t="shared" si="400"/>
        <v>-1</v>
      </c>
      <c r="AG638" s="108">
        <f t="shared" si="401"/>
        <v>-1</v>
      </c>
      <c r="AH638" s="108">
        <f t="shared" si="402"/>
        <v>-1</v>
      </c>
      <c r="AI638" s="108">
        <f t="shared" si="403"/>
        <v>-1</v>
      </c>
      <c r="AJ638" s="108">
        <f t="shared" si="404"/>
        <v>-1</v>
      </c>
      <c r="AK638" s="108">
        <f t="shared" si="405"/>
        <v>-1</v>
      </c>
      <c r="AL638" s="108">
        <f t="shared" si="406"/>
        <v>-1</v>
      </c>
      <c r="AM638" s="108"/>
      <c r="BK638" s="104" t="str">
        <f>$V$86</f>
        <v>-</v>
      </c>
      <c r="BL638" s="108">
        <v>0</v>
      </c>
      <c r="BM638" s="108">
        <v>0</v>
      </c>
      <c r="BN638" s="108">
        <v>0</v>
      </c>
      <c r="BO638" s="108">
        <v>0</v>
      </c>
      <c r="BP638" s="108">
        <v>0</v>
      </c>
      <c r="BQ638" s="108">
        <v>0</v>
      </c>
      <c r="BR638" s="108">
        <v>0</v>
      </c>
      <c r="BS638" s="108">
        <v>0</v>
      </c>
      <c r="BT638" s="108">
        <v>0</v>
      </c>
      <c r="BU638" s="108">
        <v>0</v>
      </c>
      <c r="BV638" s="108">
        <v>0</v>
      </c>
      <c r="BW638" s="108">
        <v>0</v>
      </c>
      <c r="BX638" s="108">
        <v>0</v>
      </c>
      <c r="BY638" s="108">
        <v>0</v>
      </c>
      <c r="BZ638" s="108">
        <v>0</v>
      </c>
      <c r="CA638" s="108">
        <v>0</v>
      </c>
      <c r="CB638" s="108">
        <v>0</v>
      </c>
    </row>
    <row r="639" spans="3:80" x14ac:dyDescent="0.55000000000000004">
      <c r="C639" s="104" t="str">
        <f>$V$73</f>
        <v>Nour</v>
      </c>
      <c r="D639" s="108">
        <f t="shared" ref="D639:S639" si="426">D73</f>
        <v>0</v>
      </c>
      <c r="E639" s="108">
        <f t="shared" si="426"/>
        <v>0</v>
      </c>
      <c r="F639" s="108">
        <f t="shared" si="426"/>
        <v>0</v>
      </c>
      <c r="G639" s="108">
        <f t="shared" si="426"/>
        <v>0</v>
      </c>
      <c r="H639" s="108">
        <f t="shared" si="426"/>
        <v>0</v>
      </c>
      <c r="I639" s="108">
        <f t="shared" si="426"/>
        <v>0</v>
      </c>
      <c r="J639" s="108">
        <f t="shared" si="426"/>
        <v>0</v>
      </c>
      <c r="K639" s="108">
        <f t="shared" si="426"/>
        <v>0</v>
      </c>
      <c r="L639" s="108">
        <f t="shared" si="426"/>
        <v>0</v>
      </c>
      <c r="M639" s="108">
        <f t="shared" si="426"/>
        <v>0</v>
      </c>
      <c r="N639" s="108">
        <f t="shared" si="426"/>
        <v>0</v>
      </c>
      <c r="O639" s="108">
        <f t="shared" si="426"/>
        <v>0</v>
      </c>
      <c r="P639" s="108">
        <f t="shared" si="426"/>
        <v>0</v>
      </c>
      <c r="Q639" s="108">
        <f t="shared" si="426"/>
        <v>0</v>
      </c>
      <c r="R639" s="108">
        <f t="shared" si="426"/>
        <v>0</v>
      </c>
      <c r="S639" s="108">
        <f t="shared" si="426"/>
        <v>0</v>
      </c>
      <c r="T639" s="28" t="s">
        <v>26</v>
      </c>
      <c r="V639" s="104" t="str">
        <f>$V$73</f>
        <v>Nour</v>
      </c>
      <c r="W639" s="108">
        <f t="shared" si="391"/>
        <v>-1</v>
      </c>
      <c r="X639" s="108">
        <f t="shared" si="392"/>
        <v>-1</v>
      </c>
      <c r="Y639" s="108">
        <f t="shared" si="393"/>
        <v>-1</v>
      </c>
      <c r="Z639" s="108">
        <f t="shared" si="394"/>
        <v>-1</v>
      </c>
      <c r="AA639" s="108">
        <f t="shared" si="395"/>
        <v>-1</v>
      </c>
      <c r="AB639" s="108">
        <f t="shared" si="396"/>
        <v>-1</v>
      </c>
      <c r="AC639" s="108">
        <f t="shared" si="397"/>
        <v>-1</v>
      </c>
      <c r="AD639" s="108">
        <f t="shared" si="398"/>
        <v>-1</v>
      </c>
      <c r="AE639" s="108">
        <f t="shared" si="399"/>
        <v>-1</v>
      </c>
      <c r="AF639" s="108">
        <f t="shared" si="400"/>
        <v>-1</v>
      </c>
      <c r="AG639" s="108">
        <f t="shared" si="401"/>
        <v>-1</v>
      </c>
      <c r="AH639" s="108">
        <f t="shared" si="402"/>
        <v>-1</v>
      </c>
      <c r="AI639" s="108">
        <f t="shared" si="403"/>
        <v>-1</v>
      </c>
      <c r="AJ639" s="108">
        <f t="shared" si="404"/>
        <v>-1</v>
      </c>
      <c r="AK639" s="108">
        <f t="shared" si="405"/>
        <v>-1</v>
      </c>
      <c r="AL639" s="108">
        <f t="shared" si="406"/>
        <v>-1</v>
      </c>
      <c r="AM639" s="108"/>
      <c r="BK639" s="104" t="str">
        <f>$V$87</f>
        <v>-</v>
      </c>
      <c r="BL639" s="108">
        <v>0</v>
      </c>
      <c r="BM639" s="108">
        <v>0</v>
      </c>
      <c r="BN639" s="108">
        <v>0</v>
      </c>
      <c r="BO639" s="108">
        <v>0</v>
      </c>
      <c r="BP639" s="108">
        <v>0</v>
      </c>
      <c r="BQ639" s="108">
        <v>0</v>
      </c>
      <c r="BR639" s="108">
        <v>0</v>
      </c>
      <c r="BS639" s="108">
        <v>0</v>
      </c>
      <c r="BT639" s="108">
        <v>0</v>
      </c>
      <c r="BU639" s="108">
        <v>0</v>
      </c>
      <c r="BV639" s="108">
        <v>0</v>
      </c>
      <c r="BW639" s="108">
        <v>0</v>
      </c>
      <c r="BX639" s="108">
        <v>0</v>
      </c>
      <c r="BY639" s="108">
        <v>0</v>
      </c>
      <c r="BZ639" s="108">
        <v>0</v>
      </c>
      <c r="CA639" s="108">
        <v>0</v>
      </c>
      <c r="CB639" s="108">
        <v>0</v>
      </c>
    </row>
    <row r="640" spans="3:80" x14ac:dyDescent="0.55000000000000004">
      <c r="C640" s="104" t="str">
        <f>$V$74</f>
        <v>Samuel</v>
      </c>
      <c r="D640" s="108">
        <f t="shared" ref="D640:S640" si="427">D74</f>
        <v>0</v>
      </c>
      <c r="E640" s="108">
        <f t="shared" si="427"/>
        <v>0</v>
      </c>
      <c r="F640" s="108">
        <f t="shared" si="427"/>
        <v>0</v>
      </c>
      <c r="G640" s="108">
        <f t="shared" si="427"/>
        <v>0</v>
      </c>
      <c r="H640" s="108">
        <f t="shared" si="427"/>
        <v>0</v>
      </c>
      <c r="I640" s="108">
        <f t="shared" si="427"/>
        <v>0</v>
      </c>
      <c r="J640" s="108">
        <f t="shared" si="427"/>
        <v>0</v>
      </c>
      <c r="K640" s="108">
        <f t="shared" si="427"/>
        <v>0</v>
      </c>
      <c r="L640" s="108">
        <f t="shared" si="427"/>
        <v>0</v>
      </c>
      <c r="M640" s="108">
        <f t="shared" si="427"/>
        <v>0</v>
      </c>
      <c r="N640" s="108">
        <f t="shared" si="427"/>
        <v>0</v>
      </c>
      <c r="O640" s="108">
        <f t="shared" si="427"/>
        <v>0</v>
      </c>
      <c r="P640" s="108">
        <f t="shared" si="427"/>
        <v>0</v>
      </c>
      <c r="Q640" s="108">
        <f t="shared" si="427"/>
        <v>0</v>
      </c>
      <c r="R640" s="108">
        <f t="shared" si="427"/>
        <v>0</v>
      </c>
      <c r="S640" s="108">
        <f t="shared" si="427"/>
        <v>0</v>
      </c>
      <c r="T640" s="28" t="s">
        <v>26</v>
      </c>
      <c r="V640" s="104" t="str">
        <f>$V$74</f>
        <v>Samuel</v>
      </c>
      <c r="W640" s="108">
        <f t="shared" si="391"/>
        <v>-1</v>
      </c>
      <c r="X640" s="108">
        <f t="shared" si="392"/>
        <v>-1</v>
      </c>
      <c r="Y640" s="108">
        <f t="shared" si="393"/>
        <v>-1</v>
      </c>
      <c r="Z640" s="108">
        <f t="shared" si="394"/>
        <v>-1</v>
      </c>
      <c r="AA640" s="108">
        <f t="shared" si="395"/>
        <v>-1</v>
      </c>
      <c r="AB640" s="108">
        <f t="shared" si="396"/>
        <v>-1</v>
      </c>
      <c r="AC640" s="108">
        <f t="shared" si="397"/>
        <v>-1</v>
      </c>
      <c r="AD640" s="108">
        <f t="shared" si="398"/>
        <v>-1</v>
      </c>
      <c r="AE640" s="108">
        <f t="shared" si="399"/>
        <v>-1</v>
      </c>
      <c r="AF640" s="108">
        <f t="shared" si="400"/>
        <v>-1</v>
      </c>
      <c r="AG640" s="108">
        <f t="shared" si="401"/>
        <v>-1</v>
      </c>
      <c r="AH640" s="108">
        <f t="shared" si="402"/>
        <v>-1</v>
      </c>
      <c r="AI640" s="108">
        <f t="shared" si="403"/>
        <v>-1</v>
      </c>
      <c r="AJ640" s="108">
        <f t="shared" si="404"/>
        <v>-1</v>
      </c>
      <c r="AK640" s="108">
        <f t="shared" si="405"/>
        <v>-1</v>
      </c>
      <c r="AL640" s="108">
        <f t="shared" si="406"/>
        <v>-1</v>
      </c>
      <c r="AM640" s="108"/>
      <c r="BK640" s="104" t="str">
        <f>$V$88</f>
        <v>-</v>
      </c>
      <c r="BL640" s="108">
        <v>0</v>
      </c>
      <c r="BM640" s="108">
        <v>0</v>
      </c>
      <c r="BN640" s="108">
        <v>0</v>
      </c>
      <c r="BO640" s="108">
        <v>0</v>
      </c>
      <c r="BP640" s="108">
        <v>0</v>
      </c>
      <c r="BQ640" s="108">
        <v>0</v>
      </c>
      <c r="BR640" s="108">
        <v>0</v>
      </c>
      <c r="BS640" s="108">
        <v>0</v>
      </c>
      <c r="BT640" s="108">
        <v>0</v>
      </c>
      <c r="BU640" s="108">
        <v>0</v>
      </c>
      <c r="BV640" s="108">
        <v>0</v>
      </c>
      <c r="BW640" s="108">
        <v>0</v>
      </c>
      <c r="BX640" s="108">
        <v>0</v>
      </c>
      <c r="BY640" s="108">
        <v>0</v>
      </c>
      <c r="BZ640" s="108">
        <v>0</v>
      </c>
      <c r="CA640" s="108">
        <v>0</v>
      </c>
      <c r="CB640" s="108">
        <v>0</v>
      </c>
    </row>
    <row r="641" spans="3:80" x14ac:dyDescent="0.55000000000000004">
      <c r="C641" s="104" t="str">
        <f>$V$75</f>
        <v>Yassin</v>
      </c>
      <c r="D641" s="108">
        <f t="shared" ref="D641:S641" si="428">D75</f>
        <v>0</v>
      </c>
      <c r="E641" s="108">
        <f t="shared" si="428"/>
        <v>0</v>
      </c>
      <c r="F641" s="108">
        <f t="shared" si="428"/>
        <v>0</v>
      </c>
      <c r="G641" s="108">
        <f t="shared" si="428"/>
        <v>0</v>
      </c>
      <c r="H641" s="108">
        <f t="shared" si="428"/>
        <v>0</v>
      </c>
      <c r="I641" s="108">
        <f t="shared" si="428"/>
        <v>0</v>
      </c>
      <c r="J641" s="108">
        <f t="shared" si="428"/>
        <v>0</v>
      </c>
      <c r="K641" s="108">
        <f t="shared" si="428"/>
        <v>0</v>
      </c>
      <c r="L641" s="108">
        <f t="shared" si="428"/>
        <v>0</v>
      </c>
      <c r="M641" s="108">
        <f t="shared" si="428"/>
        <v>0</v>
      </c>
      <c r="N641" s="108">
        <f t="shared" si="428"/>
        <v>0</v>
      </c>
      <c r="O641" s="108">
        <f t="shared" si="428"/>
        <v>0</v>
      </c>
      <c r="P641" s="108">
        <f t="shared" si="428"/>
        <v>0</v>
      </c>
      <c r="Q641" s="108">
        <f t="shared" si="428"/>
        <v>0</v>
      </c>
      <c r="R641" s="108">
        <f t="shared" si="428"/>
        <v>0</v>
      </c>
      <c r="S641" s="108">
        <f t="shared" si="428"/>
        <v>0</v>
      </c>
      <c r="T641" s="28" t="s">
        <v>26</v>
      </c>
      <c r="V641" s="104" t="str">
        <f>$V$75</f>
        <v>Yassin</v>
      </c>
      <c r="W641" s="108">
        <f t="shared" si="391"/>
        <v>-1</v>
      </c>
      <c r="X641" s="108">
        <f t="shared" si="392"/>
        <v>-1</v>
      </c>
      <c r="Y641" s="108">
        <f t="shared" si="393"/>
        <v>-1</v>
      </c>
      <c r="Z641" s="108">
        <f t="shared" si="394"/>
        <v>-1</v>
      </c>
      <c r="AA641" s="108">
        <f t="shared" si="395"/>
        <v>-1</v>
      </c>
      <c r="AB641" s="108">
        <f t="shared" si="396"/>
        <v>-1</v>
      </c>
      <c r="AC641" s="108">
        <f t="shared" si="397"/>
        <v>-1</v>
      </c>
      <c r="AD641" s="108">
        <f t="shared" si="398"/>
        <v>-1</v>
      </c>
      <c r="AE641" s="108">
        <f t="shared" si="399"/>
        <v>-1</v>
      </c>
      <c r="AF641" s="108">
        <f t="shared" si="400"/>
        <v>-1</v>
      </c>
      <c r="AG641" s="108">
        <f t="shared" si="401"/>
        <v>-1</v>
      </c>
      <c r="AH641" s="108">
        <f t="shared" si="402"/>
        <v>-1</v>
      </c>
      <c r="AI641" s="108">
        <f t="shared" si="403"/>
        <v>-1</v>
      </c>
      <c r="AJ641" s="108">
        <f t="shared" si="404"/>
        <v>-1</v>
      </c>
      <c r="AK641" s="108">
        <f t="shared" si="405"/>
        <v>-1</v>
      </c>
      <c r="AL641" s="108">
        <f t="shared" si="406"/>
        <v>-1</v>
      </c>
      <c r="AM641" s="108"/>
      <c r="BK641" s="104" t="str">
        <f>$V$89</f>
        <v>-</v>
      </c>
      <c r="BL641" s="108">
        <v>0</v>
      </c>
      <c r="BM641" s="108">
        <v>0</v>
      </c>
      <c r="BN641" s="108">
        <v>0</v>
      </c>
      <c r="BO641" s="108">
        <v>0</v>
      </c>
      <c r="BP641" s="108">
        <v>0</v>
      </c>
      <c r="BQ641" s="108">
        <v>0</v>
      </c>
      <c r="BR641" s="108">
        <v>0</v>
      </c>
      <c r="BS641" s="108">
        <v>0</v>
      </c>
      <c r="BT641" s="108">
        <v>0</v>
      </c>
      <c r="BU641" s="108">
        <v>0</v>
      </c>
      <c r="BV641" s="108">
        <v>0</v>
      </c>
      <c r="BW641" s="108">
        <v>0</v>
      </c>
      <c r="BX641" s="108">
        <v>0</v>
      </c>
      <c r="BY641" s="108">
        <v>0</v>
      </c>
      <c r="BZ641" s="108">
        <v>0</v>
      </c>
      <c r="CA641" s="108">
        <v>0</v>
      </c>
      <c r="CB641" s="108">
        <v>0</v>
      </c>
    </row>
    <row r="642" spans="3:80" x14ac:dyDescent="0.55000000000000004">
      <c r="C642" s="104" t="str">
        <f>$V$76</f>
        <v>Kamar</v>
      </c>
      <c r="D642" s="108">
        <f t="shared" ref="D642:S642" si="429">D76</f>
        <v>0</v>
      </c>
      <c r="E642" s="108">
        <f t="shared" si="429"/>
        <v>0</v>
      </c>
      <c r="F642" s="108">
        <f t="shared" si="429"/>
        <v>0</v>
      </c>
      <c r="G642" s="108">
        <f t="shared" si="429"/>
        <v>0</v>
      </c>
      <c r="H642" s="108">
        <f t="shared" si="429"/>
        <v>0</v>
      </c>
      <c r="I642" s="108">
        <f t="shared" si="429"/>
        <v>0</v>
      </c>
      <c r="J642" s="108">
        <f t="shared" si="429"/>
        <v>0</v>
      </c>
      <c r="K642" s="108">
        <f t="shared" si="429"/>
        <v>0</v>
      </c>
      <c r="L642" s="108">
        <f t="shared" si="429"/>
        <v>0</v>
      </c>
      <c r="M642" s="108">
        <f t="shared" si="429"/>
        <v>0</v>
      </c>
      <c r="N642" s="108">
        <f t="shared" si="429"/>
        <v>0</v>
      </c>
      <c r="O642" s="108">
        <f t="shared" si="429"/>
        <v>0</v>
      </c>
      <c r="P642" s="108">
        <f t="shared" si="429"/>
        <v>0</v>
      </c>
      <c r="Q642" s="108">
        <f t="shared" si="429"/>
        <v>0</v>
      </c>
      <c r="R642" s="108">
        <f t="shared" si="429"/>
        <v>0</v>
      </c>
      <c r="S642" s="108">
        <f t="shared" si="429"/>
        <v>0</v>
      </c>
      <c r="T642" s="28" t="s">
        <v>26</v>
      </c>
      <c r="V642" s="104" t="str">
        <f>$V$76</f>
        <v>Kamar</v>
      </c>
      <c r="W642" s="108">
        <f t="shared" si="391"/>
        <v>-1</v>
      </c>
      <c r="X642" s="108">
        <f t="shared" si="392"/>
        <v>-1</v>
      </c>
      <c r="Y642" s="108">
        <f t="shared" si="393"/>
        <v>-1</v>
      </c>
      <c r="Z642" s="108">
        <f t="shared" si="394"/>
        <v>-1</v>
      </c>
      <c r="AA642" s="108">
        <f t="shared" si="395"/>
        <v>-1</v>
      </c>
      <c r="AB642" s="108">
        <f t="shared" si="396"/>
        <v>-1</v>
      </c>
      <c r="AC642" s="108">
        <f t="shared" si="397"/>
        <v>-1</v>
      </c>
      <c r="AD642" s="108">
        <f t="shared" si="398"/>
        <v>-1</v>
      </c>
      <c r="AE642" s="108">
        <f t="shared" si="399"/>
        <v>-1</v>
      </c>
      <c r="AF642" s="108">
        <f t="shared" si="400"/>
        <v>-1</v>
      </c>
      <c r="AG642" s="108">
        <f t="shared" si="401"/>
        <v>-1</v>
      </c>
      <c r="AH642" s="108">
        <f t="shared" si="402"/>
        <v>-1</v>
      </c>
      <c r="AI642" s="108">
        <f t="shared" si="403"/>
        <v>-1</v>
      </c>
      <c r="AJ642" s="108">
        <f t="shared" si="404"/>
        <v>-1</v>
      </c>
      <c r="AK642" s="108">
        <f t="shared" si="405"/>
        <v>-1</v>
      </c>
      <c r="AL642" s="108">
        <f t="shared" si="406"/>
        <v>-1</v>
      </c>
      <c r="AM642" s="108"/>
      <c r="BK642" s="104" t="str">
        <f>$V$90</f>
        <v>-</v>
      </c>
      <c r="BL642" s="108">
        <v>0</v>
      </c>
      <c r="BM642" s="108">
        <v>0</v>
      </c>
      <c r="BN642" s="108">
        <v>0</v>
      </c>
      <c r="BO642" s="108">
        <v>0</v>
      </c>
      <c r="BP642" s="108">
        <v>0</v>
      </c>
      <c r="BQ642" s="108">
        <v>0</v>
      </c>
      <c r="BR642" s="108">
        <v>0</v>
      </c>
      <c r="BS642" s="108">
        <v>0</v>
      </c>
      <c r="BT642" s="108">
        <v>0</v>
      </c>
      <c r="BU642" s="108">
        <v>0</v>
      </c>
      <c r="BV642" s="108">
        <v>0</v>
      </c>
      <c r="BW642" s="108">
        <v>0</v>
      </c>
      <c r="BX642" s="108">
        <v>0</v>
      </c>
      <c r="BY642" s="108">
        <v>0</v>
      </c>
      <c r="BZ642" s="108">
        <v>0</v>
      </c>
      <c r="CA642" s="108">
        <v>0</v>
      </c>
      <c r="CB642" s="108">
        <v>0</v>
      </c>
    </row>
    <row r="643" spans="3:80" x14ac:dyDescent="0.55000000000000004">
      <c r="C643" s="104" t="str">
        <f>$V$77</f>
        <v>-</v>
      </c>
      <c r="D643" s="108">
        <f t="shared" ref="D643:S643" si="430">D77</f>
        <v>0</v>
      </c>
      <c r="E643" s="108">
        <f t="shared" si="430"/>
        <v>0</v>
      </c>
      <c r="F643" s="108">
        <f t="shared" si="430"/>
        <v>0</v>
      </c>
      <c r="G643" s="108">
        <f t="shared" si="430"/>
        <v>0</v>
      </c>
      <c r="H643" s="108">
        <f t="shared" si="430"/>
        <v>0</v>
      </c>
      <c r="I643" s="108">
        <f t="shared" si="430"/>
        <v>0</v>
      </c>
      <c r="J643" s="108">
        <f t="shared" si="430"/>
        <v>0</v>
      </c>
      <c r="K643" s="108">
        <f t="shared" si="430"/>
        <v>0</v>
      </c>
      <c r="L643" s="108">
        <f t="shared" si="430"/>
        <v>0</v>
      </c>
      <c r="M643" s="108">
        <f t="shared" si="430"/>
        <v>0</v>
      </c>
      <c r="N643" s="108">
        <f t="shared" si="430"/>
        <v>0</v>
      </c>
      <c r="O643" s="108">
        <f t="shared" si="430"/>
        <v>0</v>
      </c>
      <c r="P643" s="108">
        <f t="shared" si="430"/>
        <v>0</v>
      </c>
      <c r="Q643" s="108">
        <f t="shared" si="430"/>
        <v>0</v>
      </c>
      <c r="R643" s="108">
        <f t="shared" si="430"/>
        <v>0</v>
      </c>
      <c r="S643" s="108">
        <f t="shared" si="430"/>
        <v>0</v>
      </c>
      <c r="T643" s="28" t="s">
        <v>26</v>
      </c>
      <c r="V643" s="104" t="str">
        <f>$V$77</f>
        <v>-</v>
      </c>
      <c r="W643" s="108">
        <f t="shared" si="391"/>
        <v>-1</v>
      </c>
      <c r="X643" s="108">
        <f t="shared" si="392"/>
        <v>-1</v>
      </c>
      <c r="Y643" s="108">
        <f t="shared" si="393"/>
        <v>-1</v>
      </c>
      <c r="Z643" s="108">
        <f t="shared" si="394"/>
        <v>-1</v>
      </c>
      <c r="AA643" s="108">
        <f t="shared" si="395"/>
        <v>-1</v>
      </c>
      <c r="AB643" s="108">
        <f t="shared" si="396"/>
        <v>-1</v>
      </c>
      <c r="AC643" s="108">
        <f t="shared" si="397"/>
        <v>-1</v>
      </c>
      <c r="AD643" s="108">
        <f t="shared" si="398"/>
        <v>-1</v>
      </c>
      <c r="AE643" s="108">
        <f t="shared" si="399"/>
        <v>-1</v>
      </c>
      <c r="AF643" s="108">
        <f t="shared" si="400"/>
        <v>-1</v>
      </c>
      <c r="AG643" s="108">
        <f t="shared" si="401"/>
        <v>-1</v>
      </c>
      <c r="AH643" s="108">
        <f t="shared" si="402"/>
        <v>-1</v>
      </c>
      <c r="AI643" s="108">
        <f t="shared" si="403"/>
        <v>-1</v>
      </c>
      <c r="AJ643" s="108">
        <f t="shared" si="404"/>
        <v>-1</v>
      </c>
      <c r="AK643" s="108">
        <f t="shared" si="405"/>
        <v>-1</v>
      </c>
      <c r="AL643" s="108">
        <f t="shared" si="406"/>
        <v>-1</v>
      </c>
      <c r="AM643" s="108"/>
      <c r="BK643" s="104" t="str">
        <f>$V$91</f>
        <v>-</v>
      </c>
      <c r="BL643" s="108">
        <v>0</v>
      </c>
      <c r="BM643" s="108">
        <v>0</v>
      </c>
      <c r="BN643" s="108">
        <v>0</v>
      </c>
      <c r="BO643" s="108">
        <v>0</v>
      </c>
      <c r="BP643" s="108">
        <v>0</v>
      </c>
      <c r="BQ643" s="108">
        <v>0</v>
      </c>
      <c r="BR643" s="108">
        <v>0</v>
      </c>
      <c r="BS643" s="108">
        <v>0</v>
      </c>
      <c r="BT643" s="108">
        <v>0</v>
      </c>
      <c r="BU643" s="108">
        <v>0</v>
      </c>
      <c r="BV643" s="108">
        <v>0</v>
      </c>
      <c r="BW643" s="108">
        <v>0</v>
      </c>
      <c r="BX643" s="108">
        <v>0</v>
      </c>
      <c r="BY643" s="108">
        <v>0</v>
      </c>
      <c r="BZ643" s="108">
        <v>0</v>
      </c>
      <c r="CA643" s="108">
        <v>0</v>
      </c>
      <c r="CB643" s="108">
        <v>0</v>
      </c>
    </row>
    <row r="644" spans="3:80" x14ac:dyDescent="0.55000000000000004">
      <c r="C644" s="104" t="str">
        <f>$V$78</f>
        <v>-</v>
      </c>
      <c r="D644" s="108">
        <f t="shared" ref="D644:S644" si="431">D78</f>
        <v>0</v>
      </c>
      <c r="E644" s="108">
        <f t="shared" si="431"/>
        <v>0</v>
      </c>
      <c r="F644" s="108">
        <f t="shared" si="431"/>
        <v>0</v>
      </c>
      <c r="G644" s="108">
        <f t="shared" si="431"/>
        <v>0</v>
      </c>
      <c r="H644" s="108">
        <f t="shared" si="431"/>
        <v>0</v>
      </c>
      <c r="I644" s="108">
        <f t="shared" si="431"/>
        <v>0</v>
      </c>
      <c r="J644" s="108">
        <f t="shared" si="431"/>
        <v>0</v>
      </c>
      <c r="K644" s="108">
        <f t="shared" si="431"/>
        <v>0</v>
      </c>
      <c r="L644" s="108">
        <f t="shared" si="431"/>
        <v>0</v>
      </c>
      <c r="M644" s="108">
        <f t="shared" si="431"/>
        <v>0</v>
      </c>
      <c r="N644" s="108">
        <f t="shared" si="431"/>
        <v>0</v>
      </c>
      <c r="O644" s="108">
        <f t="shared" si="431"/>
        <v>0</v>
      </c>
      <c r="P644" s="108">
        <f t="shared" si="431"/>
        <v>0</v>
      </c>
      <c r="Q644" s="108">
        <f t="shared" si="431"/>
        <v>0</v>
      </c>
      <c r="R644" s="108">
        <f t="shared" si="431"/>
        <v>0</v>
      </c>
      <c r="S644" s="108">
        <f t="shared" si="431"/>
        <v>0</v>
      </c>
      <c r="T644" s="28" t="s">
        <v>26</v>
      </c>
      <c r="V644" s="104" t="str">
        <f>$V$78</f>
        <v>-</v>
      </c>
      <c r="W644" s="108">
        <f t="shared" si="391"/>
        <v>-1</v>
      </c>
      <c r="X644" s="108">
        <f t="shared" si="392"/>
        <v>-1</v>
      </c>
      <c r="Y644" s="108">
        <f t="shared" si="393"/>
        <v>-1</v>
      </c>
      <c r="Z644" s="108">
        <f t="shared" si="394"/>
        <v>-1</v>
      </c>
      <c r="AA644" s="108">
        <f t="shared" si="395"/>
        <v>-1</v>
      </c>
      <c r="AB644" s="108">
        <f t="shared" si="396"/>
        <v>-1</v>
      </c>
      <c r="AC644" s="108">
        <f t="shared" si="397"/>
        <v>-1</v>
      </c>
      <c r="AD644" s="108">
        <f t="shared" si="398"/>
        <v>-1</v>
      </c>
      <c r="AE644" s="108">
        <f t="shared" si="399"/>
        <v>-1</v>
      </c>
      <c r="AF644" s="108">
        <f t="shared" si="400"/>
        <v>-1</v>
      </c>
      <c r="AG644" s="108">
        <f t="shared" si="401"/>
        <v>-1</v>
      </c>
      <c r="AH644" s="108">
        <f t="shared" si="402"/>
        <v>-1</v>
      </c>
      <c r="AI644" s="108">
        <f t="shared" si="403"/>
        <v>-1</v>
      </c>
      <c r="AJ644" s="108">
        <f t="shared" si="404"/>
        <v>-1</v>
      </c>
      <c r="AK644" s="108">
        <f t="shared" si="405"/>
        <v>-1</v>
      </c>
      <c r="AL644" s="108">
        <f t="shared" si="406"/>
        <v>-1</v>
      </c>
      <c r="BK644" s="104" t="str">
        <f>$V$92</f>
        <v>-</v>
      </c>
      <c r="BL644" s="108">
        <v>0</v>
      </c>
      <c r="BM644" s="108">
        <v>0</v>
      </c>
      <c r="BN644" s="108">
        <v>0</v>
      </c>
      <c r="BO644" s="108">
        <v>0</v>
      </c>
      <c r="BP644" s="108">
        <v>0</v>
      </c>
      <c r="BQ644" s="108">
        <v>0</v>
      </c>
      <c r="BR644" s="108">
        <v>0</v>
      </c>
      <c r="BS644" s="108">
        <v>0</v>
      </c>
      <c r="BT644" s="108">
        <v>0</v>
      </c>
      <c r="BU644" s="108">
        <v>0</v>
      </c>
      <c r="BV644" s="108">
        <v>0</v>
      </c>
      <c r="BW644" s="108">
        <v>0</v>
      </c>
      <c r="BX644" s="108">
        <v>0</v>
      </c>
      <c r="BY644" s="108">
        <v>0</v>
      </c>
      <c r="BZ644" s="108">
        <v>0</v>
      </c>
      <c r="CA644" s="108">
        <v>0</v>
      </c>
      <c r="CB644" s="108">
        <v>0</v>
      </c>
    </row>
    <row r="645" spans="3:80" x14ac:dyDescent="0.55000000000000004">
      <c r="C645" s="104" t="str">
        <f>$V$79</f>
        <v>-</v>
      </c>
      <c r="D645" s="108">
        <f t="shared" ref="D645:S645" si="432">D79</f>
        <v>0</v>
      </c>
      <c r="E645" s="108">
        <f t="shared" si="432"/>
        <v>0</v>
      </c>
      <c r="F645" s="108">
        <f t="shared" si="432"/>
        <v>0</v>
      </c>
      <c r="G645" s="108">
        <f t="shared" si="432"/>
        <v>0</v>
      </c>
      <c r="H645" s="108">
        <f t="shared" si="432"/>
        <v>0</v>
      </c>
      <c r="I645" s="108">
        <f t="shared" si="432"/>
        <v>0</v>
      </c>
      <c r="J645" s="108">
        <f t="shared" si="432"/>
        <v>0</v>
      </c>
      <c r="K645" s="108">
        <f t="shared" si="432"/>
        <v>0</v>
      </c>
      <c r="L645" s="108">
        <f t="shared" si="432"/>
        <v>0</v>
      </c>
      <c r="M645" s="108">
        <f t="shared" si="432"/>
        <v>0</v>
      </c>
      <c r="N645" s="108">
        <f t="shared" si="432"/>
        <v>0</v>
      </c>
      <c r="O645" s="108">
        <f t="shared" si="432"/>
        <v>0</v>
      </c>
      <c r="P645" s="108">
        <f t="shared" si="432"/>
        <v>0</v>
      </c>
      <c r="Q645" s="108">
        <f t="shared" si="432"/>
        <v>0</v>
      </c>
      <c r="R645" s="108">
        <f t="shared" si="432"/>
        <v>0</v>
      </c>
      <c r="S645" s="108">
        <f t="shared" si="432"/>
        <v>0</v>
      </c>
      <c r="T645" s="28" t="s">
        <v>26</v>
      </c>
      <c r="V645" s="104" t="str">
        <f>$V$79</f>
        <v>-</v>
      </c>
      <c r="W645" s="108">
        <f t="shared" si="391"/>
        <v>-1</v>
      </c>
      <c r="X645" s="108">
        <f t="shared" si="392"/>
        <v>-1</v>
      </c>
      <c r="Y645" s="108">
        <f t="shared" si="393"/>
        <v>-1</v>
      </c>
      <c r="Z645" s="108">
        <f t="shared" si="394"/>
        <v>-1</v>
      </c>
      <c r="AA645" s="108">
        <f t="shared" si="395"/>
        <v>-1</v>
      </c>
      <c r="AB645" s="108">
        <f t="shared" si="396"/>
        <v>-1</v>
      </c>
      <c r="AC645" s="108">
        <f t="shared" si="397"/>
        <v>-1</v>
      </c>
      <c r="AD645" s="108">
        <f t="shared" si="398"/>
        <v>-1</v>
      </c>
      <c r="AE645" s="108">
        <f t="shared" si="399"/>
        <v>-1</v>
      </c>
      <c r="AF645" s="108">
        <f t="shared" si="400"/>
        <v>-1</v>
      </c>
      <c r="AG645" s="108">
        <f t="shared" si="401"/>
        <v>-1</v>
      </c>
      <c r="AH645" s="108">
        <f t="shared" si="402"/>
        <v>-1</v>
      </c>
      <c r="AI645" s="108">
        <f t="shared" si="403"/>
        <v>-1</v>
      </c>
      <c r="AJ645" s="108">
        <f t="shared" si="404"/>
        <v>-1</v>
      </c>
      <c r="AK645" s="108">
        <f t="shared" si="405"/>
        <v>-1</v>
      </c>
      <c r="AL645" s="108">
        <f t="shared" si="406"/>
        <v>-1</v>
      </c>
      <c r="AQ645" s="104"/>
      <c r="AR645" s="104"/>
      <c r="AS645" s="104"/>
      <c r="AT645" s="104"/>
      <c r="AU645" s="104"/>
      <c r="AV645" s="104"/>
      <c r="AW645" s="104"/>
      <c r="AX645" s="104"/>
      <c r="AY645" s="104"/>
      <c r="AZ645" s="104"/>
      <c r="BA645" s="104"/>
      <c r="BB645" s="104"/>
      <c r="BC645" s="104"/>
      <c r="BD645" s="104"/>
      <c r="BE645" s="104"/>
      <c r="BF645" s="104"/>
      <c r="BG645" s="104"/>
    </row>
    <row r="646" spans="3:80" x14ac:dyDescent="0.55000000000000004">
      <c r="C646" s="104" t="str">
        <f>$V$80</f>
        <v>-</v>
      </c>
      <c r="D646" s="108">
        <f t="shared" ref="D646:S646" si="433">D80</f>
        <v>0</v>
      </c>
      <c r="E646" s="108">
        <f t="shared" si="433"/>
        <v>0</v>
      </c>
      <c r="F646" s="108">
        <f t="shared" si="433"/>
        <v>0</v>
      </c>
      <c r="G646" s="108">
        <f t="shared" si="433"/>
        <v>0</v>
      </c>
      <c r="H646" s="108">
        <f t="shared" si="433"/>
        <v>0</v>
      </c>
      <c r="I646" s="108">
        <f t="shared" si="433"/>
        <v>0</v>
      </c>
      <c r="J646" s="108">
        <f t="shared" si="433"/>
        <v>0</v>
      </c>
      <c r="K646" s="108">
        <f t="shared" si="433"/>
        <v>0</v>
      </c>
      <c r="L646" s="108">
        <f t="shared" si="433"/>
        <v>0</v>
      </c>
      <c r="M646" s="108">
        <f t="shared" si="433"/>
        <v>0</v>
      </c>
      <c r="N646" s="108">
        <f t="shared" si="433"/>
        <v>0</v>
      </c>
      <c r="O646" s="108">
        <f t="shared" si="433"/>
        <v>0</v>
      </c>
      <c r="P646" s="108">
        <f t="shared" si="433"/>
        <v>0</v>
      </c>
      <c r="Q646" s="108">
        <f t="shared" si="433"/>
        <v>0</v>
      </c>
      <c r="R646" s="108">
        <f t="shared" si="433"/>
        <v>0</v>
      </c>
      <c r="S646" s="108">
        <f t="shared" si="433"/>
        <v>0</v>
      </c>
      <c r="T646" s="28" t="s">
        <v>26</v>
      </c>
      <c r="V646" s="104" t="str">
        <f>$V$80</f>
        <v>-</v>
      </c>
      <c r="W646" s="108">
        <f t="shared" si="391"/>
        <v>-1</v>
      </c>
      <c r="X646" s="108">
        <f t="shared" si="392"/>
        <v>-3</v>
      </c>
      <c r="Y646" s="108">
        <f t="shared" si="393"/>
        <v>-3</v>
      </c>
      <c r="Z646" s="108">
        <f t="shared" si="394"/>
        <v>-1</v>
      </c>
      <c r="AA646" s="108">
        <f t="shared" si="395"/>
        <v>-1</v>
      </c>
      <c r="AB646" s="108">
        <f t="shared" si="396"/>
        <v>-1</v>
      </c>
      <c r="AC646" s="108">
        <f t="shared" si="397"/>
        <v>-1</v>
      </c>
      <c r="AD646" s="108">
        <f t="shared" si="398"/>
        <v>-1</v>
      </c>
      <c r="AE646" s="108">
        <f t="shared" si="399"/>
        <v>-1</v>
      </c>
      <c r="AF646" s="108">
        <f t="shared" si="400"/>
        <v>-1</v>
      </c>
      <c r="AG646" s="108">
        <f t="shared" si="401"/>
        <v>-1</v>
      </c>
      <c r="AH646" s="108">
        <f t="shared" si="402"/>
        <v>-1</v>
      </c>
      <c r="AI646" s="108">
        <f t="shared" si="403"/>
        <v>-1</v>
      </c>
      <c r="AJ646" s="108">
        <f t="shared" si="404"/>
        <v>-1</v>
      </c>
      <c r="AK646" s="108">
        <f t="shared" si="405"/>
        <v>-1</v>
      </c>
      <c r="AL646" s="108">
        <f t="shared" si="406"/>
        <v>-1</v>
      </c>
      <c r="AQ646" s="104"/>
      <c r="AR646" s="104"/>
      <c r="AS646" s="104"/>
      <c r="AT646" s="104"/>
      <c r="AU646" s="104"/>
      <c r="AV646" s="104"/>
      <c r="AW646" s="104"/>
      <c r="AX646" s="104"/>
      <c r="AY646" s="104"/>
      <c r="AZ646" s="104"/>
      <c r="BA646" s="104"/>
      <c r="BB646" s="104"/>
      <c r="BC646" s="104"/>
      <c r="BD646" s="104"/>
      <c r="BE646" s="104"/>
      <c r="BF646" s="104"/>
      <c r="BG646" s="104"/>
    </row>
    <row r="647" spans="3:80" x14ac:dyDescent="0.55000000000000004">
      <c r="C647" s="104" t="str">
        <f>$V$81</f>
        <v>-</v>
      </c>
      <c r="D647" s="108">
        <f t="shared" ref="D647:S647" si="434">D81</f>
        <v>0</v>
      </c>
      <c r="E647" s="108">
        <f t="shared" si="434"/>
        <v>0</v>
      </c>
      <c r="F647" s="108">
        <f t="shared" si="434"/>
        <v>0</v>
      </c>
      <c r="G647" s="108">
        <f t="shared" si="434"/>
        <v>0</v>
      </c>
      <c r="H647" s="108">
        <f t="shared" si="434"/>
        <v>0</v>
      </c>
      <c r="I647" s="108">
        <f t="shared" si="434"/>
        <v>0</v>
      </c>
      <c r="J647" s="108">
        <f t="shared" si="434"/>
        <v>0</v>
      </c>
      <c r="K647" s="108">
        <f t="shared" si="434"/>
        <v>0</v>
      </c>
      <c r="L647" s="108">
        <f t="shared" si="434"/>
        <v>0</v>
      </c>
      <c r="M647" s="108">
        <f t="shared" si="434"/>
        <v>0</v>
      </c>
      <c r="N647" s="108">
        <f t="shared" si="434"/>
        <v>0</v>
      </c>
      <c r="O647" s="108">
        <f t="shared" si="434"/>
        <v>0</v>
      </c>
      <c r="P647" s="108">
        <f t="shared" si="434"/>
        <v>0</v>
      </c>
      <c r="Q647" s="108">
        <f t="shared" si="434"/>
        <v>0</v>
      </c>
      <c r="R647" s="108">
        <f t="shared" si="434"/>
        <v>0</v>
      </c>
      <c r="S647" s="108">
        <f t="shared" si="434"/>
        <v>0</v>
      </c>
      <c r="T647" s="28" t="s">
        <v>26</v>
      </c>
      <c r="V647" s="104" t="str">
        <f>$V$81</f>
        <v>-</v>
      </c>
      <c r="W647" s="108">
        <f t="shared" si="391"/>
        <v>-1</v>
      </c>
      <c r="X647" s="108">
        <f t="shared" si="392"/>
        <v>-1</v>
      </c>
      <c r="Y647" s="108">
        <f t="shared" si="393"/>
        <v>-1</v>
      </c>
      <c r="Z647" s="108">
        <f t="shared" si="394"/>
        <v>-1</v>
      </c>
      <c r="AA647" s="108">
        <f t="shared" si="395"/>
        <v>-1</v>
      </c>
      <c r="AB647" s="108">
        <f t="shared" si="396"/>
        <v>-1</v>
      </c>
      <c r="AC647" s="108">
        <f t="shared" si="397"/>
        <v>-1</v>
      </c>
      <c r="AD647" s="108">
        <f t="shared" si="398"/>
        <v>-1</v>
      </c>
      <c r="AE647" s="108">
        <f t="shared" si="399"/>
        <v>-1</v>
      </c>
      <c r="AF647" s="108">
        <f t="shared" si="400"/>
        <v>-1</v>
      </c>
      <c r="AG647" s="108">
        <f t="shared" si="401"/>
        <v>-1</v>
      </c>
      <c r="AH647" s="108">
        <f t="shared" si="402"/>
        <v>-1</v>
      </c>
      <c r="AI647" s="108">
        <f t="shared" si="403"/>
        <v>-1</v>
      </c>
      <c r="AJ647" s="108">
        <f t="shared" si="404"/>
        <v>-1</v>
      </c>
      <c r="AK647" s="108">
        <f t="shared" si="405"/>
        <v>-1</v>
      </c>
      <c r="AL647" s="108">
        <f t="shared" si="406"/>
        <v>-1</v>
      </c>
      <c r="AQ647" s="104"/>
      <c r="AR647" s="104"/>
      <c r="AS647" s="104"/>
      <c r="AT647" s="104"/>
      <c r="AU647" s="104"/>
      <c r="AV647" s="104"/>
      <c r="AW647" s="104"/>
      <c r="AX647" s="104"/>
      <c r="AY647" s="104"/>
      <c r="AZ647" s="104"/>
      <c r="BA647" s="104"/>
      <c r="BB647" s="104"/>
      <c r="BC647" s="104"/>
      <c r="BD647" s="104"/>
      <c r="BE647" s="104"/>
      <c r="BF647" s="104"/>
      <c r="BG647" s="104"/>
      <c r="BK647" s="104" t="str">
        <f>CONCATENATE("OBLIGATORIEDAD DE (",BK648,")")</f>
        <v>OBLIGATORIEDAD DE (Dummy 4)</v>
      </c>
    </row>
    <row r="648" spans="3:80" x14ac:dyDescent="0.55000000000000004">
      <c r="C648" s="104" t="str">
        <f>$V$82</f>
        <v>-</v>
      </c>
      <c r="D648" s="108">
        <f t="shared" ref="D648:S648" si="435">D82</f>
        <v>0</v>
      </c>
      <c r="E648" s="108">
        <f t="shared" si="435"/>
        <v>0</v>
      </c>
      <c r="F648" s="108">
        <f t="shared" si="435"/>
        <v>0</v>
      </c>
      <c r="G648" s="108">
        <f t="shared" si="435"/>
        <v>0</v>
      </c>
      <c r="H648" s="108">
        <f t="shared" si="435"/>
        <v>0</v>
      </c>
      <c r="I648" s="108">
        <f t="shared" si="435"/>
        <v>0</v>
      </c>
      <c r="J648" s="108">
        <f t="shared" si="435"/>
        <v>0</v>
      </c>
      <c r="K648" s="108">
        <f t="shared" si="435"/>
        <v>0</v>
      </c>
      <c r="L648" s="108">
        <f t="shared" si="435"/>
        <v>0</v>
      </c>
      <c r="M648" s="108">
        <f t="shared" si="435"/>
        <v>0</v>
      </c>
      <c r="N648" s="108">
        <f t="shared" si="435"/>
        <v>0</v>
      </c>
      <c r="O648" s="108">
        <f t="shared" si="435"/>
        <v>0</v>
      </c>
      <c r="P648" s="108">
        <f t="shared" si="435"/>
        <v>0</v>
      </c>
      <c r="Q648" s="108">
        <f t="shared" si="435"/>
        <v>0</v>
      </c>
      <c r="R648" s="108">
        <f t="shared" si="435"/>
        <v>0</v>
      </c>
      <c r="S648" s="108">
        <f t="shared" si="435"/>
        <v>0</v>
      </c>
      <c r="T648" s="28" t="s">
        <v>26</v>
      </c>
      <c r="V648" s="104" t="str">
        <f>$V$82</f>
        <v>-</v>
      </c>
      <c r="W648" s="108">
        <f t="shared" si="391"/>
        <v>-1</v>
      </c>
      <c r="X648" s="108">
        <f t="shared" si="392"/>
        <v>-1</v>
      </c>
      <c r="Y648" s="108">
        <f t="shared" si="393"/>
        <v>-1</v>
      </c>
      <c r="Z648" s="108">
        <f t="shared" si="394"/>
        <v>-1</v>
      </c>
      <c r="AA648" s="108">
        <f t="shared" si="395"/>
        <v>-1</v>
      </c>
      <c r="AB648" s="108">
        <f t="shared" si="396"/>
        <v>-1</v>
      </c>
      <c r="AC648" s="108">
        <f t="shared" si="397"/>
        <v>-1</v>
      </c>
      <c r="AD648" s="108">
        <f t="shared" si="398"/>
        <v>-1</v>
      </c>
      <c r="AE648" s="108">
        <f t="shared" si="399"/>
        <v>-1</v>
      </c>
      <c r="AF648" s="108">
        <f t="shared" si="400"/>
        <v>-1</v>
      </c>
      <c r="AG648" s="108">
        <f t="shared" si="401"/>
        <v>-1</v>
      </c>
      <c r="AH648" s="108">
        <f t="shared" si="402"/>
        <v>-1</v>
      </c>
      <c r="AI648" s="108">
        <f t="shared" si="403"/>
        <v>-1</v>
      </c>
      <c r="AJ648" s="108">
        <f t="shared" si="404"/>
        <v>-1</v>
      </c>
      <c r="AK648" s="108">
        <f t="shared" si="405"/>
        <v>-1</v>
      </c>
      <c r="AL648" s="108">
        <f t="shared" si="406"/>
        <v>-1</v>
      </c>
      <c r="AM648" s="108"/>
      <c r="AQ648" s="104"/>
      <c r="AR648" s="104"/>
      <c r="AS648" s="104"/>
      <c r="AT648" s="104"/>
      <c r="AU648" s="104"/>
      <c r="AV648" s="104"/>
      <c r="AW648" s="104"/>
      <c r="AX648" s="104"/>
      <c r="AY648" s="104"/>
      <c r="AZ648" s="104"/>
      <c r="BA648" s="104"/>
      <c r="BB648" s="104"/>
      <c r="BC648" s="104"/>
      <c r="BD648" s="104"/>
      <c r="BE648" s="104"/>
      <c r="BF648" s="104"/>
      <c r="BG648" s="104"/>
      <c r="BK648" s="104" t="str">
        <f>V48</f>
        <v>Dummy 4</v>
      </c>
      <c r="BL648" s="104" t="str">
        <f>$W$33</f>
        <v>16h</v>
      </c>
      <c r="BM648" s="104" t="str">
        <f>$X$33</f>
        <v>17h</v>
      </c>
      <c r="BN648" s="104" t="str">
        <f>$Y$33</f>
        <v>18h</v>
      </c>
      <c r="BO648" s="104" t="str">
        <f>$Z$33</f>
        <v>19h</v>
      </c>
      <c r="BP648" s="104" t="str">
        <f>$AA$33</f>
        <v>20h</v>
      </c>
      <c r="BQ648" s="104" t="str">
        <f>$AB$33</f>
        <v>21h</v>
      </c>
      <c r="BR648" s="104" t="str">
        <f>$AC$33</f>
        <v>22h</v>
      </c>
      <c r="BS648" s="104" t="str">
        <f>$AD$33</f>
        <v>23h</v>
      </c>
      <c r="BT648" s="104" t="str">
        <f>$AE$33</f>
        <v>00h</v>
      </c>
      <c r="BU648" s="104" t="str">
        <f>$AF$33</f>
        <v>01h</v>
      </c>
      <c r="BV648" s="104" t="str">
        <f>$AG$33</f>
        <v>02h</v>
      </c>
      <c r="BW648" s="104" t="str">
        <f>$AH$33</f>
        <v>03h</v>
      </c>
      <c r="BX648" s="104" t="str">
        <f>$AI$33</f>
        <v>04h</v>
      </c>
      <c r="BY648" s="104" t="str">
        <f>$AJ$33</f>
        <v>05h</v>
      </c>
      <c r="BZ648" s="104" t="str">
        <f>$AK$33</f>
        <v>06h</v>
      </c>
      <c r="CA648" s="104" t="str">
        <f>$AL$33</f>
        <v>07h</v>
      </c>
      <c r="CB648" s="104" t="str">
        <f>$AM$33</f>
        <v>08h</v>
      </c>
    </row>
    <row r="649" spans="3:80" x14ac:dyDescent="0.55000000000000004">
      <c r="C649" s="104" t="str">
        <f>$V$83</f>
        <v>-</v>
      </c>
      <c r="D649" s="108">
        <f t="shared" ref="D649:S649" si="436">D83</f>
        <v>0</v>
      </c>
      <c r="E649" s="108">
        <f t="shared" si="436"/>
        <v>0</v>
      </c>
      <c r="F649" s="108">
        <f t="shared" si="436"/>
        <v>0</v>
      </c>
      <c r="G649" s="108">
        <f t="shared" si="436"/>
        <v>0</v>
      </c>
      <c r="H649" s="108">
        <f t="shared" si="436"/>
        <v>0</v>
      </c>
      <c r="I649" s="108">
        <f t="shared" si="436"/>
        <v>0</v>
      </c>
      <c r="J649" s="108">
        <f t="shared" si="436"/>
        <v>0</v>
      </c>
      <c r="K649" s="108">
        <f t="shared" si="436"/>
        <v>0</v>
      </c>
      <c r="L649" s="108">
        <f t="shared" si="436"/>
        <v>0</v>
      </c>
      <c r="M649" s="108">
        <f t="shared" si="436"/>
        <v>0</v>
      </c>
      <c r="N649" s="108">
        <f t="shared" si="436"/>
        <v>0</v>
      </c>
      <c r="O649" s="108">
        <f t="shared" si="436"/>
        <v>0</v>
      </c>
      <c r="P649" s="108">
        <f t="shared" si="436"/>
        <v>0</v>
      </c>
      <c r="Q649" s="108">
        <f t="shared" si="436"/>
        <v>0</v>
      </c>
      <c r="R649" s="108">
        <f t="shared" si="436"/>
        <v>0</v>
      </c>
      <c r="S649" s="108">
        <f t="shared" si="436"/>
        <v>0</v>
      </c>
      <c r="T649" s="28" t="s">
        <v>26</v>
      </c>
      <c r="V649" s="104" t="str">
        <f>$V$83</f>
        <v>-</v>
      </c>
      <c r="W649" s="108">
        <f t="shared" si="391"/>
        <v>-1</v>
      </c>
      <c r="X649" s="108">
        <f t="shared" si="392"/>
        <v>-1</v>
      </c>
      <c r="Y649" s="108">
        <f t="shared" si="393"/>
        <v>-1</v>
      </c>
      <c r="Z649" s="108">
        <f t="shared" si="394"/>
        <v>-1</v>
      </c>
      <c r="AA649" s="108">
        <f t="shared" si="395"/>
        <v>-1</v>
      </c>
      <c r="AB649" s="108">
        <f t="shared" si="396"/>
        <v>-1</v>
      </c>
      <c r="AC649" s="108">
        <f t="shared" si="397"/>
        <v>-1</v>
      </c>
      <c r="AD649" s="108">
        <f t="shared" si="398"/>
        <v>-1</v>
      </c>
      <c r="AE649" s="108">
        <f t="shared" si="399"/>
        <v>-1</v>
      </c>
      <c r="AF649" s="108">
        <f t="shared" si="400"/>
        <v>-1</v>
      </c>
      <c r="AG649" s="108">
        <f t="shared" si="401"/>
        <v>-1</v>
      </c>
      <c r="AH649" s="108">
        <f t="shared" si="402"/>
        <v>-1</v>
      </c>
      <c r="AI649" s="108">
        <f t="shared" si="403"/>
        <v>-1</v>
      </c>
      <c r="AJ649" s="108">
        <f t="shared" si="404"/>
        <v>-1</v>
      </c>
      <c r="AK649" s="108">
        <f t="shared" si="405"/>
        <v>-1</v>
      </c>
      <c r="AL649" s="108">
        <f t="shared" si="406"/>
        <v>-1</v>
      </c>
      <c r="AM649" s="108"/>
      <c r="BK649" s="104" t="str">
        <f>$V$53</f>
        <v>Jennifer</v>
      </c>
      <c r="BL649" s="108">
        <v>0</v>
      </c>
      <c r="BM649" s="108">
        <v>0</v>
      </c>
      <c r="BN649" s="108">
        <v>0</v>
      </c>
      <c r="BO649" s="108">
        <v>0</v>
      </c>
      <c r="BP649" s="108">
        <v>0</v>
      </c>
      <c r="BQ649" s="108">
        <v>0</v>
      </c>
      <c r="BR649" s="108">
        <v>0</v>
      </c>
      <c r="BS649" s="108">
        <v>0</v>
      </c>
      <c r="BT649" s="108">
        <v>0</v>
      </c>
      <c r="BU649" s="108">
        <v>0</v>
      </c>
      <c r="BV649" s="108">
        <v>0</v>
      </c>
      <c r="BW649" s="108">
        <v>0</v>
      </c>
      <c r="BX649" s="108">
        <v>0</v>
      </c>
      <c r="BY649" s="108">
        <v>0</v>
      </c>
      <c r="BZ649" s="108">
        <v>0</v>
      </c>
      <c r="CA649" s="108">
        <v>0</v>
      </c>
      <c r="CB649" s="108">
        <v>0</v>
      </c>
    </row>
    <row r="650" spans="3:80" x14ac:dyDescent="0.55000000000000004">
      <c r="C650" s="104" t="str">
        <f>$V$84</f>
        <v>-</v>
      </c>
      <c r="D650" s="108">
        <f t="shared" ref="D650:S650" si="437">D84</f>
        <v>0</v>
      </c>
      <c r="E650" s="108">
        <f t="shared" si="437"/>
        <v>0</v>
      </c>
      <c r="F650" s="108">
        <f t="shared" si="437"/>
        <v>0</v>
      </c>
      <c r="G650" s="108">
        <f t="shared" si="437"/>
        <v>0</v>
      </c>
      <c r="H650" s="108">
        <f t="shared" si="437"/>
        <v>0</v>
      </c>
      <c r="I650" s="108">
        <f t="shared" si="437"/>
        <v>0</v>
      </c>
      <c r="J650" s="108">
        <f t="shared" si="437"/>
        <v>0</v>
      </c>
      <c r="K650" s="108">
        <f t="shared" si="437"/>
        <v>0</v>
      </c>
      <c r="L650" s="108">
        <f t="shared" si="437"/>
        <v>0</v>
      </c>
      <c r="M650" s="108">
        <f t="shared" si="437"/>
        <v>0</v>
      </c>
      <c r="N650" s="108">
        <f t="shared" si="437"/>
        <v>0</v>
      </c>
      <c r="O650" s="108">
        <f t="shared" si="437"/>
        <v>0</v>
      </c>
      <c r="P650" s="108">
        <f t="shared" si="437"/>
        <v>0</v>
      </c>
      <c r="Q650" s="108">
        <f t="shared" si="437"/>
        <v>0</v>
      </c>
      <c r="R650" s="108">
        <f t="shared" si="437"/>
        <v>0</v>
      </c>
      <c r="S650" s="108">
        <f t="shared" si="437"/>
        <v>0</v>
      </c>
      <c r="T650" s="28" t="s">
        <v>26</v>
      </c>
      <c r="V650" s="104" t="str">
        <f>$V$84</f>
        <v>-</v>
      </c>
      <c r="W650" s="108">
        <f t="shared" si="391"/>
        <v>-1</v>
      </c>
      <c r="X650" s="108">
        <f t="shared" si="392"/>
        <v>-1</v>
      </c>
      <c r="Y650" s="108">
        <f t="shared" si="393"/>
        <v>-1</v>
      </c>
      <c r="Z650" s="108">
        <f t="shared" si="394"/>
        <v>-1</v>
      </c>
      <c r="AA650" s="108">
        <f t="shared" si="395"/>
        <v>-1</v>
      </c>
      <c r="AB650" s="108">
        <f t="shared" si="396"/>
        <v>-1</v>
      </c>
      <c r="AC650" s="108">
        <f t="shared" si="397"/>
        <v>-1</v>
      </c>
      <c r="AD650" s="108">
        <f t="shared" si="398"/>
        <v>-1</v>
      </c>
      <c r="AE650" s="108">
        <f t="shared" si="399"/>
        <v>-1</v>
      </c>
      <c r="AF650" s="108">
        <f t="shared" si="400"/>
        <v>-1</v>
      </c>
      <c r="AG650" s="108">
        <f t="shared" si="401"/>
        <v>-1</v>
      </c>
      <c r="AH650" s="108">
        <f t="shared" si="402"/>
        <v>-1</v>
      </c>
      <c r="AI650" s="108">
        <f t="shared" si="403"/>
        <v>-1</v>
      </c>
      <c r="AJ650" s="108">
        <f t="shared" si="404"/>
        <v>-1</v>
      </c>
      <c r="AK650" s="108">
        <f t="shared" si="405"/>
        <v>-1</v>
      </c>
      <c r="AL650" s="108">
        <f t="shared" si="406"/>
        <v>-1</v>
      </c>
      <c r="AM650" s="108"/>
      <c r="BK650" s="104" t="str">
        <f>$V$54</f>
        <v>Galileo</v>
      </c>
      <c r="BL650" s="108">
        <v>0</v>
      </c>
      <c r="BM650" s="108">
        <v>0</v>
      </c>
      <c r="BN650" s="108">
        <v>0</v>
      </c>
      <c r="BO650" s="108">
        <v>0</v>
      </c>
      <c r="BP650" s="108">
        <v>0</v>
      </c>
      <c r="BQ650" s="108">
        <v>0</v>
      </c>
      <c r="BR650" s="108">
        <v>0</v>
      </c>
      <c r="BS650" s="108">
        <v>0</v>
      </c>
      <c r="BT650" s="108">
        <v>0</v>
      </c>
      <c r="BU650" s="108">
        <v>0</v>
      </c>
      <c r="BV650" s="108">
        <v>0</v>
      </c>
      <c r="BW650" s="108">
        <v>0</v>
      </c>
      <c r="BX650" s="108">
        <v>0</v>
      </c>
      <c r="BY650" s="108">
        <v>0</v>
      </c>
      <c r="BZ650" s="108">
        <v>0</v>
      </c>
      <c r="CA650" s="108">
        <v>0</v>
      </c>
      <c r="CB650" s="108">
        <v>0</v>
      </c>
    </row>
    <row r="651" spans="3:80" x14ac:dyDescent="0.55000000000000004">
      <c r="C651" s="104" t="str">
        <f>$V$85</f>
        <v>-</v>
      </c>
      <c r="D651" s="108">
        <f t="shared" ref="D651:S651" si="438">D85</f>
        <v>0</v>
      </c>
      <c r="E651" s="108">
        <f t="shared" si="438"/>
        <v>0</v>
      </c>
      <c r="F651" s="108">
        <f t="shared" si="438"/>
        <v>0</v>
      </c>
      <c r="G651" s="108">
        <f t="shared" si="438"/>
        <v>0</v>
      </c>
      <c r="H651" s="108">
        <f t="shared" si="438"/>
        <v>0</v>
      </c>
      <c r="I651" s="108">
        <f t="shared" si="438"/>
        <v>0</v>
      </c>
      <c r="J651" s="108">
        <f t="shared" si="438"/>
        <v>0</v>
      </c>
      <c r="K651" s="108">
        <f t="shared" si="438"/>
        <v>0</v>
      </c>
      <c r="L651" s="108">
        <f t="shared" si="438"/>
        <v>0</v>
      </c>
      <c r="M651" s="108">
        <f t="shared" si="438"/>
        <v>0</v>
      </c>
      <c r="N651" s="108">
        <f t="shared" si="438"/>
        <v>0</v>
      </c>
      <c r="O651" s="108">
        <f t="shared" si="438"/>
        <v>0</v>
      </c>
      <c r="P651" s="108">
        <f t="shared" si="438"/>
        <v>0</v>
      </c>
      <c r="Q651" s="108">
        <f t="shared" si="438"/>
        <v>0</v>
      </c>
      <c r="R651" s="108">
        <f t="shared" si="438"/>
        <v>0</v>
      </c>
      <c r="S651" s="108">
        <f t="shared" si="438"/>
        <v>0</v>
      </c>
      <c r="T651" s="28" t="s">
        <v>26</v>
      </c>
      <c r="V651" s="104" t="str">
        <f>$V$85</f>
        <v>-</v>
      </c>
      <c r="W651" s="108">
        <f t="shared" si="391"/>
        <v>-1</v>
      </c>
      <c r="X651" s="108">
        <f t="shared" si="392"/>
        <v>-1</v>
      </c>
      <c r="Y651" s="108">
        <f t="shared" si="393"/>
        <v>-1</v>
      </c>
      <c r="Z651" s="108">
        <f t="shared" si="394"/>
        <v>-1</v>
      </c>
      <c r="AA651" s="108">
        <f t="shared" si="395"/>
        <v>-1</v>
      </c>
      <c r="AB651" s="108">
        <f t="shared" si="396"/>
        <v>-1</v>
      </c>
      <c r="AC651" s="108">
        <f t="shared" si="397"/>
        <v>-1</v>
      </c>
      <c r="AD651" s="108">
        <f t="shared" si="398"/>
        <v>-1</v>
      </c>
      <c r="AE651" s="108">
        <f t="shared" si="399"/>
        <v>-1</v>
      </c>
      <c r="AF651" s="108">
        <f t="shared" si="400"/>
        <v>-1</v>
      </c>
      <c r="AG651" s="108">
        <f t="shared" si="401"/>
        <v>-1</v>
      </c>
      <c r="AH651" s="108">
        <f t="shared" si="402"/>
        <v>-1</v>
      </c>
      <c r="AI651" s="108">
        <f t="shared" si="403"/>
        <v>-1</v>
      </c>
      <c r="AJ651" s="108">
        <f t="shared" si="404"/>
        <v>-1</v>
      </c>
      <c r="AK651" s="108">
        <f t="shared" si="405"/>
        <v>-1</v>
      </c>
      <c r="AL651" s="108">
        <f t="shared" si="406"/>
        <v>-1</v>
      </c>
      <c r="AM651" s="108"/>
      <c r="BK651" s="104" t="str">
        <f>$V$55</f>
        <v>Óscar</v>
      </c>
      <c r="BL651" s="108">
        <v>0</v>
      </c>
      <c r="BM651" s="108">
        <v>0</v>
      </c>
      <c r="BN651" s="108">
        <v>0</v>
      </c>
      <c r="BO651" s="108">
        <v>0</v>
      </c>
      <c r="BP651" s="108">
        <v>0</v>
      </c>
      <c r="BQ651" s="108">
        <v>0</v>
      </c>
      <c r="BR651" s="108">
        <v>0</v>
      </c>
      <c r="BS651" s="108">
        <v>0</v>
      </c>
      <c r="BT651" s="108">
        <v>0</v>
      </c>
      <c r="BU651" s="108">
        <v>0</v>
      </c>
      <c r="BV651" s="108">
        <v>0</v>
      </c>
      <c r="BW651" s="108">
        <v>0</v>
      </c>
      <c r="BX651" s="108">
        <v>0</v>
      </c>
      <c r="BY651" s="108">
        <v>0</v>
      </c>
      <c r="BZ651" s="108">
        <v>0</v>
      </c>
      <c r="CA651" s="108">
        <v>0</v>
      </c>
      <c r="CB651" s="108">
        <v>0</v>
      </c>
    </row>
    <row r="652" spans="3:80" x14ac:dyDescent="0.55000000000000004">
      <c r="C652" s="104" t="str">
        <f>$V$86</f>
        <v>-</v>
      </c>
      <c r="D652" s="108">
        <f t="shared" ref="D652:S652" si="439">D86</f>
        <v>0</v>
      </c>
      <c r="E652" s="108">
        <f t="shared" si="439"/>
        <v>0</v>
      </c>
      <c r="F652" s="108">
        <f t="shared" si="439"/>
        <v>0</v>
      </c>
      <c r="G652" s="108">
        <f t="shared" si="439"/>
        <v>0</v>
      </c>
      <c r="H652" s="108">
        <f t="shared" si="439"/>
        <v>0</v>
      </c>
      <c r="I652" s="108">
        <f t="shared" si="439"/>
        <v>0</v>
      </c>
      <c r="J652" s="108">
        <f t="shared" si="439"/>
        <v>0</v>
      </c>
      <c r="K652" s="108">
        <f t="shared" si="439"/>
        <v>0</v>
      </c>
      <c r="L652" s="108">
        <f t="shared" si="439"/>
        <v>0</v>
      </c>
      <c r="M652" s="108">
        <f t="shared" si="439"/>
        <v>0</v>
      </c>
      <c r="N652" s="108">
        <f t="shared" si="439"/>
        <v>0</v>
      </c>
      <c r="O652" s="108">
        <f t="shared" si="439"/>
        <v>0</v>
      </c>
      <c r="P652" s="108">
        <f t="shared" si="439"/>
        <v>0</v>
      </c>
      <c r="Q652" s="108">
        <f t="shared" si="439"/>
        <v>0</v>
      </c>
      <c r="R652" s="108">
        <f t="shared" si="439"/>
        <v>0</v>
      </c>
      <c r="S652" s="108">
        <f t="shared" si="439"/>
        <v>0</v>
      </c>
      <c r="T652" s="28" t="s">
        <v>26</v>
      </c>
      <c r="V652" s="104" t="str">
        <f>$V$86</f>
        <v>-</v>
      </c>
      <c r="W652" s="108">
        <f t="shared" si="391"/>
        <v>-1</v>
      </c>
      <c r="X652" s="108">
        <f t="shared" si="392"/>
        <v>-1</v>
      </c>
      <c r="Y652" s="108">
        <f t="shared" si="393"/>
        <v>-1</v>
      </c>
      <c r="Z652" s="108">
        <f t="shared" si="394"/>
        <v>-1</v>
      </c>
      <c r="AA652" s="108">
        <f t="shared" si="395"/>
        <v>-1</v>
      </c>
      <c r="AB652" s="108">
        <f t="shared" si="396"/>
        <v>-1</v>
      </c>
      <c r="AC652" s="108">
        <f t="shared" si="397"/>
        <v>-1</v>
      </c>
      <c r="AD652" s="108">
        <f t="shared" si="398"/>
        <v>-1</v>
      </c>
      <c r="AE652" s="108">
        <f t="shared" si="399"/>
        <v>-1</v>
      </c>
      <c r="AF652" s="108">
        <f t="shared" si="400"/>
        <v>-1</v>
      </c>
      <c r="AG652" s="108">
        <f t="shared" si="401"/>
        <v>-1</v>
      </c>
      <c r="AH652" s="108">
        <f t="shared" si="402"/>
        <v>-1</v>
      </c>
      <c r="AI652" s="108">
        <f t="shared" si="403"/>
        <v>-1</v>
      </c>
      <c r="AJ652" s="108">
        <f t="shared" si="404"/>
        <v>-1</v>
      </c>
      <c r="AK652" s="108">
        <f t="shared" si="405"/>
        <v>-1</v>
      </c>
      <c r="AL652" s="108">
        <f t="shared" si="406"/>
        <v>-1</v>
      </c>
      <c r="AM652" s="108"/>
      <c r="BK652" s="104" t="str">
        <f>$V$56</f>
        <v>Sebastián</v>
      </c>
      <c r="BL652" s="108">
        <v>0</v>
      </c>
      <c r="BM652" s="108">
        <v>0</v>
      </c>
      <c r="BN652" s="108">
        <v>0</v>
      </c>
      <c r="BO652" s="108">
        <v>0</v>
      </c>
      <c r="BP652" s="108">
        <v>0</v>
      </c>
      <c r="BQ652" s="108">
        <v>0</v>
      </c>
      <c r="BR652" s="108">
        <v>0</v>
      </c>
      <c r="BS652" s="108">
        <v>0</v>
      </c>
      <c r="BT652" s="108">
        <v>0</v>
      </c>
      <c r="BU652" s="108">
        <v>0</v>
      </c>
      <c r="BV652" s="108">
        <v>0</v>
      </c>
      <c r="BW652" s="108">
        <v>0</v>
      </c>
      <c r="BX652" s="108">
        <v>0</v>
      </c>
      <c r="BY652" s="108">
        <v>0</v>
      </c>
      <c r="BZ652" s="108">
        <v>0</v>
      </c>
      <c r="CA652" s="108">
        <v>0</v>
      </c>
      <c r="CB652" s="108">
        <v>0</v>
      </c>
    </row>
    <row r="653" spans="3:80" x14ac:dyDescent="0.55000000000000004">
      <c r="C653" s="104" t="str">
        <f>$V$87</f>
        <v>-</v>
      </c>
      <c r="D653" s="108">
        <f t="shared" ref="D653:S653" si="440">D87</f>
        <v>0</v>
      </c>
      <c r="E653" s="108">
        <f t="shared" si="440"/>
        <v>0</v>
      </c>
      <c r="F653" s="108">
        <f t="shared" si="440"/>
        <v>0</v>
      </c>
      <c r="G653" s="108">
        <f t="shared" si="440"/>
        <v>0</v>
      </c>
      <c r="H653" s="108">
        <f t="shared" si="440"/>
        <v>0</v>
      </c>
      <c r="I653" s="108">
        <f t="shared" si="440"/>
        <v>0</v>
      </c>
      <c r="J653" s="108">
        <f t="shared" si="440"/>
        <v>0</v>
      </c>
      <c r="K653" s="108">
        <f t="shared" si="440"/>
        <v>0</v>
      </c>
      <c r="L653" s="108">
        <f t="shared" si="440"/>
        <v>0</v>
      </c>
      <c r="M653" s="108">
        <f t="shared" si="440"/>
        <v>0</v>
      </c>
      <c r="N653" s="108">
        <f t="shared" si="440"/>
        <v>0</v>
      </c>
      <c r="O653" s="108">
        <f t="shared" si="440"/>
        <v>0</v>
      </c>
      <c r="P653" s="108">
        <f t="shared" si="440"/>
        <v>0</v>
      </c>
      <c r="Q653" s="108">
        <f t="shared" si="440"/>
        <v>0</v>
      </c>
      <c r="R653" s="108">
        <f t="shared" si="440"/>
        <v>0</v>
      </c>
      <c r="S653" s="108">
        <f t="shared" si="440"/>
        <v>0</v>
      </c>
      <c r="T653" s="28" t="s">
        <v>26</v>
      </c>
      <c r="V653" s="104" t="str">
        <f>$V$87</f>
        <v>-</v>
      </c>
      <c r="W653" s="108">
        <f t="shared" si="391"/>
        <v>-1</v>
      </c>
      <c r="X653" s="108">
        <f t="shared" si="392"/>
        <v>-1</v>
      </c>
      <c r="Y653" s="108">
        <f t="shared" si="393"/>
        <v>-1</v>
      </c>
      <c r="Z653" s="108">
        <f t="shared" si="394"/>
        <v>-1</v>
      </c>
      <c r="AA653" s="108">
        <f t="shared" si="395"/>
        <v>-1</v>
      </c>
      <c r="AB653" s="108">
        <f t="shared" si="396"/>
        <v>-1</v>
      </c>
      <c r="AC653" s="108">
        <f t="shared" si="397"/>
        <v>-1</v>
      </c>
      <c r="AD653" s="108">
        <f t="shared" si="398"/>
        <v>-1</v>
      </c>
      <c r="AE653" s="108">
        <f t="shared" si="399"/>
        <v>-1</v>
      </c>
      <c r="AF653" s="108">
        <f t="shared" si="400"/>
        <v>-1</v>
      </c>
      <c r="AG653" s="108">
        <f t="shared" si="401"/>
        <v>-1</v>
      </c>
      <c r="AH653" s="108">
        <f t="shared" si="402"/>
        <v>-1</v>
      </c>
      <c r="AI653" s="108">
        <f t="shared" si="403"/>
        <v>-1</v>
      </c>
      <c r="AJ653" s="108">
        <f t="shared" si="404"/>
        <v>-1</v>
      </c>
      <c r="AK653" s="108">
        <f t="shared" si="405"/>
        <v>-1</v>
      </c>
      <c r="AL653" s="108">
        <f t="shared" si="406"/>
        <v>-1</v>
      </c>
      <c r="AM653" s="108"/>
      <c r="BK653" s="104" t="str">
        <f>$V$57</f>
        <v>Marcos</v>
      </c>
      <c r="BL653" s="108">
        <v>0</v>
      </c>
      <c r="BM653" s="108">
        <v>0</v>
      </c>
      <c r="BN653" s="108">
        <v>0</v>
      </c>
      <c r="BO653" s="108">
        <v>0</v>
      </c>
      <c r="BP653" s="108">
        <v>0</v>
      </c>
      <c r="BQ653" s="108">
        <v>0</v>
      </c>
      <c r="BR653" s="108">
        <v>0</v>
      </c>
      <c r="BS653" s="108">
        <v>0</v>
      </c>
      <c r="BT653" s="108">
        <v>0</v>
      </c>
      <c r="BU653" s="108">
        <v>0</v>
      </c>
      <c r="BV653" s="108">
        <v>0</v>
      </c>
      <c r="BW653" s="108">
        <v>0</v>
      </c>
      <c r="BX653" s="108">
        <v>0</v>
      </c>
      <c r="BY653" s="108">
        <v>0</v>
      </c>
      <c r="BZ653" s="108">
        <v>0</v>
      </c>
      <c r="CA653" s="108">
        <v>0</v>
      </c>
      <c r="CB653" s="108">
        <v>0</v>
      </c>
    </row>
    <row r="654" spans="3:80" x14ac:dyDescent="0.55000000000000004">
      <c r="C654" s="104" t="str">
        <f>$V$88</f>
        <v>-</v>
      </c>
      <c r="D654" s="108">
        <f t="shared" ref="D654:S654" si="441">D88</f>
        <v>0</v>
      </c>
      <c r="E654" s="108">
        <f t="shared" si="441"/>
        <v>0</v>
      </c>
      <c r="F654" s="108">
        <f t="shared" si="441"/>
        <v>0</v>
      </c>
      <c r="G654" s="108">
        <f t="shared" si="441"/>
        <v>0</v>
      </c>
      <c r="H654" s="108">
        <f t="shared" si="441"/>
        <v>0</v>
      </c>
      <c r="I654" s="108">
        <f t="shared" si="441"/>
        <v>0</v>
      </c>
      <c r="J654" s="108">
        <f t="shared" si="441"/>
        <v>0</v>
      </c>
      <c r="K654" s="108">
        <f t="shared" si="441"/>
        <v>0</v>
      </c>
      <c r="L654" s="108">
        <f t="shared" si="441"/>
        <v>0</v>
      </c>
      <c r="M654" s="108">
        <f t="shared" si="441"/>
        <v>0</v>
      </c>
      <c r="N654" s="108">
        <f t="shared" si="441"/>
        <v>0</v>
      </c>
      <c r="O654" s="108">
        <f t="shared" si="441"/>
        <v>0</v>
      </c>
      <c r="P654" s="108">
        <f t="shared" si="441"/>
        <v>0</v>
      </c>
      <c r="Q654" s="108">
        <f t="shared" si="441"/>
        <v>0</v>
      </c>
      <c r="R654" s="108">
        <f t="shared" si="441"/>
        <v>0</v>
      </c>
      <c r="S654" s="108">
        <f t="shared" si="441"/>
        <v>0</v>
      </c>
      <c r="T654" s="28" t="s">
        <v>26</v>
      </c>
      <c r="V654" s="104" t="str">
        <f>$V$88</f>
        <v>-</v>
      </c>
      <c r="W654" s="108">
        <f t="shared" si="391"/>
        <v>-1</v>
      </c>
      <c r="X654" s="108">
        <f t="shared" si="392"/>
        <v>-1</v>
      </c>
      <c r="Y654" s="108">
        <f t="shared" si="393"/>
        <v>-1</v>
      </c>
      <c r="Z654" s="108">
        <f t="shared" si="394"/>
        <v>-1</v>
      </c>
      <c r="AA654" s="108">
        <f t="shared" si="395"/>
        <v>-1</v>
      </c>
      <c r="AB654" s="108">
        <f t="shared" si="396"/>
        <v>-1</v>
      </c>
      <c r="AC654" s="108">
        <f t="shared" si="397"/>
        <v>-1</v>
      </c>
      <c r="AD654" s="108">
        <f t="shared" si="398"/>
        <v>-1</v>
      </c>
      <c r="AE654" s="108">
        <f t="shared" si="399"/>
        <v>-1</v>
      </c>
      <c r="AF654" s="108">
        <f t="shared" si="400"/>
        <v>-1</v>
      </c>
      <c r="AG654" s="108">
        <f t="shared" si="401"/>
        <v>-1</v>
      </c>
      <c r="AH654" s="108">
        <f t="shared" si="402"/>
        <v>-1</v>
      </c>
      <c r="AI654" s="108">
        <f t="shared" si="403"/>
        <v>-1</v>
      </c>
      <c r="AJ654" s="108">
        <f t="shared" si="404"/>
        <v>-1</v>
      </c>
      <c r="AK654" s="108">
        <f t="shared" si="405"/>
        <v>-1</v>
      </c>
      <c r="AL654" s="108">
        <f t="shared" si="406"/>
        <v>-1</v>
      </c>
      <c r="AM654" s="108"/>
      <c r="BK654" s="104" t="str">
        <f>$V$58</f>
        <v>Weixin</v>
      </c>
      <c r="BL654" s="108">
        <v>0</v>
      </c>
      <c r="BM654" s="108">
        <v>0</v>
      </c>
      <c r="BN654" s="108">
        <v>0</v>
      </c>
      <c r="BO654" s="108">
        <v>0</v>
      </c>
      <c r="BP654" s="108">
        <v>0</v>
      </c>
      <c r="BQ654" s="108">
        <v>0</v>
      </c>
      <c r="BR654" s="108">
        <v>0</v>
      </c>
      <c r="BS654" s="108">
        <v>0</v>
      </c>
      <c r="BT654" s="108">
        <v>0</v>
      </c>
      <c r="BU654" s="108">
        <v>0</v>
      </c>
      <c r="BV654" s="108">
        <v>0</v>
      </c>
      <c r="BW654" s="108">
        <v>0</v>
      </c>
      <c r="BX654" s="108">
        <v>0</v>
      </c>
      <c r="BY654" s="108">
        <v>0</v>
      </c>
      <c r="BZ654" s="108">
        <v>0</v>
      </c>
      <c r="CA654" s="108">
        <v>0</v>
      </c>
      <c r="CB654" s="108">
        <v>0</v>
      </c>
    </row>
    <row r="655" spans="3:80" x14ac:dyDescent="0.55000000000000004">
      <c r="C655" s="104" t="str">
        <f>$V$89</f>
        <v>-</v>
      </c>
      <c r="D655" s="108">
        <f t="shared" ref="D655:S655" si="442">D89</f>
        <v>0</v>
      </c>
      <c r="E655" s="108">
        <f t="shared" si="442"/>
        <v>0</v>
      </c>
      <c r="F655" s="108">
        <f t="shared" si="442"/>
        <v>0</v>
      </c>
      <c r="G655" s="108">
        <f t="shared" si="442"/>
        <v>0</v>
      </c>
      <c r="H655" s="108">
        <f t="shared" si="442"/>
        <v>0</v>
      </c>
      <c r="I655" s="108">
        <f t="shared" si="442"/>
        <v>0</v>
      </c>
      <c r="J655" s="108">
        <f t="shared" si="442"/>
        <v>0</v>
      </c>
      <c r="K655" s="108">
        <f t="shared" si="442"/>
        <v>0</v>
      </c>
      <c r="L655" s="108">
        <f t="shared" si="442"/>
        <v>0</v>
      </c>
      <c r="M655" s="108">
        <f t="shared" si="442"/>
        <v>0</v>
      </c>
      <c r="N655" s="108">
        <f t="shared" si="442"/>
        <v>0</v>
      </c>
      <c r="O655" s="108">
        <f t="shared" si="442"/>
        <v>0</v>
      </c>
      <c r="P655" s="108">
        <f t="shared" si="442"/>
        <v>0</v>
      </c>
      <c r="Q655" s="108">
        <f t="shared" si="442"/>
        <v>0</v>
      </c>
      <c r="R655" s="108">
        <f t="shared" si="442"/>
        <v>0</v>
      </c>
      <c r="S655" s="108">
        <f t="shared" si="442"/>
        <v>0</v>
      </c>
      <c r="T655" s="28" t="s">
        <v>26</v>
      </c>
      <c r="V655" s="104" t="str">
        <f>$V$89</f>
        <v>-</v>
      </c>
      <c r="W655" s="108">
        <f t="shared" si="391"/>
        <v>-1</v>
      </c>
      <c r="X655" s="108">
        <f t="shared" si="392"/>
        <v>-1</v>
      </c>
      <c r="Y655" s="108">
        <f t="shared" si="393"/>
        <v>-1</v>
      </c>
      <c r="Z655" s="108">
        <f t="shared" si="394"/>
        <v>-1</v>
      </c>
      <c r="AA655" s="108">
        <f t="shared" si="395"/>
        <v>-1</v>
      </c>
      <c r="AB655" s="108">
        <f t="shared" si="396"/>
        <v>-1</v>
      </c>
      <c r="AC655" s="108">
        <f t="shared" si="397"/>
        <v>-1</v>
      </c>
      <c r="AD655" s="108">
        <f t="shared" si="398"/>
        <v>-1</v>
      </c>
      <c r="AE655" s="108">
        <f t="shared" si="399"/>
        <v>-1</v>
      </c>
      <c r="AF655" s="108">
        <f t="shared" si="400"/>
        <v>-1</v>
      </c>
      <c r="AG655" s="108">
        <f t="shared" si="401"/>
        <v>-1</v>
      </c>
      <c r="AH655" s="108">
        <f t="shared" si="402"/>
        <v>-1</v>
      </c>
      <c r="AI655" s="108">
        <f t="shared" si="403"/>
        <v>-1</v>
      </c>
      <c r="AJ655" s="108">
        <f t="shared" si="404"/>
        <v>-1</v>
      </c>
      <c r="AK655" s="108">
        <f t="shared" si="405"/>
        <v>-1</v>
      </c>
      <c r="AL655" s="108">
        <f t="shared" si="406"/>
        <v>-1</v>
      </c>
      <c r="AM655" s="108"/>
      <c r="BK655" s="104" t="str">
        <f>$V$59</f>
        <v>Benjamin</v>
      </c>
      <c r="BL655" s="108">
        <v>0</v>
      </c>
      <c r="BM655" s="108">
        <v>0</v>
      </c>
      <c r="BN655" s="108">
        <v>0</v>
      </c>
      <c r="BO655" s="108">
        <v>0</v>
      </c>
      <c r="BP655" s="108">
        <v>0</v>
      </c>
      <c r="BQ655" s="108">
        <v>0</v>
      </c>
      <c r="BR655" s="108">
        <v>0</v>
      </c>
      <c r="BS655" s="108">
        <v>0</v>
      </c>
      <c r="BT655" s="108">
        <v>0</v>
      </c>
      <c r="BU655" s="108">
        <v>0</v>
      </c>
      <c r="BV655" s="108">
        <v>0</v>
      </c>
      <c r="BW655" s="108">
        <v>0</v>
      </c>
      <c r="BX655" s="108">
        <v>0</v>
      </c>
      <c r="BY655" s="108">
        <v>0</v>
      </c>
      <c r="BZ655" s="108">
        <v>0</v>
      </c>
      <c r="CA655" s="108">
        <v>0</v>
      </c>
      <c r="CB655" s="108">
        <v>0</v>
      </c>
    </row>
    <row r="656" spans="3:80" x14ac:dyDescent="0.55000000000000004">
      <c r="C656" s="104" t="str">
        <f>$V$90</f>
        <v>-</v>
      </c>
      <c r="D656" s="108">
        <f t="shared" ref="D656:S656" si="443">D90</f>
        <v>0</v>
      </c>
      <c r="E656" s="108">
        <f t="shared" si="443"/>
        <v>0</v>
      </c>
      <c r="F656" s="108">
        <f t="shared" si="443"/>
        <v>0</v>
      </c>
      <c r="G656" s="108">
        <f t="shared" si="443"/>
        <v>0</v>
      </c>
      <c r="H656" s="108">
        <f t="shared" si="443"/>
        <v>0</v>
      </c>
      <c r="I656" s="108">
        <f t="shared" si="443"/>
        <v>0</v>
      </c>
      <c r="J656" s="108">
        <f t="shared" si="443"/>
        <v>0</v>
      </c>
      <c r="K656" s="108">
        <f t="shared" si="443"/>
        <v>0</v>
      </c>
      <c r="L656" s="108">
        <f t="shared" si="443"/>
        <v>0</v>
      </c>
      <c r="M656" s="108">
        <f t="shared" si="443"/>
        <v>0</v>
      </c>
      <c r="N656" s="108">
        <f t="shared" si="443"/>
        <v>0</v>
      </c>
      <c r="O656" s="108">
        <f t="shared" si="443"/>
        <v>0</v>
      </c>
      <c r="P656" s="108">
        <f t="shared" si="443"/>
        <v>0</v>
      </c>
      <c r="Q656" s="108">
        <f t="shared" si="443"/>
        <v>0</v>
      </c>
      <c r="R656" s="108">
        <f t="shared" si="443"/>
        <v>0</v>
      </c>
      <c r="S656" s="108">
        <f t="shared" si="443"/>
        <v>0</v>
      </c>
      <c r="T656" s="28" t="s">
        <v>26</v>
      </c>
      <c r="V656" s="104" t="str">
        <f>$V$90</f>
        <v>-</v>
      </c>
      <c r="W656" s="108">
        <f t="shared" si="391"/>
        <v>-1</v>
      </c>
      <c r="X656" s="108">
        <f t="shared" si="392"/>
        <v>-1</v>
      </c>
      <c r="Y656" s="108">
        <f t="shared" si="393"/>
        <v>-1</v>
      </c>
      <c r="Z656" s="108">
        <f t="shared" si="394"/>
        <v>-1</v>
      </c>
      <c r="AA656" s="108">
        <f t="shared" si="395"/>
        <v>-1</v>
      </c>
      <c r="AB656" s="108">
        <f t="shared" si="396"/>
        <v>-1</v>
      </c>
      <c r="AC656" s="108">
        <f t="shared" si="397"/>
        <v>-1</v>
      </c>
      <c r="AD656" s="108">
        <f t="shared" si="398"/>
        <v>-1</v>
      </c>
      <c r="AE656" s="108">
        <f t="shared" si="399"/>
        <v>-1</v>
      </c>
      <c r="AF656" s="108">
        <f t="shared" si="400"/>
        <v>-1</v>
      </c>
      <c r="AG656" s="108">
        <f t="shared" si="401"/>
        <v>-1</v>
      </c>
      <c r="AH656" s="108">
        <f t="shared" si="402"/>
        <v>-1</v>
      </c>
      <c r="AI656" s="108">
        <f t="shared" si="403"/>
        <v>-1</v>
      </c>
      <c r="AJ656" s="108">
        <f t="shared" si="404"/>
        <v>-1</v>
      </c>
      <c r="AK656" s="108">
        <f t="shared" si="405"/>
        <v>-1</v>
      </c>
      <c r="AL656" s="108">
        <f t="shared" si="406"/>
        <v>-1</v>
      </c>
      <c r="AM656" s="108"/>
      <c r="BK656" s="104" t="str">
        <f>$V$60</f>
        <v>Joelle</v>
      </c>
      <c r="BL656" s="108">
        <v>0</v>
      </c>
      <c r="BM656" s="108">
        <v>0</v>
      </c>
      <c r="BN656" s="108">
        <v>0</v>
      </c>
      <c r="BO656" s="108">
        <v>0</v>
      </c>
      <c r="BP656" s="108">
        <v>0</v>
      </c>
      <c r="BQ656" s="108">
        <v>0</v>
      </c>
      <c r="BR656" s="108">
        <v>0</v>
      </c>
      <c r="BS656" s="108">
        <v>0</v>
      </c>
      <c r="BT656" s="108">
        <v>0</v>
      </c>
      <c r="BU656" s="108">
        <v>0</v>
      </c>
      <c r="BV656" s="108">
        <v>0</v>
      </c>
      <c r="BW656" s="108">
        <v>0</v>
      </c>
      <c r="BX656" s="108">
        <v>0</v>
      </c>
      <c r="BY656" s="108">
        <v>0</v>
      </c>
      <c r="BZ656" s="108">
        <v>0</v>
      </c>
      <c r="CA656" s="108">
        <v>0</v>
      </c>
      <c r="CB656" s="108">
        <v>0</v>
      </c>
    </row>
    <row r="657" spans="3:80" x14ac:dyDescent="0.55000000000000004">
      <c r="C657" s="104" t="str">
        <f>$V$91</f>
        <v>-</v>
      </c>
      <c r="D657" s="108">
        <f t="shared" ref="D657:S657" si="444">D91</f>
        <v>0</v>
      </c>
      <c r="E657" s="108">
        <f t="shared" si="444"/>
        <v>0</v>
      </c>
      <c r="F657" s="108">
        <f t="shared" si="444"/>
        <v>0</v>
      </c>
      <c r="G657" s="108">
        <f t="shared" si="444"/>
        <v>0</v>
      </c>
      <c r="H657" s="108">
        <f t="shared" si="444"/>
        <v>0</v>
      </c>
      <c r="I657" s="108">
        <f t="shared" si="444"/>
        <v>0</v>
      </c>
      <c r="J657" s="108">
        <f t="shared" si="444"/>
        <v>0</v>
      </c>
      <c r="K657" s="108">
        <f t="shared" si="444"/>
        <v>0</v>
      </c>
      <c r="L657" s="108">
        <f t="shared" si="444"/>
        <v>0</v>
      </c>
      <c r="M657" s="108">
        <f t="shared" si="444"/>
        <v>0</v>
      </c>
      <c r="N657" s="108">
        <f t="shared" si="444"/>
        <v>0</v>
      </c>
      <c r="O657" s="108">
        <f t="shared" si="444"/>
        <v>0</v>
      </c>
      <c r="P657" s="108">
        <f t="shared" si="444"/>
        <v>0</v>
      </c>
      <c r="Q657" s="108">
        <f t="shared" si="444"/>
        <v>0</v>
      </c>
      <c r="R657" s="108">
        <f t="shared" si="444"/>
        <v>0</v>
      </c>
      <c r="S657" s="108">
        <f t="shared" si="444"/>
        <v>0</v>
      </c>
      <c r="T657" s="28" t="s">
        <v>26</v>
      </c>
      <c r="V657" s="104" t="str">
        <f>$V$91</f>
        <v>-</v>
      </c>
      <c r="W657" s="108">
        <f t="shared" si="391"/>
        <v>-1</v>
      </c>
      <c r="X657" s="108">
        <f t="shared" si="392"/>
        <v>-1</v>
      </c>
      <c r="Y657" s="108">
        <f t="shared" si="393"/>
        <v>-1</v>
      </c>
      <c r="Z657" s="108">
        <f t="shared" si="394"/>
        <v>-1</v>
      </c>
      <c r="AA657" s="108">
        <f t="shared" si="395"/>
        <v>-1</v>
      </c>
      <c r="AB657" s="108">
        <f t="shared" si="396"/>
        <v>-1</v>
      </c>
      <c r="AC657" s="108">
        <f t="shared" si="397"/>
        <v>-1</v>
      </c>
      <c r="AD657" s="108">
        <f t="shared" si="398"/>
        <v>-1</v>
      </c>
      <c r="AE657" s="108">
        <f t="shared" si="399"/>
        <v>-1</v>
      </c>
      <c r="AF657" s="108">
        <f t="shared" si="400"/>
        <v>-1</v>
      </c>
      <c r="AG657" s="108">
        <f t="shared" si="401"/>
        <v>-1</v>
      </c>
      <c r="AH657" s="108">
        <f t="shared" si="402"/>
        <v>-1</v>
      </c>
      <c r="AI657" s="108">
        <f t="shared" si="403"/>
        <v>-1</v>
      </c>
      <c r="AJ657" s="108">
        <f t="shared" si="404"/>
        <v>-1</v>
      </c>
      <c r="AK657" s="108">
        <f t="shared" si="405"/>
        <v>-1</v>
      </c>
      <c r="AL657" s="108">
        <f t="shared" si="406"/>
        <v>-1</v>
      </c>
      <c r="AM657" s="108"/>
      <c r="BK657" s="104" t="str">
        <f>$V$61</f>
        <v>Alexia</v>
      </c>
      <c r="BL657" s="108">
        <v>0</v>
      </c>
      <c r="BM657" s="108">
        <v>0</v>
      </c>
      <c r="BN657" s="108">
        <v>0</v>
      </c>
      <c r="BO657" s="108">
        <v>0</v>
      </c>
      <c r="BP657" s="108">
        <v>0</v>
      </c>
      <c r="BQ657" s="108">
        <v>0</v>
      </c>
      <c r="BR657" s="108">
        <v>0</v>
      </c>
      <c r="BS657" s="108">
        <v>0</v>
      </c>
      <c r="BT657" s="108">
        <v>0</v>
      </c>
      <c r="BU657" s="108">
        <v>0</v>
      </c>
      <c r="BV657" s="108">
        <v>0</v>
      </c>
      <c r="BW657" s="108">
        <v>0</v>
      </c>
      <c r="BX657" s="108">
        <v>0</v>
      </c>
      <c r="BY657" s="108">
        <v>0</v>
      </c>
      <c r="BZ657" s="108">
        <v>0</v>
      </c>
      <c r="CA657" s="108">
        <v>0</v>
      </c>
      <c r="CB657" s="108">
        <v>0</v>
      </c>
    </row>
    <row r="658" spans="3:80" x14ac:dyDescent="0.55000000000000004">
      <c r="C658" s="104" t="str">
        <f>$V$92</f>
        <v>-</v>
      </c>
      <c r="D658" s="108">
        <f t="shared" ref="D658:S658" si="445">D92</f>
        <v>0</v>
      </c>
      <c r="E658" s="108">
        <f t="shared" si="445"/>
        <v>0</v>
      </c>
      <c r="F658" s="108">
        <f t="shared" si="445"/>
        <v>0</v>
      </c>
      <c r="G658" s="108">
        <f t="shared" si="445"/>
        <v>0</v>
      </c>
      <c r="H658" s="108">
        <f t="shared" si="445"/>
        <v>0</v>
      </c>
      <c r="I658" s="108">
        <f t="shared" si="445"/>
        <v>0</v>
      </c>
      <c r="J658" s="108">
        <f t="shared" si="445"/>
        <v>0</v>
      </c>
      <c r="K658" s="108">
        <f t="shared" si="445"/>
        <v>0</v>
      </c>
      <c r="L658" s="108">
        <f t="shared" si="445"/>
        <v>0</v>
      </c>
      <c r="M658" s="108">
        <f t="shared" si="445"/>
        <v>0</v>
      </c>
      <c r="N658" s="108">
        <f t="shared" si="445"/>
        <v>0</v>
      </c>
      <c r="O658" s="108">
        <f t="shared" si="445"/>
        <v>0</v>
      </c>
      <c r="P658" s="108">
        <f t="shared" si="445"/>
        <v>0</v>
      </c>
      <c r="Q658" s="108">
        <f t="shared" si="445"/>
        <v>0</v>
      </c>
      <c r="R658" s="108">
        <f t="shared" si="445"/>
        <v>0</v>
      </c>
      <c r="S658" s="108">
        <f t="shared" si="445"/>
        <v>0</v>
      </c>
      <c r="V658" s="104" t="str">
        <f>$V$92</f>
        <v>-</v>
      </c>
      <c r="W658" s="108">
        <f t="shared" si="391"/>
        <v>-1</v>
      </c>
      <c r="X658" s="108">
        <f t="shared" si="392"/>
        <v>-1</v>
      </c>
      <c r="Y658" s="108">
        <f t="shared" si="393"/>
        <v>-1</v>
      </c>
      <c r="Z658" s="108">
        <f t="shared" si="394"/>
        <v>-1</v>
      </c>
      <c r="AA658" s="108">
        <f t="shared" si="395"/>
        <v>-1</v>
      </c>
      <c r="AB658" s="108">
        <f t="shared" si="396"/>
        <v>-1</v>
      </c>
      <c r="AC658" s="108">
        <f t="shared" si="397"/>
        <v>-1</v>
      </c>
      <c r="AD658" s="108">
        <f t="shared" si="398"/>
        <v>-1</v>
      </c>
      <c r="AE658" s="108">
        <f t="shared" si="399"/>
        <v>-1</v>
      </c>
      <c r="AF658" s="108">
        <f t="shared" si="400"/>
        <v>-1</v>
      </c>
      <c r="AG658" s="108">
        <f t="shared" si="401"/>
        <v>-1</v>
      </c>
      <c r="AH658" s="108">
        <f t="shared" si="402"/>
        <v>-1</v>
      </c>
      <c r="AI658" s="108">
        <f t="shared" si="403"/>
        <v>-1</v>
      </c>
      <c r="AJ658" s="108">
        <f t="shared" si="404"/>
        <v>-1</v>
      </c>
      <c r="AK658" s="108">
        <f t="shared" si="405"/>
        <v>-1</v>
      </c>
      <c r="AL658" s="108">
        <f t="shared" si="406"/>
        <v>-1</v>
      </c>
      <c r="AM658" s="108"/>
      <c r="BK658" s="104" t="str">
        <f>$V$62</f>
        <v>Joao</v>
      </c>
      <c r="BL658" s="108">
        <v>0</v>
      </c>
      <c r="BM658" s="108">
        <v>0</v>
      </c>
      <c r="BN658" s="108">
        <v>0</v>
      </c>
      <c r="BO658" s="108">
        <v>0</v>
      </c>
      <c r="BP658" s="108">
        <v>0</v>
      </c>
      <c r="BQ658" s="108">
        <v>0</v>
      </c>
      <c r="BR658" s="108">
        <v>0</v>
      </c>
      <c r="BS658" s="108">
        <v>0</v>
      </c>
      <c r="BT658" s="108">
        <v>0</v>
      </c>
      <c r="BU658" s="108">
        <v>0</v>
      </c>
      <c r="BV658" s="108">
        <v>0</v>
      </c>
      <c r="BW658" s="108">
        <v>0</v>
      </c>
      <c r="BX658" s="108">
        <v>0</v>
      </c>
      <c r="BY658" s="108">
        <v>0</v>
      </c>
      <c r="BZ658" s="108">
        <v>0</v>
      </c>
      <c r="CA658" s="108">
        <v>0</v>
      </c>
      <c r="CB658" s="108">
        <v>0</v>
      </c>
    </row>
    <row r="659" spans="3:80" x14ac:dyDescent="0.55000000000000004">
      <c r="AM659" s="108"/>
      <c r="BK659" s="104" t="str">
        <f>$V$63</f>
        <v>Maxime</v>
      </c>
      <c r="BL659" s="108">
        <v>0</v>
      </c>
      <c r="BM659" s="108">
        <v>0</v>
      </c>
      <c r="BN659" s="108">
        <v>0</v>
      </c>
      <c r="BO659" s="108">
        <v>0</v>
      </c>
      <c r="BP659" s="108">
        <v>0</v>
      </c>
      <c r="BQ659" s="108">
        <v>0</v>
      </c>
      <c r="BR659" s="108">
        <v>0</v>
      </c>
      <c r="BS659" s="108">
        <v>0</v>
      </c>
      <c r="BT659" s="108">
        <v>0</v>
      </c>
      <c r="BU659" s="108">
        <v>0</v>
      </c>
      <c r="BV659" s="108">
        <v>0</v>
      </c>
      <c r="BW659" s="108">
        <v>0</v>
      </c>
      <c r="BX659" s="108">
        <v>0</v>
      </c>
      <c r="BY659" s="108">
        <v>0</v>
      </c>
      <c r="BZ659" s="108">
        <v>0</v>
      </c>
      <c r="CA659" s="108">
        <v>0</v>
      </c>
      <c r="CB659" s="108">
        <v>0</v>
      </c>
    </row>
    <row r="660" spans="3:80" x14ac:dyDescent="0.55000000000000004">
      <c r="AM660" s="108"/>
      <c r="BK660" s="104" t="str">
        <f>$V$64</f>
        <v>Alex</v>
      </c>
      <c r="BL660" s="108">
        <v>0</v>
      </c>
      <c r="BM660" s="108">
        <v>0</v>
      </c>
      <c r="BN660" s="108">
        <v>0</v>
      </c>
      <c r="BO660" s="108">
        <v>0</v>
      </c>
      <c r="BP660" s="108">
        <v>0</v>
      </c>
      <c r="BQ660" s="108">
        <v>0</v>
      </c>
      <c r="BR660" s="108">
        <v>0</v>
      </c>
      <c r="BS660" s="108">
        <v>0</v>
      </c>
      <c r="BT660" s="108">
        <v>0</v>
      </c>
      <c r="BU660" s="108">
        <v>0</v>
      </c>
      <c r="BV660" s="108">
        <v>0</v>
      </c>
      <c r="BW660" s="108">
        <v>0</v>
      </c>
      <c r="BX660" s="108">
        <v>0</v>
      </c>
      <c r="BY660" s="108">
        <v>0</v>
      </c>
      <c r="BZ660" s="108">
        <v>0</v>
      </c>
      <c r="CA660" s="108">
        <v>0</v>
      </c>
      <c r="CB660" s="108">
        <v>0</v>
      </c>
    </row>
    <row r="661" spans="3:80" x14ac:dyDescent="0.55000000000000004">
      <c r="AM661" s="108"/>
      <c r="BK661" s="104" t="str">
        <f>$V$65</f>
        <v>Alyssa</v>
      </c>
      <c r="BL661" s="108">
        <v>0</v>
      </c>
      <c r="BM661" s="108">
        <v>0</v>
      </c>
      <c r="BN661" s="108">
        <v>0</v>
      </c>
      <c r="BO661" s="108">
        <v>0</v>
      </c>
      <c r="BP661" s="108">
        <v>0</v>
      </c>
      <c r="BQ661" s="108">
        <v>0</v>
      </c>
      <c r="BR661" s="108">
        <v>0</v>
      </c>
      <c r="BS661" s="108">
        <v>0</v>
      </c>
      <c r="BT661" s="108">
        <v>0</v>
      </c>
      <c r="BU661" s="108">
        <v>0</v>
      </c>
      <c r="BV661" s="108">
        <v>0</v>
      </c>
      <c r="BW661" s="108">
        <v>0</v>
      </c>
      <c r="BX661" s="108">
        <v>0</v>
      </c>
      <c r="BY661" s="108">
        <v>0</v>
      </c>
      <c r="BZ661" s="108">
        <v>0</v>
      </c>
      <c r="CA661" s="108">
        <v>0</v>
      </c>
      <c r="CB661" s="108">
        <v>0</v>
      </c>
    </row>
    <row r="662" spans="3:80" x14ac:dyDescent="0.55000000000000004">
      <c r="C662" s="104" t="str">
        <f>$BK$252</f>
        <v>Homing</v>
      </c>
      <c r="D662" s="104" t="str">
        <f>$W$33</f>
        <v>16h</v>
      </c>
      <c r="E662" s="104" t="str">
        <f>$X$33</f>
        <v>17h</v>
      </c>
      <c r="F662" s="104" t="str">
        <f>$Y$33</f>
        <v>18h</v>
      </c>
      <c r="G662" s="104" t="str">
        <f>$Z$33</f>
        <v>19h</v>
      </c>
      <c r="H662" s="104" t="str">
        <f>$AA$33</f>
        <v>20h</v>
      </c>
      <c r="I662" s="104" t="str">
        <f>$AB$33</f>
        <v>21h</v>
      </c>
      <c r="J662" s="104" t="str">
        <f>$AC$33</f>
        <v>22h</v>
      </c>
      <c r="K662" s="104" t="str">
        <f>$AD$33</f>
        <v>23h</v>
      </c>
      <c r="L662" s="104" t="str">
        <f>$AE$33</f>
        <v>00h</v>
      </c>
      <c r="M662" s="104" t="str">
        <f>$AF$33</f>
        <v>01h</v>
      </c>
      <c r="N662" s="104" t="str">
        <f>$AG$33</f>
        <v>02h</v>
      </c>
      <c r="O662" s="104" t="str">
        <f>$AH$33</f>
        <v>03h</v>
      </c>
      <c r="P662" s="104" t="str">
        <f>$AI$33</f>
        <v>04h</v>
      </c>
      <c r="Q662" s="104" t="str">
        <f>$AJ$33</f>
        <v>05h</v>
      </c>
      <c r="R662" s="104" t="str">
        <f>$AK$33</f>
        <v>06h</v>
      </c>
      <c r="S662" s="104" t="str">
        <f>$AL$33</f>
        <v>07h</v>
      </c>
      <c r="T662" s="28" t="s">
        <v>26</v>
      </c>
      <c r="V662" s="104" t="str">
        <f>$BK$252</f>
        <v>Homing</v>
      </c>
      <c r="W662" s="104" t="str">
        <f>$W$33</f>
        <v>16h</v>
      </c>
      <c r="X662" s="104" t="str">
        <f>$X$33</f>
        <v>17h</v>
      </c>
      <c r="Y662" s="104" t="str">
        <f>$Y$33</f>
        <v>18h</v>
      </c>
      <c r="Z662" s="104" t="str">
        <f>$Z$33</f>
        <v>19h</v>
      </c>
      <c r="AA662" s="104" t="str">
        <f>$AA$33</f>
        <v>20h</v>
      </c>
      <c r="AB662" s="104" t="str">
        <f>$AB$33</f>
        <v>21h</v>
      </c>
      <c r="AC662" s="104" t="str">
        <f>$AC$33</f>
        <v>22h</v>
      </c>
      <c r="AD662" s="104" t="str">
        <f>$AD$33</f>
        <v>23h</v>
      </c>
      <c r="AE662" s="104" t="str">
        <f>$AE$33</f>
        <v>00h</v>
      </c>
      <c r="AF662" s="104" t="str">
        <f>$AF$33</f>
        <v>01h</v>
      </c>
      <c r="AG662" s="104" t="str">
        <f>$AG$33</f>
        <v>02h</v>
      </c>
      <c r="AH662" s="104" t="str">
        <f>$AH$33</f>
        <v>03h</v>
      </c>
      <c r="AI662" s="104" t="str">
        <f>$AI$33</f>
        <v>04h</v>
      </c>
      <c r="AJ662" s="104" t="str">
        <f>$AJ$33</f>
        <v>05h</v>
      </c>
      <c r="AK662" s="104" t="str">
        <f>$AK$33</f>
        <v>06h</v>
      </c>
      <c r="AL662" s="104" t="str">
        <f>$AL$33</f>
        <v>07h</v>
      </c>
      <c r="AM662" s="108"/>
      <c r="BK662" s="104" t="str">
        <f>$V$66</f>
        <v>Amanda</v>
      </c>
      <c r="BL662" s="108">
        <v>0</v>
      </c>
      <c r="BM662" s="108">
        <v>0</v>
      </c>
      <c r="BN662" s="108">
        <v>0</v>
      </c>
      <c r="BO662" s="108">
        <v>0</v>
      </c>
      <c r="BP662" s="108">
        <v>0</v>
      </c>
      <c r="BQ662" s="108">
        <v>0</v>
      </c>
      <c r="BR662" s="108">
        <v>0</v>
      </c>
      <c r="BS662" s="108">
        <v>0</v>
      </c>
      <c r="BT662" s="108">
        <v>0</v>
      </c>
      <c r="BU662" s="108">
        <v>0</v>
      </c>
      <c r="BV662" s="108">
        <v>0</v>
      </c>
      <c r="BW662" s="108">
        <v>0</v>
      </c>
      <c r="BX662" s="108">
        <v>0</v>
      </c>
      <c r="BY662" s="108">
        <v>0</v>
      </c>
      <c r="BZ662" s="108">
        <v>0</v>
      </c>
      <c r="CA662" s="108">
        <v>0</v>
      </c>
      <c r="CB662" s="108">
        <v>0</v>
      </c>
    </row>
    <row r="663" spans="3:80" x14ac:dyDescent="0.55000000000000004">
      <c r="C663" s="104" t="str">
        <f>$V$53</f>
        <v>Jennifer</v>
      </c>
      <c r="D663" s="108">
        <f t="shared" ref="D663:S663" si="446">D53</f>
        <v>0</v>
      </c>
      <c r="E663" s="108">
        <f t="shared" si="446"/>
        <v>0</v>
      </c>
      <c r="F663" s="108">
        <f t="shared" si="446"/>
        <v>0</v>
      </c>
      <c r="G663" s="108">
        <f t="shared" si="446"/>
        <v>0</v>
      </c>
      <c r="H663" s="108">
        <f t="shared" si="446"/>
        <v>0</v>
      </c>
      <c r="I663" s="108">
        <f t="shared" si="446"/>
        <v>0</v>
      </c>
      <c r="J663" s="108">
        <f t="shared" si="446"/>
        <v>0</v>
      </c>
      <c r="K663" s="108">
        <f t="shared" si="446"/>
        <v>0</v>
      </c>
      <c r="L663" s="108">
        <f t="shared" si="446"/>
        <v>0</v>
      </c>
      <c r="M663" s="108">
        <f t="shared" si="446"/>
        <v>0</v>
      </c>
      <c r="N663" s="108">
        <f t="shared" si="446"/>
        <v>0</v>
      </c>
      <c r="O663" s="108">
        <f t="shared" si="446"/>
        <v>0</v>
      </c>
      <c r="P663" s="108">
        <f t="shared" si="446"/>
        <v>0</v>
      </c>
      <c r="Q663" s="108">
        <f t="shared" si="446"/>
        <v>0</v>
      </c>
      <c r="R663" s="108">
        <f t="shared" si="446"/>
        <v>0</v>
      </c>
      <c r="S663" s="108">
        <f t="shared" si="446"/>
        <v>0</v>
      </c>
      <c r="T663" s="28" t="s">
        <v>26</v>
      </c>
      <c r="V663" s="104" t="str">
        <f>$V$53</f>
        <v>Jennifer</v>
      </c>
      <c r="W663" s="108">
        <f t="shared" ref="W663:W702" si="447">AR234+AS234-1</f>
        <v>-1</v>
      </c>
      <c r="X663" s="108">
        <f t="shared" ref="X663:X702" si="448">AS234+AT234-1</f>
        <v>-1</v>
      </c>
      <c r="Y663" s="108">
        <f t="shared" ref="Y663:Y702" si="449">AT234+AU234-1</f>
        <v>-1</v>
      </c>
      <c r="Z663" s="108">
        <f t="shared" ref="Z663:Z702" si="450">AU234+AV234-1</f>
        <v>-1</v>
      </c>
      <c r="AA663" s="108">
        <f t="shared" ref="AA663:AA702" si="451">AV234+AW234-1</f>
        <v>-1</v>
      </c>
      <c r="AB663" s="108">
        <f t="shared" ref="AB663:AB702" si="452">AW234+AX234-1</f>
        <v>-1</v>
      </c>
      <c r="AC663" s="108">
        <f t="shared" ref="AC663:AC702" si="453">AX234+AY234-1</f>
        <v>-1</v>
      </c>
      <c r="AD663" s="108">
        <f t="shared" ref="AD663:AD702" si="454">AY234+AZ234-1</f>
        <v>-1</v>
      </c>
      <c r="AE663" s="108">
        <f t="shared" ref="AE663:AE702" si="455">AZ234+BA234-1</f>
        <v>-1</v>
      </c>
      <c r="AF663" s="108">
        <f t="shared" ref="AF663:AF702" si="456">BA234+BB234-1</f>
        <v>-1</v>
      </c>
      <c r="AG663" s="108">
        <f t="shared" ref="AG663:AG702" si="457">BB234+BC234-1</f>
        <v>-1</v>
      </c>
      <c r="AH663" s="108">
        <f t="shared" ref="AH663:AH702" si="458">BC234+BD234-1</f>
        <v>-1</v>
      </c>
      <c r="AI663" s="108">
        <f t="shared" ref="AI663:AI702" si="459">BD234+BE234-1</f>
        <v>-1</v>
      </c>
      <c r="AJ663" s="108">
        <f t="shared" ref="AJ663:AJ702" si="460">BE234+BF234-1</f>
        <v>-1</v>
      </c>
      <c r="AK663" s="108">
        <f t="shared" ref="AK663:AK702" si="461">BF234+BG234-1</f>
        <v>-1</v>
      </c>
      <c r="AL663" s="108">
        <f t="shared" ref="AL663:AL702" si="462">BG234+BH234-1</f>
        <v>-1</v>
      </c>
      <c r="AM663" s="108"/>
      <c r="BK663" s="104" t="str">
        <f>$V$67</f>
        <v>Antoine</v>
      </c>
      <c r="BL663" s="108">
        <v>0</v>
      </c>
      <c r="BM663" s="108">
        <v>0</v>
      </c>
      <c r="BN663" s="108">
        <v>0</v>
      </c>
      <c r="BO663" s="108">
        <v>0</v>
      </c>
      <c r="BP663" s="108">
        <v>0</v>
      </c>
      <c r="BQ663" s="108">
        <v>0</v>
      </c>
      <c r="BR663" s="108">
        <v>0</v>
      </c>
      <c r="BS663" s="108">
        <v>0</v>
      </c>
      <c r="BT663" s="108">
        <v>0</v>
      </c>
      <c r="BU663" s="108">
        <v>0</v>
      </c>
      <c r="BV663" s="108">
        <v>0</v>
      </c>
      <c r="BW663" s="108">
        <v>0</v>
      </c>
      <c r="BX663" s="108">
        <v>0</v>
      </c>
      <c r="BY663" s="108">
        <v>0</v>
      </c>
      <c r="BZ663" s="108">
        <v>0</v>
      </c>
      <c r="CA663" s="108">
        <v>0</v>
      </c>
      <c r="CB663" s="108">
        <v>0</v>
      </c>
    </row>
    <row r="664" spans="3:80" x14ac:dyDescent="0.55000000000000004">
      <c r="C664" s="104" t="str">
        <f>$V$54</f>
        <v>Galileo</v>
      </c>
      <c r="D664" s="108">
        <f t="shared" ref="D664:S664" si="463">D54</f>
        <v>0</v>
      </c>
      <c r="E664" s="108">
        <f t="shared" si="463"/>
        <v>0</v>
      </c>
      <c r="F664" s="108">
        <f t="shared" si="463"/>
        <v>0</v>
      </c>
      <c r="G664" s="108">
        <f t="shared" si="463"/>
        <v>0</v>
      </c>
      <c r="H664" s="108">
        <f t="shared" si="463"/>
        <v>0</v>
      </c>
      <c r="I664" s="108">
        <f t="shared" si="463"/>
        <v>0</v>
      </c>
      <c r="J664" s="108">
        <f t="shared" si="463"/>
        <v>0</v>
      </c>
      <c r="K664" s="108">
        <f t="shared" si="463"/>
        <v>0</v>
      </c>
      <c r="L664" s="108">
        <f t="shared" si="463"/>
        <v>0</v>
      </c>
      <c r="M664" s="108">
        <f t="shared" si="463"/>
        <v>0</v>
      </c>
      <c r="N664" s="108">
        <f t="shared" si="463"/>
        <v>0</v>
      </c>
      <c r="O664" s="108">
        <f t="shared" si="463"/>
        <v>0</v>
      </c>
      <c r="P664" s="108">
        <f t="shared" si="463"/>
        <v>0</v>
      </c>
      <c r="Q664" s="108">
        <f t="shared" si="463"/>
        <v>0</v>
      </c>
      <c r="R664" s="108">
        <f t="shared" si="463"/>
        <v>0</v>
      </c>
      <c r="S664" s="108">
        <f t="shared" si="463"/>
        <v>0</v>
      </c>
      <c r="T664" s="28" t="s">
        <v>26</v>
      </c>
      <c r="V664" s="104" t="str">
        <f>$V$54</f>
        <v>Galileo</v>
      </c>
      <c r="W664" s="108">
        <f t="shared" si="447"/>
        <v>-1</v>
      </c>
      <c r="X664" s="108">
        <f t="shared" si="448"/>
        <v>-1</v>
      </c>
      <c r="Y664" s="108">
        <f t="shared" si="449"/>
        <v>-1</v>
      </c>
      <c r="Z664" s="108">
        <f t="shared" si="450"/>
        <v>-1</v>
      </c>
      <c r="AA664" s="108">
        <f t="shared" si="451"/>
        <v>-1</v>
      </c>
      <c r="AB664" s="108">
        <f t="shared" si="452"/>
        <v>-1</v>
      </c>
      <c r="AC664" s="108">
        <f t="shared" si="453"/>
        <v>-1</v>
      </c>
      <c r="AD664" s="108">
        <f t="shared" si="454"/>
        <v>-1</v>
      </c>
      <c r="AE664" s="108">
        <f t="shared" si="455"/>
        <v>-1</v>
      </c>
      <c r="AF664" s="108">
        <f t="shared" si="456"/>
        <v>-1</v>
      </c>
      <c r="AG664" s="108">
        <f t="shared" si="457"/>
        <v>-1</v>
      </c>
      <c r="AH664" s="108">
        <f t="shared" si="458"/>
        <v>-1</v>
      </c>
      <c r="AI664" s="108">
        <f t="shared" si="459"/>
        <v>-1</v>
      </c>
      <c r="AJ664" s="108">
        <f t="shared" si="460"/>
        <v>-1</v>
      </c>
      <c r="AK664" s="108">
        <f t="shared" si="461"/>
        <v>-1</v>
      </c>
      <c r="AL664" s="108">
        <f t="shared" si="462"/>
        <v>-1</v>
      </c>
      <c r="AM664" s="108"/>
      <c r="BK664" s="104" t="str">
        <f>$V$68</f>
        <v>Beatriz</v>
      </c>
      <c r="BL664" s="108">
        <v>0</v>
      </c>
      <c r="BM664" s="108">
        <v>0</v>
      </c>
      <c r="BN664" s="108">
        <v>0</v>
      </c>
      <c r="BO664" s="108">
        <v>0</v>
      </c>
      <c r="BP664" s="108">
        <v>0</v>
      </c>
      <c r="BQ664" s="108">
        <v>0</v>
      </c>
      <c r="BR664" s="108">
        <v>0</v>
      </c>
      <c r="BS664" s="108">
        <v>0</v>
      </c>
      <c r="BT664" s="108">
        <v>0</v>
      </c>
      <c r="BU664" s="108">
        <v>0</v>
      </c>
      <c r="BV664" s="108">
        <v>0</v>
      </c>
      <c r="BW664" s="108">
        <v>0</v>
      </c>
      <c r="BX664" s="108">
        <v>0</v>
      </c>
      <c r="BY664" s="108">
        <v>0</v>
      </c>
      <c r="BZ664" s="108">
        <v>0</v>
      </c>
      <c r="CA664" s="108">
        <v>0</v>
      </c>
      <c r="CB664" s="108">
        <v>0</v>
      </c>
    </row>
    <row r="665" spans="3:80" x14ac:dyDescent="0.55000000000000004">
      <c r="C665" s="104" t="str">
        <f>$V$55</f>
        <v>Óscar</v>
      </c>
      <c r="D665" s="108">
        <f t="shared" ref="D665:S665" si="464">D55</f>
        <v>0</v>
      </c>
      <c r="E665" s="108">
        <f t="shared" si="464"/>
        <v>0</v>
      </c>
      <c r="F665" s="108">
        <f t="shared" si="464"/>
        <v>0</v>
      </c>
      <c r="G665" s="108">
        <f t="shared" si="464"/>
        <v>0</v>
      </c>
      <c r="H665" s="108">
        <f t="shared" si="464"/>
        <v>0</v>
      </c>
      <c r="I665" s="108">
        <f t="shared" si="464"/>
        <v>0</v>
      </c>
      <c r="J665" s="108">
        <f t="shared" si="464"/>
        <v>0</v>
      </c>
      <c r="K665" s="108">
        <f t="shared" si="464"/>
        <v>0</v>
      </c>
      <c r="L665" s="108">
        <f t="shared" si="464"/>
        <v>0</v>
      </c>
      <c r="M665" s="108">
        <f t="shared" si="464"/>
        <v>0</v>
      </c>
      <c r="N665" s="108">
        <f t="shared" si="464"/>
        <v>0</v>
      </c>
      <c r="O665" s="108">
        <f t="shared" si="464"/>
        <v>0</v>
      </c>
      <c r="P665" s="108">
        <f t="shared" si="464"/>
        <v>0</v>
      </c>
      <c r="Q665" s="108">
        <f t="shared" si="464"/>
        <v>0</v>
      </c>
      <c r="R665" s="108">
        <f t="shared" si="464"/>
        <v>0</v>
      </c>
      <c r="S665" s="108">
        <f t="shared" si="464"/>
        <v>0</v>
      </c>
      <c r="T665" s="28" t="s">
        <v>26</v>
      </c>
      <c r="V665" s="104" t="str">
        <f>$V$55</f>
        <v>Óscar</v>
      </c>
      <c r="W665" s="108">
        <f t="shared" si="447"/>
        <v>-1</v>
      </c>
      <c r="X665" s="108">
        <f t="shared" si="448"/>
        <v>-1</v>
      </c>
      <c r="Y665" s="108">
        <f t="shared" si="449"/>
        <v>-1</v>
      </c>
      <c r="Z665" s="108">
        <f t="shared" si="450"/>
        <v>-1</v>
      </c>
      <c r="AA665" s="108">
        <f t="shared" si="451"/>
        <v>-1</v>
      </c>
      <c r="AB665" s="108">
        <f t="shared" si="452"/>
        <v>-1</v>
      </c>
      <c r="AC665" s="108">
        <f t="shared" si="453"/>
        <v>-1</v>
      </c>
      <c r="AD665" s="108">
        <f t="shared" si="454"/>
        <v>-1</v>
      </c>
      <c r="AE665" s="108">
        <f t="shared" si="455"/>
        <v>-1</v>
      </c>
      <c r="AF665" s="108">
        <f t="shared" si="456"/>
        <v>-1</v>
      </c>
      <c r="AG665" s="108">
        <f t="shared" si="457"/>
        <v>-1</v>
      </c>
      <c r="AH665" s="108">
        <f t="shared" si="458"/>
        <v>-1</v>
      </c>
      <c r="AI665" s="108">
        <f t="shared" si="459"/>
        <v>-1</v>
      </c>
      <c r="AJ665" s="108">
        <f t="shared" si="460"/>
        <v>-1</v>
      </c>
      <c r="AK665" s="108">
        <f t="shared" si="461"/>
        <v>-1</v>
      </c>
      <c r="AL665" s="108">
        <f t="shared" si="462"/>
        <v>-1</v>
      </c>
      <c r="AM665" s="108"/>
      <c r="BK665" s="104" t="str">
        <f>$V$69</f>
        <v>Charelle</v>
      </c>
      <c r="BL665" s="108">
        <v>0</v>
      </c>
      <c r="BM665" s="108">
        <v>0</v>
      </c>
      <c r="BN665" s="108">
        <v>0</v>
      </c>
      <c r="BO665" s="108">
        <v>0</v>
      </c>
      <c r="BP665" s="108">
        <v>0</v>
      </c>
      <c r="BQ665" s="108">
        <v>0</v>
      </c>
      <c r="BR665" s="108">
        <v>0</v>
      </c>
      <c r="BS665" s="108">
        <v>0</v>
      </c>
      <c r="BT665" s="108">
        <v>0</v>
      </c>
      <c r="BU665" s="108">
        <v>0</v>
      </c>
      <c r="BV665" s="108">
        <v>0</v>
      </c>
      <c r="BW665" s="108">
        <v>0</v>
      </c>
      <c r="BX665" s="108">
        <v>0</v>
      </c>
      <c r="BY665" s="108">
        <v>0</v>
      </c>
      <c r="BZ665" s="108">
        <v>0</v>
      </c>
      <c r="CA665" s="108">
        <v>0</v>
      </c>
      <c r="CB665" s="108">
        <v>0</v>
      </c>
    </row>
    <row r="666" spans="3:80" x14ac:dyDescent="0.55000000000000004">
      <c r="C666" s="104" t="str">
        <f>$V$56</f>
        <v>Sebastián</v>
      </c>
      <c r="D666" s="108">
        <f t="shared" ref="D666:S666" si="465">D56</f>
        <v>0</v>
      </c>
      <c r="E666" s="108">
        <f t="shared" si="465"/>
        <v>0</v>
      </c>
      <c r="F666" s="108">
        <f t="shared" si="465"/>
        <v>0</v>
      </c>
      <c r="G666" s="108">
        <f t="shared" si="465"/>
        <v>0</v>
      </c>
      <c r="H666" s="108">
        <f t="shared" si="465"/>
        <v>0</v>
      </c>
      <c r="I666" s="108">
        <f t="shared" si="465"/>
        <v>0</v>
      </c>
      <c r="J666" s="108">
        <f t="shared" si="465"/>
        <v>0</v>
      </c>
      <c r="K666" s="108">
        <f t="shared" si="465"/>
        <v>0</v>
      </c>
      <c r="L666" s="108">
        <f t="shared" si="465"/>
        <v>0</v>
      </c>
      <c r="M666" s="108">
        <f t="shared" si="465"/>
        <v>0</v>
      </c>
      <c r="N666" s="108">
        <f t="shared" si="465"/>
        <v>0</v>
      </c>
      <c r="O666" s="108">
        <f t="shared" si="465"/>
        <v>0</v>
      </c>
      <c r="P666" s="108">
        <f t="shared" si="465"/>
        <v>0</v>
      </c>
      <c r="Q666" s="108">
        <f t="shared" si="465"/>
        <v>0</v>
      </c>
      <c r="R666" s="108">
        <f t="shared" si="465"/>
        <v>0</v>
      </c>
      <c r="S666" s="108">
        <f t="shared" si="465"/>
        <v>0</v>
      </c>
      <c r="T666" s="28" t="s">
        <v>26</v>
      </c>
      <c r="V666" s="104" t="str">
        <f>$V$56</f>
        <v>Sebastián</v>
      </c>
      <c r="W666" s="108">
        <f t="shared" si="447"/>
        <v>-1</v>
      </c>
      <c r="X666" s="108">
        <f t="shared" si="448"/>
        <v>-1</v>
      </c>
      <c r="Y666" s="108">
        <f t="shared" si="449"/>
        <v>-1</v>
      </c>
      <c r="Z666" s="108">
        <f t="shared" si="450"/>
        <v>-1</v>
      </c>
      <c r="AA666" s="108">
        <f t="shared" si="451"/>
        <v>-1</v>
      </c>
      <c r="AB666" s="108">
        <f t="shared" si="452"/>
        <v>-1</v>
      </c>
      <c r="AC666" s="108">
        <f t="shared" si="453"/>
        <v>-1</v>
      </c>
      <c r="AD666" s="108">
        <f t="shared" si="454"/>
        <v>-1</v>
      </c>
      <c r="AE666" s="108">
        <f t="shared" si="455"/>
        <v>-1</v>
      </c>
      <c r="AF666" s="108">
        <f t="shared" si="456"/>
        <v>-1</v>
      </c>
      <c r="AG666" s="108">
        <f t="shared" si="457"/>
        <v>-1</v>
      </c>
      <c r="AH666" s="108">
        <f t="shared" si="458"/>
        <v>-1</v>
      </c>
      <c r="AI666" s="108">
        <f t="shared" si="459"/>
        <v>-1</v>
      </c>
      <c r="AJ666" s="108">
        <f t="shared" si="460"/>
        <v>-1</v>
      </c>
      <c r="AK666" s="108">
        <f t="shared" si="461"/>
        <v>-1</v>
      </c>
      <c r="AL666" s="108">
        <f t="shared" si="462"/>
        <v>-1</v>
      </c>
      <c r="AM666" s="108"/>
      <c r="BK666" s="104" t="str">
        <f>$V$70</f>
        <v>Dimitri</v>
      </c>
      <c r="BL666" s="108">
        <v>0</v>
      </c>
      <c r="BM666" s="108">
        <v>0</v>
      </c>
      <c r="BN666" s="108">
        <v>0</v>
      </c>
      <c r="BO666" s="108">
        <v>0</v>
      </c>
      <c r="BP666" s="108">
        <v>0</v>
      </c>
      <c r="BQ666" s="108">
        <v>0</v>
      </c>
      <c r="BR666" s="108">
        <v>0</v>
      </c>
      <c r="BS666" s="108">
        <v>0</v>
      </c>
      <c r="BT666" s="108">
        <v>0</v>
      </c>
      <c r="BU666" s="108">
        <v>0</v>
      </c>
      <c r="BV666" s="108">
        <v>0</v>
      </c>
      <c r="BW666" s="108">
        <v>0</v>
      </c>
      <c r="BX666" s="108">
        <v>0</v>
      </c>
      <c r="BY666" s="108">
        <v>0</v>
      </c>
      <c r="BZ666" s="108">
        <v>0</v>
      </c>
      <c r="CA666" s="108">
        <v>0</v>
      </c>
      <c r="CB666" s="108">
        <v>0</v>
      </c>
    </row>
    <row r="667" spans="3:80" x14ac:dyDescent="0.55000000000000004">
      <c r="C667" s="104" t="str">
        <f>$V$57</f>
        <v>Marcos</v>
      </c>
      <c r="D667" s="108">
        <f t="shared" ref="D667:S667" si="466">D57</f>
        <v>0</v>
      </c>
      <c r="E667" s="108">
        <f t="shared" si="466"/>
        <v>0</v>
      </c>
      <c r="F667" s="108">
        <f t="shared" si="466"/>
        <v>0</v>
      </c>
      <c r="G667" s="108">
        <f t="shared" si="466"/>
        <v>0</v>
      </c>
      <c r="H667" s="108">
        <f t="shared" si="466"/>
        <v>0</v>
      </c>
      <c r="I667" s="108">
        <f t="shared" si="466"/>
        <v>0</v>
      </c>
      <c r="J667" s="108">
        <f t="shared" si="466"/>
        <v>0</v>
      </c>
      <c r="K667" s="108">
        <f t="shared" si="466"/>
        <v>0</v>
      </c>
      <c r="L667" s="108">
        <f t="shared" si="466"/>
        <v>0</v>
      </c>
      <c r="M667" s="108">
        <f t="shared" si="466"/>
        <v>0</v>
      </c>
      <c r="N667" s="108">
        <f t="shared" si="466"/>
        <v>0</v>
      </c>
      <c r="O667" s="108">
        <f t="shared" si="466"/>
        <v>0</v>
      </c>
      <c r="P667" s="108">
        <f t="shared" si="466"/>
        <v>0</v>
      </c>
      <c r="Q667" s="108">
        <f t="shared" si="466"/>
        <v>0</v>
      </c>
      <c r="R667" s="108">
        <f t="shared" si="466"/>
        <v>0</v>
      </c>
      <c r="S667" s="108">
        <f t="shared" si="466"/>
        <v>0</v>
      </c>
      <c r="T667" s="28" t="s">
        <v>26</v>
      </c>
      <c r="V667" s="104" t="str">
        <f>$V$57</f>
        <v>Marcos</v>
      </c>
      <c r="W667" s="108">
        <f t="shared" si="447"/>
        <v>-1</v>
      </c>
      <c r="X667" s="108">
        <f t="shared" si="448"/>
        <v>-1</v>
      </c>
      <c r="Y667" s="108">
        <f t="shared" si="449"/>
        <v>-1</v>
      </c>
      <c r="Z667" s="108">
        <f t="shared" si="450"/>
        <v>-1</v>
      </c>
      <c r="AA667" s="108">
        <f t="shared" si="451"/>
        <v>-1</v>
      </c>
      <c r="AB667" s="108">
        <f t="shared" si="452"/>
        <v>-1</v>
      </c>
      <c r="AC667" s="108">
        <f t="shared" si="453"/>
        <v>-1</v>
      </c>
      <c r="AD667" s="108">
        <f t="shared" si="454"/>
        <v>-1</v>
      </c>
      <c r="AE667" s="108">
        <f t="shared" si="455"/>
        <v>-1</v>
      </c>
      <c r="AF667" s="108">
        <f t="shared" si="456"/>
        <v>-1</v>
      </c>
      <c r="AG667" s="108">
        <f t="shared" si="457"/>
        <v>-1</v>
      </c>
      <c r="AH667" s="108">
        <f t="shared" si="458"/>
        <v>-1</v>
      </c>
      <c r="AI667" s="108">
        <f t="shared" si="459"/>
        <v>-1</v>
      </c>
      <c r="AJ667" s="108">
        <f t="shared" si="460"/>
        <v>-1</v>
      </c>
      <c r="AK667" s="108">
        <f t="shared" si="461"/>
        <v>-1</v>
      </c>
      <c r="AL667" s="108">
        <f t="shared" si="462"/>
        <v>-1</v>
      </c>
      <c r="AM667" s="108"/>
      <c r="BK667" s="104" t="str">
        <f>$V$71</f>
        <v>Marina</v>
      </c>
      <c r="BL667" s="108">
        <v>0</v>
      </c>
      <c r="BM667" s="108">
        <v>0</v>
      </c>
      <c r="BN667" s="108">
        <v>0</v>
      </c>
      <c r="BO667" s="108">
        <v>0</v>
      </c>
      <c r="BP667" s="108">
        <v>0</v>
      </c>
      <c r="BQ667" s="108">
        <v>0</v>
      </c>
      <c r="BR667" s="108">
        <v>0</v>
      </c>
      <c r="BS667" s="108">
        <v>0</v>
      </c>
      <c r="BT667" s="108">
        <v>0</v>
      </c>
      <c r="BU667" s="108">
        <v>0</v>
      </c>
      <c r="BV667" s="108">
        <v>0</v>
      </c>
      <c r="BW667" s="108">
        <v>0</v>
      </c>
      <c r="BX667" s="108">
        <v>0</v>
      </c>
      <c r="BY667" s="108">
        <v>0</v>
      </c>
      <c r="BZ667" s="108">
        <v>0</v>
      </c>
      <c r="CA667" s="108">
        <v>0</v>
      </c>
      <c r="CB667" s="108">
        <v>0</v>
      </c>
    </row>
    <row r="668" spans="3:80" x14ac:dyDescent="0.55000000000000004">
      <c r="C668" s="104" t="str">
        <f>$V$58</f>
        <v>Weixin</v>
      </c>
      <c r="D668" s="108">
        <f t="shared" ref="D668:S668" si="467">D58</f>
        <v>0</v>
      </c>
      <c r="E668" s="108">
        <f t="shared" si="467"/>
        <v>0</v>
      </c>
      <c r="F668" s="108">
        <f t="shared" si="467"/>
        <v>0</v>
      </c>
      <c r="G668" s="108">
        <f t="shared" si="467"/>
        <v>0</v>
      </c>
      <c r="H668" s="108">
        <f t="shared" si="467"/>
        <v>0</v>
      </c>
      <c r="I668" s="108">
        <f t="shared" si="467"/>
        <v>0</v>
      </c>
      <c r="J668" s="108">
        <f t="shared" si="467"/>
        <v>0</v>
      </c>
      <c r="K668" s="108">
        <f t="shared" si="467"/>
        <v>0</v>
      </c>
      <c r="L668" s="108">
        <f t="shared" si="467"/>
        <v>0</v>
      </c>
      <c r="M668" s="108">
        <f t="shared" si="467"/>
        <v>0</v>
      </c>
      <c r="N668" s="108">
        <f t="shared" si="467"/>
        <v>0</v>
      </c>
      <c r="O668" s="108">
        <f t="shared" si="467"/>
        <v>0</v>
      </c>
      <c r="P668" s="108">
        <f t="shared" si="467"/>
        <v>0</v>
      </c>
      <c r="Q668" s="108">
        <f t="shared" si="467"/>
        <v>0</v>
      </c>
      <c r="R668" s="108">
        <f t="shared" si="467"/>
        <v>0</v>
      </c>
      <c r="S668" s="108">
        <f t="shared" si="467"/>
        <v>0</v>
      </c>
      <c r="T668" s="28" t="s">
        <v>26</v>
      </c>
      <c r="V668" s="104" t="str">
        <f>$V$58</f>
        <v>Weixin</v>
      </c>
      <c r="W668" s="108">
        <f t="shared" si="447"/>
        <v>-1</v>
      </c>
      <c r="X668" s="108">
        <f t="shared" si="448"/>
        <v>-1</v>
      </c>
      <c r="Y668" s="108">
        <f t="shared" si="449"/>
        <v>-1</v>
      </c>
      <c r="Z668" s="108">
        <f t="shared" si="450"/>
        <v>-1</v>
      </c>
      <c r="AA668" s="108">
        <f t="shared" si="451"/>
        <v>-1</v>
      </c>
      <c r="AB668" s="108">
        <f t="shared" si="452"/>
        <v>-1</v>
      </c>
      <c r="AC668" s="108">
        <f t="shared" si="453"/>
        <v>-1</v>
      </c>
      <c r="AD668" s="108">
        <f t="shared" si="454"/>
        <v>-1</v>
      </c>
      <c r="AE668" s="108">
        <f t="shared" si="455"/>
        <v>-1</v>
      </c>
      <c r="AF668" s="108">
        <f t="shared" si="456"/>
        <v>-1</v>
      </c>
      <c r="AG668" s="108">
        <f t="shared" si="457"/>
        <v>-1</v>
      </c>
      <c r="AH668" s="108">
        <f t="shared" si="458"/>
        <v>-1</v>
      </c>
      <c r="AI668" s="108">
        <f t="shared" si="459"/>
        <v>-1</v>
      </c>
      <c r="AJ668" s="108">
        <f t="shared" si="460"/>
        <v>-1</v>
      </c>
      <c r="AK668" s="108">
        <f t="shared" si="461"/>
        <v>-1</v>
      </c>
      <c r="AL668" s="108">
        <f t="shared" si="462"/>
        <v>-1</v>
      </c>
      <c r="AM668" s="108"/>
      <c r="BK668" s="104" t="str">
        <f>$V$72</f>
        <v>Michel</v>
      </c>
      <c r="BL668" s="108">
        <v>0</v>
      </c>
      <c r="BM668" s="108">
        <v>0</v>
      </c>
      <c r="BN668" s="108">
        <v>0</v>
      </c>
      <c r="BO668" s="108">
        <v>0</v>
      </c>
      <c r="BP668" s="108">
        <v>0</v>
      </c>
      <c r="BQ668" s="108">
        <v>0</v>
      </c>
      <c r="BR668" s="108">
        <v>0</v>
      </c>
      <c r="BS668" s="108">
        <v>0</v>
      </c>
      <c r="BT668" s="108">
        <v>0</v>
      </c>
      <c r="BU668" s="108">
        <v>0</v>
      </c>
      <c r="BV668" s="108">
        <v>0</v>
      </c>
      <c r="BW668" s="108">
        <v>0</v>
      </c>
      <c r="BX668" s="108">
        <v>0</v>
      </c>
      <c r="BY668" s="108">
        <v>0</v>
      </c>
      <c r="BZ668" s="108">
        <v>0</v>
      </c>
      <c r="CA668" s="108">
        <v>0</v>
      </c>
      <c r="CB668" s="108">
        <v>0</v>
      </c>
    </row>
    <row r="669" spans="3:80" x14ac:dyDescent="0.55000000000000004">
      <c r="C669" s="104" t="str">
        <f>$V$59</f>
        <v>Benjamin</v>
      </c>
      <c r="D669" s="108">
        <f t="shared" ref="D669:S669" si="468">D59</f>
        <v>0</v>
      </c>
      <c r="E669" s="108">
        <f t="shared" si="468"/>
        <v>0</v>
      </c>
      <c r="F669" s="108">
        <f t="shared" si="468"/>
        <v>0</v>
      </c>
      <c r="G669" s="108">
        <f t="shared" si="468"/>
        <v>0</v>
      </c>
      <c r="H669" s="108">
        <f t="shared" si="468"/>
        <v>0</v>
      </c>
      <c r="I669" s="108">
        <f t="shared" si="468"/>
        <v>0</v>
      </c>
      <c r="J669" s="108">
        <f t="shared" si="468"/>
        <v>0</v>
      </c>
      <c r="K669" s="108">
        <f t="shared" si="468"/>
        <v>0</v>
      </c>
      <c r="L669" s="108">
        <f t="shared" si="468"/>
        <v>0</v>
      </c>
      <c r="M669" s="108">
        <f t="shared" si="468"/>
        <v>0</v>
      </c>
      <c r="N669" s="108">
        <f t="shared" si="468"/>
        <v>0</v>
      </c>
      <c r="O669" s="108">
        <f t="shared" si="468"/>
        <v>0</v>
      </c>
      <c r="P669" s="108">
        <f t="shared" si="468"/>
        <v>0</v>
      </c>
      <c r="Q669" s="108">
        <f t="shared" si="468"/>
        <v>0</v>
      </c>
      <c r="R669" s="108">
        <f t="shared" si="468"/>
        <v>0</v>
      </c>
      <c r="S669" s="108">
        <f t="shared" si="468"/>
        <v>0</v>
      </c>
      <c r="T669" s="28" t="s">
        <v>26</v>
      </c>
      <c r="V669" s="104" t="str">
        <f>$V$59</f>
        <v>Benjamin</v>
      </c>
      <c r="W669" s="108">
        <f t="shared" si="447"/>
        <v>-1</v>
      </c>
      <c r="X669" s="108">
        <f t="shared" si="448"/>
        <v>-1</v>
      </c>
      <c r="Y669" s="108">
        <f t="shared" si="449"/>
        <v>-1</v>
      </c>
      <c r="Z669" s="108">
        <f t="shared" si="450"/>
        <v>-1</v>
      </c>
      <c r="AA669" s="108">
        <f t="shared" si="451"/>
        <v>-1</v>
      </c>
      <c r="AB669" s="108">
        <f t="shared" si="452"/>
        <v>-1</v>
      </c>
      <c r="AC669" s="108">
        <f t="shared" si="453"/>
        <v>-1</v>
      </c>
      <c r="AD669" s="108">
        <f t="shared" si="454"/>
        <v>-1</v>
      </c>
      <c r="AE669" s="108">
        <f t="shared" si="455"/>
        <v>-1</v>
      </c>
      <c r="AF669" s="108">
        <f t="shared" si="456"/>
        <v>-1</v>
      </c>
      <c r="AG669" s="108">
        <f t="shared" si="457"/>
        <v>-1</v>
      </c>
      <c r="AH669" s="108">
        <f t="shared" si="458"/>
        <v>-1</v>
      </c>
      <c r="AI669" s="108">
        <f t="shared" si="459"/>
        <v>-1</v>
      </c>
      <c r="AJ669" s="108">
        <f t="shared" si="460"/>
        <v>-1</v>
      </c>
      <c r="AK669" s="108">
        <f t="shared" si="461"/>
        <v>-1</v>
      </c>
      <c r="AL669" s="108">
        <f t="shared" si="462"/>
        <v>-1</v>
      </c>
      <c r="AM669" s="108"/>
      <c r="BK669" s="104" t="str">
        <f>$V$73</f>
        <v>Nour</v>
      </c>
      <c r="BL669" s="108">
        <v>0</v>
      </c>
      <c r="BM669" s="108">
        <v>0</v>
      </c>
      <c r="BN669" s="108">
        <v>0</v>
      </c>
      <c r="BO669" s="108">
        <v>0</v>
      </c>
      <c r="BP669" s="108">
        <v>0</v>
      </c>
      <c r="BQ669" s="108">
        <v>0</v>
      </c>
      <c r="BR669" s="108">
        <v>0</v>
      </c>
      <c r="BS669" s="108">
        <v>0</v>
      </c>
      <c r="BT669" s="108">
        <v>0</v>
      </c>
      <c r="BU669" s="108">
        <v>0</v>
      </c>
      <c r="BV669" s="108">
        <v>0</v>
      </c>
      <c r="BW669" s="108">
        <v>0</v>
      </c>
      <c r="BX669" s="108">
        <v>0</v>
      </c>
      <c r="BY669" s="108">
        <v>0</v>
      </c>
      <c r="BZ669" s="108">
        <v>0</v>
      </c>
      <c r="CA669" s="108">
        <v>0</v>
      </c>
      <c r="CB669" s="108">
        <v>0</v>
      </c>
    </row>
    <row r="670" spans="3:80" x14ac:dyDescent="0.55000000000000004">
      <c r="C670" s="104" t="str">
        <f>$V$60</f>
        <v>Joelle</v>
      </c>
      <c r="D670" s="108">
        <f t="shared" ref="D670:S670" si="469">D60</f>
        <v>0</v>
      </c>
      <c r="E670" s="108">
        <f t="shared" si="469"/>
        <v>0</v>
      </c>
      <c r="F670" s="108">
        <f t="shared" si="469"/>
        <v>0</v>
      </c>
      <c r="G670" s="108">
        <f t="shared" si="469"/>
        <v>0</v>
      </c>
      <c r="H670" s="108">
        <f t="shared" si="469"/>
        <v>0</v>
      </c>
      <c r="I670" s="108">
        <f t="shared" si="469"/>
        <v>0</v>
      </c>
      <c r="J670" s="108">
        <f t="shared" si="469"/>
        <v>0</v>
      </c>
      <c r="K670" s="108">
        <f t="shared" si="469"/>
        <v>0</v>
      </c>
      <c r="L670" s="108">
        <f t="shared" si="469"/>
        <v>0</v>
      </c>
      <c r="M670" s="108">
        <f t="shared" si="469"/>
        <v>0</v>
      </c>
      <c r="N670" s="108">
        <f t="shared" si="469"/>
        <v>0</v>
      </c>
      <c r="O670" s="108">
        <f t="shared" si="469"/>
        <v>0</v>
      </c>
      <c r="P670" s="108">
        <f t="shared" si="469"/>
        <v>0</v>
      </c>
      <c r="Q670" s="108">
        <f t="shared" si="469"/>
        <v>0</v>
      </c>
      <c r="R670" s="108">
        <f t="shared" si="469"/>
        <v>0</v>
      </c>
      <c r="S670" s="108">
        <f t="shared" si="469"/>
        <v>0</v>
      </c>
      <c r="T670" s="28" t="s">
        <v>26</v>
      </c>
      <c r="V670" s="104" t="str">
        <f>$V$60</f>
        <v>Joelle</v>
      </c>
      <c r="W670" s="108">
        <f t="shared" si="447"/>
        <v>-1</v>
      </c>
      <c r="X670" s="108">
        <f t="shared" si="448"/>
        <v>-1</v>
      </c>
      <c r="Y670" s="108">
        <f t="shared" si="449"/>
        <v>-1</v>
      </c>
      <c r="Z670" s="108">
        <f t="shared" si="450"/>
        <v>-1</v>
      </c>
      <c r="AA670" s="108">
        <f t="shared" si="451"/>
        <v>-1</v>
      </c>
      <c r="AB670" s="108">
        <f t="shared" si="452"/>
        <v>-1</v>
      </c>
      <c r="AC670" s="108">
        <f t="shared" si="453"/>
        <v>-1</v>
      </c>
      <c r="AD670" s="108">
        <f t="shared" si="454"/>
        <v>-1</v>
      </c>
      <c r="AE670" s="108">
        <f t="shared" si="455"/>
        <v>-1</v>
      </c>
      <c r="AF670" s="108">
        <f t="shared" si="456"/>
        <v>-1</v>
      </c>
      <c r="AG670" s="108">
        <f t="shared" si="457"/>
        <v>-1</v>
      </c>
      <c r="AH670" s="108">
        <f t="shared" si="458"/>
        <v>-1</v>
      </c>
      <c r="AI670" s="108">
        <f t="shared" si="459"/>
        <v>-1</v>
      </c>
      <c r="AJ670" s="108">
        <f t="shared" si="460"/>
        <v>-1</v>
      </c>
      <c r="AK670" s="108">
        <f t="shared" si="461"/>
        <v>-1</v>
      </c>
      <c r="AL670" s="108">
        <f t="shared" si="462"/>
        <v>-1</v>
      </c>
      <c r="AM670" s="108"/>
      <c r="BK670" s="104" t="str">
        <f>$V$74</f>
        <v>Samuel</v>
      </c>
      <c r="BL670" s="108">
        <v>0</v>
      </c>
      <c r="BM670" s="108">
        <v>0</v>
      </c>
      <c r="BN670" s="108">
        <v>0</v>
      </c>
      <c r="BO670" s="108">
        <v>0</v>
      </c>
      <c r="BP670" s="108">
        <v>0</v>
      </c>
      <c r="BQ670" s="108">
        <v>0</v>
      </c>
      <c r="BR670" s="108">
        <v>0</v>
      </c>
      <c r="BS670" s="108">
        <v>0</v>
      </c>
      <c r="BT670" s="108">
        <v>0</v>
      </c>
      <c r="BU670" s="108">
        <v>0</v>
      </c>
      <c r="BV670" s="108">
        <v>0</v>
      </c>
      <c r="BW670" s="108">
        <v>0</v>
      </c>
      <c r="BX670" s="108">
        <v>0</v>
      </c>
      <c r="BY670" s="108">
        <v>0</v>
      </c>
      <c r="BZ670" s="108">
        <v>0</v>
      </c>
      <c r="CA670" s="108">
        <v>0</v>
      </c>
      <c r="CB670" s="108">
        <v>0</v>
      </c>
    </row>
    <row r="671" spans="3:80" x14ac:dyDescent="0.55000000000000004">
      <c r="C671" s="104" t="str">
        <f>$V$61</f>
        <v>Alexia</v>
      </c>
      <c r="D671" s="108">
        <f t="shared" ref="D671:S671" si="470">D61</f>
        <v>0</v>
      </c>
      <c r="E671" s="108">
        <f t="shared" si="470"/>
        <v>0</v>
      </c>
      <c r="F671" s="108">
        <f t="shared" si="470"/>
        <v>0</v>
      </c>
      <c r="G671" s="108">
        <f t="shared" si="470"/>
        <v>0</v>
      </c>
      <c r="H671" s="108">
        <f t="shared" si="470"/>
        <v>0</v>
      </c>
      <c r="I671" s="108">
        <f t="shared" si="470"/>
        <v>0</v>
      </c>
      <c r="J671" s="108">
        <f t="shared" si="470"/>
        <v>0</v>
      </c>
      <c r="K671" s="108">
        <f t="shared" si="470"/>
        <v>0</v>
      </c>
      <c r="L671" s="108">
        <f t="shared" si="470"/>
        <v>0</v>
      </c>
      <c r="M671" s="108">
        <f t="shared" si="470"/>
        <v>0</v>
      </c>
      <c r="N671" s="108">
        <f t="shared" si="470"/>
        <v>0</v>
      </c>
      <c r="O671" s="108">
        <f t="shared" si="470"/>
        <v>0</v>
      </c>
      <c r="P671" s="108">
        <f t="shared" si="470"/>
        <v>0</v>
      </c>
      <c r="Q671" s="108">
        <f t="shared" si="470"/>
        <v>0</v>
      </c>
      <c r="R671" s="108">
        <f t="shared" si="470"/>
        <v>0</v>
      </c>
      <c r="S671" s="108">
        <f t="shared" si="470"/>
        <v>0</v>
      </c>
      <c r="T671" s="28" t="s">
        <v>26</v>
      </c>
      <c r="V671" s="104" t="str">
        <f>$V$61</f>
        <v>Alexia</v>
      </c>
      <c r="W671" s="108">
        <f t="shared" si="447"/>
        <v>-1</v>
      </c>
      <c r="X671" s="108">
        <f t="shared" si="448"/>
        <v>-1</v>
      </c>
      <c r="Y671" s="108">
        <f t="shared" si="449"/>
        <v>-1</v>
      </c>
      <c r="Z671" s="108">
        <f t="shared" si="450"/>
        <v>-1</v>
      </c>
      <c r="AA671" s="108">
        <f t="shared" si="451"/>
        <v>-1</v>
      </c>
      <c r="AB671" s="108">
        <f t="shared" si="452"/>
        <v>-1</v>
      </c>
      <c r="AC671" s="108">
        <f t="shared" si="453"/>
        <v>-1</v>
      </c>
      <c r="AD671" s="108">
        <f t="shared" si="454"/>
        <v>-1</v>
      </c>
      <c r="AE671" s="108">
        <f t="shared" si="455"/>
        <v>-1</v>
      </c>
      <c r="AF671" s="108">
        <f t="shared" si="456"/>
        <v>-1</v>
      </c>
      <c r="AG671" s="108">
        <f t="shared" si="457"/>
        <v>-1</v>
      </c>
      <c r="AH671" s="108">
        <f t="shared" si="458"/>
        <v>-1</v>
      </c>
      <c r="AI671" s="108">
        <f t="shared" si="459"/>
        <v>-1</v>
      </c>
      <c r="AJ671" s="108">
        <f t="shared" si="460"/>
        <v>-1</v>
      </c>
      <c r="AK671" s="108">
        <f t="shared" si="461"/>
        <v>-1</v>
      </c>
      <c r="AL671" s="108">
        <f t="shared" si="462"/>
        <v>-1</v>
      </c>
      <c r="AM671" s="108"/>
      <c r="BK671" s="104" t="str">
        <f>$V$75</f>
        <v>Yassin</v>
      </c>
      <c r="BL671" s="108">
        <v>0</v>
      </c>
      <c r="BM671" s="108">
        <v>0</v>
      </c>
      <c r="BN671" s="108">
        <v>0</v>
      </c>
      <c r="BO671" s="108">
        <v>0</v>
      </c>
      <c r="BP671" s="108">
        <v>0</v>
      </c>
      <c r="BQ671" s="108">
        <v>0</v>
      </c>
      <c r="BR671" s="108">
        <v>0</v>
      </c>
      <c r="BS671" s="108">
        <v>0</v>
      </c>
      <c r="BT671" s="108">
        <v>0</v>
      </c>
      <c r="BU671" s="108">
        <v>0</v>
      </c>
      <c r="BV671" s="108">
        <v>0</v>
      </c>
      <c r="BW671" s="108">
        <v>0</v>
      </c>
      <c r="BX671" s="108">
        <v>0</v>
      </c>
      <c r="BY671" s="108">
        <v>0</v>
      </c>
      <c r="BZ671" s="108">
        <v>0</v>
      </c>
      <c r="CA671" s="108">
        <v>0</v>
      </c>
      <c r="CB671" s="108">
        <v>0</v>
      </c>
    </row>
    <row r="672" spans="3:80" x14ac:dyDescent="0.55000000000000004">
      <c r="C672" s="104" t="str">
        <f>$V$62</f>
        <v>Joao</v>
      </c>
      <c r="D672" s="108">
        <f t="shared" ref="D672:S672" si="471">D62</f>
        <v>0</v>
      </c>
      <c r="E672" s="108">
        <f t="shared" si="471"/>
        <v>0</v>
      </c>
      <c r="F672" s="108">
        <f t="shared" si="471"/>
        <v>0</v>
      </c>
      <c r="G672" s="108">
        <f t="shared" si="471"/>
        <v>0</v>
      </c>
      <c r="H672" s="108">
        <f t="shared" si="471"/>
        <v>0</v>
      </c>
      <c r="I672" s="108">
        <f t="shared" si="471"/>
        <v>0</v>
      </c>
      <c r="J672" s="108">
        <f t="shared" si="471"/>
        <v>0</v>
      </c>
      <c r="K672" s="108">
        <f t="shared" si="471"/>
        <v>0</v>
      </c>
      <c r="L672" s="108">
        <f t="shared" si="471"/>
        <v>0</v>
      </c>
      <c r="M672" s="108">
        <f t="shared" si="471"/>
        <v>0</v>
      </c>
      <c r="N672" s="108">
        <f t="shared" si="471"/>
        <v>0</v>
      </c>
      <c r="O672" s="108">
        <f t="shared" si="471"/>
        <v>0</v>
      </c>
      <c r="P672" s="108">
        <f t="shared" si="471"/>
        <v>0</v>
      </c>
      <c r="Q672" s="108">
        <f t="shared" si="471"/>
        <v>0</v>
      </c>
      <c r="R672" s="108">
        <f t="shared" si="471"/>
        <v>0</v>
      </c>
      <c r="S672" s="108">
        <f t="shared" si="471"/>
        <v>0</v>
      </c>
      <c r="T672" s="28" t="s">
        <v>26</v>
      </c>
      <c r="V672" s="104" t="str">
        <f>$V$62</f>
        <v>Joao</v>
      </c>
      <c r="W672" s="108">
        <f t="shared" si="447"/>
        <v>-1</v>
      </c>
      <c r="X672" s="108">
        <f t="shared" si="448"/>
        <v>-1</v>
      </c>
      <c r="Y672" s="108">
        <f t="shared" si="449"/>
        <v>-1</v>
      </c>
      <c r="Z672" s="108">
        <f t="shared" si="450"/>
        <v>-1</v>
      </c>
      <c r="AA672" s="108">
        <f t="shared" si="451"/>
        <v>-1</v>
      </c>
      <c r="AB672" s="108">
        <f t="shared" si="452"/>
        <v>-1</v>
      </c>
      <c r="AC672" s="108">
        <f t="shared" si="453"/>
        <v>-1</v>
      </c>
      <c r="AD672" s="108">
        <f t="shared" si="454"/>
        <v>-1</v>
      </c>
      <c r="AE672" s="108">
        <f t="shared" si="455"/>
        <v>-1</v>
      </c>
      <c r="AF672" s="108">
        <f t="shared" si="456"/>
        <v>-1</v>
      </c>
      <c r="AG672" s="108">
        <f t="shared" si="457"/>
        <v>-1</v>
      </c>
      <c r="AH672" s="108">
        <f t="shared" si="458"/>
        <v>-1</v>
      </c>
      <c r="AI672" s="108">
        <f t="shared" si="459"/>
        <v>-1</v>
      </c>
      <c r="AJ672" s="108">
        <f t="shared" si="460"/>
        <v>-1</v>
      </c>
      <c r="AK672" s="108">
        <f t="shared" si="461"/>
        <v>-1</v>
      </c>
      <c r="AL672" s="108">
        <f t="shared" si="462"/>
        <v>-1</v>
      </c>
      <c r="AM672" s="108"/>
      <c r="BK672" s="104" t="str">
        <f>$V$76</f>
        <v>Kamar</v>
      </c>
      <c r="BL672" s="108">
        <v>0</v>
      </c>
      <c r="BM672" s="108">
        <v>0</v>
      </c>
      <c r="BN672" s="108">
        <v>0</v>
      </c>
      <c r="BO672" s="108">
        <v>0</v>
      </c>
      <c r="BP672" s="108">
        <v>0</v>
      </c>
      <c r="BQ672" s="108">
        <v>0</v>
      </c>
      <c r="BR672" s="108">
        <v>0</v>
      </c>
      <c r="BS672" s="108">
        <v>0</v>
      </c>
      <c r="BT672" s="108">
        <v>0</v>
      </c>
      <c r="BU672" s="108">
        <v>0</v>
      </c>
      <c r="BV672" s="108">
        <v>0</v>
      </c>
      <c r="BW672" s="108">
        <v>0</v>
      </c>
      <c r="BX672" s="108">
        <v>0</v>
      </c>
      <c r="BY672" s="108">
        <v>0</v>
      </c>
      <c r="BZ672" s="108">
        <v>0</v>
      </c>
      <c r="CA672" s="108">
        <v>0</v>
      </c>
      <c r="CB672" s="108">
        <v>0</v>
      </c>
    </row>
    <row r="673" spans="3:80" x14ac:dyDescent="0.55000000000000004">
      <c r="C673" s="104" t="str">
        <f>$V$63</f>
        <v>Maxime</v>
      </c>
      <c r="D673" s="108">
        <f t="shared" ref="D673:S673" si="472">D63</f>
        <v>0</v>
      </c>
      <c r="E673" s="108">
        <f t="shared" si="472"/>
        <v>0</v>
      </c>
      <c r="F673" s="108">
        <f t="shared" si="472"/>
        <v>0</v>
      </c>
      <c r="G673" s="108">
        <f t="shared" si="472"/>
        <v>0</v>
      </c>
      <c r="H673" s="108">
        <f t="shared" si="472"/>
        <v>0</v>
      </c>
      <c r="I673" s="108">
        <f t="shared" si="472"/>
        <v>0</v>
      </c>
      <c r="J673" s="108">
        <f t="shared" si="472"/>
        <v>0</v>
      </c>
      <c r="K673" s="108">
        <f t="shared" si="472"/>
        <v>0</v>
      </c>
      <c r="L673" s="108">
        <f t="shared" si="472"/>
        <v>0</v>
      </c>
      <c r="M673" s="108">
        <f t="shared" si="472"/>
        <v>0</v>
      </c>
      <c r="N673" s="108">
        <f t="shared" si="472"/>
        <v>0</v>
      </c>
      <c r="O673" s="108">
        <f t="shared" si="472"/>
        <v>0</v>
      </c>
      <c r="P673" s="108">
        <f t="shared" si="472"/>
        <v>0</v>
      </c>
      <c r="Q673" s="108">
        <f t="shared" si="472"/>
        <v>0</v>
      </c>
      <c r="R673" s="108">
        <f t="shared" si="472"/>
        <v>0</v>
      </c>
      <c r="S673" s="108">
        <f t="shared" si="472"/>
        <v>0</v>
      </c>
      <c r="T673" s="28" t="s">
        <v>26</v>
      </c>
      <c r="V673" s="104" t="str">
        <f>$V$63</f>
        <v>Maxime</v>
      </c>
      <c r="W673" s="108">
        <f t="shared" si="447"/>
        <v>-1</v>
      </c>
      <c r="X673" s="108">
        <f t="shared" si="448"/>
        <v>-1</v>
      </c>
      <c r="Y673" s="108">
        <f t="shared" si="449"/>
        <v>-1</v>
      </c>
      <c r="Z673" s="108">
        <f t="shared" si="450"/>
        <v>-1</v>
      </c>
      <c r="AA673" s="108">
        <f t="shared" si="451"/>
        <v>-1</v>
      </c>
      <c r="AB673" s="108">
        <f t="shared" si="452"/>
        <v>-1</v>
      </c>
      <c r="AC673" s="108">
        <f t="shared" si="453"/>
        <v>-1</v>
      </c>
      <c r="AD673" s="108">
        <f t="shared" si="454"/>
        <v>-1</v>
      </c>
      <c r="AE673" s="108">
        <f t="shared" si="455"/>
        <v>-1</v>
      </c>
      <c r="AF673" s="108">
        <f t="shared" si="456"/>
        <v>-1</v>
      </c>
      <c r="AG673" s="108">
        <f t="shared" si="457"/>
        <v>-1</v>
      </c>
      <c r="AH673" s="108">
        <f t="shared" si="458"/>
        <v>-1</v>
      </c>
      <c r="AI673" s="108">
        <f t="shared" si="459"/>
        <v>-1</v>
      </c>
      <c r="AJ673" s="108">
        <f t="shared" si="460"/>
        <v>-1</v>
      </c>
      <c r="AK673" s="108">
        <f t="shared" si="461"/>
        <v>-1</v>
      </c>
      <c r="AL673" s="108">
        <f t="shared" si="462"/>
        <v>-1</v>
      </c>
      <c r="AM673" s="108"/>
      <c r="BK673" s="104" t="str">
        <f>$V$77</f>
        <v>-</v>
      </c>
      <c r="BL673" s="108">
        <v>0</v>
      </c>
      <c r="BM673" s="108">
        <v>0</v>
      </c>
      <c r="BN673" s="108">
        <v>0</v>
      </c>
      <c r="BO673" s="108">
        <v>0</v>
      </c>
      <c r="BP673" s="108">
        <v>0</v>
      </c>
      <c r="BQ673" s="108">
        <v>0</v>
      </c>
      <c r="BR673" s="108">
        <v>0</v>
      </c>
      <c r="BS673" s="108">
        <v>0</v>
      </c>
      <c r="BT673" s="108">
        <v>0</v>
      </c>
      <c r="BU673" s="108">
        <v>0</v>
      </c>
      <c r="BV673" s="108">
        <v>0</v>
      </c>
      <c r="BW673" s="108">
        <v>0</v>
      </c>
      <c r="BX673" s="108">
        <v>0</v>
      </c>
      <c r="BY673" s="108">
        <v>0</v>
      </c>
      <c r="BZ673" s="108">
        <v>0</v>
      </c>
      <c r="CA673" s="108">
        <v>0</v>
      </c>
      <c r="CB673" s="108">
        <v>0</v>
      </c>
    </row>
    <row r="674" spans="3:80" x14ac:dyDescent="0.55000000000000004">
      <c r="C674" s="104" t="str">
        <f>$V$64</f>
        <v>Alex</v>
      </c>
      <c r="D674" s="108">
        <f t="shared" ref="D674:S674" si="473">D64</f>
        <v>0</v>
      </c>
      <c r="E674" s="108">
        <f t="shared" si="473"/>
        <v>0</v>
      </c>
      <c r="F674" s="108">
        <f t="shared" si="473"/>
        <v>0</v>
      </c>
      <c r="G674" s="108">
        <f t="shared" si="473"/>
        <v>0</v>
      </c>
      <c r="H674" s="108">
        <f t="shared" si="473"/>
        <v>0</v>
      </c>
      <c r="I674" s="108">
        <f t="shared" si="473"/>
        <v>0</v>
      </c>
      <c r="J674" s="108">
        <f t="shared" si="473"/>
        <v>0</v>
      </c>
      <c r="K674" s="108">
        <f t="shared" si="473"/>
        <v>0</v>
      </c>
      <c r="L674" s="108">
        <f t="shared" si="473"/>
        <v>0</v>
      </c>
      <c r="M674" s="108">
        <f t="shared" si="473"/>
        <v>0</v>
      </c>
      <c r="N674" s="108">
        <f t="shared" si="473"/>
        <v>0</v>
      </c>
      <c r="O674" s="108">
        <f t="shared" si="473"/>
        <v>0</v>
      </c>
      <c r="P674" s="108">
        <f t="shared" si="473"/>
        <v>0</v>
      </c>
      <c r="Q674" s="108">
        <f t="shared" si="473"/>
        <v>0</v>
      </c>
      <c r="R674" s="108">
        <f t="shared" si="473"/>
        <v>0</v>
      </c>
      <c r="S674" s="108">
        <f t="shared" si="473"/>
        <v>0</v>
      </c>
      <c r="T674" s="28" t="s">
        <v>26</v>
      </c>
      <c r="V674" s="104" t="str">
        <f>$V$64</f>
        <v>Alex</v>
      </c>
      <c r="W674" s="108">
        <f t="shared" si="447"/>
        <v>-1</v>
      </c>
      <c r="X674" s="108">
        <f t="shared" si="448"/>
        <v>-1</v>
      </c>
      <c r="Y674" s="108">
        <f t="shared" si="449"/>
        <v>-1</v>
      </c>
      <c r="Z674" s="108">
        <f t="shared" si="450"/>
        <v>-1</v>
      </c>
      <c r="AA674" s="108">
        <f t="shared" si="451"/>
        <v>-1</v>
      </c>
      <c r="AB674" s="108">
        <f t="shared" si="452"/>
        <v>-1</v>
      </c>
      <c r="AC674" s="108">
        <f t="shared" si="453"/>
        <v>-1</v>
      </c>
      <c r="AD674" s="108">
        <f t="shared" si="454"/>
        <v>-1</v>
      </c>
      <c r="AE674" s="108">
        <f t="shared" si="455"/>
        <v>-1</v>
      </c>
      <c r="AF674" s="108">
        <f t="shared" si="456"/>
        <v>-1</v>
      </c>
      <c r="AG674" s="108">
        <f t="shared" si="457"/>
        <v>-1</v>
      </c>
      <c r="AH674" s="108">
        <f t="shared" si="458"/>
        <v>-1</v>
      </c>
      <c r="AI674" s="108">
        <f t="shared" si="459"/>
        <v>-1</v>
      </c>
      <c r="AJ674" s="108">
        <f t="shared" si="460"/>
        <v>-1</v>
      </c>
      <c r="AK674" s="108">
        <f t="shared" si="461"/>
        <v>-1</v>
      </c>
      <c r="AL674" s="108">
        <f t="shared" si="462"/>
        <v>-1</v>
      </c>
      <c r="AM674" s="108"/>
      <c r="BK674" s="104" t="str">
        <f>$V$78</f>
        <v>-</v>
      </c>
      <c r="BL674" s="108">
        <v>0</v>
      </c>
      <c r="BM674" s="108">
        <v>0</v>
      </c>
      <c r="BN674" s="108">
        <v>0</v>
      </c>
      <c r="BO674" s="108">
        <v>0</v>
      </c>
      <c r="BP674" s="108">
        <v>0</v>
      </c>
      <c r="BQ674" s="108">
        <v>0</v>
      </c>
      <c r="BR674" s="108">
        <v>0</v>
      </c>
      <c r="BS674" s="108">
        <v>0</v>
      </c>
      <c r="BT674" s="108">
        <v>0</v>
      </c>
      <c r="BU674" s="108">
        <v>0</v>
      </c>
      <c r="BV674" s="108">
        <v>0</v>
      </c>
      <c r="BW674" s="108">
        <v>0</v>
      </c>
      <c r="BX674" s="108">
        <v>0</v>
      </c>
      <c r="BY674" s="108">
        <v>0</v>
      </c>
      <c r="BZ674" s="108">
        <v>0</v>
      </c>
      <c r="CA674" s="108">
        <v>0</v>
      </c>
      <c r="CB674" s="108">
        <v>0</v>
      </c>
    </row>
    <row r="675" spans="3:80" x14ac:dyDescent="0.55000000000000004">
      <c r="C675" s="104" t="str">
        <f>$V$65</f>
        <v>Alyssa</v>
      </c>
      <c r="D675" s="108">
        <f t="shared" ref="D675:S675" si="474">D65</f>
        <v>0</v>
      </c>
      <c r="E675" s="108">
        <f t="shared" si="474"/>
        <v>0</v>
      </c>
      <c r="F675" s="108">
        <f t="shared" si="474"/>
        <v>0</v>
      </c>
      <c r="G675" s="108">
        <f t="shared" si="474"/>
        <v>0</v>
      </c>
      <c r="H675" s="108">
        <f t="shared" si="474"/>
        <v>0</v>
      </c>
      <c r="I675" s="108">
        <f t="shared" si="474"/>
        <v>0</v>
      </c>
      <c r="J675" s="108">
        <f t="shared" si="474"/>
        <v>0</v>
      </c>
      <c r="K675" s="108">
        <f t="shared" si="474"/>
        <v>0</v>
      </c>
      <c r="L675" s="108">
        <f t="shared" si="474"/>
        <v>0</v>
      </c>
      <c r="M675" s="108">
        <f t="shared" si="474"/>
        <v>0</v>
      </c>
      <c r="N675" s="108">
        <f t="shared" si="474"/>
        <v>0</v>
      </c>
      <c r="O675" s="108">
        <f t="shared" si="474"/>
        <v>0</v>
      </c>
      <c r="P675" s="108">
        <f t="shared" si="474"/>
        <v>0</v>
      </c>
      <c r="Q675" s="108">
        <f t="shared" si="474"/>
        <v>0</v>
      </c>
      <c r="R675" s="108">
        <f t="shared" si="474"/>
        <v>0</v>
      </c>
      <c r="S675" s="108">
        <f t="shared" si="474"/>
        <v>0</v>
      </c>
      <c r="T675" s="28" t="s">
        <v>26</v>
      </c>
      <c r="V675" s="104" t="str">
        <f>$V$65</f>
        <v>Alyssa</v>
      </c>
      <c r="W675" s="108">
        <f t="shared" si="447"/>
        <v>-1</v>
      </c>
      <c r="X675" s="108">
        <f t="shared" si="448"/>
        <v>-1</v>
      </c>
      <c r="Y675" s="108">
        <f t="shared" si="449"/>
        <v>-1</v>
      </c>
      <c r="Z675" s="108">
        <f t="shared" si="450"/>
        <v>-1</v>
      </c>
      <c r="AA675" s="108">
        <f t="shared" si="451"/>
        <v>-1</v>
      </c>
      <c r="AB675" s="108">
        <f t="shared" si="452"/>
        <v>-1</v>
      </c>
      <c r="AC675" s="108">
        <f t="shared" si="453"/>
        <v>-1</v>
      </c>
      <c r="AD675" s="108">
        <f t="shared" si="454"/>
        <v>-1</v>
      </c>
      <c r="AE675" s="108">
        <f t="shared" si="455"/>
        <v>-1</v>
      </c>
      <c r="AF675" s="108">
        <f t="shared" si="456"/>
        <v>-1</v>
      </c>
      <c r="AG675" s="108">
        <f t="shared" si="457"/>
        <v>-1</v>
      </c>
      <c r="AH675" s="108">
        <f t="shared" si="458"/>
        <v>-1</v>
      </c>
      <c r="AI675" s="108">
        <f t="shared" si="459"/>
        <v>-1</v>
      </c>
      <c r="AJ675" s="108">
        <f t="shared" si="460"/>
        <v>-1</v>
      </c>
      <c r="AK675" s="108">
        <f t="shared" si="461"/>
        <v>-1</v>
      </c>
      <c r="AL675" s="108">
        <f t="shared" si="462"/>
        <v>-1</v>
      </c>
      <c r="AM675" s="108"/>
      <c r="BK675" s="104" t="str">
        <f>$V$79</f>
        <v>-</v>
      </c>
      <c r="BL675" s="108">
        <v>0</v>
      </c>
      <c r="BM675" s="108">
        <v>0</v>
      </c>
      <c r="BN675" s="108">
        <v>0</v>
      </c>
      <c r="BO675" s="108">
        <v>0</v>
      </c>
      <c r="BP675" s="108">
        <v>0</v>
      </c>
      <c r="BQ675" s="108">
        <v>0</v>
      </c>
      <c r="BR675" s="108">
        <v>0</v>
      </c>
      <c r="BS675" s="108">
        <v>0</v>
      </c>
      <c r="BT675" s="108">
        <v>0</v>
      </c>
      <c r="BU675" s="108">
        <v>0</v>
      </c>
      <c r="BV675" s="108">
        <v>0</v>
      </c>
      <c r="BW675" s="108">
        <v>0</v>
      </c>
      <c r="BX675" s="108">
        <v>0</v>
      </c>
      <c r="BY675" s="108">
        <v>0</v>
      </c>
      <c r="BZ675" s="108">
        <v>0</v>
      </c>
      <c r="CA675" s="108">
        <v>0</v>
      </c>
      <c r="CB675" s="108">
        <v>0</v>
      </c>
    </row>
    <row r="676" spans="3:80" x14ac:dyDescent="0.55000000000000004">
      <c r="C676" s="104" t="str">
        <f>$V$66</f>
        <v>Amanda</v>
      </c>
      <c r="D676" s="108">
        <f t="shared" ref="D676:S676" si="475">D66</f>
        <v>0</v>
      </c>
      <c r="E676" s="108">
        <f t="shared" si="475"/>
        <v>0</v>
      </c>
      <c r="F676" s="108">
        <f t="shared" si="475"/>
        <v>0</v>
      </c>
      <c r="G676" s="108">
        <f t="shared" si="475"/>
        <v>0</v>
      </c>
      <c r="H676" s="108">
        <f t="shared" si="475"/>
        <v>0</v>
      </c>
      <c r="I676" s="108">
        <f t="shared" si="475"/>
        <v>0</v>
      </c>
      <c r="J676" s="108">
        <f t="shared" si="475"/>
        <v>0</v>
      </c>
      <c r="K676" s="108">
        <f t="shared" si="475"/>
        <v>0</v>
      </c>
      <c r="L676" s="108">
        <f t="shared" si="475"/>
        <v>0</v>
      </c>
      <c r="M676" s="108">
        <f t="shared" si="475"/>
        <v>0</v>
      </c>
      <c r="N676" s="108">
        <f t="shared" si="475"/>
        <v>0</v>
      </c>
      <c r="O676" s="108">
        <f t="shared" si="475"/>
        <v>0</v>
      </c>
      <c r="P676" s="108">
        <f t="shared" si="475"/>
        <v>0</v>
      </c>
      <c r="Q676" s="108">
        <f t="shared" si="475"/>
        <v>0</v>
      </c>
      <c r="R676" s="108">
        <f t="shared" si="475"/>
        <v>0</v>
      </c>
      <c r="S676" s="108">
        <f t="shared" si="475"/>
        <v>0</v>
      </c>
      <c r="T676" s="28" t="s">
        <v>26</v>
      </c>
      <c r="V676" s="104" t="str">
        <f>$V$66</f>
        <v>Amanda</v>
      </c>
      <c r="W676" s="108">
        <f t="shared" si="447"/>
        <v>-1</v>
      </c>
      <c r="X676" s="108">
        <f t="shared" si="448"/>
        <v>-1</v>
      </c>
      <c r="Y676" s="108">
        <f t="shared" si="449"/>
        <v>-1</v>
      </c>
      <c r="Z676" s="108">
        <f t="shared" si="450"/>
        <v>-1</v>
      </c>
      <c r="AA676" s="108">
        <f t="shared" si="451"/>
        <v>-1</v>
      </c>
      <c r="AB676" s="108">
        <f t="shared" si="452"/>
        <v>-1</v>
      </c>
      <c r="AC676" s="108">
        <f t="shared" si="453"/>
        <v>-1</v>
      </c>
      <c r="AD676" s="108">
        <f t="shared" si="454"/>
        <v>-1</v>
      </c>
      <c r="AE676" s="108">
        <f t="shared" si="455"/>
        <v>-1</v>
      </c>
      <c r="AF676" s="108">
        <f t="shared" si="456"/>
        <v>-1</v>
      </c>
      <c r="AG676" s="108">
        <f t="shared" si="457"/>
        <v>-1</v>
      </c>
      <c r="AH676" s="108">
        <f t="shared" si="458"/>
        <v>-1</v>
      </c>
      <c r="AI676" s="108">
        <f t="shared" si="459"/>
        <v>-1</v>
      </c>
      <c r="AJ676" s="108">
        <f t="shared" si="460"/>
        <v>-1</v>
      </c>
      <c r="AK676" s="108">
        <f t="shared" si="461"/>
        <v>-1</v>
      </c>
      <c r="AL676" s="108">
        <f t="shared" si="462"/>
        <v>-1</v>
      </c>
      <c r="AM676" s="108"/>
      <c r="BK676" s="104" t="str">
        <f>$V$80</f>
        <v>-</v>
      </c>
      <c r="BL676" s="108">
        <v>0</v>
      </c>
      <c r="BM676" s="108">
        <v>0</v>
      </c>
      <c r="BN676" s="108">
        <v>0</v>
      </c>
      <c r="BO676" s="108">
        <v>0</v>
      </c>
      <c r="BP676" s="108">
        <v>0</v>
      </c>
      <c r="BQ676" s="108">
        <v>0</v>
      </c>
      <c r="BR676" s="108">
        <v>0</v>
      </c>
      <c r="BS676" s="108">
        <v>0</v>
      </c>
      <c r="BT676" s="108">
        <v>0</v>
      </c>
      <c r="BU676" s="108">
        <v>0</v>
      </c>
      <c r="BV676" s="108">
        <v>0</v>
      </c>
      <c r="BW676" s="108">
        <v>0</v>
      </c>
      <c r="BX676" s="108">
        <v>0</v>
      </c>
      <c r="BY676" s="108">
        <v>0</v>
      </c>
      <c r="BZ676" s="108">
        <v>0</v>
      </c>
      <c r="CA676" s="108">
        <v>0</v>
      </c>
      <c r="CB676" s="108">
        <v>0</v>
      </c>
    </row>
    <row r="677" spans="3:80" x14ac:dyDescent="0.55000000000000004">
      <c r="C677" s="104" t="str">
        <f>$V$67</f>
        <v>Antoine</v>
      </c>
      <c r="D677" s="108">
        <f t="shared" ref="D677:S677" si="476">D67</f>
        <v>0</v>
      </c>
      <c r="E677" s="108">
        <f t="shared" si="476"/>
        <v>0</v>
      </c>
      <c r="F677" s="108">
        <f t="shared" si="476"/>
        <v>0</v>
      </c>
      <c r="G677" s="108">
        <f t="shared" si="476"/>
        <v>0</v>
      </c>
      <c r="H677" s="108">
        <f t="shared" si="476"/>
        <v>0</v>
      </c>
      <c r="I677" s="108">
        <f t="shared" si="476"/>
        <v>0</v>
      </c>
      <c r="J677" s="108">
        <f t="shared" si="476"/>
        <v>0</v>
      </c>
      <c r="K677" s="108">
        <f t="shared" si="476"/>
        <v>0</v>
      </c>
      <c r="L677" s="108">
        <f t="shared" si="476"/>
        <v>0</v>
      </c>
      <c r="M677" s="108">
        <f t="shared" si="476"/>
        <v>0</v>
      </c>
      <c r="N677" s="108">
        <f t="shared" si="476"/>
        <v>0</v>
      </c>
      <c r="O677" s="108">
        <f t="shared" si="476"/>
        <v>0</v>
      </c>
      <c r="P677" s="108">
        <f t="shared" si="476"/>
        <v>0</v>
      </c>
      <c r="Q677" s="108">
        <f t="shared" si="476"/>
        <v>0</v>
      </c>
      <c r="R677" s="108">
        <f t="shared" si="476"/>
        <v>0</v>
      </c>
      <c r="S677" s="108">
        <f t="shared" si="476"/>
        <v>0</v>
      </c>
      <c r="T677" s="28" t="s">
        <v>26</v>
      </c>
      <c r="V677" s="104" t="str">
        <f>$V$67</f>
        <v>Antoine</v>
      </c>
      <c r="W677" s="108">
        <f t="shared" si="447"/>
        <v>-1</v>
      </c>
      <c r="X677" s="108">
        <f t="shared" si="448"/>
        <v>-1</v>
      </c>
      <c r="Y677" s="108">
        <f t="shared" si="449"/>
        <v>-1</v>
      </c>
      <c r="Z677" s="108">
        <f t="shared" si="450"/>
        <v>-1</v>
      </c>
      <c r="AA677" s="108">
        <f t="shared" si="451"/>
        <v>-1</v>
      </c>
      <c r="AB677" s="108">
        <f t="shared" si="452"/>
        <v>-1</v>
      </c>
      <c r="AC677" s="108">
        <f t="shared" si="453"/>
        <v>-1</v>
      </c>
      <c r="AD677" s="108">
        <f t="shared" si="454"/>
        <v>-1</v>
      </c>
      <c r="AE677" s="108">
        <f t="shared" si="455"/>
        <v>-1</v>
      </c>
      <c r="AF677" s="108">
        <f t="shared" si="456"/>
        <v>-1</v>
      </c>
      <c r="AG677" s="108">
        <f t="shared" si="457"/>
        <v>-1</v>
      </c>
      <c r="AH677" s="108">
        <f t="shared" si="458"/>
        <v>-1</v>
      </c>
      <c r="AI677" s="108">
        <f t="shared" si="459"/>
        <v>-1</v>
      </c>
      <c r="AJ677" s="108">
        <f t="shared" si="460"/>
        <v>-1</v>
      </c>
      <c r="AK677" s="108">
        <f t="shared" si="461"/>
        <v>-1</v>
      </c>
      <c r="AL677" s="108">
        <f t="shared" si="462"/>
        <v>-1</v>
      </c>
      <c r="AM677" s="108"/>
      <c r="BK677" s="104" t="str">
        <f>$V$81</f>
        <v>-</v>
      </c>
      <c r="BL677" s="108">
        <v>0</v>
      </c>
      <c r="BM677" s="108">
        <v>0</v>
      </c>
      <c r="BN677" s="108">
        <v>0</v>
      </c>
      <c r="BO677" s="108">
        <v>0</v>
      </c>
      <c r="BP677" s="108">
        <v>0</v>
      </c>
      <c r="BQ677" s="108">
        <v>0</v>
      </c>
      <c r="BR677" s="108">
        <v>0</v>
      </c>
      <c r="BS677" s="108">
        <v>0</v>
      </c>
      <c r="BT677" s="108">
        <v>0</v>
      </c>
      <c r="BU677" s="108">
        <v>0</v>
      </c>
      <c r="BV677" s="108">
        <v>0</v>
      </c>
      <c r="BW677" s="108">
        <v>0</v>
      </c>
      <c r="BX677" s="108">
        <v>0</v>
      </c>
      <c r="BY677" s="108">
        <v>0</v>
      </c>
      <c r="BZ677" s="108">
        <v>0</v>
      </c>
      <c r="CA677" s="108">
        <v>0</v>
      </c>
      <c r="CB677" s="108">
        <v>0</v>
      </c>
    </row>
    <row r="678" spans="3:80" x14ac:dyDescent="0.55000000000000004">
      <c r="C678" s="104" t="str">
        <f>$V$68</f>
        <v>Beatriz</v>
      </c>
      <c r="D678" s="108">
        <f t="shared" ref="D678:S678" si="477">D68</f>
        <v>0</v>
      </c>
      <c r="E678" s="108">
        <f t="shared" si="477"/>
        <v>0</v>
      </c>
      <c r="F678" s="108">
        <f t="shared" si="477"/>
        <v>0</v>
      </c>
      <c r="G678" s="108">
        <f t="shared" si="477"/>
        <v>0</v>
      </c>
      <c r="H678" s="108">
        <f t="shared" si="477"/>
        <v>0</v>
      </c>
      <c r="I678" s="108">
        <f t="shared" si="477"/>
        <v>0</v>
      </c>
      <c r="J678" s="108">
        <f t="shared" si="477"/>
        <v>0</v>
      </c>
      <c r="K678" s="108">
        <f t="shared" si="477"/>
        <v>0</v>
      </c>
      <c r="L678" s="108">
        <f t="shared" si="477"/>
        <v>0</v>
      </c>
      <c r="M678" s="108">
        <f t="shared" si="477"/>
        <v>0</v>
      </c>
      <c r="N678" s="108">
        <f t="shared" si="477"/>
        <v>0</v>
      </c>
      <c r="O678" s="108">
        <f t="shared" si="477"/>
        <v>0</v>
      </c>
      <c r="P678" s="108">
        <f t="shared" si="477"/>
        <v>0</v>
      </c>
      <c r="Q678" s="108">
        <f t="shared" si="477"/>
        <v>0</v>
      </c>
      <c r="R678" s="108">
        <f t="shared" si="477"/>
        <v>0</v>
      </c>
      <c r="S678" s="108">
        <f t="shared" si="477"/>
        <v>0</v>
      </c>
      <c r="T678" s="28" t="s">
        <v>26</v>
      </c>
      <c r="V678" s="104" t="str">
        <f>$V$68</f>
        <v>Beatriz</v>
      </c>
      <c r="W678" s="108">
        <f t="shared" si="447"/>
        <v>-1</v>
      </c>
      <c r="X678" s="108">
        <f t="shared" si="448"/>
        <v>-1</v>
      </c>
      <c r="Y678" s="108">
        <f t="shared" si="449"/>
        <v>-1</v>
      </c>
      <c r="Z678" s="108">
        <f t="shared" si="450"/>
        <v>-1</v>
      </c>
      <c r="AA678" s="108">
        <f t="shared" si="451"/>
        <v>-1</v>
      </c>
      <c r="AB678" s="108">
        <f t="shared" si="452"/>
        <v>-1</v>
      </c>
      <c r="AC678" s="108">
        <f t="shared" si="453"/>
        <v>-1</v>
      </c>
      <c r="AD678" s="108">
        <f t="shared" si="454"/>
        <v>-1</v>
      </c>
      <c r="AE678" s="108">
        <f t="shared" si="455"/>
        <v>-1</v>
      </c>
      <c r="AF678" s="108">
        <f t="shared" si="456"/>
        <v>-1</v>
      </c>
      <c r="AG678" s="108">
        <f t="shared" si="457"/>
        <v>-1</v>
      </c>
      <c r="AH678" s="108">
        <f t="shared" si="458"/>
        <v>-1</v>
      </c>
      <c r="AI678" s="108">
        <f t="shared" si="459"/>
        <v>-1</v>
      </c>
      <c r="AJ678" s="108">
        <f t="shared" si="460"/>
        <v>-1</v>
      </c>
      <c r="AK678" s="108">
        <f t="shared" si="461"/>
        <v>-1</v>
      </c>
      <c r="AL678" s="108">
        <f t="shared" si="462"/>
        <v>-1</v>
      </c>
      <c r="AM678" s="108"/>
      <c r="BK678" s="104" t="str">
        <f>$V$82</f>
        <v>-</v>
      </c>
      <c r="BL678" s="108">
        <v>0</v>
      </c>
      <c r="BM678" s="108">
        <v>0</v>
      </c>
      <c r="BN678" s="108">
        <v>0</v>
      </c>
      <c r="BO678" s="108">
        <v>0</v>
      </c>
      <c r="BP678" s="108">
        <v>0</v>
      </c>
      <c r="BQ678" s="108">
        <v>0</v>
      </c>
      <c r="BR678" s="108">
        <v>0</v>
      </c>
      <c r="BS678" s="108">
        <v>0</v>
      </c>
      <c r="BT678" s="108">
        <v>0</v>
      </c>
      <c r="BU678" s="108">
        <v>0</v>
      </c>
      <c r="BV678" s="108">
        <v>0</v>
      </c>
      <c r="BW678" s="108">
        <v>0</v>
      </c>
      <c r="BX678" s="108">
        <v>0</v>
      </c>
      <c r="BY678" s="108">
        <v>0</v>
      </c>
      <c r="BZ678" s="108">
        <v>0</v>
      </c>
      <c r="CA678" s="108">
        <v>0</v>
      </c>
      <c r="CB678" s="108">
        <v>0</v>
      </c>
    </row>
    <row r="679" spans="3:80" x14ac:dyDescent="0.55000000000000004">
      <c r="C679" s="104" t="str">
        <f>$V$69</f>
        <v>Charelle</v>
      </c>
      <c r="D679" s="108">
        <f t="shared" ref="D679:S679" si="478">D69</f>
        <v>0</v>
      </c>
      <c r="E679" s="108">
        <f t="shared" si="478"/>
        <v>0</v>
      </c>
      <c r="F679" s="108">
        <f t="shared" si="478"/>
        <v>0</v>
      </c>
      <c r="G679" s="108">
        <f t="shared" si="478"/>
        <v>0</v>
      </c>
      <c r="H679" s="108">
        <f t="shared" si="478"/>
        <v>0</v>
      </c>
      <c r="I679" s="108">
        <f t="shared" si="478"/>
        <v>0</v>
      </c>
      <c r="J679" s="108">
        <f t="shared" si="478"/>
        <v>0</v>
      </c>
      <c r="K679" s="108">
        <f t="shared" si="478"/>
        <v>0</v>
      </c>
      <c r="L679" s="108">
        <f t="shared" si="478"/>
        <v>0</v>
      </c>
      <c r="M679" s="108">
        <f t="shared" si="478"/>
        <v>0</v>
      </c>
      <c r="N679" s="108">
        <f t="shared" si="478"/>
        <v>0</v>
      </c>
      <c r="O679" s="108">
        <f t="shared" si="478"/>
        <v>0</v>
      </c>
      <c r="P679" s="108">
        <f t="shared" si="478"/>
        <v>0</v>
      </c>
      <c r="Q679" s="108">
        <f t="shared" si="478"/>
        <v>0</v>
      </c>
      <c r="R679" s="108">
        <f t="shared" si="478"/>
        <v>0</v>
      </c>
      <c r="S679" s="108">
        <f t="shared" si="478"/>
        <v>0</v>
      </c>
      <c r="T679" s="28" t="s">
        <v>26</v>
      </c>
      <c r="V679" s="104" t="str">
        <f>$V$69</f>
        <v>Charelle</v>
      </c>
      <c r="W679" s="108">
        <f t="shared" si="447"/>
        <v>-1</v>
      </c>
      <c r="X679" s="108">
        <f t="shared" si="448"/>
        <v>-1</v>
      </c>
      <c r="Y679" s="108">
        <f t="shared" si="449"/>
        <v>-1</v>
      </c>
      <c r="Z679" s="108">
        <f t="shared" si="450"/>
        <v>-1</v>
      </c>
      <c r="AA679" s="108">
        <f t="shared" si="451"/>
        <v>-1</v>
      </c>
      <c r="AB679" s="108">
        <f t="shared" si="452"/>
        <v>-1</v>
      </c>
      <c r="AC679" s="108">
        <f t="shared" si="453"/>
        <v>-1</v>
      </c>
      <c r="AD679" s="108">
        <f t="shared" si="454"/>
        <v>-1</v>
      </c>
      <c r="AE679" s="108">
        <f t="shared" si="455"/>
        <v>-1</v>
      </c>
      <c r="AF679" s="108">
        <f t="shared" si="456"/>
        <v>-1</v>
      </c>
      <c r="AG679" s="108">
        <f t="shared" si="457"/>
        <v>-1</v>
      </c>
      <c r="AH679" s="108">
        <f t="shared" si="458"/>
        <v>-1</v>
      </c>
      <c r="AI679" s="108">
        <f t="shared" si="459"/>
        <v>-1</v>
      </c>
      <c r="AJ679" s="108">
        <f t="shared" si="460"/>
        <v>-1</v>
      </c>
      <c r="AK679" s="108">
        <f t="shared" si="461"/>
        <v>-1</v>
      </c>
      <c r="AL679" s="108">
        <f t="shared" si="462"/>
        <v>-1</v>
      </c>
      <c r="AM679" s="108"/>
      <c r="BK679" s="104" t="str">
        <f>$V$83</f>
        <v>-</v>
      </c>
      <c r="BL679" s="108">
        <v>0</v>
      </c>
      <c r="BM679" s="108">
        <v>0</v>
      </c>
      <c r="BN679" s="108">
        <v>0</v>
      </c>
      <c r="BO679" s="108">
        <v>0</v>
      </c>
      <c r="BP679" s="108">
        <v>0</v>
      </c>
      <c r="BQ679" s="108">
        <v>0</v>
      </c>
      <c r="BR679" s="108">
        <v>0</v>
      </c>
      <c r="BS679" s="108">
        <v>0</v>
      </c>
      <c r="BT679" s="108">
        <v>0</v>
      </c>
      <c r="BU679" s="108">
        <v>0</v>
      </c>
      <c r="BV679" s="108">
        <v>0</v>
      </c>
      <c r="BW679" s="108">
        <v>0</v>
      </c>
      <c r="BX679" s="108">
        <v>0</v>
      </c>
      <c r="BY679" s="108">
        <v>0</v>
      </c>
      <c r="BZ679" s="108">
        <v>0</v>
      </c>
      <c r="CA679" s="108">
        <v>0</v>
      </c>
      <c r="CB679" s="108">
        <v>0</v>
      </c>
    </row>
    <row r="680" spans="3:80" x14ac:dyDescent="0.55000000000000004">
      <c r="C680" s="104" t="str">
        <f>$V$70</f>
        <v>Dimitri</v>
      </c>
      <c r="D680" s="108">
        <f t="shared" ref="D680:S680" si="479">D70</f>
        <v>0</v>
      </c>
      <c r="E680" s="108">
        <f t="shared" si="479"/>
        <v>0</v>
      </c>
      <c r="F680" s="108">
        <f t="shared" si="479"/>
        <v>0</v>
      </c>
      <c r="G680" s="108">
        <f t="shared" si="479"/>
        <v>0</v>
      </c>
      <c r="H680" s="108">
        <f t="shared" si="479"/>
        <v>0</v>
      </c>
      <c r="I680" s="108">
        <f t="shared" si="479"/>
        <v>0</v>
      </c>
      <c r="J680" s="108">
        <f t="shared" si="479"/>
        <v>0</v>
      </c>
      <c r="K680" s="108">
        <f t="shared" si="479"/>
        <v>0</v>
      </c>
      <c r="L680" s="108">
        <f t="shared" si="479"/>
        <v>0</v>
      </c>
      <c r="M680" s="108">
        <f t="shared" si="479"/>
        <v>0</v>
      </c>
      <c r="N680" s="108">
        <f t="shared" si="479"/>
        <v>0</v>
      </c>
      <c r="O680" s="108">
        <f t="shared" si="479"/>
        <v>0</v>
      </c>
      <c r="P680" s="108">
        <f t="shared" si="479"/>
        <v>0</v>
      </c>
      <c r="Q680" s="108">
        <f t="shared" si="479"/>
        <v>0</v>
      </c>
      <c r="R680" s="108">
        <f t="shared" si="479"/>
        <v>0</v>
      </c>
      <c r="S680" s="108">
        <f t="shared" si="479"/>
        <v>0</v>
      </c>
      <c r="T680" s="28" t="s">
        <v>26</v>
      </c>
      <c r="V680" s="104" t="str">
        <f>$V$70</f>
        <v>Dimitri</v>
      </c>
      <c r="W680" s="108">
        <f t="shared" si="447"/>
        <v>-1</v>
      </c>
      <c r="X680" s="108">
        <f t="shared" si="448"/>
        <v>-1</v>
      </c>
      <c r="Y680" s="108">
        <f t="shared" si="449"/>
        <v>-1</v>
      </c>
      <c r="Z680" s="108">
        <f t="shared" si="450"/>
        <v>-1</v>
      </c>
      <c r="AA680" s="108">
        <f t="shared" si="451"/>
        <v>-1</v>
      </c>
      <c r="AB680" s="108">
        <f t="shared" si="452"/>
        <v>-1</v>
      </c>
      <c r="AC680" s="108">
        <f t="shared" si="453"/>
        <v>-1</v>
      </c>
      <c r="AD680" s="108">
        <f t="shared" si="454"/>
        <v>-1</v>
      </c>
      <c r="AE680" s="108">
        <f t="shared" si="455"/>
        <v>-1</v>
      </c>
      <c r="AF680" s="108">
        <f t="shared" si="456"/>
        <v>-1</v>
      </c>
      <c r="AG680" s="108">
        <f t="shared" si="457"/>
        <v>-1</v>
      </c>
      <c r="AH680" s="108">
        <f t="shared" si="458"/>
        <v>-1</v>
      </c>
      <c r="AI680" s="108">
        <f t="shared" si="459"/>
        <v>-1</v>
      </c>
      <c r="AJ680" s="108">
        <f t="shared" si="460"/>
        <v>-1</v>
      </c>
      <c r="AK680" s="108">
        <f t="shared" si="461"/>
        <v>-1</v>
      </c>
      <c r="AL680" s="108">
        <f t="shared" si="462"/>
        <v>-1</v>
      </c>
      <c r="AM680" s="108"/>
      <c r="BK680" s="104" t="str">
        <f>$V$84</f>
        <v>-</v>
      </c>
      <c r="BL680" s="108">
        <v>0</v>
      </c>
      <c r="BM680" s="108">
        <v>0</v>
      </c>
      <c r="BN680" s="108">
        <v>0</v>
      </c>
      <c r="BO680" s="108">
        <v>0</v>
      </c>
      <c r="BP680" s="108">
        <v>0</v>
      </c>
      <c r="BQ680" s="108">
        <v>0</v>
      </c>
      <c r="BR680" s="108">
        <v>0</v>
      </c>
      <c r="BS680" s="108">
        <v>0</v>
      </c>
      <c r="BT680" s="108">
        <v>0</v>
      </c>
      <c r="BU680" s="108">
        <v>0</v>
      </c>
      <c r="BV680" s="108">
        <v>0</v>
      </c>
      <c r="BW680" s="108">
        <v>0</v>
      </c>
      <c r="BX680" s="108">
        <v>0</v>
      </c>
      <c r="BY680" s="108">
        <v>0</v>
      </c>
      <c r="BZ680" s="108">
        <v>0</v>
      </c>
      <c r="CA680" s="108">
        <v>0</v>
      </c>
      <c r="CB680" s="108">
        <v>0</v>
      </c>
    </row>
    <row r="681" spans="3:80" x14ac:dyDescent="0.55000000000000004">
      <c r="C681" s="104" t="str">
        <f>$V$71</f>
        <v>Marina</v>
      </c>
      <c r="D681" s="108">
        <f t="shared" ref="D681:S681" si="480">D71</f>
        <v>0</v>
      </c>
      <c r="E681" s="108">
        <f t="shared" si="480"/>
        <v>0</v>
      </c>
      <c r="F681" s="108">
        <f t="shared" si="480"/>
        <v>0</v>
      </c>
      <c r="G681" s="108">
        <f t="shared" si="480"/>
        <v>0</v>
      </c>
      <c r="H681" s="108">
        <f t="shared" si="480"/>
        <v>0</v>
      </c>
      <c r="I681" s="108">
        <f t="shared" si="480"/>
        <v>0</v>
      </c>
      <c r="J681" s="108">
        <f t="shared" si="480"/>
        <v>0</v>
      </c>
      <c r="K681" s="108">
        <f t="shared" si="480"/>
        <v>0</v>
      </c>
      <c r="L681" s="108">
        <f t="shared" si="480"/>
        <v>0</v>
      </c>
      <c r="M681" s="108">
        <f t="shared" si="480"/>
        <v>0</v>
      </c>
      <c r="N681" s="108">
        <f t="shared" si="480"/>
        <v>0</v>
      </c>
      <c r="O681" s="108">
        <f t="shared" si="480"/>
        <v>0</v>
      </c>
      <c r="P681" s="108">
        <f t="shared" si="480"/>
        <v>0</v>
      </c>
      <c r="Q681" s="108">
        <f t="shared" si="480"/>
        <v>0</v>
      </c>
      <c r="R681" s="108">
        <f t="shared" si="480"/>
        <v>0</v>
      </c>
      <c r="S681" s="108">
        <f t="shared" si="480"/>
        <v>0</v>
      </c>
      <c r="T681" s="28" t="s">
        <v>26</v>
      </c>
      <c r="V681" s="104" t="str">
        <f>$V$71</f>
        <v>Marina</v>
      </c>
      <c r="W681" s="108">
        <f t="shared" si="447"/>
        <v>-1</v>
      </c>
      <c r="X681" s="108">
        <f t="shared" si="448"/>
        <v>-1</v>
      </c>
      <c r="Y681" s="108">
        <f t="shared" si="449"/>
        <v>-1</v>
      </c>
      <c r="Z681" s="108">
        <f t="shared" si="450"/>
        <v>-1</v>
      </c>
      <c r="AA681" s="108">
        <f t="shared" si="451"/>
        <v>-1</v>
      </c>
      <c r="AB681" s="108">
        <f t="shared" si="452"/>
        <v>-1</v>
      </c>
      <c r="AC681" s="108">
        <f t="shared" si="453"/>
        <v>-1</v>
      </c>
      <c r="AD681" s="108">
        <f t="shared" si="454"/>
        <v>-1</v>
      </c>
      <c r="AE681" s="108">
        <f t="shared" si="455"/>
        <v>-1</v>
      </c>
      <c r="AF681" s="108">
        <f t="shared" si="456"/>
        <v>-1</v>
      </c>
      <c r="AG681" s="108">
        <f t="shared" si="457"/>
        <v>-1</v>
      </c>
      <c r="AH681" s="108">
        <f t="shared" si="458"/>
        <v>-1</v>
      </c>
      <c r="AI681" s="108">
        <f t="shared" si="459"/>
        <v>-1</v>
      </c>
      <c r="AJ681" s="108">
        <f t="shared" si="460"/>
        <v>-1</v>
      </c>
      <c r="AK681" s="108">
        <f t="shared" si="461"/>
        <v>-1</v>
      </c>
      <c r="AL681" s="108">
        <f t="shared" si="462"/>
        <v>-1</v>
      </c>
      <c r="AM681" s="108"/>
      <c r="BK681" s="104" t="str">
        <f>$V$85</f>
        <v>-</v>
      </c>
      <c r="BL681" s="108">
        <v>0</v>
      </c>
      <c r="BM681" s="108">
        <v>0</v>
      </c>
      <c r="BN681" s="108">
        <v>0</v>
      </c>
      <c r="BO681" s="108">
        <v>0</v>
      </c>
      <c r="BP681" s="108">
        <v>0</v>
      </c>
      <c r="BQ681" s="108">
        <v>0</v>
      </c>
      <c r="BR681" s="108">
        <v>0</v>
      </c>
      <c r="BS681" s="108">
        <v>0</v>
      </c>
      <c r="BT681" s="108">
        <v>0</v>
      </c>
      <c r="BU681" s="108">
        <v>0</v>
      </c>
      <c r="BV681" s="108">
        <v>0</v>
      </c>
      <c r="BW681" s="108">
        <v>0</v>
      </c>
      <c r="BX681" s="108">
        <v>0</v>
      </c>
      <c r="BY681" s="108">
        <v>0</v>
      </c>
      <c r="BZ681" s="108">
        <v>0</v>
      </c>
      <c r="CA681" s="108">
        <v>0</v>
      </c>
      <c r="CB681" s="108">
        <v>0</v>
      </c>
    </row>
    <row r="682" spans="3:80" x14ac:dyDescent="0.55000000000000004">
      <c r="C682" s="104" t="str">
        <f>$V$72</f>
        <v>Michel</v>
      </c>
      <c r="D682" s="108">
        <f t="shared" ref="D682:S682" si="481">D72</f>
        <v>0</v>
      </c>
      <c r="E682" s="108">
        <f t="shared" si="481"/>
        <v>0</v>
      </c>
      <c r="F682" s="108">
        <f t="shared" si="481"/>
        <v>0</v>
      </c>
      <c r="G682" s="108">
        <f t="shared" si="481"/>
        <v>0</v>
      </c>
      <c r="H682" s="108">
        <f t="shared" si="481"/>
        <v>0</v>
      </c>
      <c r="I682" s="108">
        <f t="shared" si="481"/>
        <v>0</v>
      </c>
      <c r="J682" s="108">
        <f t="shared" si="481"/>
        <v>0</v>
      </c>
      <c r="K682" s="108">
        <f t="shared" si="481"/>
        <v>0</v>
      </c>
      <c r="L682" s="108">
        <f t="shared" si="481"/>
        <v>0</v>
      </c>
      <c r="M682" s="108">
        <f t="shared" si="481"/>
        <v>0</v>
      </c>
      <c r="N682" s="108">
        <f t="shared" si="481"/>
        <v>0</v>
      </c>
      <c r="O682" s="108">
        <f t="shared" si="481"/>
        <v>0</v>
      </c>
      <c r="P682" s="108">
        <f t="shared" si="481"/>
        <v>0</v>
      </c>
      <c r="Q682" s="108">
        <f t="shared" si="481"/>
        <v>0</v>
      </c>
      <c r="R682" s="108">
        <f t="shared" si="481"/>
        <v>0</v>
      </c>
      <c r="S682" s="108">
        <f t="shared" si="481"/>
        <v>0</v>
      </c>
      <c r="T682" s="28" t="s">
        <v>26</v>
      </c>
      <c r="V682" s="104" t="str">
        <f>$V$72</f>
        <v>Michel</v>
      </c>
      <c r="W682" s="108">
        <f t="shared" si="447"/>
        <v>-1</v>
      </c>
      <c r="X682" s="108">
        <f t="shared" si="448"/>
        <v>-1</v>
      </c>
      <c r="Y682" s="108">
        <f t="shared" si="449"/>
        <v>-1</v>
      </c>
      <c r="Z682" s="108">
        <f t="shared" si="450"/>
        <v>-1</v>
      </c>
      <c r="AA682" s="108">
        <f t="shared" si="451"/>
        <v>-1</v>
      </c>
      <c r="AB682" s="108">
        <f t="shared" si="452"/>
        <v>-1</v>
      </c>
      <c r="AC682" s="108">
        <f t="shared" si="453"/>
        <v>-1</v>
      </c>
      <c r="AD682" s="108">
        <f t="shared" si="454"/>
        <v>-1</v>
      </c>
      <c r="AE682" s="108">
        <f t="shared" si="455"/>
        <v>-1</v>
      </c>
      <c r="AF682" s="108">
        <f t="shared" si="456"/>
        <v>-1</v>
      </c>
      <c r="AG682" s="108">
        <f t="shared" si="457"/>
        <v>-1</v>
      </c>
      <c r="AH682" s="108">
        <f t="shared" si="458"/>
        <v>-1</v>
      </c>
      <c r="AI682" s="108">
        <f t="shared" si="459"/>
        <v>-1</v>
      </c>
      <c r="AJ682" s="108">
        <f t="shared" si="460"/>
        <v>-1</v>
      </c>
      <c r="AK682" s="108">
        <f t="shared" si="461"/>
        <v>-1</v>
      </c>
      <c r="AL682" s="108">
        <f t="shared" si="462"/>
        <v>-1</v>
      </c>
      <c r="AM682" s="108"/>
      <c r="BK682" s="104" t="str">
        <f>$V$86</f>
        <v>-</v>
      </c>
      <c r="BL682" s="108">
        <v>0</v>
      </c>
      <c r="BM682" s="108">
        <v>0</v>
      </c>
      <c r="BN682" s="108">
        <v>0</v>
      </c>
      <c r="BO682" s="108">
        <v>0</v>
      </c>
      <c r="BP682" s="108">
        <v>0</v>
      </c>
      <c r="BQ682" s="108">
        <v>0</v>
      </c>
      <c r="BR682" s="108">
        <v>0</v>
      </c>
      <c r="BS682" s="108">
        <v>0</v>
      </c>
      <c r="BT682" s="108">
        <v>0</v>
      </c>
      <c r="BU682" s="108">
        <v>0</v>
      </c>
      <c r="BV682" s="108">
        <v>0</v>
      </c>
      <c r="BW682" s="108">
        <v>0</v>
      </c>
      <c r="BX682" s="108">
        <v>0</v>
      </c>
      <c r="BY682" s="108">
        <v>0</v>
      </c>
      <c r="BZ682" s="108">
        <v>0</v>
      </c>
      <c r="CA682" s="108">
        <v>0</v>
      </c>
      <c r="CB682" s="108">
        <v>0</v>
      </c>
    </row>
    <row r="683" spans="3:80" x14ac:dyDescent="0.55000000000000004">
      <c r="C683" s="104" t="str">
        <f>$V$73</f>
        <v>Nour</v>
      </c>
      <c r="D683" s="108">
        <f t="shared" ref="D683:S683" si="482">D73</f>
        <v>0</v>
      </c>
      <c r="E683" s="108">
        <f t="shared" si="482"/>
        <v>0</v>
      </c>
      <c r="F683" s="108">
        <f t="shared" si="482"/>
        <v>0</v>
      </c>
      <c r="G683" s="108">
        <f t="shared" si="482"/>
        <v>0</v>
      </c>
      <c r="H683" s="108">
        <f t="shared" si="482"/>
        <v>0</v>
      </c>
      <c r="I683" s="108">
        <f t="shared" si="482"/>
        <v>0</v>
      </c>
      <c r="J683" s="108">
        <f t="shared" si="482"/>
        <v>0</v>
      </c>
      <c r="K683" s="108">
        <f t="shared" si="482"/>
        <v>0</v>
      </c>
      <c r="L683" s="108">
        <f t="shared" si="482"/>
        <v>0</v>
      </c>
      <c r="M683" s="108">
        <f t="shared" si="482"/>
        <v>0</v>
      </c>
      <c r="N683" s="108">
        <f t="shared" si="482"/>
        <v>0</v>
      </c>
      <c r="O683" s="108">
        <f t="shared" si="482"/>
        <v>0</v>
      </c>
      <c r="P683" s="108">
        <f t="shared" si="482"/>
        <v>0</v>
      </c>
      <c r="Q683" s="108">
        <f t="shared" si="482"/>
        <v>0</v>
      </c>
      <c r="R683" s="108">
        <f t="shared" si="482"/>
        <v>0</v>
      </c>
      <c r="S683" s="108">
        <f t="shared" si="482"/>
        <v>0</v>
      </c>
      <c r="T683" s="28" t="s">
        <v>26</v>
      </c>
      <c r="V683" s="104" t="str">
        <f>$V$73</f>
        <v>Nour</v>
      </c>
      <c r="W683" s="108">
        <f t="shared" si="447"/>
        <v>-1</v>
      </c>
      <c r="X683" s="108">
        <f t="shared" si="448"/>
        <v>-1</v>
      </c>
      <c r="Y683" s="108">
        <f t="shared" si="449"/>
        <v>-1</v>
      </c>
      <c r="Z683" s="108">
        <f t="shared" si="450"/>
        <v>-1</v>
      </c>
      <c r="AA683" s="108">
        <f t="shared" si="451"/>
        <v>-1</v>
      </c>
      <c r="AB683" s="108">
        <f t="shared" si="452"/>
        <v>-1</v>
      </c>
      <c r="AC683" s="108">
        <f t="shared" si="453"/>
        <v>-1</v>
      </c>
      <c r="AD683" s="108">
        <f t="shared" si="454"/>
        <v>-1</v>
      </c>
      <c r="AE683" s="108">
        <f t="shared" si="455"/>
        <v>-1</v>
      </c>
      <c r="AF683" s="108">
        <f t="shared" si="456"/>
        <v>-1</v>
      </c>
      <c r="AG683" s="108">
        <f t="shared" si="457"/>
        <v>-1</v>
      </c>
      <c r="AH683" s="108">
        <f t="shared" si="458"/>
        <v>-1</v>
      </c>
      <c r="AI683" s="108">
        <f t="shared" si="459"/>
        <v>-1</v>
      </c>
      <c r="AJ683" s="108">
        <f t="shared" si="460"/>
        <v>-1</v>
      </c>
      <c r="AK683" s="108">
        <f t="shared" si="461"/>
        <v>-1</v>
      </c>
      <c r="AL683" s="108">
        <f t="shared" si="462"/>
        <v>-1</v>
      </c>
      <c r="AM683" s="108"/>
      <c r="BK683" s="104" t="str">
        <f>$V$87</f>
        <v>-</v>
      </c>
      <c r="BL683" s="108">
        <v>0</v>
      </c>
      <c r="BM683" s="108">
        <v>0</v>
      </c>
      <c r="BN683" s="108">
        <v>0</v>
      </c>
      <c r="BO683" s="108">
        <v>0</v>
      </c>
      <c r="BP683" s="108">
        <v>0</v>
      </c>
      <c r="BQ683" s="108">
        <v>0</v>
      </c>
      <c r="BR683" s="108">
        <v>0</v>
      </c>
      <c r="BS683" s="108">
        <v>0</v>
      </c>
      <c r="BT683" s="108">
        <v>0</v>
      </c>
      <c r="BU683" s="108">
        <v>0</v>
      </c>
      <c r="BV683" s="108">
        <v>0</v>
      </c>
      <c r="BW683" s="108">
        <v>0</v>
      </c>
      <c r="BX683" s="108">
        <v>0</v>
      </c>
      <c r="BY683" s="108">
        <v>0</v>
      </c>
      <c r="BZ683" s="108">
        <v>0</v>
      </c>
      <c r="CA683" s="108">
        <v>0</v>
      </c>
      <c r="CB683" s="108">
        <v>0</v>
      </c>
    </row>
    <row r="684" spans="3:80" x14ac:dyDescent="0.55000000000000004">
      <c r="C684" s="104" t="str">
        <f>$V$74</f>
        <v>Samuel</v>
      </c>
      <c r="D684" s="108">
        <f t="shared" ref="D684:S684" si="483">D74</f>
        <v>0</v>
      </c>
      <c r="E684" s="108">
        <f t="shared" si="483"/>
        <v>0</v>
      </c>
      <c r="F684" s="108">
        <f t="shared" si="483"/>
        <v>0</v>
      </c>
      <c r="G684" s="108">
        <f t="shared" si="483"/>
        <v>0</v>
      </c>
      <c r="H684" s="108">
        <f t="shared" si="483"/>
        <v>0</v>
      </c>
      <c r="I684" s="108">
        <f t="shared" si="483"/>
        <v>0</v>
      </c>
      <c r="J684" s="108">
        <f t="shared" si="483"/>
        <v>0</v>
      </c>
      <c r="K684" s="108">
        <f t="shared" si="483"/>
        <v>0</v>
      </c>
      <c r="L684" s="108">
        <f t="shared" si="483"/>
        <v>0</v>
      </c>
      <c r="M684" s="108">
        <f t="shared" si="483"/>
        <v>0</v>
      </c>
      <c r="N684" s="108">
        <f t="shared" si="483"/>
        <v>0</v>
      </c>
      <c r="O684" s="108">
        <f t="shared" si="483"/>
        <v>0</v>
      </c>
      <c r="P684" s="108">
        <f t="shared" si="483"/>
        <v>0</v>
      </c>
      <c r="Q684" s="108">
        <f t="shared" si="483"/>
        <v>0</v>
      </c>
      <c r="R684" s="108">
        <f t="shared" si="483"/>
        <v>0</v>
      </c>
      <c r="S684" s="108">
        <f t="shared" si="483"/>
        <v>0</v>
      </c>
      <c r="T684" s="28" t="s">
        <v>26</v>
      </c>
      <c r="V684" s="104" t="str">
        <f>$V$74</f>
        <v>Samuel</v>
      </c>
      <c r="W684" s="108">
        <f t="shared" si="447"/>
        <v>-1</v>
      </c>
      <c r="X684" s="108">
        <f t="shared" si="448"/>
        <v>-1</v>
      </c>
      <c r="Y684" s="108">
        <f t="shared" si="449"/>
        <v>-1</v>
      </c>
      <c r="Z684" s="108">
        <f t="shared" si="450"/>
        <v>-1</v>
      </c>
      <c r="AA684" s="108">
        <f t="shared" si="451"/>
        <v>-1</v>
      </c>
      <c r="AB684" s="108">
        <f t="shared" si="452"/>
        <v>-1</v>
      </c>
      <c r="AC684" s="108">
        <f t="shared" si="453"/>
        <v>-1</v>
      </c>
      <c r="AD684" s="108">
        <f t="shared" si="454"/>
        <v>-1</v>
      </c>
      <c r="AE684" s="108">
        <f t="shared" si="455"/>
        <v>-1</v>
      </c>
      <c r="AF684" s="108">
        <f t="shared" si="456"/>
        <v>-1</v>
      </c>
      <c r="AG684" s="108">
        <f t="shared" si="457"/>
        <v>-1</v>
      </c>
      <c r="AH684" s="108">
        <f t="shared" si="458"/>
        <v>-1</v>
      </c>
      <c r="AI684" s="108">
        <f t="shared" si="459"/>
        <v>-1</v>
      </c>
      <c r="AJ684" s="108">
        <f t="shared" si="460"/>
        <v>-1</v>
      </c>
      <c r="AK684" s="108">
        <f t="shared" si="461"/>
        <v>-1</v>
      </c>
      <c r="AL684" s="108">
        <f t="shared" si="462"/>
        <v>-1</v>
      </c>
      <c r="AM684" s="108"/>
      <c r="BK684" s="104" t="str">
        <f>$V$88</f>
        <v>-</v>
      </c>
      <c r="BL684" s="108">
        <v>0</v>
      </c>
      <c r="BM684" s="108">
        <v>0</v>
      </c>
      <c r="BN684" s="108">
        <v>0</v>
      </c>
      <c r="BO684" s="108">
        <v>0</v>
      </c>
      <c r="BP684" s="108">
        <v>0</v>
      </c>
      <c r="BQ684" s="108">
        <v>0</v>
      </c>
      <c r="BR684" s="108">
        <v>0</v>
      </c>
      <c r="BS684" s="108">
        <v>0</v>
      </c>
      <c r="BT684" s="108">
        <v>0</v>
      </c>
      <c r="BU684" s="108">
        <v>0</v>
      </c>
      <c r="BV684" s="108">
        <v>0</v>
      </c>
      <c r="BW684" s="108">
        <v>0</v>
      </c>
      <c r="BX684" s="108">
        <v>0</v>
      </c>
      <c r="BY684" s="108">
        <v>0</v>
      </c>
      <c r="BZ684" s="108">
        <v>0</v>
      </c>
      <c r="CA684" s="108">
        <v>0</v>
      </c>
      <c r="CB684" s="108">
        <v>0</v>
      </c>
    </row>
    <row r="685" spans="3:80" x14ac:dyDescent="0.55000000000000004">
      <c r="C685" s="104" t="str">
        <f>$V$75</f>
        <v>Yassin</v>
      </c>
      <c r="D685" s="108">
        <f t="shared" ref="D685:S685" si="484">D75</f>
        <v>0</v>
      </c>
      <c r="E685" s="108">
        <f t="shared" si="484"/>
        <v>0</v>
      </c>
      <c r="F685" s="108">
        <f t="shared" si="484"/>
        <v>0</v>
      </c>
      <c r="G685" s="108">
        <f t="shared" si="484"/>
        <v>0</v>
      </c>
      <c r="H685" s="108">
        <f t="shared" si="484"/>
        <v>0</v>
      </c>
      <c r="I685" s="108">
        <f t="shared" si="484"/>
        <v>0</v>
      </c>
      <c r="J685" s="108">
        <f t="shared" si="484"/>
        <v>0</v>
      </c>
      <c r="K685" s="108">
        <f t="shared" si="484"/>
        <v>0</v>
      </c>
      <c r="L685" s="108">
        <f t="shared" si="484"/>
        <v>0</v>
      </c>
      <c r="M685" s="108">
        <f t="shared" si="484"/>
        <v>0</v>
      </c>
      <c r="N685" s="108">
        <f t="shared" si="484"/>
        <v>0</v>
      </c>
      <c r="O685" s="108">
        <f t="shared" si="484"/>
        <v>0</v>
      </c>
      <c r="P685" s="108">
        <f t="shared" si="484"/>
        <v>0</v>
      </c>
      <c r="Q685" s="108">
        <f t="shared" si="484"/>
        <v>0</v>
      </c>
      <c r="R685" s="108">
        <f t="shared" si="484"/>
        <v>0</v>
      </c>
      <c r="S685" s="108">
        <f t="shared" si="484"/>
        <v>0</v>
      </c>
      <c r="T685" s="28" t="s">
        <v>26</v>
      </c>
      <c r="V685" s="104" t="str">
        <f>$V$75</f>
        <v>Yassin</v>
      </c>
      <c r="W685" s="108">
        <f t="shared" si="447"/>
        <v>-1</v>
      </c>
      <c r="X685" s="108">
        <f t="shared" si="448"/>
        <v>-1</v>
      </c>
      <c r="Y685" s="108">
        <f t="shared" si="449"/>
        <v>-1</v>
      </c>
      <c r="Z685" s="108">
        <f t="shared" si="450"/>
        <v>-1</v>
      </c>
      <c r="AA685" s="108">
        <f t="shared" si="451"/>
        <v>-1</v>
      </c>
      <c r="AB685" s="108">
        <f t="shared" si="452"/>
        <v>-1</v>
      </c>
      <c r="AC685" s="108">
        <f t="shared" si="453"/>
        <v>-1</v>
      </c>
      <c r="AD685" s="108">
        <f t="shared" si="454"/>
        <v>-1</v>
      </c>
      <c r="AE685" s="108">
        <f t="shared" si="455"/>
        <v>-1</v>
      </c>
      <c r="AF685" s="108">
        <f t="shared" si="456"/>
        <v>-1</v>
      </c>
      <c r="AG685" s="108">
        <f t="shared" si="457"/>
        <v>-1</v>
      </c>
      <c r="AH685" s="108">
        <f t="shared" si="458"/>
        <v>-1</v>
      </c>
      <c r="AI685" s="108">
        <f t="shared" si="459"/>
        <v>-1</v>
      </c>
      <c r="AJ685" s="108">
        <f t="shared" si="460"/>
        <v>-1</v>
      </c>
      <c r="AK685" s="108">
        <f t="shared" si="461"/>
        <v>-1</v>
      </c>
      <c r="AL685" s="108">
        <f t="shared" si="462"/>
        <v>-1</v>
      </c>
      <c r="AM685" s="108"/>
      <c r="BK685" s="104" t="str">
        <f>$V$89</f>
        <v>-</v>
      </c>
      <c r="BL685" s="108">
        <v>0</v>
      </c>
      <c r="BM685" s="108">
        <v>0</v>
      </c>
      <c r="BN685" s="108">
        <v>0</v>
      </c>
      <c r="BO685" s="108">
        <v>0</v>
      </c>
      <c r="BP685" s="108">
        <v>0</v>
      </c>
      <c r="BQ685" s="108">
        <v>0</v>
      </c>
      <c r="BR685" s="108">
        <v>0</v>
      </c>
      <c r="BS685" s="108">
        <v>0</v>
      </c>
      <c r="BT685" s="108">
        <v>0</v>
      </c>
      <c r="BU685" s="108">
        <v>0</v>
      </c>
      <c r="BV685" s="108">
        <v>0</v>
      </c>
      <c r="BW685" s="108">
        <v>0</v>
      </c>
      <c r="BX685" s="108">
        <v>0</v>
      </c>
      <c r="BY685" s="108">
        <v>0</v>
      </c>
      <c r="BZ685" s="108">
        <v>0</v>
      </c>
      <c r="CA685" s="108">
        <v>0</v>
      </c>
      <c r="CB685" s="108">
        <v>0</v>
      </c>
    </row>
    <row r="686" spans="3:80" x14ac:dyDescent="0.55000000000000004">
      <c r="C686" s="104" t="str">
        <f>$V$76</f>
        <v>Kamar</v>
      </c>
      <c r="D686" s="108">
        <f t="shared" ref="D686:S686" si="485">D76</f>
        <v>0</v>
      </c>
      <c r="E686" s="108">
        <f t="shared" si="485"/>
        <v>0</v>
      </c>
      <c r="F686" s="108">
        <f t="shared" si="485"/>
        <v>0</v>
      </c>
      <c r="G686" s="108">
        <f t="shared" si="485"/>
        <v>0</v>
      </c>
      <c r="H686" s="108">
        <f t="shared" si="485"/>
        <v>0</v>
      </c>
      <c r="I686" s="108">
        <f t="shared" si="485"/>
        <v>0</v>
      </c>
      <c r="J686" s="108">
        <f t="shared" si="485"/>
        <v>0</v>
      </c>
      <c r="K686" s="108">
        <f t="shared" si="485"/>
        <v>0</v>
      </c>
      <c r="L686" s="108">
        <f t="shared" si="485"/>
        <v>0</v>
      </c>
      <c r="M686" s="108">
        <f t="shared" si="485"/>
        <v>0</v>
      </c>
      <c r="N686" s="108">
        <f t="shared" si="485"/>
        <v>0</v>
      </c>
      <c r="O686" s="108">
        <f t="shared" si="485"/>
        <v>0</v>
      </c>
      <c r="P686" s="108">
        <f t="shared" si="485"/>
        <v>0</v>
      </c>
      <c r="Q686" s="108">
        <f t="shared" si="485"/>
        <v>0</v>
      </c>
      <c r="R686" s="108">
        <f t="shared" si="485"/>
        <v>0</v>
      </c>
      <c r="S686" s="108">
        <f t="shared" si="485"/>
        <v>0</v>
      </c>
      <c r="T686" s="28" t="s">
        <v>26</v>
      </c>
      <c r="V686" s="104" t="str">
        <f>$V$76</f>
        <v>Kamar</v>
      </c>
      <c r="W686" s="108">
        <f t="shared" si="447"/>
        <v>-1</v>
      </c>
      <c r="X686" s="108">
        <f t="shared" si="448"/>
        <v>-1</v>
      </c>
      <c r="Y686" s="108">
        <f t="shared" si="449"/>
        <v>-1</v>
      </c>
      <c r="Z686" s="108">
        <f t="shared" si="450"/>
        <v>-1</v>
      </c>
      <c r="AA686" s="108">
        <f t="shared" si="451"/>
        <v>-1</v>
      </c>
      <c r="AB686" s="108">
        <f t="shared" si="452"/>
        <v>-1</v>
      </c>
      <c r="AC686" s="108">
        <f t="shared" si="453"/>
        <v>-1</v>
      </c>
      <c r="AD686" s="108">
        <f t="shared" si="454"/>
        <v>-1</v>
      </c>
      <c r="AE686" s="108">
        <f t="shared" si="455"/>
        <v>-1</v>
      </c>
      <c r="AF686" s="108">
        <f t="shared" si="456"/>
        <v>-1</v>
      </c>
      <c r="AG686" s="108">
        <f t="shared" si="457"/>
        <v>-1</v>
      </c>
      <c r="AH686" s="108">
        <f t="shared" si="458"/>
        <v>-1</v>
      </c>
      <c r="AI686" s="108">
        <f t="shared" si="459"/>
        <v>-1</v>
      </c>
      <c r="AJ686" s="108">
        <f t="shared" si="460"/>
        <v>-1</v>
      </c>
      <c r="AK686" s="108">
        <f t="shared" si="461"/>
        <v>-1</v>
      </c>
      <c r="AL686" s="108">
        <f t="shared" si="462"/>
        <v>-1</v>
      </c>
      <c r="AM686" s="108"/>
      <c r="BK686" s="104" t="str">
        <f>$V$90</f>
        <v>-</v>
      </c>
      <c r="BL686" s="108">
        <v>0</v>
      </c>
      <c r="BM686" s="108">
        <v>0</v>
      </c>
      <c r="BN686" s="108">
        <v>0</v>
      </c>
      <c r="BO686" s="108">
        <v>0</v>
      </c>
      <c r="BP686" s="108">
        <v>0</v>
      </c>
      <c r="BQ686" s="108">
        <v>0</v>
      </c>
      <c r="BR686" s="108">
        <v>0</v>
      </c>
      <c r="BS686" s="108">
        <v>0</v>
      </c>
      <c r="BT686" s="108">
        <v>0</v>
      </c>
      <c r="BU686" s="108">
        <v>0</v>
      </c>
      <c r="BV686" s="108">
        <v>0</v>
      </c>
      <c r="BW686" s="108">
        <v>0</v>
      </c>
      <c r="BX686" s="108">
        <v>0</v>
      </c>
      <c r="BY686" s="108">
        <v>0</v>
      </c>
      <c r="BZ686" s="108">
        <v>0</v>
      </c>
      <c r="CA686" s="108">
        <v>0</v>
      </c>
      <c r="CB686" s="108">
        <v>0</v>
      </c>
    </row>
    <row r="687" spans="3:80" x14ac:dyDescent="0.55000000000000004">
      <c r="C687" s="104" t="str">
        <f>$V$77</f>
        <v>-</v>
      </c>
      <c r="D687" s="108">
        <f t="shared" ref="D687:S687" si="486">D77</f>
        <v>0</v>
      </c>
      <c r="E687" s="108">
        <f t="shared" si="486"/>
        <v>0</v>
      </c>
      <c r="F687" s="108">
        <f t="shared" si="486"/>
        <v>0</v>
      </c>
      <c r="G687" s="108">
        <f t="shared" si="486"/>
        <v>0</v>
      </c>
      <c r="H687" s="108">
        <f t="shared" si="486"/>
        <v>0</v>
      </c>
      <c r="I687" s="108">
        <f t="shared" si="486"/>
        <v>0</v>
      </c>
      <c r="J687" s="108">
        <f t="shared" si="486"/>
        <v>0</v>
      </c>
      <c r="K687" s="108">
        <f t="shared" si="486"/>
        <v>0</v>
      </c>
      <c r="L687" s="108">
        <f t="shared" si="486"/>
        <v>0</v>
      </c>
      <c r="M687" s="108">
        <f t="shared" si="486"/>
        <v>0</v>
      </c>
      <c r="N687" s="108">
        <f t="shared" si="486"/>
        <v>0</v>
      </c>
      <c r="O687" s="108">
        <f t="shared" si="486"/>
        <v>0</v>
      </c>
      <c r="P687" s="108">
        <f t="shared" si="486"/>
        <v>0</v>
      </c>
      <c r="Q687" s="108">
        <f t="shared" si="486"/>
        <v>0</v>
      </c>
      <c r="R687" s="108">
        <f t="shared" si="486"/>
        <v>0</v>
      </c>
      <c r="S687" s="108">
        <f t="shared" si="486"/>
        <v>0</v>
      </c>
      <c r="T687" s="28" t="s">
        <v>26</v>
      </c>
      <c r="V687" s="104" t="str">
        <f>$V$77</f>
        <v>-</v>
      </c>
      <c r="W687" s="108">
        <f t="shared" si="447"/>
        <v>-1</v>
      </c>
      <c r="X687" s="108">
        <f t="shared" si="448"/>
        <v>-1</v>
      </c>
      <c r="Y687" s="108">
        <f t="shared" si="449"/>
        <v>-1</v>
      </c>
      <c r="Z687" s="108">
        <f t="shared" si="450"/>
        <v>-1</v>
      </c>
      <c r="AA687" s="108">
        <f t="shared" si="451"/>
        <v>-1</v>
      </c>
      <c r="AB687" s="108">
        <f t="shared" si="452"/>
        <v>-1</v>
      </c>
      <c r="AC687" s="108">
        <f t="shared" si="453"/>
        <v>-1</v>
      </c>
      <c r="AD687" s="108">
        <f t="shared" si="454"/>
        <v>-1</v>
      </c>
      <c r="AE687" s="108">
        <f t="shared" si="455"/>
        <v>-1</v>
      </c>
      <c r="AF687" s="108">
        <f t="shared" si="456"/>
        <v>-1</v>
      </c>
      <c r="AG687" s="108">
        <f t="shared" si="457"/>
        <v>-1</v>
      </c>
      <c r="AH687" s="108">
        <f t="shared" si="458"/>
        <v>-1</v>
      </c>
      <c r="AI687" s="108">
        <f t="shared" si="459"/>
        <v>-1</v>
      </c>
      <c r="AJ687" s="108">
        <f t="shared" si="460"/>
        <v>-1</v>
      </c>
      <c r="AK687" s="108">
        <f t="shared" si="461"/>
        <v>-1</v>
      </c>
      <c r="AL687" s="108">
        <f t="shared" si="462"/>
        <v>-1</v>
      </c>
      <c r="AM687" s="108"/>
      <c r="BK687" s="104" t="str">
        <f>$V$91</f>
        <v>-</v>
      </c>
      <c r="BL687" s="108">
        <v>0</v>
      </c>
      <c r="BM687" s="108">
        <v>0</v>
      </c>
      <c r="BN687" s="108">
        <v>0</v>
      </c>
      <c r="BO687" s="108">
        <v>0</v>
      </c>
      <c r="BP687" s="108">
        <v>0</v>
      </c>
      <c r="BQ687" s="108">
        <v>0</v>
      </c>
      <c r="BR687" s="108">
        <v>0</v>
      </c>
      <c r="BS687" s="108">
        <v>0</v>
      </c>
      <c r="BT687" s="108">
        <v>0</v>
      </c>
      <c r="BU687" s="108">
        <v>0</v>
      </c>
      <c r="BV687" s="108">
        <v>0</v>
      </c>
      <c r="BW687" s="108">
        <v>0</v>
      </c>
      <c r="BX687" s="108">
        <v>0</v>
      </c>
      <c r="BY687" s="108">
        <v>0</v>
      </c>
      <c r="BZ687" s="108">
        <v>0</v>
      </c>
      <c r="CA687" s="108">
        <v>0</v>
      </c>
      <c r="CB687" s="108">
        <v>0</v>
      </c>
    </row>
    <row r="688" spans="3:80" x14ac:dyDescent="0.55000000000000004">
      <c r="C688" s="104" t="str">
        <f>$V$78</f>
        <v>-</v>
      </c>
      <c r="D688" s="108">
        <f t="shared" ref="D688:S688" si="487">D78</f>
        <v>0</v>
      </c>
      <c r="E688" s="108">
        <f t="shared" si="487"/>
        <v>0</v>
      </c>
      <c r="F688" s="108">
        <f t="shared" si="487"/>
        <v>0</v>
      </c>
      <c r="G688" s="108">
        <f t="shared" si="487"/>
        <v>0</v>
      </c>
      <c r="H688" s="108">
        <f t="shared" si="487"/>
        <v>0</v>
      </c>
      <c r="I688" s="108">
        <f t="shared" si="487"/>
        <v>0</v>
      </c>
      <c r="J688" s="108">
        <f t="shared" si="487"/>
        <v>0</v>
      </c>
      <c r="K688" s="108">
        <f t="shared" si="487"/>
        <v>0</v>
      </c>
      <c r="L688" s="108">
        <f t="shared" si="487"/>
        <v>0</v>
      </c>
      <c r="M688" s="108">
        <f t="shared" si="487"/>
        <v>0</v>
      </c>
      <c r="N688" s="108">
        <f t="shared" si="487"/>
        <v>0</v>
      </c>
      <c r="O688" s="108">
        <f t="shared" si="487"/>
        <v>0</v>
      </c>
      <c r="P688" s="108">
        <f t="shared" si="487"/>
        <v>0</v>
      </c>
      <c r="Q688" s="108">
        <f t="shared" si="487"/>
        <v>0</v>
      </c>
      <c r="R688" s="108">
        <f t="shared" si="487"/>
        <v>0</v>
      </c>
      <c r="S688" s="108">
        <f t="shared" si="487"/>
        <v>0</v>
      </c>
      <c r="T688" s="28" t="s">
        <v>26</v>
      </c>
      <c r="V688" s="104" t="str">
        <f>$V$78</f>
        <v>-</v>
      </c>
      <c r="W688" s="108">
        <f t="shared" si="447"/>
        <v>-1</v>
      </c>
      <c r="X688" s="108">
        <f t="shared" si="448"/>
        <v>-1</v>
      </c>
      <c r="Y688" s="108">
        <f t="shared" si="449"/>
        <v>-1</v>
      </c>
      <c r="Z688" s="108">
        <f t="shared" si="450"/>
        <v>-1</v>
      </c>
      <c r="AA688" s="108">
        <f t="shared" si="451"/>
        <v>-1</v>
      </c>
      <c r="AB688" s="108">
        <f t="shared" si="452"/>
        <v>-1</v>
      </c>
      <c r="AC688" s="108">
        <f t="shared" si="453"/>
        <v>-1</v>
      </c>
      <c r="AD688" s="108">
        <f t="shared" si="454"/>
        <v>-1</v>
      </c>
      <c r="AE688" s="108">
        <f t="shared" si="455"/>
        <v>-1</v>
      </c>
      <c r="AF688" s="108">
        <f t="shared" si="456"/>
        <v>-1</v>
      </c>
      <c r="AG688" s="108">
        <f t="shared" si="457"/>
        <v>-1</v>
      </c>
      <c r="AH688" s="108">
        <f t="shared" si="458"/>
        <v>-1</v>
      </c>
      <c r="AI688" s="108">
        <f t="shared" si="459"/>
        <v>-1</v>
      </c>
      <c r="AJ688" s="108">
        <f t="shared" si="460"/>
        <v>-1</v>
      </c>
      <c r="AK688" s="108">
        <f t="shared" si="461"/>
        <v>-1</v>
      </c>
      <c r="AL688" s="108">
        <f t="shared" si="462"/>
        <v>-1</v>
      </c>
      <c r="BK688" s="104" t="str">
        <f>$V$92</f>
        <v>-</v>
      </c>
      <c r="BL688" s="108">
        <v>0</v>
      </c>
      <c r="BM688" s="108">
        <v>0</v>
      </c>
      <c r="BN688" s="108">
        <v>0</v>
      </c>
      <c r="BO688" s="108">
        <v>0</v>
      </c>
      <c r="BP688" s="108">
        <v>0</v>
      </c>
      <c r="BQ688" s="108">
        <v>0</v>
      </c>
      <c r="BR688" s="108">
        <v>0</v>
      </c>
      <c r="BS688" s="108">
        <v>0</v>
      </c>
      <c r="BT688" s="108">
        <v>0</v>
      </c>
      <c r="BU688" s="108">
        <v>0</v>
      </c>
      <c r="BV688" s="108">
        <v>0</v>
      </c>
      <c r="BW688" s="108">
        <v>0</v>
      </c>
      <c r="BX688" s="108">
        <v>0</v>
      </c>
      <c r="BY688" s="108">
        <v>0</v>
      </c>
      <c r="BZ688" s="108">
        <v>0</v>
      </c>
      <c r="CA688" s="108">
        <v>0</v>
      </c>
      <c r="CB688" s="108">
        <v>0</v>
      </c>
    </row>
    <row r="689" spans="3:39" x14ac:dyDescent="0.55000000000000004">
      <c r="C689" s="104" t="str">
        <f>$V$79</f>
        <v>-</v>
      </c>
      <c r="D689" s="108">
        <f t="shared" ref="D689:S689" si="488">D79</f>
        <v>0</v>
      </c>
      <c r="E689" s="108">
        <f t="shared" si="488"/>
        <v>0</v>
      </c>
      <c r="F689" s="108">
        <f t="shared" si="488"/>
        <v>0</v>
      </c>
      <c r="G689" s="108">
        <f t="shared" si="488"/>
        <v>0</v>
      </c>
      <c r="H689" s="108">
        <f t="shared" si="488"/>
        <v>0</v>
      </c>
      <c r="I689" s="108">
        <f t="shared" si="488"/>
        <v>0</v>
      </c>
      <c r="J689" s="108">
        <f t="shared" si="488"/>
        <v>0</v>
      </c>
      <c r="K689" s="108">
        <f t="shared" si="488"/>
        <v>0</v>
      </c>
      <c r="L689" s="108">
        <f t="shared" si="488"/>
        <v>0</v>
      </c>
      <c r="M689" s="108">
        <f t="shared" si="488"/>
        <v>0</v>
      </c>
      <c r="N689" s="108">
        <f t="shared" si="488"/>
        <v>0</v>
      </c>
      <c r="O689" s="108">
        <f t="shared" si="488"/>
        <v>0</v>
      </c>
      <c r="P689" s="108">
        <f t="shared" si="488"/>
        <v>0</v>
      </c>
      <c r="Q689" s="108">
        <f t="shared" si="488"/>
        <v>0</v>
      </c>
      <c r="R689" s="108">
        <f t="shared" si="488"/>
        <v>0</v>
      </c>
      <c r="S689" s="108">
        <f t="shared" si="488"/>
        <v>0</v>
      </c>
      <c r="T689" s="28" t="s">
        <v>26</v>
      </c>
      <c r="V689" s="104" t="str">
        <f>$V$79</f>
        <v>-</v>
      </c>
      <c r="W689" s="108">
        <f t="shared" si="447"/>
        <v>-1</v>
      </c>
      <c r="X689" s="108">
        <f t="shared" si="448"/>
        <v>-1</v>
      </c>
      <c r="Y689" s="108">
        <f t="shared" si="449"/>
        <v>-1</v>
      </c>
      <c r="Z689" s="108">
        <f t="shared" si="450"/>
        <v>-1</v>
      </c>
      <c r="AA689" s="108">
        <f t="shared" si="451"/>
        <v>-1</v>
      </c>
      <c r="AB689" s="108">
        <f t="shared" si="452"/>
        <v>-1</v>
      </c>
      <c r="AC689" s="108">
        <f t="shared" si="453"/>
        <v>-1</v>
      </c>
      <c r="AD689" s="108">
        <f t="shared" si="454"/>
        <v>-1</v>
      </c>
      <c r="AE689" s="108">
        <f t="shared" si="455"/>
        <v>-1</v>
      </c>
      <c r="AF689" s="108">
        <f t="shared" si="456"/>
        <v>-1</v>
      </c>
      <c r="AG689" s="108">
        <f t="shared" si="457"/>
        <v>-1</v>
      </c>
      <c r="AH689" s="108">
        <f t="shared" si="458"/>
        <v>-1</v>
      </c>
      <c r="AI689" s="108">
        <f t="shared" si="459"/>
        <v>-1</v>
      </c>
      <c r="AJ689" s="108">
        <f t="shared" si="460"/>
        <v>-1</v>
      </c>
      <c r="AK689" s="108">
        <f t="shared" si="461"/>
        <v>-1</v>
      </c>
      <c r="AL689" s="108">
        <f t="shared" si="462"/>
        <v>-1</v>
      </c>
    </row>
    <row r="690" spans="3:39" x14ac:dyDescent="0.55000000000000004">
      <c r="C690" s="104" t="str">
        <f>$V$80</f>
        <v>-</v>
      </c>
      <c r="D690" s="108">
        <f t="shared" ref="D690:S690" si="489">D80</f>
        <v>0</v>
      </c>
      <c r="E690" s="108">
        <f t="shared" si="489"/>
        <v>0</v>
      </c>
      <c r="F690" s="108">
        <f t="shared" si="489"/>
        <v>0</v>
      </c>
      <c r="G690" s="108">
        <f t="shared" si="489"/>
        <v>0</v>
      </c>
      <c r="H690" s="108">
        <f t="shared" si="489"/>
        <v>0</v>
      </c>
      <c r="I690" s="108">
        <f t="shared" si="489"/>
        <v>0</v>
      </c>
      <c r="J690" s="108">
        <f t="shared" si="489"/>
        <v>0</v>
      </c>
      <c r="K690" s="108">
        <f t="shared" si="489"/>
        <v>0</v>
      </c>
      <c r="L690" s="108">
        <f t="shared" si="489"/>
        <v>0</v>
      </c>
      <c r="M690" s="108">
        <f t="shared" si="489"/>
        <v>0</v>
      </c>
      <c r="N690" s="108">
        <f t="shared" si="489"/>
        <v>0</v>
      </c>
      <c r="O690" s="108">
        <f t="shared" si="489"/>
        <v>0</v>
      </c>
      <c r="P690" s="108">
        <f t="shared" si="489"/>
        <v>0</v>
      </c>
      <c r="Q690" s="108">
        <f t="shared" si="489"/>
        <v>0</v>
      </c>
      <c r="R690" s="108">
        <f t="shared" si="489"/>
        <v>0</v>
      </c>
      <c r="S690" s="108">
        <f t="shared" si="489"/>
        <v>0</v>
      </c>
      <c r="T690" s="28" t="s">
        <v>26</v>
      </c>
      <c r="V690" s="104" t="str">
        <f>$V$80</f>
        <v>-</v>
      </c>
      <c r="W690" s="108">
        <f t="shared" si="447"/>
        <v>-1</v>
      </c>
      <c r="X690" s="108">
        <f t="shared" si="448"/>
        <v>-1</v>
      </c>
      <c r="Y690" s="108">
        <f t="shared" si="449"/>
        <v>-1</v>
      </c>
      <c r="Z690" s="108">
        <f t="shared" si="450"/>
        <v>-1</v>
      </c>
      <c r="AA690" s="108">
        <f t="shared" si="451"/>
        <v>-1</v>
      </c>
      <c r="AB690" s="108">
        <f t="shared" si="452"/>
        <v>-1</v>
      </c>
      <c r="AC690" s="108">
        <f t="shared" si="453"/>
        <v>-1</v>
      </c>
      <c r="AD690" s="108">
        <f t="shared" si="454"/>
        <v>-1</v>
      </c>
      <c r="AE690" s="108">
        <f t="shared" si="455"/>
        <v>-1</v>
      </c>
      <c r="AF690" s="108">
        <f t="shared" si="456"/>
        <v>-1</v>
      </c>
      <c r="AG690" s="108">
        <f t="shared" si="457"/>
        <v>-1</v>
      </c>
      <c r="AH690" s="108">
        <f t="shared" si="458"/>
        <v>-1</v>
      </c>
      <c r="AI690" s="108">
        <f t="shared" si="459"/>
        <v>-1</v>
      </c>
      <c r="AJ690" s="108">
        <f t="shared" si="460"/>
        <v>-1</v>
      </c>
      <c r="AK690" s="108">
        <f t="shared" si="461"/>
        <v>-1</v>
      </c>
      <c r="AL690" s="108">
        <f t="shared" si="462"/>
        <v>-1</v>
      </c>
    </row>
    <row r="691" spans="3:39" x14ac:dyDescent="0.55000000000000004">
      <c r="C691" s="104" t="str">
        <f>$V$81</f>
        <v>-</v>
      </c>
      <c r="D691" s="108">
        <f t="shared" ref="D691:S691" si="490">D81</f>
        <v>0</v>
      </c>
      <c r="E691" s="108">
        <f t="shared" si="490"/>
        <v>0</v>
      </c>
      <c r="F691" s="108">
        <f t="shared" si="490"/>
        <v>0</v>
      </c>
      <c r="G691" s="108">
        <f t="shared" si="490"/>
        <v>0</v>
      </c>
      <c r="H691" s="108">
        <f t="shared" si="490"/>
        <v>0</v>
      </c>
      <c r="I691" s="108">
        <f t="shared" si="490"/>
        <v>0</v>
      </c>
      <c r="J691" s="108">
        <f t="shared" si="490"/>
        <v>0</v>
      </c>
      <c r="K691" s="108">
        <f t="shared" si="490"/>
        <v>0</v>
      </c>
      <c r="L691" s="108">
        <f t="shared" si="490"/>
        <v>0</v>
      </c>
      <c r="M691" s="108">
        <f t="shared" si="490"/>
        <v>0</v>
      </c>
      <c r="N691" s="108">
        <f t="shared" si="490"/>
        <v>0</v>
      </c>
      <c r="O691" s="108">
        <f t="shared" si="490"/>
        <v>0</v>
      </c>
      <c r="P691" s="108">
        <f t="shared" si="490"/>
        <v>0</v>
      </c>
      <c r="Q691" s="108">
        <f t="shared" si="490"/>
        <v>0</v>
      </c>
      <c r="R691" s="108">
        <f t="shared" si="490"/>
        <v>0</v>
      </c>
      <c r="S691" s="108">
        <f t="shared" si="490"/>
        <v>0</v>
      </c>
      <c r="T691" s="28" t="s">
        <v>26</v>
      </c>
      <c r="V691" s="104" t="str">
        <f>$V$81</f>
        <v>-</v>
      </c>
      <c r="W691" s="108">
        <f t="shared" si="447"/>
        <v>-1</v>
      </c>
      <c r="X691" s="108">
        <f t="shared" si="448"/>
        <v>-1</v>
      </c>
      <c r="Y691" s="108">
        <f t="shared" si="449"/>
        <v>-1</v>
      </c>
      <c r="Z691" s="108">
        <f t="shared" si="450"/>
        <v>-1</v>
      </c>
      <c r="AA691" s="108">
        <f t="shared" si="451"/>
        <v>-1</v>
      </c>
      <c r="AB691" s="108">
        <f t="shared" si="452"/>
        <v>-1</v>
      </c>
      <c r="AC691" s="108">
        <f t="shared" si="453"/>
        <v>-1</v>
      </c>
      <c r="AD691" s="108">
        <f t="shared" si="454"/>
        <v>-1</v>
      </c>
      <c r="AE691" s="108">
        <f t="shared" si="455"/>
        <v>-1</v>
      </c>
      <c r="AF691" s="108">
        <f t="shared" si="456"/>
        <v>-1</v>
      </c>
      <c r="AG691" s="108">
        <f t="shared" si="457"/>
        <v>-1</v>
      </c>
      <c r="AH691" s="108">
        <f t="shared" si="458"/>
        <v>-1</v>
      </c>
      <c r="AI691" s="108">
        <f t="shared" si="459"/>
        <v>-1</v>
      </c>
      <c r="AJ691" s="108">
        <f t="shared" si="460"/>
        <v>-1</v>
      </c>
      <c r="AK691" s="108">
        <f t="shared" si="461"/>
        <v>-1</v>
      </c>
      <c r="AL691" s="108">
        <f t="shared" si="462"/>
        <v>-1</v>
      </c>
    </row>
    <row r="692" spans="3:39" x14ac:dyDescent="0.55000000000000004">
      <c r="C692" s="104" t="str">
        <f>$V$82</f>
        <v>-</v>
      </c>
      <c r="D692" s="108">
        <f t="shared" ref="D692:S692" si="491">D82</f>
        <v>0</v>
      </c>
      <c r="E692" s="108">
        <f t="shared" si="491"/>
        <v>0</v>
      </c>
      <c r="F692" s="108">
        <f t="shared" si="491"/>
        <v>0</v>
      </c>
      <c r="G692" s="108">
        <f t="shared" si="491"/>
        <v>0</v>
      </c>
      <c r="H692" s="108">
        <f t="shared" si="491"/>
        <v>0</v>
      </c>
      <c r="I692" s="108">
        <f t="shared" si="491"/>
        <v>0</v>
      </c>
      <c r="J692" s="108">
        <f t="shared" si="491"/>
        <v>0</v>
      </c>
      <c r="K692" s="108">
        <f t="shared" si="491"/>
        <v>0</v>
      </c>
      <c r="L692" s="108">
        <f t="shared" si="491"/>
        <v>0</v>
      </c>
      <c r="M692" s="108">
        <f t="shared" si="491"/>
        <v>0</v>
      </c>
      <c r="N692" s="108">
        <f t="shared" si="491"/>
        <v>0</v>
      </c>
      <c r="O692" s="108">
        <f t="shared" si="491"/>
        <v>0</v>
      </c>
      <c r="P692" s="108">
        <f t="shared" si="491"/>
        <v>0</v>
      </c>
      <c r="Q692" s="108">
        <f t="shared" si="491"/>
        <v>0</v>
      </c>
      <c r="R692" s="108">
        <f t="shared" si="491"/>
        <v>0</v>
      </c>
      <c r="S692" s="108">
        <f t="shared" si="491"/>
        <v>0</v>
      </c>
      <c r="T692" s="28" t="s">
        <v>26</v>
      </c>
      <c r="V692" s="104" t="str">
        <f>$V$82</f>
        <v>-</v>
      </c>
      <c r="W692" s="108">
        <f t="shared" si="447"/>
        <v>-1</v>
      </c>
      <c r="X692" s="108">
        <f t="shared" si="448"/>
        <v>-1</v>
      </c>
      <c r="Y692" s="108">
        <f t="shared" si="449"/>
        <v>-1</v>
      </c>
      <c r="Z692" s="108">
        <f t="shared" si="450"/>
        <v>-1</v>
      </c>
      <c r="AA692" s="108">
        <f t="shared" si="451"/>
        <v>-1</v>
      </c>
      <c r="AB692" s="108">
        <f t="shared" si="452"/>
        <v>-1</v>
      </c>
      <c r="AC692" s="108">
        <f t="shared" si="453"/>
        <v>-1</v>
      </c>
      <c r="AD692" s="108">
        <f t="shared" si="454"/>
        <v>-1</v>
      </c>
      <c r="AE692" s="108">
        <f t="shared" si="455"/>
        <v>-1</v>
      </c>
      <c r="AF692" s="108">
        <f t="shared" si="456"/>
        <v>-1</v>
      </c>
      <c r="AG692" s="108">
        <f t="shared" si="457"/>
        <v>-1</v>
      </c>
      <c r="AH692" s="108">
        <f t="shared" si="458"/>
        <v>-1</v>
      </c>
      <c r="AI692" s="108">
        <f t="shared" si="459"/>
        <v>-1</v>
      </c>
      <c r="AJ692" s="108">
        <f t="shared" si="460"/>
        <v>-1</v>
      </c>
      <c r="AK692" s="108">
        <f t="shared" si="461"/>
        <v>-1</v>
      </c>
      <c r="AL692" s="108">
        <f t="shared" si="462"/>
        <v>-1</v>
      </c>
      <c r="AM692" s="108"/>
    </row>
    <row r="693" spans="3:39" x14ac:dyDescent="0.55000000000000004">
      <c r="C693" s="104" t="str">
        <f>$V$83</f>
        <v>-</v>
      </c>
      <c r="D693" s="108">
        <f t="shared" ref="D693:S693" si="492">D83</f>
        <v>0</v>
      </c>
      <c r="E693" s="108">
        <f t="shared" si="492"/>
        <v>0</v>
      </c>
      <c r="F693" s="108">
        <f t="shared" si="492"/>
        <v>0</v>
      </c>
      <c r="G693" s="108">
        <f t="shared" si="492"/>
        <v>0</v>
      </c>
      <c r="H693" s="108">
        <f t="shared" si="492"/>
        <v>0</v>
      </c>
      <c r="I693" s="108">
        <f t="shared" si="492"/>
        <v>0</v>
      </c>
      <c r="J693" s="108">
        <f t="shared" si="492"/>
        <v>0</v>
      </c>
      <c r="K693" s="108">
        <f t="shared" si="492"/>
        <v>0</v>
      </c>
      <c r="L693" s="108">
        <f t="shared" si="492"/>
        <v>0</v>
      </c>
      <c r="M693" s="108">
        <f t="shared" si="492"/>
        <v>0</v>
      </c>
      <c r="N693" s="108">
        <f t="shared" si="492"/>
        <v>0</v>
      </c>
      <c r="O693" s="108">
        <f t="shared" si="492"/>
        <v>0</v>
      </c>
      <c r="P693" s="108">
        <f t="shared" si="492"/>
        <v>0</v>
      </c>
      <c r="Q693" s="108">
        <f t="shared" si="492"/>
        <v>0</v>
      </c>
      <c r="R693" s="108">
        <f t="shared" si="492"/>
        <v>0</v>
      </c>
      <c r="S693" s="108">
        <f t="shared" si="492"/>
        <v>0</v>
      </c>
      <c r="T693" s="28" t="s">
        <v>26</v>
      </c>
      <c r="V693" s="104" t="str">
        <f>$V$83</f>
        <v>-</v>
      </c>
      <c r="W693" s="108">
        <f t="shared" si="447"/>
        <v>-1</v>
      </c>
      <c r="X693" s="108">
        <f t="shared" si="448"/>
        <v>-1</v>
      </c>
      <c r="Y693" s="108">
        <f t="shared" si="449"/>
        <v>-1</v>
      </c>
      <c r="Z693" s="108">
        <f t="shared" si="450"/>
        <v>-1</v>
      </c>
      <c r="AA693" s="108">
        <f t="shared" si="451"/>
        <v>-1</v>
      </c>
      <c r="AB693" s="108">
        <f t="shared" si="452"/>
        <v>-1</v>
      </c>
      <c r="AC693" s="108">
        <f t="shared" si="453"/>
        <v>-1</v>
      </c>
      <c r="AD693" s="108">
        <f t="shared" si="454"/>
        <v>-1</v>
      </c>
      <c r="AE693" s="108">
        <f t="shared" si="455"/>
        <v>-1</v>
      </c>
      <c r="AF693" s="108">
        <f t="shared" si="456"/>
        <v>-1</v>
      </c>
      <c r="AG693" s="108">
        <f t="shared" si="457"/>
        <v>-1</v>
      </c>
      <c r="AH693" s="108">
        <f t="shared" si="458"/>
        <v>-1</v>
      </c>
      <c r="AI693" s="108">
        <f t="shared" si="459"/>
        <v>-1</v>
      </c>
      <c r="AJ693" s="108">
        <f t="shared" si="460"/>
        <v>-1</v>
      </c>
      <c r="AK693" s="108">
        <f t="shared" si="461"/>
        <v>-1</v>
      </c>
      <c r="AL693" s="108">
        <f t="shared" si="462"/>
        <v>-1</v>
      </c>
      <c r="AM693" s="108"/>
    </row>
    <row r="694" spans="3:39" x14ac:dyDescent="0.55000000000000004">
      <c r="C694" s="104" t="str">
        <f>$V$84</f>
        <v>-</v>
      </c>
      <c r="D694" s="108">
        <f t="shared" ref="D694:S694" si="493">D84</f>
        <v>0</v>
      </c>
      <c r="E694" s="108">
        <f t="shared" si="493"/>
        <v>0</v>
      </c>
      <c r="F694" s="108">
        <f t="shared" si="493"/>
        <v>0</v>
      </c>
      <c r="G694" s="108">
        <f t="shared" si="493"/>
        <v>0</v>
      </c>
      <c r="H694" s="108">
        <f t="shared" si="493"/>
        <v>0</v>
      </c>
      <c r="I694" s="108">
        <f t="shared" si="493"/>
        <v>0</v>
      </c>
      <c r="J694" s="108">
        <f t="shared" si="493"/>
        <v>0</v>
      </c>
      <c r="K694" s="108">
        <f t="shared" si="493"/>
        <v>0</v>
      </c>
      <c r="L694" s="108">
        <f t="shared" si="493"/>
        <v>0</v>
      </c>
      <c r="M694" s="108">
        <f t="shared" si="493"/>
        <v>0</v>
      </c>
      <c r="N694" s="108">
        <f t="shared" si="493"/>
        <v>0</v>
      </c>
      <c r="O694" s="108">
        <f t="shared" si="493"/>
        <v>0</v>
      </c>
      <c r="P694" s="108">
        <f t="shared" si="493"/>
        <v>0</v>
      </c>
      <c r="Q694" s="108">
        <f t="shared" si="493"/>
        <v>0</v>
      </c>
      <c r="R694" s="108">
        <f t="shared" si="493"/>
        <v>0</v>
      </c>
      <c r="S694" s="108">
        <f t="shared" si="493"/>
        <v>0</v>
      </c>
      <c r="T694" s="28" t="s">
        <v>26</v>
      </c>
      <c r="V694" s="104" t="str">
        <f>$V$84</f>
        <v>-</v>
      </c>
      <c r="W694" s="108">
        <f t="shared" si="447"/>
        <v>-1</v>
      </c>
      <c r="X694" s="108">
        <f t="shared" si="448"/>
        <v>-1</v>
      </c>
      <c r="Y694" s="108">
        <f t="shared" si="449"/>
        <v>-1</v>
      </c>
      <c r="Z694" s="108">
        <f t="shared" si="450"/>
        <v>-1</v>
      </c>
      <c r="AA694" s="108">
        <f t="shared" si="451"/>
        <v>-1</v>
      </c>
      <c r="AB694" s="108">
        <f t="shared" si="452"/>
        <v>-1</v>
      </c>
      <c r="AC694" s="108">
        <f t="shared" si="453"/>
        <v>-1</v>
      </c>
      <c r="AD694" s="108">
        <f t="shared" si="454"/>
        <v>-1</v>
      </c>
      <c r="AE694" s="108">
        <f t="shared" si="455"/>
        <v>-1</v>
      </c>
      <c r="AF694" s="108">
        <f t="shared" si="456"/>
        <v>-1</v>
      </c>
      <c r="AG694" s="108">
        <f t="shared" si="457"/>
        <v>-1</v>
      </c>
      <c r="AH694" s="108">
        <f t="shared" si="458"/>
        <v>-1</v>
      </c>
      <c r="AI694" s="108">
        <f t="shared" si="459"/>
        <v>-1</v>
      </c>
      <c r="AJ694" s="108">
        <f t="shared" si="460"/>
        <v>-1</v>
      </c>
      <c r="AK694" s="108">
        <f t="shared" si="461"/>
        <v>-1</v>
      </c>
      <c r="AL694" s="108">
        <f t="shared" si="462"/>
        <v>-1</v>
      </c>
      <c r="AM694" s="108"/>
    </row>
    <row r="695" spans="3:39" x14ac:dyDescent="0.55000000000000004">
      <c r="C695" s="104" t="str">
        <f>$V$85</f>
        <v>-</v>
      </c>
      <c r="D695" s="108">
        <f t="shared" ref="D695:S695" si="494">D85</f>
        <v>0</v>
      </c>
      <c r="E695" s="108">
        <f t="shared" si="494"/>
        <v>0</v>
      </c>
      <c r="F695" s="108">
        <f t="shared" si="494"/>
        <v>0</v>
      </c>
      <c r="G695" s="108">
        <f t="shared" si="494"/>
        <v>0</v>
      </c>
      <c r="H695" s="108">
        <f t="shared" si="494"/>
        <v>0</v>
      </c>
      <c r="I695" s="108">
        <f t="shared" si="494"/>
        <v>0</v>
      </c>
      <c r="J695" s="108">
        <f t="shared" si="494"/>
        <v>0</v>
      </c>
      <c r="K695" s="108">
        <f t="shared" si="494"/>
        <v>0</v>
      </c>
      <c r="L695" s="108">
        <f t="shared" si="494"/>
        <v>0</v>
      </c>
      <c r="M695" s="108">
        <f t="shared" si="494"/>
        <v>0</v>
      </c>
      <c r="N695" s="108">
        <f t="shared" si="494"/>
        <v>0</v>
      </c>
      <c r="O695" s="108">
        <f t="shared" si="494"/>
        <v>0</v>
      </c>
      <c r="P695" s="108">
        <f t="shared" si="494"/>
        <v>0</v>
      </c>
      <c r="Q695" s="108">
        <f t="shared" si="494"/>
        <v>0</v>
      </c>
      <c r="R695" s="108">
        <f t="shared" si="494"/>
        <v>0</v>
      </c>
      <c r="S695" s="108">
        <f t="shared" si="494"/>
        <v>0</v>
      </c>
      <c r="T695" s="28" t="s">
        <v>26</v>
      </c>
      <c r="V695" s="104" t="str">
        <f>$V$85</f>
        <v>-</v>
      </c>
      <c r="W695" s="108">
        <f t="shared" si="447"/>
        <v>-1</v>
      </c>
      <c r="X695" s="108">
        <f t="shared" si="448"/>
        <v>-1</v>
      </c>
      <c r="Y695" s="108">
        <f t="shared" si="449"/>
        <v>-1</v>
      </c>
      <c r="Z695" s="108">
        <f t="shared" si="450"/>
        <v>-1</v>
      </c>
      <c r="AA695" s="108">
        <f t="shared" si="451"/>
        <v>-1</v>
      </c>
      <c r="AB695" s="108">
        <f t="shared" si="452"/>
        <v>-1</v>
      </c>
      <c r="AC695" s="108">
        <f t="shared" si="453"/>
        <v>-1</v>
      </c>
      <c r="AD695" s="108">
        <f t="shared" si="454"/>
        <v>-1</v>
      </c>
      <c r="AE695" s="108">
        <f t="shared" si="455"/>
        <v>-1</v>
      </c>
      <c r="AF695" s="108">
        <f t="shared" si="456"/>
        <v>-1</v>
      </c>
      <c r="AG695" s="108">
        <f t="shared" si="457"/>
        <v>-1</v>
      </c>
      <c r="AH695" s="108">
        <f t="shared" si="458"/>
        <v>-1</v>
      </c>
      <c r="AI695" s="108">
        <f t="shared" si="459"/>
        <v>-1</v>
      </c>
      <c r="AJ695" s="108">
        <f t="shared" si="460"/>
        <v>-1</v>
      </c>
      <c r="AK695" s="108">
        <f t="shared" si="461"/>
        <v>-1</v>
      </c>
      <c r="AL695" s="108">
        <f t="shared" si="462"/>
        <v>-1</v>
      </c>
      <c r="AM695" s="108"/>
    </row>
    <row r="696" spans="3:39" x14ac:dyDescent="0.55000000000000004">
      <c r="C696" s="104" t="str">
        <f>$V$86</f>
        <v>-</v>
      </c>
      <c r="D696" s="108">
        <f t="shared" ref="D696:S696" si="495">D86</f>
        <v>0</v>
      </c>
      <c r="E696" s="108">
        <f t="shared" si="495"/>
        <v>0</v>
      </c>
      <c r="F696" s="108">
        <f t="shared" si="495"/>
        <v>0</v>
      </c>
      <c r="G696" s="108">
        <f t="shared" si="495"/>
        <v>0</v>
      </c>
      <c r="H696" s="108">
        <f t="shared" si="495"/>
        <v>0</v>
      </c>
      <c r="I696" s="108">
        <f t="shared" si="495"/>
        <v>0</v>
      </c>
      <c r="J696" s="108">
        <f t="shared" si="495"/>
        <v>0</v>
      </c>
      <c r="K696" s="108">
        <f t="shared" si="495"/>
        <v>0</v>
      </c>
      <c r="L696" s="108">
        <f t="shared" si="495"/>
        <v>0</v>
      </c>
      <c r="M696" s="108">
        <f t="shared" si="495"/>
        <v>0</v>
      </c>
      <c r="N696" s="108">
        <f t="shared" si="495"/>
        <v>0</v>
      </c>
      <c r="O696" s="108">
        <f t="shared" si="495"/>
        <v>0</v>
      </c>
      <c r="P696" s="108">
        <f t="shared" si="495"/>
        <v>0</v>
      </c>
      <c r="Q696" s="108">
        <f t="shared" si="495"/>
        <v>0</v>
      </c>
      <c r="R696" s="108">
        <f t="shared" si="495"/>
        <v>0</v>
      </c>
      <c r="S696" s="108">
        <f t="shared" si="495"/>
        <v>0</v>
      </c>
      <c r="T696" s="28" t="s">
        <v>26</v>
      </c>
      <c r="V696" s="104" t="str">
        <f>$V$86</f>
        <v>-</v>
      </c>
      <c r="W696" s="108">
        <f t="shared" si="447"/>
        <v>-1</v>
      </c>
      <c r="X696" s="108">
        <f t="shared" si="448"/>
        <v>-1</v>
      </c>
      <c r="Y696" s="108">
        <f t="shared" si="449"/>
        <v>-1</v>
      </c>
      <c r="Z696" s="108">
        <f t="shared" si="450"/>
        <v>-1</v>
      </c>
      <c r="AA696" s="108">
        <f t="shared" si="451"/>
        <v>-1</v>
      </c>
      <c r="AB696" s="108">
        <f t="shared" si="452"/>
        <v>-1</v>
      </c>
      <c r="AC696" s="108">
        <f t="shared" si="453"/>
        <v>-1</v>
      </c>
      <c r="AD696" s="108">
        <f t="shared" si="454"/>
        <v>-1</v>
      </c>
      <c r="AE696" s="108">
        <f t="shared" si="455"/>
        <v>-1</v>
      </c>
      <c r="AF696" s="108">
        <f t="shared" si="456"/>
        <v>-1</v>
      </c>
      <c r="AG696" s="108">
        <f t="shared" si="457"/>
        <v>-1</v>
      </c>
      <c r="AH696" s="108">
        <f t="shared" si="458"/>
        <v>-1</v>
      </c>
      <c r="AI696" s="108">
        <f t="shared" si="459"/>
        <v>-1</v>
      </c>
      <c r="AJ696" s="108">
        <f t="shared" si="460"/>
        <v>-1</v>
      </c>
      <c r="AK696" s="108">
        <f t="shared" si="461"/>
        <v>-1</v>
      </c>
      <c r="AL696" s="108">
        <f t="shared" si="462"/>
        <v>-1</v>
      </c>
      <c r="AM696" s="108"/>
    </row>
    <row r="697" spans="3:39" x14ac:dyDescent="0.55000000000000004">
      <c r="C697" s="104" t="str">
        <f>$V$87</f>
        <v>-</v>
      </c>
      <c r="D697" s="108">
        <f t="shared" ref="D697:S697" si="496">D87</f>
        <v>0</v>
      </c>
      <c r="E697" s="108">
        <f t="shared" si="496"/>
        <v>0</v>
      </c>
      <c r="F697" s="108">
        <f t="shared" si="496"/>
        <v>0</v>
      </c>
      <c r="G697" s="108">
        <f t="shared" si="496"/>
        <v>0</v>
      </c>
      <c r="H697" s="108">
        <f t="shared" si="496"/>
        <v>0</v>
      </c>
      <c r="I697" s="108">
        <f t="shared" si="496"/>
        <v>0</v>
      </c>
      <c r="J697" s="108">
        <f t="shared" si="496"/>
        <v>0</v>
      </c>
      <c r="K697" s="108">
        <f t="shared" si="496"/>
        <v>0</v>
      </c>
      <c r="L697" s="108">
        <f t="shared" si="496"/>
        <v>0</v>
      </c>
      <c r="M697" s="108">
        <f t="shared" si="496"/>
        <v>0</v>
      </c>
      <c r="N697" s="108">
        <f t="shared" si="496"/>
        <v>0</v>
      </c>
      <c r="O697" s="108">
        <f t="shared" si="496"/>
        <v>0</v>
      </c>
      <c r="P697" s="108">
        <f t="shared" si="496"/>
        <v>0</v>
      </c>
      <c r="Q697" s="108">
        <f t="shared" si="496"/>
        <v>0</v>
      </c>
      <c r="R697" s="108">
        <f t="shared" si="496"/>
        <v>0</v>
      </c>
      <c r="S697" s="108">
        <f t="shared" si="496"/>
        <v>0</v>
      </c>
      <c r="T697" s="28" t="s">
        <v>26</v>
      </c>
      <c r="V697" s="104" t="str">
        <f>$V$87</f>
        <v>-</v>
      </c>
      <c r="W697" s="108">
        <f t="shared" si="447"/>
        <v>-1</v>
      </c>
      <c r="X697" s="108">
        <f t="shared" si="448"/>
        <v>-1</v>
      </c>
      <c r="Y697" s="108">
        <f t="shared" si="449"/>
        <v>-1</v>
      </c>
      <c r="Z697" s="108">
        <f t="shared" si="450"/>
        <v>-1</v>
      </c>
      <c r="AA697" s="108">
        <f t="shared" si="451"/>
        <v>-1</v>
      </c>
      <c r="AB697" s="108">
        <f t="shared" si="452"/>
        <v>-1</v>
      </c>
      <c r="AC697" s="108">
        <f t="shared" si="453"/>
        <v>-1</v>
      </c>
      <c r="AD697" s="108">
        <f t="shared" si="454"/>
        <v>-1</v>
      </c>
      <c r="AE697" s="108">
        <f t="shared" si="455"/>
        <v>-1</v>
      </c>
      <c r="AF697" s="108">
        <f t="shared" si="456"/>
        <v>-1</v>
      </c>
      <c r="AG697" s="108">
        <f t="shared" si="457"/>
        <v>-1</v>
      </c>
      <c r="AH697" s="108">
        <f t="shared" si="458"/>
        <v>-1</v>
      </c>
      <c r="AI697" s="108">
        <f t="shared" si="459"/>
        <v>-1</v>
      </c>
      <c r="AJ697" s="108">
        <f t="shared" si="460"/>
        <v>-1</v>
      </c>
      <c r="AK697" s="108">
        <f t="shared" si="461"/>
        <v>-1</v>
      </c>
      <c r="AL697" s="108">
        <f t="shared" si="462"/>
        <v>-1</v>
      </c>
      <c r="AM697" s="108"/>
    </row>
    <row r="698" spans="3:39" x14ac:dyDescent="0.55000000000000004">
      <c r="C698" s="104" t="str">
        <f>$V$88</f>
        <v>-</v>
      </c>
      <c r="D698" s="108">
        <f t="shared" ref="D698:S698" si="497">D88</f>
        <v>0</v>
      </c>
      <c r="E698" s="108">
        <f t="shared" si="497"/>
        <v>0</v>
      </c>
      <c r="F698" s="108">
        <f t="shared" si="497"/>
        <v>0</v>
      </c>
      <c r="G698" s="108">
        <f t="shared" si="497"/>
        <v>0</v>
      </c>
      <c r="H698" s="108">
        <f t="shared" si="497"/>
        <v>0</v>
      </c>
      <c r="I698" s="108">
        <f t="shared" si="497"/>
        <v>0</v>
      </c>
      <c r="J698" s="108">
        <f t="shared" si="497"/>
        <v>0</v>
      </c>
      <c r="K698" s="108">
        <f t="shared" si="497"/>
        <v>0</v>
      </c>
      <c r="L698" s="108">
        <f t="shared" si="497"/>
        <v>0</v>
      </c>
      <c r="M698" s="108">
        <f t="shared" si="497"/>
        <v>0</v>
      </c>
      <c r="N698" s="108">
        <f t="shared" si="497"/>
        <v>0</v>
      </c>
      <c r="O698" s="108">
        <f t="shared" si="497"/>
        <v>0</v>
      </c>
      <c r="P698" s="108">
        <f t="shared" si="497"/>
        <v>0</v>
      </c>
      <c r="Q698" s="108">
        <f t="shared" si="497"/>
        <v>0</v>
      </c>
      <c r="R698" s="108">
        <f t="shared" si="497"/>
        <v>0</v>
      </c>
      <c r="S698" s="108">
        <f t="shared" si="497"/>
        <v>0</v>
      </c>
      <c r="T698" s="28" t="s">
        <v>26</v>
      </c>
      <c r="V698" s="104" t="str">
        <f>$V$88</f>
        <v>-</v>
      </c>
      <c r="W698" s="108">
        <f t="shared" si="447"/>
        <v>-1</v>
      </c>
      <c r="X698" s="108">
        <f t="shared" si="448"/>
        <v>-1</v>
      </c>
      <c r="Y698" s="108">
        <f t="shared" si="449"/>
        <v>-1</v>
      </c>
      <c r="Z698" s="108">
        <f t="shared" si="450"/>
        <v>-1</v>
      </c>
      <c r="AA698" s="108">
        <f t="shared" si="451"/>
        <v>-1</v>
      </c>
      <c r="AB698" s="108">
        <f t="shared" si="452"/>
        <v>-1</v>
      </c>
      <c r="AC698" s="108">
        <f t="shared" si="453"/>
        <v>-1</v>
      </c>
      <c r="AD698" s="108">
        <f t="shared" si="454"/>
        <v>-1</v>
      </c>
      <c r="AE698" s="108">
        <f t="shared" si="455"/>
        <v>-1</v>
      </c>
      <c r="AF698" s="108">
        <f t="shared" si="456"/>
        <v>-1</v>
      </c>
      <c r="AG698" s="108">
        <f t="shared" si="457"/>
        <v>-1</v>
      </c>
      <c r="AH698" s="108">
        <f t="shared" si="458"/>
        <v>-1</v>
      </c>
      <c r="AI698" s="108">
        <f t="shared" si="459"/>
        <v>-1</v>
      </c>
      <c r="AJ698" s="108">
        <f t="shared" si="460"/>
        <v>-1</v>
      </c>
      <c r="AK698" s="108">
        <f t="shared" si="461"/>
        <v>-1</v>
      </c>
      <c r="AL698" s="108">
        <f t="shared" si="462"/>
        <v>-1</v>
      </c>
      <c r="AM698" s="108"/>
    </row>
    <row r="699" spans="3:39" x14ac:dyDescent="0.55000000000000004">
      <c r="C699" s="104" t="str">
        <f>$V$89</f>
        <v>-</v>
      </c>
      <c r="D699" s="108">
        <f t="shared" ref="D699:S699" si="498">D89</f>
        <v>0</v>
      </c>
      <c r="E699" s="108">
        <f t="shared" si="498"/>
        <v>0</v>
      </c>
      <c r="F699" s="108">
        <f t="shared" si="498"/>
        <v>0</v>
      </c>
      <c r="G699" s="108">
        <f t="shared" si="498"/>
        <v>0</v>
      </c>
      <c r="H699" s="108">
        <f t="shared" si="498"/>
        <v>0</v>
      </c>
      <c r="I699" s="108">
        <f t="shared" si="498"/>
        <v>0</v>
      </c>
      <c r="J699" s="108">
        <f t="shared" si="498"/>
        <v>0</v>
      </c>
      <c r="K699" s="108">
        <f t="shared" si="498"/>
        <v>0</v>
      </c>
      <c r="L699" s="108">
        <f t="shared" si="498"/>
        <v>0</v>
      </c>
      <c r="M699" s="108">
        <f t="shared" si="498"/>
        <v>0</v>
      </c>
      <c r="N699" s="108">
        <f t="shared" si="498"/>
        <v>0</v>
      </c>
      <c r="O699" s="108">
        <f t="shared" si="498"/>
        <v>0</v>
      </c>
      <c r="P699" s="108">
        <f t="shared" si="498"/>
        <v>0</v>
      </c>
      <c r="Q699" s="108">
        <f t="shared" si="498"/>
        <v>0</v>
      </c>
      <c r="R699" s="108">
        <f t="shared" si="498"/>
        <v>0</v>
      </c>
      <c r="S699" s="108">
        <f t="shared" si="498"/>
        <v>0</v>
      </c>
      <c r="T699" s="28" t="s">
        <v>26</v>
      </c>
      <c r="V699" s="104" t="str">
        <f>$V$89</f>
        <v>-</v>
      </c>
      <c r="W699" s="108">
        <f t="shared" si="447"/>
        <v>-1</v>
      </c>
      <c r="X699" s="108">
        <f t="shared" si="448"/>
        <v>-1</v>
      </c>
      <c r="Y699" s="108">
        <f t="shared" si="449"/>
        <v>-1</v>
      </c>
      <c r="Z699" s="108">
        <f t="shared" si="450"/>
        <v>-1</v>
      </c>
      <c r="AA699" s="108">
        <f t="shared" si="451"/>
        <v>-1</v>
      </c>
      <c r="AB699" s="108">
        <f t="shared" si="452"/>
        <v>-1</v>
      </c>
      <c r="AC699" s="108">
        <f t="shared" si="453"/>
        <v>-1</v>
      </c>
      <c r="AD699" s="108">
        <f t="shared" si="454"/>
        <v>-1</v>
      </c>
      <c r="AE699" s="108">
        <f t="shared" si="455"/>
        <v>-1</v>
      </c>
      <c r="AF699" s="108">
        <f t="shared" si="456"/>
        <v>-1</v>
      </c>
      <c r="AG699" s="108">
        <f t="shared" si="457"/>
        <v>-1</v>
      </c>
      <c r="AH699" s="108">
        <f t="shared" si="458"/>
        <v>-1</v>
      </c>
      <c r="AI699" s="108">
        <f t="shared" si="459"/>
        <v>-1</v>
      </c>
      <c r="AJ699" s="108">
        <f t="shared" si="460"/>
        <v>-1</v>
      </c>
      <c r="AK699" s="108">
        <f t="shared" si="461"/>
        <v>-1</v>
      </c>
      <c r="AL699" s="108">
        <f t="shared" si="462"/>
        <v>-1</v>
      </c>
      <c r="AM699" s="108"/>
    </row>
    <row r="700" spans="3:39" x14ac:dyDescent="0.55000000000000004">
      <c r="C700" s="104" t="str">
        <f>$V$90</f>
        <v>-</v>
      </c>
      <c r="D700" s="108">
        <f t="shared" ref="D700:S700" si="499">D90</f>
        <v>0</v>
      </c>
      <c r="E700" s="108">
        <f t="shared" si="499"/>
        <v>0</v>
      </c>
      <c r="F700" s="108">
        <f t="shared" si="499"/>
        <v>0</v>
      </c>
      <c r="G700" s="108">
        <f t="shared" si="499"/>
        <v>0</v>
      </c>
      <c r="H700" s="108">
        <f t="shared" si="499"/>
        <v>0</v>
      </c>
      <c r="I700" s="108">
        <f t="shared" si="499"/>
        <v>0</v>
      </c>
      <c r="J700" s="108">
        <f t="shared" si="499"/>
        <v>0</v>
      </c>
      <c r="K700" s="108">
        <f t="shared" si="499"/>
        <v>0</v>
      </c>
      <c r="L700" s="108">
        <f t="shared" si="499"/>
        <v>0</v>
      </c>
      <c r="M700" s="108">
        <f t="shared" si="499"/>
        <v>0</v>
      </c>
      <c r="N700" s="108">
        <f t="shared" si="499"/>
        <v>0</v>
      </c>
      <c r="O700" s="108">
        <f t="shared" si="499"/>
        <v>0</v>
      </c>
      <c r="P700" s="108">
        <f t="shared" si="499"/>
        <v>0</v>
      </c>
      <c r="Q700" s="108">
        <f t="shared" si="499"/>
        <v>0</v>
      </c>
      <c r="R700" s="108">
        <f t="shared" si="499"/>
        <v>0</v>
      </c>
      <c r="S700" s="108">
        <f t="shared" si="499"/>
        <v>0</v>
      </c>
      <c r="T700" s="28" t="s">
        <v>26</v>
      </c>
      <c r="V700" s="104" t="str">
        <f>$V$90</f>
        <v>-</v>
      </c>
      <c r="W700" s="108">
        <f t="shared" si="447"/>
        <v>-1</v>
      </c>
      <c r="X700" s="108">
        <f t="shared" si="448"/>
        <v>-1</v>
      </c>
      <c r="Y700" s="108">
        <f t="shared" si="449"/>
        <v>-1</v>
      </c>
      <c r="Z700" s="108">
        <f t="shared" si="450"/>
        <v>-1</v>
      </c>
      <c r="AA700" s="108">
        <f t="shared" si="451"/>
        <v>-1</v>
      </c>
      <c r="AB700" s="108">
        <f t="shared" si="452"/>
        <v>-1</v>
      </c>
      <c r="AC700" s="108">
        <f t="shared" si="453"/>
        <v>-1</v>
      </c>
      <c r="AD700" s="108">
        <f t="shared" si="454"/>
        <v>-1</v>
      </c>
      <c r="AE700" s="108">
        <f t="shared" si="455"/>
        <v>-1</v>
      </c>
      <c r="AF700" s="108">
        <f t="shared" si="456"/>
        <v>-1</v>
      </c>
      <c r="AG700" s="108">
        <f t="shared" si="457"/>
        <v>-1</v>
      </c>
      <c r="AH700" s="108">
        <f t="shared" si="458"/>
        <v>-1</v>
      </c>
      <c r="AI700" s="108">
        <f t="shared" si="459"/>
        <v>-1</v>
      </c>
      <c r="AJ700" s="108">
        <f t="shared" si="460"/>
        <v>-1</v>
      </c>
      <c r="AK700" s="108">
        <f t="shared" si="461"/>
        <v>-1</v>
      </c>
      <c r="AL700" s="108">
        <f t="shared" si="462"/>
        <v>-1</v>
      </c>
      <c r="AM700" s="108"/>
    </row>
    <row r="701" spans="3:39" x14ac:dyDescent="0.55000000000000004">
      <c r="C701" s="104" t="str">
        <f>$V$91</f>
        <v>-</v>
      </c>
      <c r="D701" s="108">
        <f t="shared" ref="D701:S701" si="500">D91</f>
        <v>0</v>
      </c>
      <c r="E701" s="108">
        <f t="shared" si="500"/>
        <v>0</v>
      </c>
      <c r="F701" s="108">
        <f t="shared" si="500"/>
        <v>0</v>
      </c>
      <c r="G701" s="108">
        <f t="shared" si="500"/>
        <v>0</v>
      </c>
      <c r="H701" s="108">
        <f t="shared" si="500"/>
        <v>0</v>
      </c>
      <c r="I701" s="108">
        <f t="shared" si="500"/>
        <v>0</v>
      </c>
      <c r="J701" s="108">
        <f t="shared" si="500"/>
        <v>0</v>
      </c>
      <c r="K701" s="108">
        <f t="shared" si="500"/>
        <v>0</v>
      </c>
      <c r="L701" s="108">
        <f t="shared" si="500"/>
        <v>0</v>
      </c>
      <c r="M701" s="108">
        <f t="shared" si="500"/>
        <v>0</v>
      </c>
      <c r="N701" s="108">
        <f t="shared" si="500"/>
        <v>0</v>
      </c>
      <c r="O701" s="108">
        <f t="shared" si="500"/>
        <v>0</v>
      </c>
      <c r="P701" s="108">
        <f t="shared" si="500"/>
        <v>0</v>
      </c>
      <c r="Q701" s="108">
        <f t="shared" si="500"/>
        <v>0</v>
      </c>
      <c r="R701" s="108">
        <f t="shared" si="500"/>
        <v>0</v>
      </c>
      <c r="S701" s="108">
        <f t="shared" si="500"/>
        <v>0</v>
      </c>
      <c r="T701" s="28" t="s">
        <v>26</v>
      </c>
      <c r="V701" s="104" t="str">
        <f>$V$91</f>
        <v>-</v>
      </c>
      <c r="W701" s="108">
        <f t="shared" si="447"/>
        <v>-1</v>
      </c>
      <c r="X701" s="108">
        <f t="shared" si="448"/>
        <v>-1</v>
      </c>
      <c r="Y701" s="108">
        <f t="shared" si="449"/>
        <v>-1</v>
      </c>
      <c r="Z701" s="108">
        <f t="shared" si="450"/>
        <v>-1</v>
      </c>
      <c r="AA701" s="108">
        <f t="shared" si="451"/>
        <v>-1</v>
      </c>
      <c r="AB701" s="108">
        <f t="shared" si="452"/>
        <v>-1</v>
      </c>
      <c r="AC701" s="108">
        <f t="shared" si="453"/>
        <v>-1</v>
      </c>
      <c r="AD701" s="108">
        <f t="shared" si="454"/>
        <v>-1</v>
      </c>
      <c r="AE701" s="108">
        <f t="shared" si="455"/>
        <v>-1</v>
      </c>
      <c r="AF701" s="108">
        <f t="shared" si="456"/>
        <v>-1</v>
      </c>
      <c r="AG701" s="108">
        <f t="shared" si="457"/>
        <v>-1</v>
      </c>
      <c r="AH701" s="108">
        <f t="shared" si="458"/>
        <v>-1</v>
      </c>
      <c r="AI701" s="108">
        <f t="shared" si="459"/>
        <v>-1</v>
      </c>
      <c r="AJ701" s="108">
        <f t="shared" si="460"/>
        <v>-1</v>
      </c>
      <c r="AK701" s="108">
        <f t="shared" si="461"/>
        <v>-1</v>
      </c>
      <c r="AL701" s="108">
        <f t="shared" si="462"/>
        <v>-1</v>
      </c>
      <c r="AM701" s="108"/>
    </row>
    <row r="702" spans="3:39" x14ac:dyDescent="0.55000000000000004">
      <c r="C702" s="104" t="str">
        <f>$V$92</f>
        <v>-</v>
      </c>
      <c r="D702" s="108">
        <f t="shared" ref="D702:S702" si="501">D92</f>
        <v>0</v>
      </c>
      <c r="E702" s="108">
        <f t="shared" si="501"/>
        <v>0</v>
      </c>
      <c r="F702" s="108">
        <f t="shared" si="501"/>
        <v>0</v>
      </c>
      <c r="G702" s="108">
        <f t="shared" si="501"/>
        <v>0</v>
      </c>
      <c r="H702" s="108">
        <f t="shared" si="501"/>
        <v>0</v>
      </c>
      <c r="I702" s="108">
        <f t="shared" si="501"/>
        <v>0</v>
      </c>
      <c r="J702" s="108">
        <f t="shared" si="501"/>
        <v>0</v>
      </c>
      <c r="K702" s="108">
        <f t="shared" si="501"/>
        <v>0</v>
      </c>
      <c r="L702" s="108">
        <f t="shared" si="501"/>
        <v>0</v>
      </c>
      <c r="M702" s="108">
        <f t="shared" si="501"/>
        <v>0</v>
      </c>
      <c r="N702" s="108">
        <f t="shared" si="501"/>
        <v>0</v>
      </c>
      <c r="O702" s="108">
        <f t="shared" si="501"/>
        <v>0</v>
      </c>
      <c r="P702" s="108">
        <f t="shared" si="501"/>
        <v>0</v>
      </c>
      <c r="Q702" s="108">
        <f t="shared" si="501"/>
        <v>0</v>
      </c>
      <c r="R702" s="108">
        <f t="shared" si="501"/>
        <v>0</v>
      </c>
      <c r="S702" s="108">
        <f t="shared" si="501"/>
        <v>0</v>
      </c>
      <c r="V702" s="104" t="str">
        <f>$V$92</f>
        <v>-</v>
      </c>
      <c r="W702" s="108">
        <f t="shared" si="447"/>
        <v>-1</v>
      </c>
      <c r="X702" s="108">
        <f t="shared" si="448"/>
        <v>-1</v>
      </c>
      <c r="Y702" s="108">
        <f t="shared" si="449"/>
        <v>-1</v>
      </c>
      <c r="Z702" s="108">
        <f t="shared" si="450"/>
        <v>-1</v>
      </c>
      <c r="AA702" s="108">
        <f t="shared" si="451"/>
        <v>-1</v>
      </c>
      <c r="AB702" s="108">
        <f t="shared" si="452"/>
        <v>-1</v>
      </c>
      <c r="AC702" s="108">
        <f t="shared" si="453"/>
        <v>-1</v>
      </c>
      <c r="AD702" s="108">
        <f t="shared" si="454"/>
        <v>-1</v>
      </c>
      <c r="AE702" s="108">
        <f t="shared" si="455"/>
        <v>-1</v>
      </c>
      <c r="AF702" s="108">
        <f t="shared" si="456"/>
        <v>-1</v>
      </c>
      <c r="AG702" s="108">
        <f t="shared" si="457"/>
        <v>-1</v>
      </c>
      <c r="AH702" s="108">
        <f t="shared" si="458"/>
        <v>-1</v>
      </c>
      <c r="AI702" s="108">
        <f t="shared" si="459"/>
        <v>-1</v>
      </c>
      <c r="AJ702" s="108">
        <f t="shared" si="460"/>
        <v>-1</v>
      </c>
      <c r="AK702" s="108">
        <f t="shared" si="461"/>
        <v>-1</v>
      </c>
      <c r="AL702" s="108">
        <f t="shared" si="462"/>
        <v>-1</v>
      </c>
      <c r="AM702" s="108"/>
    </row>
    <row r="703" spans="3:39" x14ac:dyDescent="0.55000000000000004">
      <c r="AM703" s="108"/>
    </row>
    <row r="704" spans="3:39" x14ac:dyDescent="0.55000000000000004">
      <c r="AM704" s="108"/>
    </row>
    <row r="705" spans="3:39" x14ac:dyDescent="0.55000000000000004">
      <c r="AM705" s="108"/>
    </row>
    <row r="706" spans="3:39" x14ac:dyDescent="0.55000000000000004">
      <c r="C706" s="104" t="str">
        <f>$BK$296</f>
        <v>Toilets</v>
      </c>
      <c r="D706" s="104" t="str">
        <f>$W$33</f>
        <v>16h</v>
      </c>
      <c r="E706" s="104" t="str">
        <f>$X$33</f>
        <v>17h</v>
      </c>
      <c r="F706" s="104" t="str">
        <f>$Y$33</f>
        <v>18h</v>
      </c>
      <c r="G706" s="104" t="str">
        <f>$Z$33</f>
        <v>19h</v>
      </c>
      <c r="H706" s="104" t="str">
        <f>$AA$33</f>
        <v>20h</v>
      </c>
      <c r="I706" s="104" t="str">
        <f>$AB$33</f>
        <v>21h</v>
      </c>
      <c r="J706" s="104" t="str">
        <f>$AC$33</f>
        <v>22h</v>
      </c>
      <c r="K706" s="104" t="str">
        <f>$AD$33</f>
        <v>23h</v>
      </c>
      <c r="L706" s="104" t="str">
        <f>$AE$33</f>
        <v>00h</v>
      </c>
      <c r="M706" s="104" t="str">
        <f>$AF$33</f>
        <v>01h</v>
      </c>
      <c r="N706" s="104" t="str">
        <f>$AG$33</f>
        <v>02h</v>
      </c>
      <c r="O706" s="104" t="str">
        <f>$AH$33</f>
        <v>03h</v>
      </c>
      <c r="P706" s="104" t="str">
        <f>$AI$33</f>
        <v>04h</v>
      </c>
      <c r="Q706" s="104" t="str">
        <f>$AJ$33</f>
        <v>05h</v>
      </c>
      <c r="R706" s="104" t="str">
        <f>$AK$33</f>
        <v>06h</v>
      </c>
      <c r="S706" s="104" t="str">
        <f>$AL$33</f>
        <v>07h</v>
      </c>
      <c r="V706" s="104" t="str">
        <f>$BK$296</f>
        <v>Toilets</v>
      </c>
      <c r="W706" s="104" t="str">
        <f>$W$33</f>
        <v>16h</v>
      </c>
      <c r="X706" s="104" t="str">
        <f>$X$33</f>
        <v>17h</v>
      </c>
      <c r="Y706" s="104" t="str">
        <f>$Y$33</f>
        <v>18h</v>
      </c>
      <c r="Z706" s="104" t="str">
        <f>$Z$33</f>
        <v>19h</v>
      </c>
      <c r="AA706" s="104" t="str">
        <f>$AA$33</f>
        <v>20h</v>
      </c>
      <c r="AB706" s="104" t="str">
        <f>$AB$33</f>
        <v>21h</v>
      </c>
      <c r="AC706" s="104" t="str">
        <f>$AC$33</f>
        <v>22h</v>
      </c>
      <c r="AD706" s="104" t="str">
        <f>$AD$33</f>
        <v>23h</v>
      </c>
      <c r="AE706" s="104" t="str">
        <f>$AE$33</f>
        <v>00h</v>
      </c>
      <c r="AF706" s="104" t="str">
        <f>$AF$33</f>
        <v>01h</v>
      </c>
      <c r="AG706" s="104" t="str">
        <f>$AG$33</f>
        <v>02h</v>
      </c>
      <c r="AH706" s="104" t="str">
        <f>$AH$33</f>
        <v>03h</v>
      </c>
      <c r="AI706" s="104" t="str">
        <f>$AI$33</f>
        <v>04h</v>
      </c>
      <c r="AJ706" s="104" t="str">
        <f>$AJ$33</f>
        <v>05h</v>
      </c>
      <c r="AK706" s="104" t="str">
        <f>$AK$33</f>
        <v>06h</v>
      </c>
      <c r="AL706" s="104" t="str">
        <f>$AL$33</f>
        <v>07h</v>
      </c>
      <c r="AM706" s="108"/>
    </row>
    <row r="707" spans="3:39" x14ac:dyDescent="0.55000000000000004">
      <c r="C707" s="104" t="str">
        <f>$V$53</f>
        <v>Jennifer</v>
      </c>
      <c r="D707" s="108">
        <f t="shared" ref="D707:S707" si="502">D53</f>
        <v>0</v>
      </c>
      <c r="E707" s="108">
        <f t="shared" si="502"/>
        <v>0</v>
      </c>
      <c r="F707" s="108">
        <f t="shared" si="502"/>
        <v>0</v>
      </c>
      <c r="G707" s="108">
        <f t="shared" si="502"/>
        <v>0</v>
      </c>
      <c r="H707" s="108">
        <f t="shared" si="502"/>
        <v>0</v>
      </c>
      <c r="I707" s="108">
        <f t="shared" si="502"/>
        <v>0</v>
      </c>
      <c r="J707" s="108">
        <f t="shared" si="502"/>
        <v>0</v>
      </c>
      <c r="K707" s="108">
        <f t="shared" si="502"/>
        <v>0</v>
      </c>
      <c r="L707" s="108">
        <f t="shared" si="502"/>
        <v>0</v>
      </c>
      <c r="M707" s="108">
        <f t="shared" si="502"/>
        <v>0</v>
      </c>
      <c r="N707" s="108">
        <f t="shared" si="502"/>
        <v>0</v>
      </c>
      <c r="O707" s="108">
        <f t="shared" si="502"/>
        <v>0</v>
      </c>
      <c r="P707" s="108">
        <f t="shared" si="502"/>
        <v>0</v>
      </c>
      <c r="Q707" s="108">
        <f t="shared" si="502"/>
        <v>0</v>
      </c>
      <c r="R707" s="108">
        <f t="shared" si="502"/>
        <v>0</v>
      </c>
      <c r="S707" s="108">
        <f t="shared" si="502"/>
        <v>0</v>
      </c>
      <c r="T707" s="28" t="s">
        <v>26</v>
      </c>
      <c r="V707" s="104" t="str">
        <f>$V$53</f>
        <v>Jennifer</v>
      </c>
      <c r="W707" s="108">
        <f t="shared" ref="W707:W746" si="503">AR274+AS274-1</f>
        <v>-1</v>
      </c>
      <c r="X707" s="108">
        <f t="shared" ref="X707:X746" si="504">AS274+AT274-1</f>
        <v>-1</v>
      </c>
      <c r="Y707" s="108">
        <f t="shared" ref="Y707:Y746" si="505">AT274+AU274-1</f>
        <v>-1</v>
      </c>
      <c r="Z707" s="108">
        <f t="shared" ref="Z707:Z746" si="506">AU274+AV274-1</f>
        <v>-1</v>
      </c>
      <c r="AA707" s="108">
        <f t="shared" ref="AA707:AA746" si="507">AV274+AW274-1</f>
        <v>-1</v>
      </c>
      <c r="AB707" s="108">
        <f t="shared" ref="AB707:AB746" si="508">AW274+AX274-1</f>
        <v>-1</v>
      </c>
      <c r="AC707" s="108">
        <f t="shared" ref="AC707:AC746" si="509">AX274+AY274-1</f>
        <v>-1</v>
      </c>
      <c r="AD707" s="108">
        <f t="shared" ref="AD707:AD746" si="510">AY274+AZ274-1</f>
        <v>-1</v>
      </c>
      <c r="AE707" s="108">
        <f t="shared" ref="AE707:AE746" si="511">AZ274+BA274-1</f>
        <v>-1</v>
      </c>
      <c r="AF707" s="108">
        <f t="shared" ref="AF707:AF746" si="512">BA274+BB274-1</f>
        <v>-1</v>
      </c>
      <c r="AG707" s="108">
        <f t="shared" ref="AG707:AG746" si="513">BB274+BC274-1</f>
        <v>-1</v>
      </c>
      <c r="AH707" s="108">
        <f t="shared" ref="AH707:AH746" si="514">BC274+BD274-1</f>
        <v>-1</v>
      </c>
      <c r="AI707" s="108">
        <f t="shared" ref="AI707:AI746" si="515">BD274+BE274-1</f>
        <v>-1</v>
      </c>
      <c r="AJ707" s="108">
        <f t="shared" ref="AJ707:AJ746" si="516">BE274+BF274-1</f>
        <v>-1</v>
      </c>
      <c r="AK707" s="108">
        <f t="shared" ref="AK707:AK746" si="517">BF274+BG274-1</f>
        <v>-1</v>
      </c>
      <c r="AL707" s="108">
        <f t="shared" ref="AL707:AL746" si="518">BG274+BH274-1</f>
        <v>-1</v>
      </c>
      <c r="AM707" s="108"/>
    </row>
    <row r="708" spans="3:39" x14ac:dyDescent="0.55000000000000004">
      <c r="C708" s="104" t="str">
        <f>$V$54</f>
        <v>Galileo</v>
      </c>
      <c r="D708" s="108">
        <f t="shared" ref="D708:S708" si="519">D54</f>
        <v>0</v>
      </c>
      <c r="E708" s="108">
        <f t="shared" si="519"/>
        <v>0</v>
      </c>
      <c r="F708" s="108">
        <f t="shared" si="519"/>
        <v>0</v>
      </c>
      <c r="G708" s="108">
        <f t="shared" si="519"/>
        <v>0</v>
      </c>
      <c r="H708" s="108">
        <f t="shared" si="519"/>
        <v>0</v>
      </c>
      <c r="I708" s="108">
        <f t="shared" si="519"/>
        <v>0</v>
      </c>
      <c r="J708" s="108">
        <f t="shared" si="519"/>
        <v>0</v>
      </c>
      <c r="K708" s="108">
        <f t="shared" si="519"/>
        <v>0</v>
      </c>
      <c r="L708" s="108">
        <f t="shared" si="519"/>
        <v>0</v>
      </c>
      <c r="M708" s="108">
        <f t="shared" si="519"/>
        <v>0</v>
      </c>
      <c r="N708" s="108">
        <f t="shared" si="519"/>
        <v>0</v>
      </c>
      <c r="O708" s="108">
        <f t="shared" si="519"/>
        <v>0</v>
      </c>
      <c r="P708" s="108">
        <f t="shared" si="519"/>
        <v>0</v>
      </c>
      <c r="Q708" s="108">
        <f t="shared" si="519"/>
        <v>0</v>
      </c>
      <c r="R708" s="108">
        <f t="shared" si="519"/>
        <v>0</v>
      </c>
      <c r="S708" s="108">
        <f t="shared" si="519"/>
        <v>0</v>
      </c>
      <c r="T708" s="28" t="s">
        <v>26</v>
      </c>
      <c r="V708" s="104" t="str">
        <f>$V$54</f>
        <v>Galileo</v>
      </c>
      <c r="W708" s="108">
        <f t="shared" si="503"/>
        <v>-1</v>
      </c>
      <c r="X708" s="108">
        <f t="shared" si="504"/>
        <v>-1</v>
      </c>
      <c r="Y708" s="108">
        <f t="shared" si="505"/>
        <v>-1</v>
      </c>
      <c r="Z708" s="108">
        <f t="shared" si="506"/>
        <v>-1</v>
      </c>
      <c r="AA708" s="108">
        <f t="shared" si="507"/>
        <v>-1</v>
      </c>
      <c r="AB708" s="108">
        <f t="shared" si="508"/>
        <v>-1</v>
      </c>
      <c r="AC708" s="108">
        <f t="shared" si="509"/>
        <v>-1</v>
      </c>
      <c r="AD708" s="108">
        <f t="shared" si="510"/>
        <v>-1</v>
      </c>
      <c r="AE708" s="108">
        <f t="shared" si="511"/>
        <v>-1</v>
      </c>
      <c r="AF708" s="108">
        <f t="shared" si="512"/>
        <v>-1</v>
      </c>
      <c r="AG708" s="108">
        <f t="shared" si="513"/>
        <v>-1</v>
      </c>
      <c r="AH708" s="108">
        <f t="shared" si="514"/>
        <v>-1</v>
      </c>
      <c r="AI708" s="108">
        <f t="shared" si="515"/>
        <v>-1</v>
      </c>
      <c r="AJ708" s="108">
        <f t="shared" si="516"/>
        <v>-1</v>
      </c>
      <c r="AK708" s="108">
        <f t="shared" si="517"/>
        <v>-1</v>
      </c>
      <c r="AL708" s="108">
        <f t="shared" si="518"/>
        <v>-1</v>
      </c>
      <c r="AM708" s="108"/>
    </row>
    <row r="709" spans="3:39" x14ac:dyDescent="0.55000000000000004">
      <c r="C709" s="104" t="str">
        <f>$V$55</f>
        <v>Óscar</v>
      </c>
      <c r="D709" s="108">
        <f t="shared" ref="D709:S709" si="520">D55</f>
        <v>0</v>
      </c>
      <c r="E709" s="108">
        <f t="shared" si="520"/>
        <v>0</v>
      </c>
      <c r="F709" s="108">
        <f t="shared" si="520"/>
        <v>0</v>
      </c>
      <c r="G709" s="108">
        <f t="shared" si="520"/>
        <v>0</v>
      </c>
      <c r="H709" s="108">
        <f t="shared" si="520"/>
        <v>0</v>
      </c>
      <c r="I709" s="108">
        <f t="shared" si="520"/>
        <v>0</v>
      </c>
      <c r="J709" s="108">
        <f t="shared" si="520"/>
        <v>0</v>
      </c>
      <c r="K709" s="108">
        <f t="shared" si="520"/>
        <v>0</v>
      </c>
      <c r="L709" s="108">
        <f t="shared" si="520"/>
        <v>0</v>
      </c>
      <c r="M709" s="108">
        <f t="shared" si="520"/>
        <v>0</v>
      </c>
      <c r="N709" s="108">
        <f t="shared" si="520"/>
        <v>0</v>
      </c>
      <c r="O709" s="108">
        <f t="shared" si="520"/>
        <v>0</v>
      </c>
      <c r="P709" s="108">
        <f t="shared" si="520"/>
        <v>0</v>
      </c>
      <c r="Q709" s="108">
        <f t="shared" si="520"/>
        <v>0</v>
      </c>
      <c r="R709" s="108">
        <f t="shared" si="520"/>
        <v>0</v>
      </c>
      <c r="S709" s="108">
        <f t="shared" si="520"/>
        <v>0</v>
      </c>
      <c r="T709" s="28" t="s">
        <v>26</v>
      </c>
      <c r="V709" s="104" t="str">
        <f>$V$55</f>
        <v>Óscar</v>
      </c>
      <c r="W709" s="108">
        <f t="shared" si="503"/>
        <v>-1</v>
      </c>
      <c r="X709" s="108">
        <f t="shared" si="504"/>
        <v>-1</v>
      </c>
      <c r="Y709" s="108">
        <f t="shared" si="505"/>
        <v>-1</v>
      </c>
      <c r="Z709" s="108">
        <f t="shared" si="506"/>
        <v>-1</v>
      </c>
      <c r="AA709" s="108">
        <f t="shared" si="507"/>
        <v>-1</v>
      </c>
      <c r="AB709" s="108">
        <f t="shared" si="508"/>
        <v>-1</v>
      </c>
      <c r="AC709" s="108">
        <f t="shared" si="509"/>
        <v>-1</v>
      </c>
      <c r="AD709" s="108">
        <f t="shared" si="510"/>
        <v>-1</v>
      </c>
      <c r="AE709" s="108">
        <f t="shared" si="511"/>
        <v>-1</v>
      </c>
      <c r="AF709" s="108">
        <f t="shared" si="512"/>
        <v>-1</v>
      </c>
      <c r="AG709" s="108">
        <f t="shared" si="513"/>
        <v>-1</v>
      </c>
      <c r="AH709" s="108">
        <f t="shared" si="514"/>
        <v>-1</v>
      </c>
      <c r="AI709" s="108">
        <f t="shared" si="515"/>
        <v>-1</v>
      </c>
      <c r="AJ709" s="108">
        <f t="shared" si="516"/>
        <v>-1</v>
      </c>
      <c r="AK709" s="108">
        <f t="shared" si="517"/>
        <v>-1</v>
      </c>
      <c r="AL709" s="108">
        <f t="shared" si="518"/>
        <v>-1</v>
      </c>
      <c r="AM709" s="108"/>
    </row>
    <row r="710" spans="3:39" x14ac:dyDescent="0.55000000000000004">
      <c r="C710" s="104" t="str">
        <f>$V$56</f>
        <v>Sebastián</v>
      </c>
      <c r="D710" s="108">
        <f t="shared" ref="D710:S710" si="521">D56</f>
        <v>0</v>
      </c>
      <c r="E710" s="108">
        <f t="shared" si="521"/>
        <v>0</v>
      </c>
      <c r="F710" s="108">
        <f t="shared" si="521"/>
        <v>0</v>
      </c>
      <c r="G710" s="108">
        <f t="shared" si="521"/>
        <v>0</v>
      </c>
      <c r="H710" s="108">
        <f t="shared" si="521"/>
        <v>0</v>
      </c>
      <c r="I710" s="108">
        <f t="shared" si="521"/>
        <v>0</v>
      </c>
      <c r="J710" s="108">
        <f t="shared" si="521"/>
        <v>0</v>
      </c>
      <c r="K710" s="108">
        <f t="shared" si="521"/>
        <v>0</v>
      </c>
      <c r="L710" s="108">
        <f t="shared" si="521"/>
        <v>0</v>
      </c>
      <c r="M710" s="108">
        <f t="shared" si="521"/>
        <v>0</v>
      </c>
      <c r="N710" s="108">
        <f t="shared" si="521"/>
        <v>0</v>
      </c>
      <c r="O710" s="108">
        <f t="shared" si="521"/>
        <v>0</v>
      </c>
      <c r="P710" s="108">
        <f t="shared" si="521"/>
        <v>0</v>
      </c>
      <c r="Q710" s="108">
        <f t="shared" si="521"/>
        <v>0</v>
      </c>
      <c r="R710" s="108">
        <f t="shared" si="521"/>
        <v>0</v>
      </c>
      <c r="S710" s="108">
        <f t="shared" si="521"/>
        <v>0</v>
      </c>
      <c r="T710" s="28" t="s">
        <v>26</v>
      </c>
      <c r="V710" s="104" t="str">
        <f>$V$56</f>
        <v>Sebastián</v>
      </c>
      <c r="W710" s="108">
        <f t="shared" si="503"/>
        <v>-1</v>
      </c>
      <c r="X710" s="108">
        <f t="shared" si="504"/>
        <v>-1</v>
      </c>
      <c r="Y710" s="108">
        <f t="shared" si="505"/>
        <v>-1</v>
      </c>
      <c r="Z710" s="108">
        <f t="shared" si="506"/>
        <v>-1</v>
      </c>
      <c r="AA710" s="108">
        <f t="shared" si="507"/>
        <v>-1</v>
      </c>
      <c r="AB710" s="108">
        <f t="shared" si="508"/>
        <v>-1</v>
      </c>
      <c r="AC710" s="108">
        <f t="shared" si="509"/>
        <v>-1</v>
      </c>
      <c r="AD710" s="108">
        <f t="shared" si="510"/>
        <v>-1</v>
      </c>
      <c r="AE710" s="108">
        <f t="shared" si="511"/>
        <v>-1</v>
      </c>
      <c r="AF710" s="108">
        <f t="shared" si="512"/>
        <v>-1</v>
      </c>
      <c r="AG710" s="108">
        <f t="shared" si="513"/>
        <v>-1</v>
      </c>
      <c r="AH710" s="108">
        <f t="shared" si="514"/>
        <v>-1</v>
      </c>
      <c r="AI710" s="108">
        <f t="shared" si="515"/>
        <v>-1</v>
      </c>
      <c r="AJ710" s="108">
        <f t="shared" si="516"/>
        <v>-1</v>
      </c>
      <c r="AK710" s="108">
        <f t="shared" si="517"/>
        <v>-1</v>
      </c>
      <c r="AL710" s="108">
        <f t="shared" si="518"/>
        <v>-1</v>
      </c>
      <c r="AM710" s="108"/>
    </row>
    <row r="711" spans="3:39" x14ac:dyDescent="0.55000000000000004">
      <c r="C711" s="104" t="str">
        <f>$V$57</f>
        <v>Marcos</v>
      </c>
      <c r="D711" s="108">
        <f t="shared" ref="D711:S711" si="522">D57</f>
        <v>0</v>
      </c>
      <c r="E711" s="108">
        <f t="shared" si="522"/>
        <v>0</v>
      </c>
      <c r="F711" s="108">
        <f t="shared" si="522"/>
        <v>0</v>
      </c>
      <c r="G711" s="108">
        <f t="shared" si="522"/>
        <v>0</v>
      </c>
      <c r="H711" s="108">
        <f t="shared" si="522"/>
        <v>0</v>
      </c>
      <c r="I711" s="108">
        <f t="shared" si="522"/>
        <v>0</v>
      </c>
      <c r="J711" s="108">
        <f t="shared" si="522"/>
        <v>0</v>
      </c>
      <c r="K711" s="108">
        <f t="shared" si="522"/>
        <v>0</v>
      </c>
      <c r="L711" s="108">
        <f t="shared" si="522"/>
        <v>0</v>
      </c>
      <c r="M711" s="108">
        <f t="shared" si="522"/>
        <v>0</v>
      </c>
      <c r="N711" s="108">
        <f t="shared" si="522"/>
        <v>0</v>
      </c>
      <c r="O711" s="108">
        <f t="shared" si="522"/>
        <v>0</v>
      </c>
      <c r="P711" s="108">
        <f t="shared" si="522"/>
        <v>0</v>
      </c>
      <c r="Q711" s="108">
        <f t="shared" si="522"/>
        <v>0</v>
      </c>
      <c r="R711" s="108">
        <f t="shared" si="522"/>
        <v>0</v>
      </c>
      <c r="S711" s="108">
        <f t="shared" si="522"/>
        <v>0</v>
      </c>
      <c r="T711" s="28" t="s">
        <v>26</v>
      </c>
      <c r="V711" s="104" t="str">
        <f>$V$57</f>
        <v>Marcos</v>
      </c>
      <c r="W711" s="108">
        <f t="shared" si="503"/>
        <v>-1</v>
      </c>
      <c r="X711" s="108">
        <f t="shared" si="504"/>
        <v>-1</v>
      </c>
      <c r="Y711" s="108">
        <f t="shared" si="505"/>
        <v>-1</v>
      </c>
      <c r="Z711" s="108">
        <f t="shared" si="506"/>
        <v>-1</v>
      </c>
      <c r="AA711" s="108">
        <f t="shared" si="507"/>
        <v>-1</v>
      </c>
      <c r="AB711" s="108">
        <f t="shared" si="508"/>
        <v>-1</v>
      </c>
      <c r="AC711" s="108">
        <f t="shared" si="509"/>
        <v>-1</v>
      </c>
      <c r="AD711" s="108">
        <f t="shared" si="510"/>
        <v>-1</v>
      </c>
      <c r="AE711" s="108">
        <f t="shared" si="511"/>
        <v>-1</v>
      </c>
      <c r="AF711" s="108">
        <f t="shared" si="512"/>
        <v>-1</v>
      </c>
      <c r="AG711" s="108">
        <f t="shared" si="513"/>
        <v>-1</v>
      </c>
      <c r="AH711" s="108">
        <f t="shared" si="514"/>
        <v>-1</v>
      </c>
      <c r="AI711" s="108">
        <f t="shared" si="515"/>
        <v>-1</v>
      </c>
      <c r="AJ711" s="108">
        <f t="shared" si="516"/>
        <v>-1</v>
      </c>
      <c r="AK711" s="108">
        <f t="shared" si="517"/>
        <v>-1</v>
      </c>
      <c r="AL711" s="108">
        <f t="shared" si="518"/>
        <v>-1</v>
      </c>
      <c r="AM711" s="108"/>
    </row>
    <row r="712" spans="3:39" x14ac:dyDescent="0.55000000000000004">
      <c r="C712" s="104" t="str">
        <f>$V$58</f>
        <v>Weixin</v>
      </c>
      <c r="D712" s="108">
        <f t="shared" ref="D712:S712" si="523">D58</f>
        <v>0</v>
      </c>
      <c r="E712" s="108">
        <f t="shared" si="523"/>
        <v>0</v>
      </c>
      <c r="F712" s="108">
        <f t="shared" si="523"/>
        <v>0</v>
      </c>
      <c r="G712" s="108">
        <f t="shared" si="523"/>
        <v>0</v>
      </c>
      <c r="H712" s="108">
        <f t="shared" si="523"/>
        <v>0</v>
      </c>
      <c r="I712" s="108">
        <f t="shared" si="523"/>
        <v>0</v>
      </c>
      <c r="J712" s="108">
        <f t="shared" si="523"/>
        <v>0</v>
      </c>
      <c r="K712" s="108">
        <f t="shared" si="523"/>
        <v>0</v>
      </c>
      <c r="L712" s="108">
        <f t="shared" si="523"/>
        <v>0</v>
      </c>
      <c r="M712" s="108">
        <f t="shared" si="523"/>
        <v>0</v>
      </c>
      <c r="N712" s="108">
        <f t="shared" si="523"/>
        <v>0</v>
      </c>
      <c r="O712" s="108">
        <f t="shared" si="523"/>
        <v>0</v>
      </c>
      <c r="P712" s="108">
        <f t="shared" si="523"/>
        <v>0</v>
      </c>
      <c r="Q712" s="108">
        <f t="shared" si="523"/>
        <v>0</v>
      </c>
      <c r="R712" s="108">
        <f t="shared" si="523"/>
        <v>0</v>
      </c>
      <c r="S712" s="108">
        <f t="shared" si="523"/>
        <v>0</v>
      </c>
      <c r="T712" s="28" t="s">
        <v>26</v>
      </c>
      <c r="V712" s="104" t="str">
        <f>$V$58</f>
        <v>Weixin</v>
      </c>
      <c r="W712" s="108">
        <f t="shared" si="503"/>
        <v>-1</v>
      </c>
      <c r="X712" s="108">
        <f t="shared" si="504"/>
        <v>-1</v>
      </c>
      <c r="Y712" s="108">
        <f t="shared" si="505"/>
        <v>-1</v>
      </c>
      <c r="Z712" s="108">
        <f t="shared" si="506"/>
        <v>-1</v>
      </c>
      <c r="AA712" s="108">
        <f t="shared" si="507"/>
        <v>-1</v>
      </c>
      <c r="AB712" s="108">
        <f t="shared" si="508"/>
        <v>-1</v>
      </c>
      <c r="AC712" s="108">
        <f t="shared" si="509"/>
        <v>0</v>
      </c>
      <c r="AD712" s="108">
        <f t="shared" si="510"/>
        <v>0</v>
      </c>
      <c r="AE712" s="108">
        <f t="shared" si="511"/>
        <v>-1</v>
      </c>
      <c r="AF712" s="108">
        <f t="shared" si="512"/>
        <v>-1</v>
      </c>
      <c r="AG712" s="108">
        <f t="shared" si="513"/>
        <v>-1</v>
      </c>
      <c r="AH712" s="108">
        <f t="shared" si="514"/>
        <v>-1</v>
      </c>
      <c r="AI712" s="108">
        <f t="shared" si="515"/>
        <v>-1</v>
      </c>
      <c r="AJ712" s="108">
        <f t="shared" si="516"/>
        <v>-1</v>
      </c>
      <c r="AK712" s="108">
        <f t="shared" si="517"/>
        <v>-1</v>
      </c>
      <c r="AL712" s="108">
        <f t="shared" si="518"/>
        <v>-1</v>
      </c>
      <c r="AM712" s="108"/>
    </row>
    <row r="713" spans="3:39" x14ac:dyDescent="0.55000000000000004">
      <c r="C713" s="104" t="str">
        <f>$V$59</f>
        <v>Benjamin</v>
      </c>
      <c r="D713" s="108">
        <f t="shared" ref="D713:S713" si="524">D59</f>
        <v>0</v>
      </c>
      <c r="E713" s="108">
        <f t="shared" si="524"/>
        <v>0</v>
      </c>
      <c r="F713" s="108">
        <f t="shared" si="524"/>
        <v>0</v>
      </c>
      <c r="G713" s="108">
        <f t="shared" si="524"/>
        <v>0</v>
      </c>
      <c r="H713" s="108">
        <f t="shared" si="524"/>
        <v>0</v>
      </c>
      <c r="I713" s="108">
        <f t="shared" si="524"/>
        <v>0</v>
      </c>
      <c r="J713" s="108">
        <f t="shared" si="524"/>
        <v>0</v>
      </c>
      <c r="K713" s="108">
        <f t="shared" si="524"/>
        <v>0</v>
      </c>
      <c r="L713" s="108">
        <f t="shared" si="524"/>
        <v>0</v>
      </c>
      <c r="M713" s="108">
        <f t="shared" si="524"/>
        <v>0</v>
      </c>
      <c r="N713" s="108">
        <f t="shared" si="524"/>
        <v>0</v>
      </c>
      <c r="O713" s="108">
        <f t="shared" si="524"/>
        <v>0</v>
      </c>
      <c r="P713" s="108">
        <f t="shared" si="524"/>
        <v>0</v>
      </c>
      <c r="Q713" s="108">
        <f t="shared" si="524"/>
        <v>0</v>
      </c>
      <c r="R713" s="108">
        <f t="shared" si="524"/>
        <v>0</v>
      </c>
      <c r="S713" s="108">
        <f t="shared" si="524"/>
        <v>0</v>
      </c>
      <c r="T713" s="28" t="s">
        <v>26</v>
      </c>
      <c r="V713" s="104" t="str">
        <f>$V$59</f>
        <v>Benjamin</v>
      </c>
      <c r="W713" s="108">
        <f t="shared" si="503"/>
        <v>-1</v>
      </c>
      <c r="X713" s="108">
        <f t="shared" si="504"/>
        <v>-1</v>
      </c>
      <c r="Y713" s="108">
        <f t="shared" si="505"/>
        <v>-1</v>
      </c>
      <c r="Z713" s="108">
        <f t="shared" si="506"/>
        <v>-1</v>
      </c>
      <c r="AA713" s="108">
        <f t="shared" si="507"/>
        <v>-1</v>
      </c>
      <c r="AB713" s="108">
        <f t="shared" si="508"/>
        <v>-1</v>
      </c>
      <c r="AC713" s="108">
        <f t="shared" si="509"/>
        <v>0</v>
      </c>
      <c r="AD713" s="108">
        <f t="shared" si="510"/>
        <v>0</v>
      </c>
      <c r="AE713" s="108">
        <f t="shared" si="511"/>
        <v>-1</v>
      </c>
      <c r="AF713" s="108">
        <f t="shared" si="512"/>
        <v>-1</v>
      </c>
      <c r="AG713" s="108">
        <f t="shared" si="513"/>
        <v>-1</v>
      </c>
      <c r="AH713" s="108">
        <f t="shared" si="514"/>
        <v>-1</v>
      </c>
      <c r="AI713" s="108">
        <f t="shared" si="515"/>
        <v>-1</v>
      </c>
      <c r="AJ713" s="108">
        <f t="shared" si="516"/>
        <v>-1</v>
      </c>
      <c r="AK713" s="108">
        <f t="shared" si="517"/>
        <v>-1</v>
      </c>
      <c r="AL713" s="108">
        <f t="shared" si="518"/>
        <v>-1</v>
      </c>
      <c r="AM713" s="108"/>
    </row>
    <row r="714" spans="3:39" x14ac:dyDescent="0.55000000000000004">
      <c r="C714" s="104" t="str">
        <f>$V$60</f>
        <v>Joelle</v>
      </c>
      <c r="D714" s="108">
        <f t="shared" ref="D714:S714" si="525">D60</f>
        <v>0</v>
      </c>
      <c r="E714" s="108">
        <f t="shared" si="525"/>
        <v>0</v>
      </c>
      <c r="F714" s="108">
        <f t="shared" si="525"/>
        <v>0</v>
      </c>
      <c r="G714" s="108">
        <f t="shared" si="525"/>
        <v>0</v>
      </c>
      <c r="H714" s="108">
        <f t="shared" si="525"/>
        <v>0</v>
      </c>
      <c r="I714" s="108">
        <f t="shared" si="525"/>
        <v>0</v>
      </c>
      <c r="J714" s="108">
        <f t="shared" si="525"/>
        <v>0</v>
      </c>
      <c r="K714" s="108">
        <f t="shared" si="525"/>
        <v>0</v>
      </c>
      <c r="L714" s="108">
        <f t="shared" si="525"/>
        <v>0</v>
      </c>
      <c r="M714" s="108">
        <f t="shared" si="525"/>
        <v>0</v>
      </c>
      <c r="N714" s="108">
        <f t="shared" si="525"/>
        <v>0</v>
      </c>
      <c r="O714" s="108">
        <f t="shared" si="525"/>
        <v>0</v>
      </c>
      <c r="P714" s="108">
        <f t="shared" si="525"/>
        <v>0</v>
      </c>
      <c r="Q714" s="108">
        <f t="shared" si="525"/>
        <v>0</v>
      </c>
      <c r="R714" s="108">
        <f t="shared" si="525"/>
        <v>0</v>
      </c>
      <c r="S714" s="108">
        <f t="shared" si="525"/>
        <v>0</v>
      </c>
      <c r="T714" s="28" t="s">
        <v>26</v>
      </c>
      <c r="V714" s="104" t="str">
        <f>$V$60</f>
        <v>Joelle</v>
      </c>
      <c r="W714" s="108">
        <f t="shared" si="503"/>
        <v>-1</v>
      </c>
      <c r="X714" s="108">
        <f t="shared" si="504"/>
        <v>-1</v>
      </c>
      <c r="Y714" s="108">
        <f t="shared" si="505"/>
        <v>-1</v>
      </c>
      <c r="Z714" s="108">
        <f t="shared" si="506"/>
        <v>-1</v>
      </c>
      <c r="AA714" s="108">
        <f t="shared" si="507"/>
        <v>-1</v>
      </c>
      <c r="AB714" s="108">
        <f t="shared" si="508"/>
        <v>-1</v>
      </c>
      <c r="AC714" s="108">
        <f t="shared" si="509"/>
        <v>-1</v>
      </c>
      <c r="AD714" s="108">
        <f t="shared" si="510"/>
        <v>-1</v>
      </c>
      <c r="AE714" s="108">
        <f t="shared" si="511"/>
        <v>-1</v>
      </c>
      <c r="AF714" s="108">
        <f t="shared" si="512"/>
        <v>-1</v>
      </c>
      <c r="AG714" s="108">
        <f t="shared" si="513"/>
        <v>-1</v>
      </c>
      <c r="AH714" s="108">
        <f t="shared" si="514"/>
        <v>-1</v>
      </c>
      <c r="AI714" s="108">
        <f t="shared" si="515"/>
        <v>-1</v>
      </c>
      <c r="AJ714" s="108">
        <f t="shared" si="516"/>
        <v>-1</v>
      </c>
      <c r="AK714" s="108">
        <f t="shared" si="517"/>
        <v>-1</v>
      </c>
      <c r="AL714" s="108">
        <f t="shared" si="518"/>
        <v>-1</v>
      </c>
      <c r="AM714" s="108"/>
    </row>
    <row r="715" spans="3:39" x14ac:dyDescent="0.55000000000000004">
      <c r="C715" s="104" t="str">
        <f>$V$61</f>
        <v>Alexia</v>
      </c>
      <c r="D715" s="108">
        <f t="shared" ref="D715:S715" si="526">D61</f>
        <v>0</v>
      </c>
      <c r="E715" s="108">
        <f t="shared" si="526"/>
        <v>0</v>
      </c>
      <c r="F715" s="108">
        <f t="shared" si="526"/>
        <v>0</v>
      </c>
      <c r="G715" s="108">
        <f t="shared" si="526"/>
        <v>0</v>
      </c>
      <c r="H715" s="108">
        <f t="shared" si="526"/>
        <v>0</v>
      </c>
      <c r="I715" s="108">
        <f t="shared" si="526"/>
        <v>0</v>
      </c>
      <c r="J715" s="108">
        <f t="shared" si="526"/>
        <v>0</v>
      </c>
      <c r="K715" s="108">
        <f t="shared" si="526"/>
        <v>0</v>
      </c>
      <c r="L715" s="108">
        <f t="shared" si="526"/>
        <v>0</v>
      </c>
      <c r="M715" s="108">
        <f t="shared" si="526"/>
        <v>0</v>
      </c>
      <c r="N715" s="108">
        <f t="shared" si="526"/>
        <v>0</v>
      </c>
      <c r="O715" s="108">
        <f t="shared" si="526"/>
        <v>0</v>
      </c>
      <c r="P715" s="108">
        <f t="shared" si="526"/>
        <v>0</v>
      </c>
      <c r="Q715" s="108">
        <f t="shared" si="526"/>
        <v>0</v>
      </c>
      <c r="R715" s="108">
        <f t="shared" si="526"/>
        <v>0</v>
      </c>
      <c r="S715" s="108">
        <f t="shared" si="526"/>
        <v>0</v>
      </c>
      <c r="T715" s="28" t="s">
        <v>26</v>
      </c>
      <c r="V715" s="104" t="str">
        <f>$V$61</f>
        <v>Alexia</v>
      </c>
      <c r="W715" s="108">
        <f t="shared" si="503"/>
        <v>-1</v>
      </c>
      <c r="X715" s="108">
        <f t="shared" si="504"/>
        <v>-1</v>
      </c>
      <c r="Y715" s="108">
        <f t="shared" si="505"/>
        <v>-1</v>
      </c>
      <c r="Z715" s="108">
        <f t="shared" si="506"/>
        <v>-1</v>
      </c>
      <c r="AA715" s="108">
        <f t="shared" si="507"/>
        <v>-1</v>
      </c>
      <c r="AB715" s="108">
        <f t="shared" si="508"/>
        <v>-1</v>
      </c>
      <c r="AC715" s="108">
        <f t="shared" si="509"/>
        <v>-1</v>
      </c>
      <c r="AD715" s="108">
        <f t="shared" si="510"/>
        <v>-1</v>
      </c>
      <c r="AE715" s="108">
        <f t="shared" si="511"/>
        <v>-1</v>
      </c>
      <c r="AF715" s="108">
        <f t="shared" si="512"/>
        <v>-1</v>
      </c>
      <c r="AG715" s="108">
        <f t="shared" si="513"/>
        <v>-1</v>
      </c>
      <c r="AH715" s="108">
        <f t="shared" si="514"/>
        <v>-1</v>
      </c>
      <c r="AI715" s="108">
        <f t="shared" si="515"/>
        <v>-1</v>
      </c>
      <c r="AJ715" s="108">
        <f t="shared" si="516"/>
        <v>-1</v>
      </c>
      <c r="AK715" s="108">
        <f t="shared" si="517"/>
        <v>-1</v>
      </c>
      <c r="AL715" s="108">
        <f t="shared" si="518"/>
        <v>-1</v>
      </c>
      <c r="AM715" s="108"/>
    </row>
    <row r="716" spans="3:39" x14ac:dyDescent="0.55000000000000004">
      <c r="C716" s="104" t="str">
        <f>$V$62</f>
        <v>Joao</v>
      </c>
      <c r="D716" s="108">
        <f t="shared" ref="D716:S716" si="527">D62</f>
        <v>0</v>
      </c>
      <c r="E716" s="108">
        <f t="shared" si="527"/>
        <v>0</v>
      </c>
      <c r="F716" s="108">
        <f t="shared" si="527"/>
        <v>0</v>
      </c>
      <c r="G716" s="108">
        <f t="shared" si="527"/>
        <v>0</v>
      </c>
      <c r="H716" s="108">
        <f t="shared" si="527"/>
        <v>0</v>
      </c>
      <c r="I716" s="108">
        <f t="shared" si="527"/>
        <v>0</v>
      </c>
      <c r="J716" s="108">
        <f t="shared" si="527"/>
        <v>0</v>
      </c>
      <c r="K716" s="108">
        <f t="shared" si="527"/>
        <v>0</v>
      </c>
      <c r="L716" s="108">
        <f t="shared" si="527"/>
        <v>0</v>
      </c>
      <c r="M716" s="108">
        <f t="shared" si="527"/>
        <v>0</v>
      </c>
      <c r="N716" s="108">
        <f t="shared" si="527"/>
        <v>0</v>
      </c>
      <c r="O716" s="108">
        <f t="shared" si="527"/>
        <v>0</v>
      </c>
      <c r="P716" s="108">
        <f t="shared" si="527"/>
        <v>0</v>
      </c>
      <c r="Q716" s="108">
        <f t="shared" si="527"/>
        <v>0</v>
      </c>
      <c r="R716" s="108">
        <f t="shared" si="527"/>
        <v>0</v>
      </c>
      <c r="S716" s="108">
        <f t="shared" si="527"/>
        <v>0</v>
      </c>
      <c r="T716" s="28" t="s">
        <v>26</v>
      </c>
      <c r="V716" s="104" t="str">
        <f>$V$62</f>
        <v>Joao</v>
      </c>
      <c r="W716" s="108">
        <f t="shared" si="503"/>
        <v>-1</v>
      </c>
      <c r="X716" s="108">
        <f t="shared" si="504"/>
        <v>-1</v>
      </c>
      <c r="Y716" s="108">
        <f t="shared" si="505"/>
        <v>-1</v>
      </c>
      <c r="Z716" s="108">
        <f t="shared" si="506"/>
        <v>-1</v>
      </c>
      <c r="AA716" s="108">
        <f t="shared" si="507"/>
        <v>-1</v>
      </c>
      <c r="AB716" s="108">
        <f t="shared" si="508"/>
        <v>-1</v>
      </c>
      <c r="AC716" s="108">
        <f t="shared" si="509"/>
        <v>-1</v>
      </c>
      <c r="AD716" s="108">
        <f t="shared" si="510"/>
        <v>-1</v>
      </c>
      <c r="AE716" s="108">
        <f t="shared" si="511"/>
        <v>-1</v>
      </c>
      <c r="AF716" s="108">
        <f t="shared" si="512"/>
        <v>-1</v>
      </c>
      <c r="AG716" s="108">
        <f t="shared" si="513"/>
        <v>-1</v>
      </c>
      <c r="AH716" s="108">
        <f t="shared" si="514"/>
        <v>-1</v>
      </c>
      <c r="AI716" s="108">
        <f t="shared" si="515"/>
        <v>-1</v>
      </c>
      <c r="AJ716" s="108">
        <f t="shared" si="516"/>
        <v>-1</v>
      </c>
      <c r="AK716" s="108">
        <f t="shared" si="517"/>
        <v>-1</v>
      </c>
      <c r="AL716" s="108">
        <f t="shared" si="518"/>
        <v>-1</v>
      </c>
      <c r="AM716" s="108"/>
    </row>
    <row r="717" spans="3:39" x14ac:dyDescent="0.55000000000000004">
      <c r="C717" s="104" t="str">
        <f>$V$63</f>
        <v>Maxime</v>
      </c>
      <c r="D717" s="108">
        <f t="shared" ref="D717:S717" si="528">D63</f>
        <v>0</v>
      </c>
      <c r="E717" s="108">
        <f t="shared" si="528"/>
        <v>0</v>
      </c>
      <c r="F717" s="108">
        <f t="shared" si="528"/>
        <v>0</v>
      </c>
      <c r="G717" s="108">
        <f t="shared" si="528"/>
        <v>0</v>
      </c>
      <c r="H717" s="108">
        <f t="shared" si="528"/>
        <v>0</v>
      </c>
      <c r="I717" s="108">
        <f t="shared" si="528"/>
        <v>0</v>
      </c>
      <c r="J717" s="108">
        <f t="shared" si="528"/>
        <v>0</v>
      </c>
      <c r="K717" s="108">
        <f t="shared" si="528"/>
        <v>0</v>
      </c>
      <c r="L717" s="108">
        <f t="shared" si="528"/>
        <v>0</v>
      </c>
      <c r="M717" s="108">
        <f t="shared" si="528"/>
        <v>0</v>
      </c>
      <c r="N717" s="108">
        <f t="shared" si="528"/>
        <v>0</v>
      </c>
      <c r="O717" s="108">
        <f t="shared" si="528"/>
        <v>0</v>
      </c>
      <c r="P717" s="108">
        <f t="shared" si="528"/>
        <v>0</v>
      </c>
      <c r="Q717" s="108">
        <f t="shared" si="528"/>
        <v>0</v>
      </c>
      <c r="R717" s="108">
        <f t="shared" si="528"/>
        <v>0</v>
      </c>
      <c r="S717" s="108">
        <f t="shared" si="528"/>
        <v>0</v>
      </c>
      <c r="T717" s="28" t="s">
        <v>26</v>
      </c>
      <c r="V717" s="104" t="str">
        <f>$V$63</f>
        <v>Maxime</v>
      </c>
      <c r="W717" s="108">
        <f t="shared" si="503"/>
        <v>-1</v>
      </c>
      <c r="X717" s="108">
        <f t="shared" si="504"/>
        <v>-1</v>
      </c>
      <c r="Y717" s="108">
        <f t="shared" si="505"/>
        <v>-1</v>
      </c>
      <c r="Z717" s="108">
        <f t="shared" si="506"/>
        <v>-1</v>
      </c>
      <c r="AA717" s="108">
        <f t="shared" si="507"/>
        <v>-1</v>
      </c>
      <c r="AB717" s="108">
        <f t="shared" si="508"/>
        <v>-1</v>
      </c>
      <c r="AC717" s="108">
        <f t="shared" si="509"/>
        <v>-1</v>
      </c>
      <c r="AD717" s="108">
        <f t="shared" si="510"/>
        <v>-1</v>
      </c>
      <c r="AE717" s="108">
        <f t="shared" si="511"/>
        <v>-1</v>
      </c>
      <c r="AF717" s="108">
        <f t="shared" si="512"/>
        <v>-1</v>
      </c>
      <c r="AG717" s="108">
        <f t="shared" si="513"/>
        <v>-1</v>
      </c>
      <c r="AH717" s="108">
        <f t="shared" si="514"/>
        <v>-1</v>
      </c>
      <c r="AI717" s="108">
        <f t="shared" si="515"/>
        <v>-1</v>
      </c>
      <c r="AJ717" s="108">
        <f t="shared" si="516"/>
        <v>-1</v>
      </c>
      <c r="AK717" s="108">
        <f t="shared" si="517"/>
        <v>-1</v>
      </c>
      <c r="AL717" s="108">
        <f t="shared" si="518"/>
        <v>-1</v>
      </c>
      <c r="AM717" s="108"/>
    </row>
    <row r="718" spans="3:39" x14ac:dyDescent="0.55000000000000004">
      <c r="C718" s="104" t="str">
        <f>$V$64</f>
        <v>Alex</v>
      </c>
      <c r="D718" s="108">
        <f t="shared" ref="D718:S718" si="529">D64</f>
        <v>0</v>
      </c>
      <c r="E718" s="108">
        <f t="shared" si="529"/>
        <v>0</v>
      </c>
      <c r="F718" s="108">
        <f t="shared" si="529"/>
        <v>0</v>
      </c>
      <c r="G718" s="108">
        <f t="shared" si="529"/>
        <v>0</v>
      </c>
      <c r="H718" s="108">
        <f t="shared" si="529"/>
        <v>0</v>
      </c>
      <c r="I718" s="108">
        <f t="shared" si="529"/>
        <v>0</v>
      </c>
      <c r="J718" s="108">
        <f t="shared" si="529"/>
        <v>0</v>
      </c>
      <c r="K718" s="108">
        <f t="shared" si="529"/>
        <v>0</v>
      </c>
      <c r="L718" s="108">
        <f t="shared" si="529"/>
        <v>0</v>
      </c>
      <c r="M718" s="108">
        <f t="shared" si="529"/>
        <v>0</v>
      </c>
      <c r="N718" s="108">
        <f t="shared" si="529"/>
        <v>0</v>
      </c>
      <c r="O718" s="108">
        <f t="shared" si="529"/>
        <v>0</v>
      </c>
      <c r="P718" s="108">
        <f t="shared" si="529"/>
        <v>0</v>
      </c>
      <c r="Q718" s="108">
        <f t="shared" si="529"/>
        <v>0</v>
      </c>
      <c r="R718" s="108">
        <f t="shared" si="529"/>
        <v>0</v>
      </c>
      <c r="S718" s="108">
        <f t="shared" si="529"/>
        <v>0</v>
      </c>
      <c r="T718" s="28" t="s">
        <v>26</v>
      </c>
      <c r="V718" s="104" t="str">
        <f>$V$64</f>
        <v>Alex</v>
      </c>
      <c r="W718" s="108">
        <f t="shared" si="503"/>
        <v>-1</v>
      </c>
      <c r="X718" s="108">
        <f t="shared" si="504"/>
        <v>-1</v>
      </c>
      <c r="Y718" s="108">
        <f t="shared" si="505"/>
        <v>-1</v>
      </c>
      <c r="Z718" s="108">
        <f t="shared" si="506"/>
        <v>-1</v>
      </c>
      <c r="AA718" s="108">
        <f t="shared" si="507"/>
        <v>-1</v>
      </c>
      <c r="AB718" s="108">
        <f t="shared" si="508"/>
        <v>-1</v>
      </c>
      <c r="AC718" s="108">
        <f t="shared" si="509"/>
        <v>-1</v>
      </c>
      <c r="AD718" s="108">
        <f t="shared" si="510"/>
        <v>-1</v>
      </c>
      <c r="AE718" s="108">
        <f t="shared" si="511"/>
        <v>-1</v>
      </c>
      <c r="AF718" s="108">
        <f t="shared" si="512"/>
        <v>-1</v>
      </c>
      <c r="AG718" s="108">
        <f t="shared" si="513"/>
        <v>-1</v>
      </c>
      <c r="AH718" s="108">
        <f t="shared" si="514"/>
        <v>-1</v>
      </c>
      <c r="AI718" s="108">
        <f t="shared" si="515"/>
        <v>-1</v>
      </c>
      <c r="AJ718" s="108">
        <f t="shared" si="516"/>
        <v>-1</v>
      </c>
      <c r="AK718" s="108">
        <f t="shared" si="517"/>
        <v>-1</v>
      </c>
      <c r="AL718" s="108">
        <f t="shared" si="518"/>
        <v>-1</v>
      </c>
      <c r="AM718" s="108"/>
    </row>
    <row r="719" spans="3:39" x14ac:dyDescent="0.55000000000000004">
      <c r="C719" s="104" t="str">
        <f>$V$65</f>
        <v>Alyssa</v>
      </c>
      <c r="D719" s="108">
        <f t="shared" ref="D719:S719" si="530">D65</f>
        <v>0</v>
      </c>
      <c r="E719" s="108">
        <f t="shared" si="530"/>
        <v>0</v>
      </c>
      <c r="F719" s="108">
        <f t="shared" si="530"/>
        <v>0</v>
      </c>
      <c r="G719" s="108">
        <f t="shared" si="530"/>
        <v>0</v>
      </c>
      <c r="H719" s="108">
        <f t="shared" si="530"/>
        <v>0</v>
      </c>
      <c r="I719" s="108">
        <f t="shared" si="530"/>
        <v>0</v>
      </c>
      <c r="J719" s="108">
        <f t="shared" si="530"/>
        <v>0</v>
      </c>
      <c r="K719" s="108">
        <f t="shared" si="530"/>
        <v>0</v>
      </c>
      <c r="L719" s="108">
        <f t="shared" si="530"/>
        <v>0</v>
      </c>
      <c r="M719" s="108">
        <f t="shared" si="530"/>
        <v>0</v>
      </c>
      <c r="N719" s="108">
        <f t="shared" si="530"/>
        <v>0</v>
      </c>
      <c r="O719" s="108">
        <f t="shared" si="530"/>
        <v>0</v>
      </c>
      <c r="P719" s="108">
        <f t="shared" si="530"/>
        <v>0</v>
      </c>
      <c r="Q719" s="108">
        <f t="shared" si="530"/>
        <v>0</v>
      </c>
      <c r="R719" s="108">
        <f t="shared" si="530"/>
        <v>0</v>
      </c>
      <c r="S719" s="108">
        <f t="shared" si="530"/>
        <v>0</v>
      </c>
      <c r="T719" s="28" t="s">
        <v>26</v>
      </c>
      <c r="V719" s="104" t="str">
        <f>$V$65</f>
        <v>Alyssa</v>
      </c>
      <c r="W719" s="108">
        <f t="shared" si="503"/>
        <v>-1</v>
      </c>
      <c r="X719" s="108">
        <f t="shared" si="504"/>
        <v>-1</v>
      </c>
      <c r="Y719" s="108">
        <f t="shared" si="505"/>
        <v>-1</v>
      </c>
      <c r="Z719" s="108">
        <f t="shared" si="506"/>
        <v>-1</v>
      </c>
      <c r="AA719" s="108">
        <f t="shared" si="507"/>
        <v>-1</v>
      </c>
      <c r="AB719" s="108">
        <f t="shared" si="508"/>
        <v>-1</v>
      </c>
      <c r="AC719" s="108">
        <f t="shared" si="509"/>
        <v>-1</v>
      </c>
      <c r="AD719" s="108">
        <f t="shared" si="510"/>
        <v>-1</v>
      </c>
      <c r="AE719" s="108">
        <f t="shared" si="511"/>
        <v>-1</v>
      </c>
      <c r="AF719" s="108">
        <f t="shared" si="512"/>
        <v>-1</v>
      </c>
      <c r="AG719" s="108">
        <f t="shared" si="513"/>
        <v>-1</v>
      </c>
      <c r="AH719" s="108">
        <f t="shared" si="514"/>
        <v>-1</v>
      </c>
      <c r="AI719" s="108">
        <f t="shared" si="515"/>
        <v>-1</v>
      </c>
      <c r="AJ719" s="108">
        <f t="shared" si="516"/>
        <v>-1</v>
      </c>
      <c r="AK719" s="108">
        <f t="shared" si="517"/>
        <v>-1</v>
      </c>
      <c r="AL719" s="108">
        <f t="shared" si="518"/>
        <v>-1</v>
      </c>
      <c r="AM719" s="108"/>
    </row>
    <row r="720" spans="3:39" x14ac:dyDescent="0.55000000000000004">
      <c r="C720" s="104" t="str">
        <f>$V$66</f>
        <v>Amanda</v>
      </c>
      <c r="D720" s="108">
        <f t="shared" ref="D720:S720" si="531">D66</f>
        <v>0</v>
      </c>
      <c r="E720" s="108">
        <f t="shared" si="531"/>
        <v>0</v>
      </c>
      <c r="F720" s="108">
        <f t="shared" si="531"/>
        <v>0</v>
      </c>
      <c r="G720" s="108">
        <f t="shared" si="531"/>
        <v>0</v>
      </c>
      <c r="H720" s="108">
        <f t="shared" si="531"/>
        <v>0</v>
      </c>
      <c r="I720" s="108">
        <f t="shared" si="531"/>
        <v>0</v>
      </c>
      <c r="J720" s="108">
        <f t="shared" si="531"/>
        <v>0</v>
      </c>
      <c r="K720" s="108">
        <f t="shared" si="531"/>
        <v>0</v>
      </c>
      <c r="L720" s="108">
        <f t="shared" si="531"/>
        <v>0</v>
      </c>
      <c r="M720" s="108">
        <f t="shared" si="531"/>
        <v>0</v>
      </c>
      <c r="N720" s="108">
        <f t="shared" si="531"/>
        <v>0</v>
      </c>
      <c r="O720" s="108">
        <f t="shared" si="531"/>
        <v>0</v>
      </c>
      <c r="P720" s="108">
        <f t="shared" si="531"/>
        <v>0</v>
      </c>
      <c r="Q720" s="108">
        <f t="shared" si="531"/>
        <v>0</v>
      </c>
      <c r="R720" s="108">
        <f t="shared" si="531"/>
        <v>0</v>
      </c>
      <c r="S720" s="108">
        <f t="shared" si="531"/>
        <v>0</v>
      </c>
      <c r="T720" s="28" t="s">
        <v>26</v>
      </c>
      <c r="V720" s="104" t="str">
        <f>$V$66</f>
        <v>Amanda</v>
      </c>
      <c r="W720" s="108">
        <f t="shared" si="503"/>
        <v>-1</v>
      </c>
      <c r="X720" s="108">
        <f t="shared" si="504"/>
        <v>-1</v>
      </c>
      <c r="Y720" s="108">
        <f t="shared" si="505"/>
        <v>-1</v>
      </c>
      <c r="Z720" s="108">
        <f t="shared" si="506"/>
        <v>-1</v>
      </c>
      <c r="AA720" s="108">
        <f t="shared" si="507"/>
        <v>-1</v>
      </c>
      <c r="AB720" s="108">
        <f t="shared" si="508"/>
        <v>-1</v>
      </c>
      <c r="AC720" s="108">
        <f t="shared" si="509"/>
        <v>-1</v>
      </c>
      <c r="AD720" s="108">
        <f t="shared" si="510"/>
        <v>-1</v>
      </c>
      <c r="AE720" s="108">
        <f t="shared" si="511"/>
        <v>-1</v>
      </c>
      <c r="AF720" s="108">
        <f t="shared" si="512"/>
        <v>-1</v>
      </c>
      <c r="AG720" s="108">
        <f t="shared" si="513"/>
        <v>-1</v>
      </c>
      <c r="AH720" s="108">
        <f t="shared" si="514"/>
        <v>-1</v>
      </c>
      <c r="AI720" s="108">
        <f t="shared" si="515"/>
        <v>-1</v>
      </c>
      <c r="AJ720" s="108">
        <f t="shared" si="516"/>
        <v>-1</v>
      </c>
      <c r="AK720" s="108">
        <f t="shared" si="517"/>
        <v>-1</v>
      </c>
      <c r="AL720" s="108">
        <f t="shared" si="518"/>
        <v>-1</v>
      </c>
      <c r="AM720" s="108"/>
    </row>
    <row r="721" spans="3:39" x14ac:dyDescent="0.55000000000000004">
      <c r="C721" s="104" t="str">
        <f>$V$67</f>
        <v>Antoine</v>
      </c>
      <c r="D721" s="108">
        <f t="shared" ref="D721:S721" si="532">D67</f>
        <v>0</v>
      </c>
      <c r="E721" s="108">
        <f t="shared" si="532"/>
        <v>0</v>
      </c>
      <c r="F721" s="108">
        <f t="shared" si="532"/>
        <v>0</v>
      </c>
      <c r="G721" s="108">
        <f t="shared" si="532"/>
        <v>0</v>
      </c>
      <c r="H721" s="108">
        <f t="shared" si="532"/>
        <v>0</v>
      </c>
      <c r="I721" s="108">
        <f t="shared" si="532"/>
        <v>0</v>
      </c>
      <c r="J721" s="108">
        <f t="shared" si="532"/>
        <v>0</v>
      </c>
      <c r="K721" s="108">
        <f t="shared" si="532"/>
        <v>0</v>
      </c>
      <c r="L721" s="108">
        <f t="shared" si="532"/>
        <v>0</v>
      </c>
      <c r="M721" s="108">
        <f t="shared" si="532"/>
        <v>0</v>
      </c>
      <c r="N721" s="108">
        <f t="shared" si="532"/>
        <v>0</v>
      </c>
      <c r="O721" s="108">
        <f t="shared" si="532"/>
        <v>0</v>
      </c>
      <c r="P721" s="108">
        <f t="shared" si="532"/>
        <v>0</v>
      </c>
      <c r="Q721" s="108">
        <f t="shared" si="532"/>
        <v>0</v>
      </c>
      <c r="R721" s="108">
        <f t="shared" si="532"/>
        <v>0</v>
      </c>
      <c r="S721" s="108">
        <f t="shared" si="532"/>
        <v>0</v>
      </c>
      <c r="T721" s="28" t="s">
        <v>26</v>
      </c>
      <c r="V721" s="104" t="str">
        <f>$V$67</f>
        <v>Antoine</v>
      </c>
      <c r="W721" s="108">
        <f t="shared" si="503"/>
        <v>-1</v>
      </c>
      <c r="X721" s="108">
        <f t="shared" si="504"/>
        <v>-1</v>
      </c>
      <c r="Y721" s="108">
        <f t="shared" si="505"/>
        <v>-1</v>
      </c>
      <c r="Z721" s="108">
        <f t="shared" si="506"/>
        <v>-1</v>
      </c>
      <c r="AA721" s="108">
        <f t="shared" si="507"/>
        <v>-1</v>
      </c>
      <c r="AB721" s="108">
        <f t="shared" si="508"/>
        <v>-1</v>
      </c>
      <c r="AC721" s="108">
        <f t="shared" si="509"/>
        <v>-1</v>
      </c>
      <c r="AD721" s="108">
        <f t="shared" si="510"/>
        <v>-1</v>
      </c>
      <c r="AE721" s="108">
        <f t="shared" si="511"/>
        <v>-1</v>
      </c>
      <c r="AF721" s="108">
        <f t="shared" si="512"/>
        <v>-1</v>
      </c>
      <c r="AG721" s="108">
        <f t="shared" si="513"/>
        <v>-1</v>
      </c>
      <c r="AH721" s="108">
        <f t="shared" si="514"/>
        <v>-1</v>
      </c>
      <c r="AI721" s="108">
        <f t="shared" si="515"/>
        <v>-1</v>
      </c>
      <c r="AJ721" s="108">
        <f t="shared" si="516"/>
        <v>-1</v>
      </c>
      <c r="AK721" s="108">
        <f t="shared" si="517"/>
        <v>-1</v>
      </c>
      <c r="AL721" s="108">
        <f t="shared" si="518"/>
        <v>-1</v>
      </c>
      <c r="AM721" s="108"/>
    </row>
    <row r="722" spans="3:39" x14ac:dyDescent="0.55000000000000004">
      <c r="C722" s="104" t="str">
        <f>$V$68</f>
        <v>Beatriz</v>
      </c>
      <c r="D722" s="108">
        <f t="shared" ref="D722:S722" si="533">D68</f>
        <v>0</v>
      </c>
      <c r="E722" s="108">
        <f t="shared" si="533"/>
        <v>0</v>
      </c>
      <c r="F722" s="108">
        <f t="shared" si="533"/>
        <v>0</v>
      </c>
      <c r="G722" s="108">
        <f t="shared" si="533"/>
        <v>0</v>
      </c>
      <c r="H722" s="108">
        <f t="shared" si="533"/>
        <v>0</v>
      </c>
      <c r="I722" s="108">
        <f t="shared" si="533"/>
        <v>0</v>
      </c>
      <c r="J722" s="108">
        <f t="shared" si="533"/>
        <v>0</v>
      </c>
      <c r="K722" s="108">
        <f t="shared" si="533"/>
        <v>0</v>
      </c>
      <c r="L722" s="108">
        <f t="shared" si="533"/>
        <v>0</v>
      </c>
      <c r="M722" s="108">
        <f t="shared" si="533"/>
        <v>0</v>
      </c>
      <c r="N722" s="108">
        <f t="shared" si="533"/>
        <v>0</v>
      </c>
      <c r="O722" s="108">
        <f t="shared" si="533"/>
        <v>0</v>
      </c>
      <c r="P722" s="108">
        <f t="shared" si="533"/>
        <v>0</v>
      </c>
      <c r="Q722" s="108">
        <f t="shared" si="533"/>
        <v>0</v>
      </c>
      <c r="R722" s="108">
        <f t="shared" si="533"/>
        <v>0</v>
      </c>
      <c r="S722" s="108">
        <f t="shared" si="533"/>
        <v>0</v>
      </c>
      <c r="T722" s="28" t="s">
        <v>26</v>
      </c>
      <c r="V722" s="104" t="str">
        <f>$V$68</f>
        <v>Beatriz</v>
      </c>
      <c r="W722" s="108">
        <f t="shared" si="503"/>
        <v>-1</v>
      </c>
      <c r="X722" s="108">
        <f t="shared" si="504"/>
        <v>-1</v>
      </c>
      <c r="Y722" s="108">
        <f t="shared" si="505"/>
        <v>-1</v>
      </c>
      <c r="Z722" s="108">
        <f t="shared" si="506"/>
        <v>-1</v>
      </c>
      <c r="AA722" s="108">
        <f t="shared" si="507"/>
        <v>-1</v>
      </c>
      <c r="AB722" s="108">
        <f t="shared" si="508"/>
        <v>-1</v>
      </c>
      <c r="AC722" s="108">
        <f t="shared" si="509"/>
        <v>-1</v>
      </c>
      <c r="AD722" s="108">
        <f t="shared" si="510"/>
        <v>-1</v>
      </c>
      <c r="AE722" s="108">
        <f t="shared" si="511"/>
        <v>-1</v>
      </c>
      <c r="AF722" s="108">
        <f t="shared" si="512"/>
        <v>-1</v>
      </c>
      <c r="AG722" s="108">
        <f t="shared" si="513"/>
        <v>-1</v>
      </c>
      <c r="AH722" s="108">
        <f t="shared" si="514"/>
        <v>-1</v>
      </c>
      <c r="AI722" s="108">
        <f t="shared" si="515"/>
        <v>-1</v>
      </c>
      <c r="AJ722" s="108">
        <f t="shared" si="516"/>
        <v>-1</v>
      </c>
      <c r="AK722" s="108">
        <f t="shared" si="517"/>
        <v>-1</v>
      </c>
      <c r="AL722" s="108">
        <f t="shared" si="518"/>
        <v>-1</v>
      </c>
      <c r="AM722" s="108"/>
    </row>
    <row r="723" spans="3:39" x14ac:dyDescent="0.55000000000000004">
      <c r="C723" s="104" t="str">
        <f>$V$69</f>
        <v>Charelle</v>
      </c>
      <c r="D723" s="108">
        <f t="shared" ref="D723:S723" si="534">D69</f>
        <v>0</v>
      </c>
      <c r="E723" s="108">
        <f t="shared" si="534"/>
        <v>0</v>
      </c>
      <c r="F723" s="108">
        <f t="shared" si="534"/>
        <v>0</v>
      </c>
      <c r="G723" s="108">
        <f t="shared" si="534"/>
        <v>0</v>
      </c>
      <c r="H723" s="108">
        <f t="shared" si="534"/>
        <v>0</v>
      </c>
      <c r="I723" s="108">
        <f t="shared" si="534"/>
        <v>0</v>
      </c>
      <c r="J723" s="108">
        <f t="shared" si="534"/>
        <v>0</v>
      </c>
      <c r="K723" s="108">
        <f t="shared" si="534"/>
        <v>0</v>
      </c>
      <c r="L723" s="108">
        <f t="shared" si="534"/>
        <v>0</v>
      </c>
      <c r="M723" s="108">
        <f t="shared" si="534"/>
        <v>0</v>
      </c>
      <c r="N723" s="108">
        <f t="shared" si="534"/>
        <v>0</v>
      </c>
      <c r="O723" s="108">
        <f t="shared" si="534"/>
        <v>0</v>
      </c>
      <c r="P723" s="108">
        <f t="shared" si="534"/>
        <v>0</v>
      </c>
      <c r="Q723" s="108">
        <f t="shared" si="534"/>
        <v>0</v>
      </c>
      <c r="R723" s="108">
        <f t="shared" si="534"/>
        <v>0</v>
      </c>
      <c r="S723" s="108">
        <f t="shared" si="534"/>
        <v>0</v>
      </c>
      <c r="T723" s="28" t="s">
        <v>26</v>
      </c>
      <c r="V723" s="104" t="str">
        <f>$V$69</f>
        <v>Charelle</v>
      </c>
      <c r="W723" s="108">
        <f t="shared" si="503"/>
        <v>-1</v>
      </c>
      <c r="X723" s="108">
        <f t="shared" si="504"/>
        <v>-1</v>
      </c>
      <c r="Y723" s="108">
        <f t="shared" si="505"/>
        <v>-1</v>
      </c>
      <c r="Z723" s="108">
        <f t="shared" si="506"/>
        <v>-1</v>
      </c>
      <c r="AA723" s="108">
        <f t="shared" si="507"/>
        <v>-1</v>
      </c>
      <c r="AB723" s="108">
        <f t="shared" si="508"/>
        <v>-1</v>
      </c>
      <c r="AC723" s="108">
        <f t="shared" si="509"/>
        <v>-1</v>
      </c>
      <c r="AD723" s="108">
        <f t="shared" si="510"/>
        <v>-1</v>
      </c>
      <c r="AE723" s="108">
        <f t="shared" si="511"/>
        <v>-1</v>
      </c>
      <c r="AF723" s="108">
        <f t="shared" si="512"/>
        <v>-1</v>
      </c>
      <c r="AG723" s="108">
        <f t="shared" si="513"/>
        <v>-1</v>
      </c>
      <c r="AH723" s="108">
        <f t="shared" si="514"/>
        <v>-1</v>
      </c>
      <c r="AI723" s="108">
        <f t="shared" si="515"/>
        <v>-1</v>
      </c>
      <c r="AJ723" s="108">
        <f t="shared" si="516"/>
        <v>-1</v>
      </c>
      <c r="AK723" s="108">
        <f t="shared" si="517"/>
        <v>-1</v>
      </c>
      <c r="AL723" s="108">
        <f t="shared" si="518"/>
        <v>-1</v>
      </c>
      <c r="AM723" s="108"/>
    </row>
    <row r="724" spans="3:39" x14ac:dyDescent="0.55000000000000004">
      <c r="C724" s="104" t="str">
        <f>$V$70</f>
        <v>Dimitri</v>
      </c>
      <c r="D724" s="108">
        <f t="shared" ref="D724:S724" si="535">D70</f>
        <v>0</v>
      </c>
      <c r="E724" s="108">
        <f t="shared" si="535"/>
        <v>0</v>
      </c>
      <c r="F724" s="108">
        <f t="shared" si="535"/>
        <v>0</v>
      </c>
      <c r="G724" s="108">
        <f t="shared" si="535"/>
        <v>0</v>
      </c>
      <c r="H724" s="108">
        <f t="shared" si="535"/>
        <v>0</v>
      </c>
      <c r="I724" s="108">
        <f t="shared" si="535"/>
        <v>0</v>
      </c>
      <c r="J724" s="108">
        <f t="shared" si="535"/>
        <v>0</v>
      </c>
      <c r="K724" s="108">
        <f t="shared" si="535"/>
        <v>0</v>
      </c>
      <c r="L724" s="108">
        <f t="shared" si="535"/>
        <v>0</v>
      </c>
      <c r="M724" s="108">
        <f t="shared" si="535"/>
        <v>0</v>
      </c>
      <c r="N724" s="108">
        <f t="shared" si="535"/>
        <v>0</v>
      </c>
      <c r="O724" s="108">
        <f t="shared" si="535"/>
        <v>0</v>
      </c>
      <c r="P724" s="108">
        <f t="shared" si="535"/>
        <v>0</v>
      </c>
      <c r="Q724" s="108">
        <f t="shared" si="535"/>
        <v>0</v>
      </c>
      <c r="R724" s="108">
        <f t="shared" si="535"/>
        <v>0</v>
      </c>
      <c r="S724" s="108">
        <f t="shared" si="535"/>
        <v>0</v>
      </c>
      <c r="T724" s="28" t="s">
        <v>26</v>
      </c>
      <c r="V724" s="104" t="str">
        <f>$V$70</f>
        <v>Dimitri</v>
      </c>
      <c r="W724" s="108">
        <f t="shared" si="503"/>
        <v>-1</v>
      </c>
      <c r="X724" s="108">
        <f t="shared" si="504"/>
        <v>-1</v>
      </c>
      <c r="Y724" s="108">
        <f t="shared" si="505"/>
        <v>-1</v>
      </c>
      <c r="Z724" s="108">
        <f t="shared" si="506"/>
        <v>-1</v>
      </c>
      <c r="AA724" s="108">
        <f t="shared" si="507"/>
        <v>-1</v>
      </c>
      <c r="AB724" s="108">
        <f t="shared" si="508"/>
        <v>-1</v>
      </c>
      <c r="AC724" s="108">
        <f t="shared" si="509"/>
        <v>-1</v>
      </c>
      <c r="AD724" s="108">
        <f t="shared" si="510"/>
        <v>-1</v>
      </c>
      <c r="AE724" s="108">
        <f t="shared" si="511"/>
        <v>-1</v>
      </c>
      <c r="AF724" s="108">
        <f t="shared" si="512"/>
        <v>-1</v>
      </c>
      <c r="AG724" s="108">
        <f t="shared" si="513"/>
        <v>-1</v>
      </c>
      <c r="AH724" s="108">
        <f t="shared" si="514"/>
        <v>-1</v>
      </c>
      <c r="AI724" s="108">
        <f t="shared" si="515"/>
        <v>-1</v>
      </c>
      <c r="AJ724" s="108">
        <f t="shared" si="516"/>
        <v>-1</v>
      </c>
      <c r="AK724" s="108">
        <f t="shared" si="517"/>
        <v>-1</v>
      </c>
      <c r="AL724" s="108">
        <f t="shared" si="518"/>
        <v>-1</v>
      </c>
      <c r="AM724" s="108"/>
    </row>
    <row r="725" spans="3:39" x14ac:dyDescent="0.55000000000000004">
      <c r="C725" s="104" t="str">
        <f>$V$71</f>
        <v>Marina</v>
      </c>
      <c r="D725" s="108">
        <f t="shared" ref="D725:S725" si="536">D71</f>
        <v>0</v>
      </c>
      <c r="E725" s="108">
        <f t="shared" si="536"/>
        <v>0</v>
      </c>
      <c r="F725" s="108">
        <f t="shared" si="536"/>
        <v>0</v>
      </c>
      <c r="G725" s="108">
        <f t="shared" si="536"/>
        <v>0</v>
      </c>
      <c r="H725" s="108">
        <f t="shared" si="536"/>
        <v>0</v>
      </c>
      <c r="I725" s="108">
        <f t="shared" si="536"/>
        <v>0</v>
      </c>
      <c r="J725" s="108">
        <f t="shared" si="536"/>
        <v>0</v>
      </c>
      <c r="K725" s="108">
        <f t="shared" si="536"/>
        <v>0</v>
      </c>
      <c r="L725" s="108">
        <f t="shared" si="536"/>
        <v>0</v>
      </c>
      <c r="M725" s="108">
        <f t="shared" si="536"/>
        <v>0</v>
      </c>
      <c r="N725" s="108">
        <f t="shared" si="536"/>
        <v>0</v>
      </c>
      <c r="O725" s="108">
        <f t="shared" si="536"/>
        <v>0</v>
      </c>
      <c r="P725" s="108">
        <f t="shared" si="536"/>
        <v>0</v>
      </c>
      <c r="Q725" s="108">
        <f t="shared" si="536"/>
        <v>0</v>
      </c>
      <c r="R725" s="108">
        <f t="shared" si="536"/>
        <v>0</v>
      </c>
      <c r="S725" s="108">
        <f t="shared" si="536"/>
        <v>0</v>
      </c>
      <c r="T725" s="28" t="s">
        <v>26</v>
      </c>
      <c r="V725" s="104" t="str">
        <f>$V$71</f>
        <v>Marina</v>
      </c>
      <c r="W725" s="108">
        <f t="shared" si="503"/>
        <v>-1</v>
      </c>
      <c r="X725" s="108">
        <f t="shared" si="504"/>
        <v>-1</v>
      </c>
      <c r="Y725" s="108">
        <f t="shared" si="505"/>
        <v>-1</v>
      </c>
      <c r="Z725" s="108">
        <f t="shared" si="506"/>
        <v>-1</v>
      </c>
      <c r="AA725" s="108">
        <f t="shared" si="507"/>
        <v>-1</v>
      </c>
      <c r="AB725" s="108">
        <f t="shared" si="508"/>
        <v>-1</v>
      </c>
      <c r="AC725" s="108">
        <f t="shared" si="509"/>
        <v>-1</v>
      </c>
      <c r="AD725" s="108">
        <f t="shared" si="510"/>
        <v>-1</v>
      </c>
      <c r="AE725" s="108">
        <f t="shared" si="511"/>
        <v>-1</v>
      </c>
      <c r="AF725" s="108">
        <f t="shared" si="512"/>
        <v>-1</v>
      </c>
      <c r="AG725" s="108">
        <f t="shared" si="513"/>
        <v>-1</v>
      </c>
      <c r="AH725" s="108">
        <f t="shared" si="514"/>
        <v>-1</v>
      </c>
      <c r="AI725" s="108">
        <f t="shared" si="515"/>
        <v>-1</v>
      </c>
      <c r="AJ725" s="108">
        <f t="shared" si="516"/>
        <v>-1</v>
      </c>
      <c r="AK725" s="108">
        <f t="shared" si="517"/>
        <v>-1</v>
      </c>
      <c r="AL725" s="108">
        <f t="shared" si="518"/>
        <v>-1</v>
      </c>
      <c r="AM725" s="108"/>
    </row>
    <row r="726" spans="3:39" x14ac:dyDescent="0.55000000000000004">
      <c r="C726" s="104" t="str">
        <f>$V$72</f>
        <v>Michel</v>
      </c>
      <c r="D726" s="108">
        <f t="shared" ref="D726:S726" si="537">D72</f>
        <v>0</v>
      </c>
      <c r="E726" s="108">
        <f t="shared" si="537"/>
        <v>0</v>
      </c>
      <c r="F726" s="108">
        <f t="shared" si="537"/>
        <v>0</v>
      </c>
      <c r="G726" s="108">
        <f t="shared" si="537"/>
        <v>0</v>
      </c>
      <c r="H726" s="108">
        <f t="shared" si="537"/>
        <v>0</v>
      </c>
      <c r="I726" s="108">
        <f t="shared" si="537"/>
        <v>0</v>
      </c>
      <c r="J726" s="108">
        <f t="shared" si="537"/>
        <v>0</v>
      </c>
      <c r="K726" s="108">
        <f t="shared" si="537"/>
        <v>0</v>
      </c>
      <c r="L726" s="108">
        <f t="shared" si="537"/>
        <v>0</v>
      </c>
      <c r="M726" s="108">
        <f t="shared" si="537"/>
        <v>0</v>
      </c>
      <c r="N726" s="108">
        <f t="shared" si="537"/>
        <v>0</v>
      </c>
      <c r="O726" s="108">
        <f t="shared" si="537"/>
        <v>0</v>
      </c>
      <c r="P726" s="108">
        <f t="shared" si="537"/>
        <v>0</v>
      </c>
      <c r="Q726" s="108">
        <f t="shared" si="537"/>
        <v>0</v>
      </c>
      <c r="R726" s="108">
        <f t="shared" si="537"/>
        <v>0</v>
      </c>
      <c r="S726" s="108">
        <f t="shared" si="537"/>
        <v>0</v>
      </c>
      <c r="T726" s="28" t="s">
        <v>26</v>
      </c>
      <c r="V726" s="104" t="str">
        <f>$V$72</f>
        <v>Michel</v>
      </c>
      <c r="W726" s="108">
        <f t="shared" si="503"/>
        <v>-1</v>
      </c>
      <c r="X726" s="108">
        <f t="shared" si="504"/>
        <v>-1</v>
      </c>
      <c r="Y726" s="108">
        <f t="shared" si="505"/>
        <v>-1</v>
      </c>
      <c r="Z726" s="108">
        <f t="shared" si="506"/>
        <v>-1</v>
      </c>
      <c r="AA726" s="108">
        <f t="shared" si="507"/>
        <v>-1</v>
      </c>
      <c r="AB726" s="108">
        <f t="shared" si="508"/>
        <v>-1</v>
      </c>
      <c r="AC726" s="108">
        <f t="shared" si="509"/>
        <v>-1</v>
      </c>
      <c r="AD726" s="108">
        <f t="shared" si="510"/>
        <v>-1</v>
      </c>
      <c r="AE726" s="108">
        <f t="shared" si="511"/>
        <v>-1</v>
      </c>
      <c r="AF726" s="108">
        <f t="shared" si="512"/>
        <v>-1</v>
      </c>
      <c r="AG726" s="108">
        <f t="shared" si="513"/>
        <v>-1</v>
      </c>
      <c r="AH726" s="108">
        <f t="shared" si="514"/>
        <v>-1</v>
      </c>
      <c r="AI726" s="108">
        <f t="shared" si="515"/>
        <v>-1</v>
      </c>
      <c r="AJ726" s="108">
        <f t="shared" si="516"/>
        <v>-1</v>
      </c>
      <c r="AK726" s="108">
        <f t="shared" si="517"/>
        <v>-1</v>
      </c>
      <c r="AL726" s="108">
        <f t="shared" si="518"/>
        <v>-1</v>
      </c>
      <c r="AM726" s="108"/>
    </row>
    <row r="727" spans="3:39" x14ac:dyDescent="0.55000000000000004">
      <c r="C727" s="104" t="str">
        <f>$V$73</f>
        <v>Nour</v>
      </c>
      <c r="D727" s="108">
        <f t="shared" ref="D727:S727" si="538">D73</f>
        <v>0</v>
      </c>
      <c r="E727" s="108">
        <f t="shared" si="538"/>
        <v>0</v>
      </c>
      <c r="F727" s="108">
        <f t="shared" si="538"/>
        <v>0</v>
      </c>
      <c r="G727" s="108">
        <f t="shared" si="538"/>
        <v>0</v>
      </c>
      <c r="H727" s="108">
        <f t="shared" si="538"/>
        <v>0</v>
      </c>
      <c r="I727" s="108">
        <f t="shared" si="538"/>
        <v>0</v>
      </c>
      <c r="J727" s="108">
        <f t="shared" si="538"/>
        <v>0</v>
      </c>
      <c r="K727" s="108">
        <f t="shared" si="538"/>
        <v>0</v>
      </c>
      <c r="L727" s="108">
        <f t="shared" si="538"/>
        <v>0</v>
      </c>
      <c r="M727" s="108">
        <f t="shared" si="538"/>
        <v>0</v>
      </c>
      <c r="N727" s="108">
        <f t="shared" si="538"/>
        <v>0</v>
      </c>
      <c r="O727" s="108">
        <f t="shared" si="538"/>
        <v>0</v>
      </c>
      <c r="P727" s="108">
        <f t="shared" si="538"/>
        <v>0</v>
      </c>
      <c r="Q727" s="108">
        <f t="shared" si="538"/>
        <v>0</v>
      </c>
      <c r="R727" s="108">
        <f t="shared" si="538"/>
        <v>0</v>
      </c>
      <c r="S727" s="108">
        <f t="shared" si="538"/>
        <v>0</v>
      </c>
      <c r="T727" s="28" t="s">
        <v>26</v>
      </c>
      <c r="V727" s="104" t="str">
        <f>$V$73</f>
        <v>Nour</v>
      </c>
      <c r="W727" s="108">
        <f t="shared" si="503"/>
        <v>-1</v>
      </c>
      <c r="X727" s="108">
        <f t="shared" si="504"/>
        <v>-1</v>
      </c>
      <c r="Y727" s="108">
        <f t="shared" si="505"/>
        <v>-1</v>
      </c>
      <c r="Z727" s="108">
        <f t="shared" si="506"/>
        <v>-1</v>
      </c>
      <c r="AA727" s="108">
        <f t="shared" si="507"/>
        <v>-1</v>
      </c>
      <c r="AB727" s="108">
        <f t="shared" si="508"/>
        <v>-1</v>
      </c>
      <c r="AC727" s="108">
        <f t="shared" si="509"/>
        <v>-1</v>
      </c>
      <c r="AD727" s="108">
        <f t="shared" si="510"/>
        <v>-1</v>
      </c>
      <c r="AE727" s="108">
        <f t="shared" si="511"/>
        <v>-1</v>
      </c>
      <c r="AF727" s="108">
        <f t="shared" si="512"/>
        <v>-1</v>
      </c>
      <c r="AG727" s="108">
        <f t="shared" si="513"/>
        <v>-1</v>
      </c>
      <c r="AH727" s="108">
        <f t="shared" si="514"/>
        <v>-1</v>
      </c>
      <c r="AI727" s="108">
        <f t="shared" si="515"/>
        <v>-1</v>
      </c>
      <c r="AJ727" s="108">
        <f t="shared" si="516"/>
        <v>-1</v>
      </c>
      <c r="AK727" s="108">
        <f t="shared" si="517"/>
        <v>-1</v>
      </c>
      <c r="AL727" s="108">
        <f t="shared" si="518"/>
        <v>-1</v>
      </c>
      <c r="AM727" s="108"/>
    </row>
    <row r="728" spans="3:39" x14ac:dyDescent="0.55000000000000004">
      <c r="C728" s="104" t="str">
        <f>$V$74</f>
        <v>Samuel</v>
      </c>
      <c r="D728" s="108">
        <f t="shared" ref="D728:S728" si="539">D74</f>
        <v>0</v>
      </c>
      <c r="E728" s="108">
        <f t="shared" si="539"/>
        <v>0</v>
      </c>
      <c r="F728" s="108">
        <f t="shared" si="539"/>
        <v>0</v>
      </c>
      <c r="G728" s="108">
        <f t="shared" si="539"/>
        <v>0</v>
      </c>
      <c r="H728" s="108">
        <f t="shared" si="539"/>
        <v>0</v>
      </c>
      <c r="I728" s="108">
        <f t="shared" si="539"/>
        <v>0</v>
      </c>
      <c r="J728" s="108">
        <f t="shared" si="539"/>
        <v>0</v>
      </c>
      <c r="K728" s="108">
        <f t="shared" si="539"/>
        <v>0</v>
      </c>
      <c r="L728" s="108">
        <f t="shared" si="539"/>
        <v>0</v>
      </c>
      <c r="M728" s="108">
        <f t="shared" si="539"/>
        <v>0</v>
      </c>
      <c r="N728" s="108">
        <f t="shared" si="539"/>
        <v>0</v>
      </c>
      <c r="O728" s="108">
        <f t="shared" si="539"/>
        <v>0</v>
      </c>
      <c r="P728" s="108">
        <f t="shared" si="539"/>
        <v>0</v>
      </c>
      <c r="Q728" s="108">
        <f t="shared" si="539"/>
        <v>0</v>
      </c>
      <c r="R728" s="108">
        <f t="shared" si="539"/>
        <v>0</v>
      </c>
      <c r="S728" s="108">
        <f t="shared" si="539"/>
        <v>0</v>
      </c>
      <c r="T728" s="28" t="s">
        <v>26</v>
      </c>
      <c r="V728" s="104" t="str">
        <f>$V$74</f>
        <v>Samuel</v>
      </c>
      <c r="W728" s="108">
        <f t="shared" si="503"/>
        <v>-1</v>
      </c>
      <c r="X728" s="108">
        <f t="shared" si="504"/>
        <v>-1</v>
      </c>
      <c r="Y728" s="108">
        <f t="shared" si="505"/>
        <v>-1</v>
      </c>
      <c r="Z728" s="108">
        <f t="shared" si="506"/>
        <v>-1</v>
      </c>
      <c r="AA728" s="108">
        <f t="shared" si="507"/>
        <v>-1</v>
      </c>
      <c r="AB728" s="108">
        <f t="shared" si="508"/>
        <v>-1</v>
      </c>
      <c r="AC728" s="108">
        <f t="shared" si="509"/>
        <v>-1</v>
      </c>
      <c r="AD728" s="108">
        <f t="shared" si="510"/>
        <v>-1</v>
      </c>
      <c r="AE728" s="108">
        <f t="shared" si="511"/>
        <v>-1</v>
      </c>
      <c r="AF728" s="108">
        <f t="shared" si="512"/>
        <v>-1</v>
      </c>
      <c r="AG728" s="108">
        <f t="shared" si="513"/>
        <v>-1</v>
      </c>
      <c r="AH728" s="108">
        <f t="shared" si="514"/>
        <v>-1</v>
      </c>
      <c r="AI728" s="108">
        <f t="shared" si="515"/>
        <v>-1</v>
      </c>
      <c r="AJ728" s="108">
        <f t="shared" si="516"/>
        <v>-1</v>
      </c>
      <c r="AK728" s="108">
        <f t="shared" si="517"/>
        <v>-1</v>
      </c>
      <c r="AL728" s="108">
        <f t="shared" si="518"/>
        <v>-1</v>
      </c>
      <c r="AM728" s="108"/>
    </row>
    <row r="729" spans="3:39" x14ac:dyDescent="0.55000000000000004">
      <c r="C729" s="104" t="str">
        <f>$V$75</f>
        <v>Yassin</v>
      </c>
      <c r="D729" s="108">
        <f t="shared" ref="D729:S729" si="540">D75</f>
        <v>0</v>
      </c>
      <c r="E729" s="108">
        <f t="shared" si="540"/>
        <v>0</v>
      </c>
      <c r="F729" s="108">
        <f t="shared" si="540"/>
        <v>0</v>
      </c>
      <c r="G729" s="108">
        <f t="shared" si="540"/>
        <v>0</v>
      </c>
      <c r="H729" s="108">
        <f t="shared" si="540"/>
        <v>0</v>
      </c>
      <c r="I729" s="108">
        <f t="shared" si="540"/>
        <v>0</v>
      </c>
      <c r="J729" s="108">
        <f t="shared" si="540"/>
        <v>0</v>
      </c>
      <c r="K729" s="108">
        <f t="shared" si="540"/>
        <v>0</v>
      </c>
      <c r="L729" s="108">
        <f t="shared" si="540"/>
        <v>0</v>
      </c>
      <c r="M729" s="108">
        <f t="shared" si="540"/>
        <v>0</v>
      </c>
      <c r="N729" s="108">
        <f t="shared" si="540"/>
        <v>0</v>
      </c>
      <c r="O729" s="108">
        <f t="shared" si="540"/>
        <v>0</v>
      </c>
      <c r="P729" s="108">
        <f t="shared" si="540"/>
        <v>0</v>
      </c>
      <c r="Q729" s="108">
        <f t="shared" si="540"/>
        <v>0</v>
      </c>
      <c r="R729" s="108">
        <f t="shared" si="540"/>
        <v>0</v>
      </c>
      <c r="S729" s="108">
        <f t="shared" si="540"/>
        <v>0</v>
      </c>
      <c r="T729" s="28" t="s">
        <v>26</v>
      </c>
      <c r="V729" s="104" t="str">
        <f>$V$75</f>
        <v>Yassin</v>
      </c>
      <c r="W729" s="108">
        <f t="shared" si="503"/>
        <v>-1</v>
      </c>
      <c r="X729" s="108">
        <f t="shared" si="504"/>
        <v>-1</v>
      </c>
      <c r="Y729" s="108">
        <f t="shared" si="505"/>
        <v>-1</v>
      </c>
      <c r="Z729" s="108">
        <f t="shared" si="506"/>
        <v>-1</v>
      </c>
      <c r="AA729" s="108">
        <f t="shared" si="507"/>
        <v>-1</v>
      </c>
      <c r="AB729" s="108">
        <f t="shared" si="508"/>
        <v>-1</v>
      </c>
      <c r="AC729" s="108">
        <f t="shared" si="509"/>
        <v>-1</v>
      </c>
      <c r="AD729" s="108">
        <f t="shared" si="510"/>
        <v>-1</v>
      </c>
      <c r="AE729" s="108">
        <f t="shared" si="511"/>
        <v>-1</v>
      </c>
      <c r="AF729" s="108">
        <f t="shared" si="512"/>
        <v>-1</v>
      </c>
      <c r="AG729" s="108">
        <f t="shared" si="513"/>
        <v>-1</v>
      </c>
      <c r="AH729" s="108">
        <f t="shared" si="514"/>
        <v>-1</v>
      </c>
      <c r="AI729" s="108">
        <f t="shared" si="515"/>
        <v>-1</v>
      </c>
      <c r="AJ729" s="108">
        <f t="shared" si="516"/>
        <v>-1</v>
      </c>
      <c r="AK729" s="108">
        <f t="shared" si="517"/>
        <v>-1</v>
      </c>
      <c r="AL729" s="108">
        <f t="shared" si="518"/>
        <v>-1</v>
      </c>
      <c r="AM729" s="108"/>
    </row>
    <row r="730" spans="3:39" x14ac:dyDescent="0.55000000000000004">
      <c r="C730" s="104" t="str">
        <f>$V$76</f>
        <v>Kamar</v>
      </c>
      <c r="D730" s="108">
        <f t="shared" ref="D730:S730" si="541">D76</f>
        <v>0</v>
      </c>
      <c r="E730" s="108">
        <f t="shared" si="541"/>
        <v>0</v>
      </c>
      <c r="F730" s="108">
        <f t="shared" si="541"/>
        <v>0</v>
      </c>
      <c r="G730" s="108">
        <f t="shared" si="541"/>
        <v>0</v>
      </c>
      <c r="H730" s="108">
        <f t="shared" si="541"/>
        <v>0</v>
      </c>
      <c r="I730" s="108">
        <f t="shared" si="541"/>
        <v>0</v>
      </c>
      <c r="J730" s="108">
        <f t="shared" si="541"/>
        <v>0</v>
      </c>
      <c r="K730" s="108">
        <f t="shared" si="541"/>
        <v>0</v>
      </c>
      <c r="L730" s="108">
        <f t="shared" si="541"/>
        <v>0</v>
      </c>
      <c r="M730" s="108">
        <f t="shared" si="541"/>
        <v>0</v>
      </c>
      <c r="N730" s="108">
        <f t="shared" si="541"/>
        <v>0</v>
      </c>
      <c r="O730" s="108">
        <f t="shared" si="541"/>
        <v>0</v>
      </c>
      <c r="P730" s="108">
        <f t="shared" si="541"/>
        <v>0</v>
      </c>
      <c r="Q730" s="108">
        <f t="shared" si="541"/>
        <v>0</v>
      </c>
      <c r="R730" s="108">
        <f t="shared" si="541"/>
        <v>0</v>
      </c>
      <c r="S730" s="108">
        <f t="shared" si="541"/>
        <v>0</v>
      </c>
      <c r="T730" s="28" t="s">
        <v>26</v>
      </c>
      <c r="V730" s="104" t="str">
        <f>$V$76</f>
        <v>Kamar</v>
      </c>
      <c r="W730" s="108">
        <f t="shared" si="503"/>
        <v>-1</v>
      </c>
      <c r="X730" s="108">
        <f t="shared" si="504"/>
        <v>-1</v>
      </c>
      <c r="Y730" s="108">
        <f t="shared" si="505"/>
        <v>-1</v>
      </c>
      <c r="Z730" s="108">
        <f t="shared" si="506"/>
        <v>-1</v>
      </c>
      <c r="AA730" s="108">
        <f t="shared" si="507"/>
        <v>-1</v>
      </c>
      <c r="AB730" s="108">
        <f t="shared" si="508"/>
        <v>-1</v>
      </c>
      <c r="AC730" s="108">
        <f t="shared" si="509"/>
        <v>-1</v>
      </c>
      <c r="AD730" s="108">
        <f t="shared" si="510"/>
        <v>-1</v>
      </c>
      <c r="AE730" s="108">
        <f t="shared" si="511"/>
        <v>-1</v>
      </c>
      <c r="AF730" s="108">
        <f t="shared" si="512"/>
        <v>-1</v>
      </c>
      <c r="AG730" s="108">
        <f t="shared" si="513"/>
        <v>-1</v>
      </c>
      <c r="AH730" s="108">
        <f t="shared" si="514"/>
        <v>-1</v>
      </c>
      <c r="AI730" s="108">
        <f t="shared" si="515"/>
        <v>-1</v>
      </c>
      <c r="AJ730" s="108">
        <f t="shared" si="516"/>
        <v>-1</v>
      </c>
      <c r="AK730" s="108">
        <f t="shared" si="517"/>
        <v>-1</v>
      </c>
      <c r="AL730" s="108">
        <f t="shared" si="518"/>
        <v>-1</v>
      </c>
      <c r="AM730" s="108"/>
    </row>
    <row r="731" spans="3:39" x14ac:dyDescent="0.55000000000000004">
      <c r="C731" s="104" t="str">
        <f>$V$77</f>
        <v>-</v>
      </c>
      <c r="D731" s="108">
        <f t="shared" ref="D731:S731" si="542">D77</f>
        <v>0</v>
      </c>
      <c r="E731" s="108">
        <f t="shared" si="542"/>
        <v>0</v>
      </c>
      <c r="F731" s="108">
        <f t="shared" si="542"/>
        <v>0</v>
      </c>
      <c r="G731" s="108">
        <f t="shared" si="542"/>
        <v>0</v>
      </c>
      <c r="H731" s="108">
        <f t="shared" si="542"/>
        <v>0</v>
      </c>
      <c r="I731" s="108">
        <f t="shared" si="542"/>
        <v>0</v>
      </c>
      <c r="J731" s="108">
        <f t="shared" si="542"/>
        <v>0</v>
      </c>
      <c r="K731" s="108">
        <f t="shared" si="542"/>
        <v>0</v>
      </c>
      <c r="L731" s="108">
        <f t="shared" si="542"/>
        <v>0</v>
      </c>
      <c r="M731" s="108">
        <f t="shared" si="542"/>
        <v>0</v>
      </c>
      <c r="N731" s="108">
        <f t="shared" si="542"/>
        <v>0</v>
      </c>
      <c r="O731" s="108">
        <f t="shared" si="542"/>
        <v>0</v>
      </c>
      <c r="P731" s="108">
        <f t="shared" si="542"/>
        <v>0</v>
      </c>
      <c r="Q731" s="108">
        <f t="shared" si="542"/>
        <v>0</v>
      </c>
      <c r="R731" s="108">
        <f t="shared" si="542"/>
        <v>0</v>
      </c>
      <c r="S731" s="108">
        <f t="shared" si="542"/>
        <v>0</v>
      </c>
      <c r="T731" s="28" t="s">
        <v>26</v>
      </c>
      <c r="V731" s="104" t="str">
        <f>$V$77</f>
        <v>-</v>
      </c>
      <c r="W731" s="108">
        <f t="shared" si="503"/>
        <v>-1</v>
      </c>
      <c r="X731" s="108">
        <f t="shared" si="504"/>
        <v>-1</v>
      </c>
      <c r="Y731" s="108">
        <f t="shared" si="505"/>
        <v>-1</v>
      </c>
      <c r="Z731" s="108">
        <f t="shared" si="506"/>
        <v>-1</v>
      </c>
      <c r="AA731" s="108">
        <f t="shared" si="507"/>
        <v>-1</v>
      </c>
      <c r="AB731" s="108">
        <f t="shared" si="508"/>
        <v>-1</v>
      </c>
      <c r="AC731" s="108">
        <f t="shared" si="509"/>
        <v>-1</v>
      </c>
      <c r="AD731" s="108">
        <f t="shared" si="510"/>
        <v>-1</v>
      </c>
      <c r="AE731" s="108">
        <f t="shared" si="511"/>
        <v>-1</v>
      </c>
      <c r="AF731" s="108">
        <f t="shared" si="512"/>
        <v>-1</v>
      </c>
      <c r="AG731" s="108">
        <f t="shared" si="513"/>
        <v>-1</v>
      </c>
      <c r="AH731" s="108">
        <f t="shared" si="514"/>
        <v>-1</v>
      </c>
      <c r="AI731" s="108">
        <f t="shared" si="515"/>
        <v>-1</v>
      </c>
      <c r="AJ731" s="108">
        <f t="shared" si="516"/>
        <v>-1</v>
      </c>
      <c r="AK731" s="108">
        <f t="shared" si="517"/>
        <v>-1</v>
      </c>
      <c r="AL731" s="108">
        <f t="shared" si="518"/>
        <v>-1</v>
      </c>
      <c r="AM731" s="108"/>
    </row>
    <row r="732" spans="3:39" x14ac:dyDescent="0.55000000000000004">
      <c r="C732" s="104" t="str">
        <f>$V$78</f>
        <v>-</v>
      </c>
      <c r="D732" s="108">
        <f t="shared" ref="D732:S732" si="543">D78</f>
        <v>0</v>
      </c>
      <c r="E732" s="108">
        <f t="shared" si="543"/>
        <v>0</v>
      </c>
      <c r="F732" s="108">
        <f t="shared" si="543"/>
        <v>0</v>
      </c>
      <c r="G732" s="108">
        <f t="shared" si="543"/>
        <v>0</v>
      </c>
      <c r="H732" s="108">
        <f t="shared" si="543"/>
        <v>0</v>
      </c>
      <c r="I732" s="108">
        <f t="shared" si="543"/>
        <v>0</v>
      </c>
      <c r="J732" s="108">
        <f t="shared" si="543"/>
        <v>0</v>
      </c>
      <c r="K732" s="108">
        <f t="shared" si="543"/>
        <v>0</v>
      </c>
      <c r="L732" s="108">
        <f t="shared" si="543"/>
        <v>0</v>
      </c>
      <c r="M732" s="108">
        <f t="shared" si="543"/>
        <v>0</v>
      </c>
      <c r="N732" s="108">
        <f t="shared" si="543"/>
        <v>0</v>
      </c>
      <c r="O732" s="108">
        <f t="shared" si="543"/>
        <v>0</v>
      </c>
      <c r="P732" s="108">
        <f t="shared" si="543"/>
        <v>0</v>
      </c>
      <c r="Q732" s="108">
        <f t="shared" si="543"/>
        <v>0</v>
      </c>
      <c r="R732" s="108">
        <f t="shared" si="543"/>
        <v>0</v>
      </c>
      <c r="S732" s="108">
        <f t="shared" si="543"/>
        <v>0</v>
      </c>
      <c r="T732" s="28" t="s">
        <v>26</v>
      </c>
      <c r="V732" s="104" t="str">
        <f>$V$78</f>
        <v>-</v>
      </c>
      <c r="W732" s="108">
        <f t="shared" si="503"/>
        <v>-1</v>
      </c>
      <c r="X732" s="108">
        <f t="shared" si="504"/>
        <v>-1</v>
      </c>
      <c r="Y732" s="108">
        <f t="shared" si="505"/>
        <v>-1</v>
      </c>
      <c r="Z732" s="108">
        <f t="shared" si="506"/>
        <v>-1</v>
      </c>
      <c r="AA732" s="108">
        <f t="shared" si="507"/>
        <v>-1</v>
      </c>
      <c r="AB732" s="108">
        <f t="shared" si="508"/>
        <v>-1</v>
      </c>
      <c r="AC732" s="108">
        <f t="shared" si="509"/>
        <v>-1</v>
      </c>
      <c r="AD732" s="108">
        <f t="shared" si="510"/>
        <v>-1</v>
      </c>
      <c r="AE732" s="108">
        <f t="shared" si="511"/>
        <v>-1</v>
      </c>
      <c r="AF732" s="108">
        <f t="shared" si="512"/>
        <v>-1</v>
      </c>
      <c r="AG732" s="108">
        <f t="shared" si="513"/>
        <v>-1</v>
      </c>
      <c r="AH732" s="108">
        <f t="shared" si="514"/>
        <v>-1</v>
      </c>
      <c r="AI732" s="108">
        <f t="shared" si="515"/>
        <v>-1</v>
      </c>
      <c r="AJ732" s="108">
        <f t="shared" si="516"/>
        <v>-1</v>
      </c>
      <c r="AK732" s="108">
        <f t="shared" si="517"/>
        <v>-1</v>
      </c>
      <c r="AL732" s="108">
        <f t="shared" si="518"/>
        <v>-1</v>
      </c>
    </row>
    <row r="733" spans="3:39" x14ac:dyDescent="0.55000000000000004">
      <c r="C733" s="104" t="str">
        <f>$V$79</f>
        <v>-</v>
      </c>
      <c r="D733" s="108">
        <f t="shared" ref="D733:S733" si="544">D79</f>
        <v>0</v>
      </c>
      <c r="E733" s="108">
        <f t="shared" si="544"/>
        <v>0</v>
      </c>
      <c r="F733" s="108">
        <f t="shared" si="544"/>
        <v>0</v>
      </c>
      <c r="G733" s="108">
        <f t="shared" si="544"/>
        <v>0</v>
      </c>
      <c r="H733" s="108">
        <f t="shared" si="544"/>
        <v>0</v>
      </c>
      <c r="I733" s="108">
        <f t="shared" si="544"/>
        <v>0</v>
      </c>
      <c r="J733" s="108">
        <f t="shared" si="544"/>
        <v>0</v>
      </c>
      <c r="K733" s="108">
        <f t="shared" si="544"/>
        <v>0</v>
      </c>
      <c r="L733" s="108">
        <f t="shared" si="544"/>
        <v>0</v>
      </c>
      <c r="M733" s="108">
        <f t="shared" si="544"/>
        <v>0</v>
      </c>
      <c r="N733" s="108">
        <f t="shared" si="544"/>
        <v>0</v>
      </c>
      <c r="O733" s="108">
        <f t="shared" si="544"/>
        <v>0</v>
      </c>
      <c r="P733" s="108">
        <f t="shared" si="544"/>
        <v>0</v>
      </c>
      <c r="Q733" s="108">
        <f t="shared" si="544"/>
        <v>0</v>
      </c>
      <c r="R733" s="108">
        <f t="shared" si="544"/>
        <v>0</v>
      </c>
      <c r="S733" s="108">
        <f t="shared" si="544"/>
        <v>0</v>
      </c>
      <c r="T733" s="28" t="s">
        <v>26</v>
      </c>
      <c r="V733" s="104" t="str">
        <f>$V$79</f>
        <v>-</v>
      </c>
      <c r="W733" s="108">
        <f t="shared" si="503"/>
        <v>-1</v>
      </c>
      <c r="X733" s="108">
        <f t="shared" si="504"/>
        <v>-1</v>
      </c>
      <c r="Y733" s="108">
        <f t="shared" si="505"/>
        <v>-1</v>
      </c>
      <c r="Z733" s="108">
        <f t="shared" si="506"/>
        <v>-1</v>
      </c>
      <c r="AA733" s="108">
        <f t="shared" si="507"/>
        <v>-1</v>
      </c>
      <c r="AB733" s="108">
        <f t="shared" si="508"/>
        <v>-1</v>
      </c>
      <c r="AC733" s="108">
        <f t="shared" si="509"/>
        <v>-1</v>
      </c>
      <c r="AD733" s="108">
        <f t="shared" si="510"/>
        <v>-1</v>
      </c>
      <c r="AE733" s="108">
        <f t="shared" si="511"/>
        <v>-1</v>
      </c>
      <c r="AF733" s="108">
        <f t="shared" si="512"/>
        <v>-1</v>
      </c>
      <c r="AG733" s="108">
        <f t="shared" si="513"/>
        <v>-1</v>
      </c>
      <c r="AH733" s="108">
        <f t="shared" si="514"/>
        <v>-1</v>
      </c>
      <c r="AI733" s="108">
        <f t="shared" si="515"/>
        <v>-1</v>
      </c>
      <c r="AJ733" s="108">
        <f t="shared" si="516"/>
        <v>-1</v>
      </c>
      <c r="AK733" s="108">
        <f t="shared" si="517"/>
        <v>-1</v>
      </c>
      <c r="AL733" s="108">
        <f t="shared" si="518"/>
        <v>-1</v>
      </c>
    </row>
    <row r="734" spans="3:39" x14ac:dyDescent="0.55000000000000004">
      <c r="C734" s="104" t="str">
        <f>$V$80</f>
        <v>-</v>
      </c>
      <c r="D734" s="108">
        <f t="shared" ref="D734:S734" si="545">D80</f>
        <v>0</v>
      </c>
      <c r="E734" s="108">
        <f t="shared" si="545"/>
        <v>0</v>
      </c>
      <c r="F734" s="108">
        <f t="shared" si="545"/>
        <v>0</v>
      </c>
      <c r="G734" s="108">
        <f t="shared" si="545"/>
        <v>0</v>
      </c>
      <c r="H734" s="108">
        <f t="shared" si="545"/>
        <v>0</v>
      </c>
      <c r="I734" s="108">
        <f t="shared" si="545"/>
        <v>0</v>
      </c>
      <c r="J734" s="108">
        <f t="shared" si="545"/>
        <v>0</v>
      </c>
      <c r="K734" s="108">
        <f t="shared" si="545"/>
        <v>0</v>
      </c>
      <c r="L734" s="108">
        <f t="shared" si="545"/>
        <v>0</v>
      </c>
      <c r="M734" s="108">
        <f t="shared" si="545"/>
        <v>0</v>
      </c>
      <c r="N734" s="108">
        <f t="shared" si="545"/>
        <v>0</v>
      </c>
      <c r="O734" s="108">
        <f t="shared" si="545"/>
        <v>0</v>
      </c>
      <c r="P734" s="108">
        <f t="shared" si="545"/>
        <v>0</v>
      </c>
      <c r="Q734" s="108">
        <f t="shared" si="545"/>
        <v>0</v>
      </c>
      <c r="R734" s="108">
        <f t="shared" si="545"/>
        <v>0</v>
      </c>
      <c r="S734" s="108">
        <f t="shared" si="545"/>
        <v>0</v>
      </c>
      <c r="T734" s="28" t="s">
        <v>26</v>
      </c>
      <c r="V734" s="104" t="str">
        <f>$V$80</f>
        <v>-</v>
      </c>
      <c r="W734" s="108">
        <f t="shared" si="503"/>
        <v>-1</v>
      </c>
      <c r="X734" s="108">
        <f t="shared" si="504"/>
        <v>-1</v>
      </c>
      <c r="Y734" s="108">
        <f t="shared" si="505"/>
        <v>-1</v>
      </c>
      <c r="Z734" s="108">
        <f t="shared" si="506"/>
        <v>-1</v>
      </c>
      <c r="AA734" s="108">
        <f t="shared" si="507"/>
        <v>-1</v>
      </c>
      <c r="AB734" s="108">
        <f t="shared" si="508"/>
        <v>-1</v>
      </c>
      <c r="AC734" s="108">
        <f t="shared" si="509"/>
        <v>-3</v>
      </c>
      <c r="AD734" s="108">
        <f t="shared" si="510"/>
        <v>-3</v>
      </c>
      <c r="AE734" s="108">
        <f t="shared" si="511"/>
        <v>-1</v>
      </c>
      <c r="AF734" s="108">
        <f t="shared" si="512"/>
        <v>-1</v>
      </c>
      <c r="AG734" s="108">
        <f t="shared" si="513"/>
        <v>-1</v>
      </c>
      <c r="AH734" s="108">
        <f t="shared" si="514"/>
        <v>-1</v>
      </c>
      <c r="AI734" s="108">
        <f t="shared" si="515"/>
        <v>-1</v>
      </c>
      <c r="AJ734" s="108">
        <f t="shared" si="516"/>
        <v>-1</v>
      </c>
      <c r="AK734" s="108">
        <f t="shared" si="517"/>
        <v>-1</v>
      </c>
      <c r="AL734" s="108">
        <f t="shared" si="518"/>
        <v>-1</v>
      </c>
    </row>
    <row r="735" spans="3:39" x14ac:dyDescent="0.55000000000000004">
      <c r="C735" s="104" t="str">
        <f>$V$81</f>
        <v>-</v>
      </c>
      <c r="D735" s="108">
        <f t="shared" ref="D735:S735" si="546">D81</f>
        <v>0</v>
      </c>
      <c r="E735" s="108">
        <f t="shared" si="546"/>
        <v>0</v>
      </c>
      <c r="F735" s="108">
        <f t="shared" si="546"/>
        <v>0</v>
      </c>
      <c r="G735" s="108">
        <f t="shared" si="546"/>
        <v>0</v>
      </c>
      <c r="H735" s="108">
        <f t="shared" si="546"/>
        <v>0</v>
      </c>
      <c r="I735" s="108">
        <f t="shared" si="546"/>
        <v>0</v>
      </c>
      <c r="J735" s="108">
        <f t="shared" si="546"/>
        <v>0</v>
      </c>
      <c r="K735" s="108">
        <f t="shared" si="546"/>
        <v>0</v>
      </c>
      <c r="L735" s="108">
        <f t="shared" si="546"/>
        <v>0</v>
      </c>
      <c r="M735" s="108">
        <f t="shared" si="546"/>
        <v>0</v>
      </c>
      <c r="N735" s="108">
        <f t="shared" si="546"/>
        <v>0</v>
      </c>
      <c r="O735" s="108">
        <f t="shared" si="546"/>
        <v>0</v>
      </c>
      <c r="P735" s="108">
        <f t="shared" si="546"/>
        <v>0</v>
      </c>
      <c r="Q735" s="108">
        <f t="shared" si="546"/>
        <v>0</v>
      </c>
      <c r="R735" s="108">
        <f t="shared" si="546"/>
        <v>0</v>
      </c>
      <c r="S735" s="108">
        <f t="shared" si="546"/>
        <v>0</v>
      </c>
      <c r="T735" s="28" t="s">
        <v>26</v>
      </c>
      <c r="V735" s="104" t="str">
        <f>$V$81</f>
        <v>-</v>
      </c>
      <c r="W735" s="108">
        <f t="shared" si="503"/>
        <v>-1</v>
      </c>
      <c r="X735" s="108">
        <f t="shared" si="504"/>
        <v>-1</v>
      </c>
      <c r="Y735" s="108">
        <f t="shared" si="505"/>
        <v>-1</v>
      </c>
      <c r="Z735" s="108">
        <f t="shared" si="506"/>
        <v>-1</v>
      </c>
      <c r="AA735" s="108">
        <f t="shared" si="507"/>
        <v>-1</v>
      </c>
      <c r="AB735" s="108">
        <f t="shared" si="508"/>
        <v>-1</v>
      </c>
      <c r="AC735" s="108">
        <f t="shared" si="509"/>
        <v>-1</v>
      </c>
      <c r="AD735" s="108">
        <f t="shared" si="510"/>
        <v>-1</v>
      </c>
      <c r="AE735" s="108">
        <f t="shared" si="511"/>
        <v>-1</v>
      </c>
      <c r="AF735" s="108">
        <f t="shared" si="512"/>
        <v>-1</v>
      </c>
      <c r="AG735" s="108">
        <f t="shared" si="513"/>
        <v>-1</v>
      </c>
      <c r="AH735" s="108">
        <f t="shared" si="514"/>
        <v>-1</v>
      </c>
      <c r="AI735" s="108">
        <f t="shared" si="515"/>
        <v>-1</v>
      </c>
      <c r="AJ735" s="108">
        <f t="shared" si="516"/>
        <v>-1</v>
      </c>
      <c r="AK735" s="108">
        <f t="shared" si="517"/>
        <v>-1</v>
      </c>
      <c r="AL735" s="108">
        <f t="shared" si="518"/>
        <v>-1</v>
      </c>
    </row>
    <row r="736" spans="3:39" x14ac:dyDescent="0.55000000000000004">
      <c r="C736" s="104" t="str">
        <f>$V$82</f>
        <v>-</v>
      </c>
      <c r="D736" s="108">
        <f t="shared" ref="D736:S736" si="547">D82</f>
        <v>0</v>
      </c>
      <c r="E736" s="108">
        <f t="shared" si="547"/>
        <v>0</v>
      </c>
      <c r="F736" s="108">
        <f t="shared" si="547"/>
        <v>0</v>
      </c>
      <c r="G736" s="108">
        <f t="shared" si="547"/>
        <v>0</v>
      </c>
      <c r="H736" s="108">
        <f t="shared" si="547"/>
        <v>0</v>
      </c>
      <c r="I736" s="108">
        <f t="shared" si="547"/>
        <v>0</v>
      </c>
      <c r="J736" s="108">
        <f t="shared" si="547"/>
        <v>0</v>
      </c>
      <c r="K736" s="108">
        <f t="shared" si="547"/>
        <v>0</v>
      </c>
      <c r="L736" s="108">
        <f t="shared" si="547"/>
        <v>0</v>
      </c>
      <c r="M736" s="108">
        <f t="shared" si="547"/>
        <v>0</v>
      </c>
      <c r="N736" s="108">
        <f t="shared" si="547"/>
        <v>0</v>
      </c>
      <c r="O736" s="108">
        <f t="shared" si="547"/>
        <v>0</v>
      </c>
      <c r="P736" s="108">
        <f t="shared" si="547"/>
        <v>0</v>
      </c>
      <c r="Q736" s="108">
        <f t="shared" si="547"/>
        <v>0</v>
      </c>
      <c r="R736" s="108">
        <f t="shared" si="547"/>
        <v>0</v>
      </c>
      <c r="S736" s="108">
        <f t="shared" si="547"/>
        <v>0</v>
      </c>
      <c r="T736" s="28" t="s">
        <v>26</v>
      </c>
      <c r="V736" s="104" t="str">
        <f>$V$82</f>
        <v>-</v>
      </c>
      <c r="W736" s="108">
        <f t="shared" si="503"/>
        <v>-1</v>
      </c>
      <c r="X736" s="108">
        <f t="shared" si="504"/>
        <v>-1</v>
      </c>
      <c r="Y736" s="108">
        <f t="shared" si="505"/>
        <v>-1</v>
      </c>
      <c r="Z736" s="108">
        <f t="shared" si="506"/>
        <v>-1</v>
      </c>
      <c r="AA736" s="108">
        <f t="shared" si="507"/>
        <v>-1</v>
      </c>
      <c r="AB736" s="108">
        <f t="shared" si="508"/>
        <v>-1</v>
      </c>
      <c r="AC736" s="108">
        <f t="shared" si="509"/>
        <v>-1</v>
      </c>
      <c r="AD736" s="108">
        <f t="shared" si="510"/>
        <v>-1</v>
      </c>
      <c r="AE736" s="108">
        <f t="shared" si="511"/>
        <v>-1</v>
      </c>
      <c r="AF736" s="108">
        <f t="shared" si="512"/>
        <v>-1</v>
      </c>
      <c r="AG736" s="108">
        <f t="shared" si="513"/>
        <v>-1</v>
      </c>
      <c r="AH736" s="108">
        <f t="shared" si="514"/>
        <v>-1</v>
      </c>
      <c r="AI736" s="108">
        <f t="shared" si="515"/>
        <v>-1</v>
      </c>
      <c r="AJ736" s="108">
        <f t="shared" si="516"/>
        <v>-1</v>
      </c>
      <c r="AK736" s="108">
        <f t="shared" si="517"/>
        <v>-1</v>
      </c>
      <c r="AL736" s="108">
        <f t="shared" si="518"/>
        <v>-1</v>
      </c>
      <c r="AM736" s="108"/>
    </row>
    <row r="737" spans="3:39" x14ac:dyDescent="0.55000000000000004">
      <c r="C737" s="104" t="str">
        <f>$V$83</f>
        <v>-</v>
      </c>
      <c r="D737" s="108">
        <f t="shared" ref="D737:S737" si="548">D83</f>
        <v>0</v>
      </c>
      <c r="E737" s="108">
        <f t="shared" si="548"/>
        <v>0</v>
      </c>
      <c r="F737" s="108">
        <f t="shared" si="548"/>
        <v>0</v>
      </c>
      <c r="G737" s="108">
        <f t="shared" si="548"/>
        <v>0</v>
      </c>
      <c r="H737" s="108">
        <f t="shared" si="548"/>
        <v>0</v>
      </c>
      <c r="I737" s="108">
        <f t="shared" si="548"/>
        <v>0</v>
      </c>
      <c r="J737" s="108">
        <f t="shared" si="548"/>
        <v>0</v>
      </c>
      <c r="K737" s="108">
        <f t="shared" si="548"/>
        <v>0</v>
      </c>
      <c r="L737" s="108">
        <f t="shared" si="548"/>
        <v>0</v>
      </c>
      <c r="M737" s="108">
        <f t="shared" si="548"/>
        <v>0</v>
      </c>
      <c r="N737" s="108">
        <f t="shared" si="548"/>
        <v>0</v>
      </c>
      <c r="O737" s="108">
        <f t="shared" si="548"/>
        <v>0</v>
      </c>
      <c r="P737" s="108">
        <f t="shared" si="548"/>
        <v>0</v>
      </c>
      <c r="Q737" s="108">
        <f t="shared" si="548"/>
        <v>0</v>
      </c>
      <c r="R737" s="108">
        <f t="shared" si="548"/>
        <v>0</v>
      </c>
      <c r="S737" s="108">
        <f t="shared" si="548"/>
        <v>0</v>
      </c>
      <c r="T737" s="28" t="s">
        <v>26</v>
      </c>
      <c r="V737" s="104" t="str">
        <f>$V$83</f>
        <v>-</v>
      </c>
      <c r="W737" s="108">
        <f t="shared" si="503"/>
        <v>-1</v>
      </c>
      <c r="X737" s="108">
        <f t="shared" si="504"/>
        <v>-1</v>
      </c>
      <c r="Y737" s="108">
        <f t="shared" si="505"/>
        <v>-1</v>
      </c>
      <c r="Z737" s="108">
        <f t="shared" si="506"/>
        <v>-1</v>
      </c>
      <c r="AA737" s="108">
        <f t="shared" si="507"/>
        <v>-1</v>
      </c>
      <c r="AB737" s="108">
        <f t="shared" si="508"/>
        <v>-1</v>
      </c>
      <c r="AC737" s="108">
        <f t="shared" si="509"/>
        <v>-1</v>
      </c>
      <c r="AD737" s="108">
        <f t="shared" si="510"/>
        <v>-1</v>
      </c>
      <c r="AE737" s="108">
        <f t="shared" si="511"/>
        <v>-1</v>
      </c>
      <c r="AF737" s="108">
        <f t="shared" si="512"/>
        <v>-1</v>
      </c>
      <c r="AG737" s="108">
        <f t="shared" si="513"/>
        <v>-1</v>
      </c>
      <c r="AH737" s="108">
        <f t="shared" si="514"/>
        <v>-1</v>
      </c>
      <c r="AI737" s="108">
        <f t="shared" si="515"/>
        <v>-1</v>
      </c>
      <c r="AJ737" s="108">
        <f t="shared" si="516"/>
        <v>-1</v>
      </c>
      <c r="AK737" s="108">
        <f t="shared" si="517"/>
        <v>-1</v>
      </c>
      <c r="AL737" s="108">
        <f t="shared" si="518"/>
        <v>-1</v>
      </c>
      <c r="AM737" s="108"/>
    </row>
    <row r="738" spans="3:39" x14ac:dyDescent="0.55000000000000004">
      <c r="C738" s="104" t="str">
        <f>$V$84</f>
        <v>-</v>
      </c>
      <c r="D738" s="108">
        <f t="shared" ref="D738:S738" si="549">D84</f>
        <v>0</v>
      </c>
      <c r="E738" s="108">
        <f t="shared" si="549"/>
        <v>0</v>
      </c>
      <c r="F738" s="108">
        <f t="shared" si="549"/>
        <v>0</v>
      </c>
      <c r="G738" s="108">
        <f t="shared" si="549"/>
        <v>0</v>
      </c>
      <c r="H738" s="108">
        <f t="shared" si="549"/>
        <v>0</v>
      </c>
      <c r="I738" s="108">
        <f t="shared" si="549"/>
        <v>0</v>
      </c>
      <c r="J738" s="108">
        <f t="shared" si="549"/>
        <v>0</v>
      </c>
      <c r="K738" s="108">
        <f t="shared" si="549"/>
        <v>0</v>
      </c>
      <c r="L738" s="108">
        <f t="shared" si="549"/>
        <v>0</v>
      </c>
      <c r="M738" s="108">
        <f t="shared" si="549"/>
        <v>0</v>
      </c>
      <c r="N738" s="108">
        <f t="shared" si="549"/>
        <v>0</v>
      </c>
      <c r="O738" s="108">
        <f t="shared" si="549"/>
        <v>0</v>
      </c>
      <c r="P738" s="108">
        <f t="shared" si="549"/>
        <v>0</v>
      </c>
      <c r="Q738" s="108">
        <f t="shared" si="549"/>
        <v>0</v>
      </c>
      <c r="R738" s="108">
        <f t="shared" si="549"/>
        <v>0</v>
      </c>
      <c r="S738" s="108">
        <f t="shared" si="549"/>
        <v>0</v>
      </c>
      <c r="T738" s="28" t="s">
        <v>26</v>
      </c>
      <c r="V738" s="104" t="str">
        <f>$V$84</f>
        <v>-</v>
      </c>
      <c r="W738" s="108">
        <f t="shared" si="503"/>
        <v>-1</v>
      </c>
      <c r="X738" s="108">
        <f t="shared" si="504"/>
        <v>-1</v>
      </c>
      <c r="Y738" s="108">
        <f t="shared" si="505"/>
        <v>-1</v>
      </c>
      <c r="Z738" s="108">
        <f t="shared" si="506"/>
        <v>-1</v>
      </c>
      <c r="AA738" s="108">
        <f t="shared" si="507"/>
        <v>-1</v>
      </c>
      <c r="AB738" s="108">
        <f t="shared" si="508"/>
        <v>-1</v>
      </c>
      <c r="AC738" s="108">
        <f t="shared" si="509"/>
        <v>-1</v>
      </c>
      <c r="AD738" s="108">
        <f t="shared" si="510"/>
        <v>-1</v>
      </c>
      <c r="AE738" s="108">
        <f t="shared" si="511"/>
        <v>-1</v>
      </c>
      <c r="AF738" s="108">
        <f t="shared" si="512"/>
        <v>-1</v>
      </c>
      <c r="AG738" s="108">
        <f t="shared" si="513"/>
        <v>-1</v>
      </c>
      <c r="AH738" s="108">
        <f t="shared" si="514"/>
        <v>-1</v>
      </c>
      <c r="AI738" s="108">
        <f t="shared" si="515"/>
        <v>-1</v>
      </c>
      <c r="AJ738" s="108">
        <f t="shared" si="516"/>
        <v>-1</v>
      </c>
      <c r="AK738" s="108">
        <f t="shared" si="517"/>
        <v>-1</v>
      </c>
      <c r="AL738" s="108">
        <f t="shared" si="518"/>
        <v>-1</v>
      </c>
      <c r="AM738" s="108"/>
    </row>
    <row r="739" spans="3:39" x14ac:dyDescent="0.55000000000000004">
      <c r="C739" s="104" t="str">
        <f>$V$85</f>
        <v>-</v>
      </c>
      <c r="D739" s="108">
        <f t="shared" ref="D739:S739" si="550">D85</f>
        <v>0</v>
      </c>
      <c r="E739" s="108">
        <f t="shared" si="550"/>
        <v>0</v>
      </c>
      <c r="F739" s="108">
        <f t="shared" si="550"/>
        <v>0</v>
      </c>
      <c r="G739" s="108">
        <f t="shared" si="550"/>
        <v>0</v>
      </c>
      <c r="H739" s="108">
        <f t="shared" si="550"/>
        <v>0</v>
      </c>
      <c r="I739" s="108">
        <f t="shared" si="550"/>
        <v>0</v>
      </c>
      <c r="J739" s="108">
        <f t="shared" si="550"/>
        <v>0</v>
      </c>
      <c r="K739" s="108">
        <f t="shared" si="550"/>
        <v>0</v>
      </c>
      <c r="L739" s="108">
        <f t="shared" si="550"/>
        <v>0</v>
      </c>
      <c r="M739" s="108">
        <f t="shared" si="550"/>
        <v>0</v>
      </c>
      <c r="N739" s="108">
        <f t="shared" si="550"/>
        <v>0</v>
      </c>
      <c r="O739" s="108">
        <f t="shared" si="550"/>
        <v>0</v>
      </c>
      <c r="P739" s="108">
        <f t="shared" si="550"/>
        <v>0</v>
      </c>
      <c r="Q739" s="108">
        <f t="shared" si="550"/>
        <v>0</v>
      </c>
      <c r="R739" s="108">
        <f t="shared" si="550"/>
        <v>0</v>
      </c>
      <c r="S739" s="108">
        <f t="shared" si="550"/>
        <v>0</v>
      </c>
      <c r="T739" s="28" t="s">
        <v>26</v>
      </c>
      <c r="V739" s="104" t="str">
        <f>$V$85</f>
        <v>-</v>
      </c>
      <c r="W739" s="108">
        <f t="shared" si="503"/>
        <v>-1</v>
      </c>
      <c r="X739" s="108">
        <f t="shared" si="504"/>
        <v>-1</v>
      </c>
      <c r="Y739" s="108">
        <f t="shared" si="505"/>
        <v>-1</v>
      </c>
      <c r="Z739" s="108">
        <f t="shared" si="506"/>
        <v>-1</v>
      </c>
      <c r="AA739" s="108">
        <f t="shared" si="507"/>
        <v>-1</v>
      </c>
      <c r="AB739" s="108">
        <f t="shared" si="508"/>
        <v>-1</v>
      </c>
      <c r="AC739" s="108">
        <f t="shared" si="509"/>
        <v>-1</v>
      </c>
      <c r="AD739" s="108">
        <f t="shared" si="510"/>
        <v>-1</v>
      </c>
      <c r="AE739" s="108">
        <f t="shared" si="511"/>
        <v>-1</v>
      </c>
      <c r="AF739" s="108">
        <f t="shared" si="512"/>
        <v>-1</v>
      </c>
      <c r="AG739" s="108">
        <f t="shared" si="513"/>
        <v>-1</v>
      </c>
      <c r="AH739" s="108">
        <f t="shared" si="514"/>
        <v>-1</v>
      </c>
      <c r="AI739" s="108">
        <f t="shared" si="515"/>
        <v>-1</v>
      </c>
      <c r="AJ739" s="108">
        <f t="shared" si="516"/>
        <v>-1</v>
      </c>
      <c r="AK739" s="108">
        <f t="shared" si="517"/>
        <v>-1</v>
      </c>
      <c r="AL739" s="108">
        <f t="shared" si="518"/>
        <v>-1</v>
      </c>
      <c r="AM739" s="108"/>
    </row>
    <row r="740" spans="3:39" x14ac:dyDescent="0.55000000000000004">
      <c r="C740" s="104" t="str">
        <f>$V$86</f>
        <v>-</v>
      </c>
      <c r="D740" s="108">
        <f t="shared" ref="D740:S740" si="551">D86</f>
        <v>0</v>
      </c>
      <c r="E740" s="108">
        <f t="shared" si="551"/>
        <v>0</v>
      </c>
      <c r="F740" s="108">
        <f t="shared" si="551"/>
        <v>0</v>
      </c>
      <c r="G740" s="108">
        <f t="shared" si="551"/>
        <v>0</v>
      </c>
      <c r="H740" s="108">
        <f t="shared" si="551"/>
        <v>0</v>
      </c>
      <c r="I740" s="108">
        <f t="shared" si="551"/>
        <v>0</v>
      </c>
      <c r="J740" s="108">
        <f t="shared" si="551"/>
        <v>0</v>
      </c>
      <c r="K740" s="108">
        <f t="shared" si="551"/>
        <v>0</v>
      </c>
      <c r="L740" s="108">
        <f t="shared" si="551"/>
        <v>0</v>
      </c>
      <c r="M740" s="108">
        <f t="shared" si="551"/>
        <v>0</v>
      </c>
      <c r="N740" s="108">
        <f t="shared" si="551"/>
        <v>0</v>
      </c>
      <c r="O740" s="108">
        <f t="shared" si="551"/>
        <v>0</v>
      </c>
      <c r="P740" s="108">
        <f t="shared" si="551"/>
        <v>0</v>
      </c>
      <c r="Q740" s="108">
        <f t="shared" si="551"/>
        <v>0</v>
      </c>
      <c r="R740" s="108">
        <f t="shared" si="551"/>
        <v>0</v>
      </c>
      <c r="S740" s="108">
        <f t="shared" si="551"/>
        <v>0</v>
      </c>
      <c r="T740" s="28" t="s">
        <v>26</v>
      </c>
      <c r="V740" s="104" t="str">
        <f>$V$86</f>
        <v>-</v>
      </c>
      <c r="W740" s="108">
        <f t="shared" si="503"/>
        <v>-1</v>
      </c>
      <c r="X740" s="108">
        <f t="shared" si="504"/>
        <v>-1</v>
      </c>
      <c r="Y740" s="108">
        <f t="shared" si="505"/>
        <v>-1</v>
      </c>
      <c r="Z740" s="108">
        <f t="shared" si="506"/>
        <v>-1</v>
      </c>
      <c r="AA740" s="108">
        <f t="shared" si="507"/>
        <v>-1</v>
      </c>
      <c r="AB740" s="108">
        <f t="shared" si="508"/>
        <v>-1</v>
      </c>
      <c r="AC740" s="108">
        <f t="shared" si="509"/>
        <v>-1</v>
      </c>
      <c r="AD740" s="108">
        <f t="shared" si="510"/>
        <v>-1</v>
      </c>
      <c r="AE740" s="108">
        <f t="shared" si="511"/>
        <v>-1</v>
      </c>
      <c r="AF740" s="108">
        <f t="shared" si="512"/>
        <v>-1</v>
      </c>
      <c r="AG740" s="108">
        <f t="shared" si="513"/>
        <v>-1</v>
      </c>
      <c r="AH740" s="108">
        <f t="shared" si="514"/>
        <v>-1</v>
      </c>
      <c r="AI740" s="108">
        <f t="shared" si="515"/>
        <v>-1</v>
      </c>
      <c r="AJ740" s="108">
        <f t="shared" si="516"/>
        <v>-1</v>
      </c>
      <c r="AK740" s="108">
        <f t="shared" si="517"/>
        <v>-1</v>
      </c>
      <c r="AL740" s="108">
        <f t="shared" si="518"/>
        <v>-1</v>
      </c>
      <c r="AM740" s="108"/>
    </row>
    <row r="741" spans="3:39" x14ac:dyDescent="0.55000000000000004">
      <c r="C741" s="104" t="str">
        <f>$V$87</f>
        <v>-</v>
      </c>
      <c r="D741" s="108">
        <f t="shared" ref="D741:S741" si="552">D87</f>
        <v>0</v>
      </c>
      <c r="E741" s="108">
        <f t="shared" si="552"/>
        <v>0</v>
      </c>
      <c r="F741" s="108">
        <f t="shared" si="552"/>
        <v>0</v>
      </c>
      <c r="G741" s="108">
        <f t="shared" si="552"/>
        <v>0</v>
      </c>
      <c r="H741" s="108">
        <f t="shared" si="552"/>
        <v>0</v>
      </c>
      <c r="I741" s="108">
        <f t="shared" si="552"/>
        <v>0</v>
      </c>
      <c r="J741" s="108">
        <f t="shared" si="552"/>
        <v>0</v>
      </c>
      <c r="K741" s="108">
        <f t="shared" si="552"/>
        <v>0</v>
      </c>
      <c r="L741" s="108">
        <f t="shared" si="552"/>
        <v>0</v>
      </c>
      <c r="M741" s="108">
        <f t="shared" si="552"/>
        <v>0</v>
      </c>
      <c r="N741" s="108">
        <f t="shared" si="552"/>
        <v>0</v>
      </c>
      <c r="O741" s="108">
        <f t="shared" si="552"/>
        <v>0</v>
      </c>
      <c r="P741" s="108">
        <f t="shared" si="552"/>
        <v>0</v>
      </c>
      <c r="Q741" s="108">
        <f t="shared" si="552"/>
        <v>0</v>
      </c>
      <c r="R741" s="108">
        <f t="shared" si="552"/>
        <v>0</v>
      </c>
      <c r="S741" s="108">
        <f t="shared" si="552"/>
        <v>0</v>
      </c>
      <c r="T741" s="28" t="s">
        <v>26</v>
      </c>
      <c r="V741" s="104" t="str">
        <f>$V$87</f>
        <v>-</v>
      </c>
      <c r="W741" s="108">
        <f t="shared" si="503"/>
        <v>-1</v>
      </c>
      <c r="X741" s="108">
        <f t="shared" si="504"/>
        <v>-1</v>
      </c>
      <c r="Y741" s="108">
        <f t="shared" si="505"/>
        <v>-1</v>
      </c>
      <c r="Z741" s="108">
        <f t="shared" si="506"/>
        <v>-1</v>
      </c>
      <c r="AA741" s="108">
        <f t="shared" si="507"/>
        <v>-1</v>
      </c>
      <c r="AB741" s="108">
        <f t="shared" si="508"/>
        <v>-1</v>
      </c>
      <c r="AC741" s="108">
        <f t="shared" si="509"/>
        <v>-1</v>
      </c>
      <c r="AD741" s="108">
        <f t="shared" si="510"/>
        <v>-1</v>
      </c>
      <c r="AE741" s="108">
        <f t="shared" si="511"/>
        <v>-1</v>
      </c>
      <c r="AF741" s="108">
        <f t="shared" si="512"/>
        <v>-1</v>
      </c>
      <c r="AG741" s="108">
        <f t="shared" si="513"/>
        <v>-1</v>
      </c>
      <c r="AH741" s="108">
        <f t="shared" si="514"/>
        <v>-1</v>
      </c>
      <c r="AI741" s="108">
        <f t="shared" si="515"/>
        <v>-1</v>
      </c>
      <c r="AJ741" s="108">
        <f t="shared" si="516"/>
        <v>-1</v>
      </c>
      <c r="AK741" s="108">
        <f t="shared" si="517"/>
        <v>-1</v>
      </c>
      <c r="AL741" s="108">
        <f t="shared" si="518"/>
        <v>-1</v>
      </c>
      <c r="AM741" s="108"/>
    </row>
    <row r="742" spans="3:39" x14ac:dyDescent="0.55000000000000004">
      <c r="C742" s="104" t="str">
        <f>$V$88</f>
        <v>-</v>
      </c>
      <c r="D742" s="108">
        <f t="shared" ref="D742:S742" si="553">D88</f>
        <v>0</v>
      </c>
      <c r="E742" s="108">
        <f t="shared" si="553"/>
        <v>0</v>
      </c>
      <c r="F742" s="108">
        <f t="shared" si="553"/>
        <v>0</v>
      </c>
      <c r="G742" s="108">
        <f t="shared" si="553"/>
        <v>0</v>
      </c>
      <c r="H742" s="108">
        <f t="shared" si="553"/>
        <v>0</v>
      </c>
      <c r="I742" s="108">
        <f t="shared" si="553"/>
        <v>0</v>
      </c>
      <c r="J742" s="108">
        <f t="shared" si="553"/>
        <v>0</v>
      </c>
      <c r="K742" s="108">
        <f t="shared" si="553"/>
        <v>0</v>
      </c>
      <c r="L742" s="108">
        <f t="shared" si="553"/>
        <v>0</v>
      </c>
      <c r="M742" s="108">
        <f t="shared" si="553"/>
        <v>0</v>
      </c>
      <c r="N742" s="108">
        <f t="shared" si="553"/>
        <v>0</v>
      </c>
      <c r="O742" s="108">
        <f t="shared" si="553"/>
        <v>0</v>
      </c>
      <c r="P742" s="108">
        <f t="shared" si="553"/>
        <v>0</v>
      </c>
      <c r="Q742" s="108">
        <f t="shared" si="553"/>
        <v>0</v>
      </c>
      <c r="R742" s="108">
        <f t="shared" si="553"/>
        <v>0</v>
      </c>
      <c r="S742" s="108">
        <f t="shared" si="553"/>
        <v>0</v>
      </c>
      <c r="T742" s="28" t="s">
        <v>26</v>
      </c>
      <c r="V742" s="104" t="str">
        <f>$V$88</f>
        <v>-</v>
      </c>
      <c r="W742" s="108">
        <f t="shared" si="503"/>
        <v>-1</v>
      </c>
      <c r="X742" s="108">
        <f t="shared" si="504"/>
        <v>-1</v>
      </c>
      <c r="Y742" s="108">
        <f t="shared" si="505"/>
        <v>-1</v>
      </c>
      <c r="Z742" s="108">
        <f t="shared" si="506"/>
        <v>-1</v>
      </c>
      <c r="AA742" s="108">
        <f t="shared" si="507"/>
        <v>-1</v>
      </c>
      <c r="AB742" s="108">
        <f t="shared" si="508"/>
        <v>-1</v>
      </c>
      <c r="AC742" s="108">
        <f t="shared" si="509"/>
        <v>-1</v>
      </c>
      <c r="AD742" s="108">
        <f t="shared" si="510"/>
        <v>-1</v>
      </c>
      <c r="AE742" s="108">
        <f t="shared" si="511"/>
        <v>-1</v>
      </c>
      <c r="AF742" s="108">
        <f t="shared" si="512"/>
        <v>-1</v>
      </c>
      <c r="AG742" s="108">
        <f t="shared" si="513"/>
        <v>-1</v>
      </c>
      <c r="AH742" s="108">
        <f t="shared" si="514"/>
        <v>-1</v>
      </c>
      <c r="AI742" s="108">
        <f t="shared" si="515"/>
        <v>-1</v>
      </c>
      <c r="AJ742" s="108">
        <f t="shared" si="516"/>
        <v>-1</v>
      </c>
      <c r="AK742" s="108">
        <f t="shared" si="517"/>
        <v>-1</v>
      </c>
      <c r="AL742" s="108">
        <f t="shared" si="518"/>
        <v>-1</v>
      </c>
      <c r="AM742" s="108"/>
    </row>
    <row r="743" spans="3:39" x14ac:dyDescent="0.55000000000000004">
      <c r="C743" s="104" t="str">
        <f>$V$89</f>
        <v>-</v>
      </c>
      <c r="D743" s="108">
        <f t="shared" ref="D743:S743" si="554">D89</f>
        <v>0</v>
      </c>
      <c r="E743" s="108">
        <f t="shared" si="554"/>
        <v>0</v>
      </c>
      <c r="F743" s="108">
        <f t="shared" si="554"/>
        <v>0</v>
      </c>
      <c r="G743" s="108">
        <f t="shared" si="554"/>
        <v>0</v>
      </c>
      <c r="H743" s="108">
        <f t="shared" si="554"/>
        <v>0</v>
      </c>
      <c r="I743" s="108">
        <f t="shared" si="554"/>
        <v>0</v>
      </c>
      <c r="J743" s="108">
        <f t="shared" si="554"/>
        <v>0</v>
      </c>
      <c r="K743" s="108">
        <f t="shared" si="554"/>
        <v>0</v>
      </c>
      <c r="L743" s="108">
        <f t="shared" si="554"/>
        <v>0</v>
      </c>
      <c r="M743" s="108">
        <f t="shared" si="554"/>
        <v>0</v>
      </c>
      <c r="N743" s="108">
        <f t="shared" si="554"/>
        <v>0</v>
      </c>
      <c r="O743" s="108">
        <f t="shared" si="554"/>
        <v>0</v>
      </c>
      <c r="P743" s="108">
        <f t="shared" si="554"/>
        <v>0</v>
      </c>
      <c r="Q743" s="108">
        <f t="shared" si="554"/>
        <v>0</v>
      </c>
      <c r="R743" s="108">
        <f t="shared" si="554"/>
        <v>0</v>
      </c>
      <c r="S743" s="108">
        <f t="shared" si="554"/>
        <v>0</v>
      </c>
      <c r="T743" s="28" t="s">
        <v>26</v>
      </c>
      <c r="V743" s="104" t="str">
        <f>$V$89</f>
        <v>-</v>
      </c>
      <c r="W743" s="108">
        <f t="shared" si="503"/>
        <v>-1</v>
      </c>
      <c r="X743" s="108">
        <f t="shared" si="504"/>
        <v>-1</v>
      </c>
      <c r="Y743" s="108">
        <f t="shared" si="505"/>
        <v>-1</v>
      </c>
      <c r="Z743" s="108">
        <f t="shared" si="506"/>
        <v>-1</v>
      </c>
      <c r="AA743" s="108">
        <f t="shared" si="507"/>
        <v>-1</v>
      </c>
      <c r="AB743" s="108">
        <f t="shared" si="508"/>
        <v>-1</v>
      </c>
      <c r="AC743" s="108">
        <f t="shared" si="509"/>
        <v>-1</v>
      </c>
      <c r="AD743" s="108">
        <f t="shared" si="510"/>
        <v>-1</v>
      </c>
      <c r="AE743" s="108">
        <f t="shared" si="511"/>
        <v>-1</v>
      </c>
      <c r="AF743" s="108">
        <f t="shared" si="512"/>
        <v>-1</v>
      </c>
      <c r="AG743" s="108">
        <f t="shared" si="513"/>
        <v>-1</v>
      </c>
      <c r="AH743" s="108">
        <f t="shared" si="514"/>
        <v>-1</v>
      </c>
      <c r="AI743" s="108">
        <f t="shared" si="515"/>
        <v>-1</v>
      </c>
      <c r="AJ743" s="108">
        <f t="shared" si="516"/>
        <v>-1</v>
      </c>
      <c r="AK743" s="108">
        <f t="shared" si="517"/>
        <v>-1</v>
      </c>
      <c r="AL743" s="108">
        <f t="shared" si="518"/>
        <v>-1</v>
      </c>
      <c r="AM743" s="108"/>
    </row>
    <row r="744" spans="3:39" x14ac:dyDescent="0.55000000000000004">
      <c r="C744" s="104" t="str">
        <f>$V$90</f>
        <v>-</v>
      </c>
      <c r="D744" s="108">
        <f t="shared" ref="D744:S744" si="555">D90</f>
        <v>0</v>
      </c>
      <c r="E744" s="108">
        <f t="shared" si="555"/>
        <v>0</v>
      </c>
      <c r="F744" s="108">
        <f t="shared" si="555"/>
        <v>0</v>
      </c>
      <c r="G744" s="108">
        <f t="shared" si="555"/>
        <v>0</v>
      </c>
      <c r="H744" s="108">
        <f t="shared" si="555"/>
        <v>0</v>
      </c>
      <c r="I744" s="108">
        <f t="shared" si="555"/>
        <v>0</v>
      </c>
      <c r="J744" s="108">
        <f t="shared" si="555"/>
        <v>0</v>
      </c>
      <c r="K744" s="108">
        <f t="shared" si="555"/>
        <v>0</v>
      </c>
      <c r="L744" s="108">
        <f t="shared" si="555"/>
        <v>0</v>
      </c>
      <c r="M744" s="108">
        <f t="shared" si="555"/>
        <v>0</v>
      </c>
      <c r="N744" s="108">
        <f t="shared" si="555"/>
        <v>0</v>
      </c>
      <c r="O744" s="108">
        <f t="shared" si="555"/>
        <v>0</v>
      </c>
      <c r="P744" s="108">
        <f t="shared" si="555"/>
        <v>0</v>
      </c>
      <c r="Q744" s="108">
        <f t="shared" si="555"/>
        <v>0</v>
      </c>
      <c r="R744" s="108">
        <f t="shared" si="555"/>
        <v>0</v>
      </c>
      <c r="S744" s="108">
        <f t="shared" si="555"/>
        <v>0</v>
      </c>
      <c r="T744" s="28" t="s">
        <v>26</v>
      </c>
      <c r="V744" s="104" t="str">
        <f>$V$90</f>
        <v>-</v>
      </c>
      <c r="W744" s="108">
        <f t="shared" si="503"/>
        <v>-1</v>
      </c>
      <c r="X744" s="108">
        <f t="shared" si="504"/>
        <v>-1</v>
      </c>
      <c r="Y744" s="108">
        <f t="shared" si="505"/>
        <v>-1</v>
      </c>
      <c r="Z744" s="108">
        <f t="shared" si="506"/>
        <v>-1</v>
      </c>
      <c r="AA744" s="108">
        <f t="shared" si="507"/>
        <v>-1</v>
      </c>
      <c r="AB744" s="108">
        <f t="shared" si="508"/>
        <v>-1</v>
      </c>
      <c r="AC744" s="108">
        <f t="shared" si="509"/>
        <v>-1</v>
      </c>
      <c r="AD744" s="108">
        <f t="shared" si="510"/>
        <v>-1</v>
      </c>
      <c r="AE744" s="108">
        <f t="shared" si="511"/>
        <v>-1</v>
      </c>
      <c r="AF744" s="108">
        <f t="shared" si="512"/>
        <v>-1</v>
      </c>
      <c r="AG744" s="108">
        <f t="shared" si="513"/>
        <v>-1</v>
      </c>
      <c r="AH744" s="108">
        <f t="shared" si="514"/>
        <v>-1</v>
      </c>
      <c r="AI744" s="108">
        <f t="shared" si="515"/>
        <v>-1</v>
      </c>
      <c r="AJ744" s="108">
        <f t="shared" si="516"/>
        <v>-1</v>
      </c>
      <c r="AK744" s="108">
        <f t="shared" si="517"/>
        <v>-1</v>
      </c>
      <c r="AL744" s="108">
        <f t="shared" si="518"/>
        <v>-1</v>
      </c>
      <c r="AM744" s="108"/>
    </row>
    <row r="745" spans="3:39" x14ac:dyDescent="0.55000000000000004">
      <c r="C745" s="104" t="str">
        <f>$V$91</f>
        <v>-</v>
      </c>
      <c r="D745" s="108">
        <f t="shared" ref="D745:S745" si="556">D91</f>
        <v>0</v>
      </c>
      <c r="E745" s="108">
        <f t="shared" si="556"/>
        <v>0</v>
      </c>
      <c r="F745" s="108">
        <f t="shared" si="556"/>
        <v>0</v>
      </c>
      <c r="G745" s="108">
        <f t="shared" si="556"/>
        <v>0</v>
      </c>
      <c r="H745" s="108">
        <f t="shared" si="556"/>
        <v>0</v>
      </c>
      <c r="I745" s="108">
        <f t="shared" si="556"/>
        <v>0</v>
      </c>
      <c r="J745" s="108">
        <f t="shared" si="556"/>
        <v>0</v>
      </c>
      <c r="K745" s="108">
        <f t="shared" si="556"/>
        <v>0</v>
      </c>
      <c r="L745" s="108">
        <f t="shared" si="556"/>
        <v>0</v>
      </c>
      <c r="M745" s="108">
        <f t="shared" si="556"/>
        <v>0</v>
      </c>
      <c r="N745" s="108">
        <f t="shared" si="556"/>
        <v>0</v>
      </c>
      <c r="O745" s="108">
        <f t="shared" si="556"/>
        <v>0</v>
      </c>
      <c r="P745" s="108">
        <f t="shared" si="556"/>
        <v>0</v>
      </c>
      <c r="Q745" s="108">
        <f t="shared" si="556"/>
        <v>0</v>
      </c>
      <c r="R745" s="108">
        <f t="shared" si="556"/>
        <v>0</v>
      </c>
      <c r="S745" s="108">
        <f t="shared" si="556"/>
        <v>0</v>
      </c>
      <c r="T745" s="28" t="s">
        <v>26</v>
      </c>
      <c r="V745" s="104" t="str">
        <f>$V$91</f>
        <v>-</v>
      </c>
      <c r="W745" s="108">
        <f t="shared" si="503"/>
        <v>-1</v>
      </c>
      <c r="X745" s="108">
        <f t="shared" si="504"/>
        <v>-1</v>
      </c>
      <c r="Y745" s="108">
        <f t="shared" si="505"/>
        <v>-1</v>
      </c>
      <c r="Z745" s="108">
        <f t="shared" si="506"/>
        <v>-1</v>
      </c>
      <c r="AA745" s="108">
        <f t="shared" si="507"/>
        <v>-1</v>
      </c>
      <c r="AB745" s="108">
        <f t="shared" si="508"/>
        <v>-1</v>
      </c>
      <c r="AC745" s="108">
        <f t="shared" si="509"/>
        <v>-1</v>
      </c>
      <c r="AD745" s="108">
        <f t="shared" si="510"/>
        <v>-1</v>
      </c>
      <c r="AE745" s="108">
        <f t="shared" si="511"/>
        <v>-1</v>
      </c>
      <c r="AF745" s="108">
        <f t="shared" si="512"/>
        <v>-1</v>
      </c>
      <c r="AG745" s="108">
        <f t="shared" si="513"/>
        <v>-1</v>
      </c>
      <c r="AH745" s="108">
        <f t="shared" si="514"/>
        <v>-1</v>
      </c>
      <c r="AI745" s="108">
        <f t="shared" si="515"/>
        <v>-1</v>
      </c>
      <c r="AJ745" s="108">
        <f t="shared" si="516"/>
        <v>-1</v>
      </c>
      <c r="AK745" s="108">
        <f t="shared" si="517"/>
        <v>-1</v>
      </c>
      <c r="AL745" s="108">
        <f t="shared" si="518"/>
        <v>-1</v>
      </c>
      <c r="AM745" s="108"/>
    </row>
    <row r="746" spans="3:39" x14ac:dyDescent="0.55000000000000004">
      <c r="C746" s="104" t="str">
        <f>$V$92</f>
        <v>-</v>
      </c>
      <c r="D746" s="108">
        <f t="shared" ref="D746:S746" si="557">D92</f>
        <v>0</v>
      </c>
      <c r="E746" s="108">
        <f t="shared" si="557"/>
        <v>0</v>
      </c>
      <c r="F746" s="108">
        <f t="shared" si="557"/>
        <v>0</v>
      </c>
      <c r="G746" s="108">
        <f t="shared" si="557"/>
        <v>0</v>
      </c>
      <c r="H746" s="108">
        <f t="shared" si="557"/>
        <v>0</v>
      </c>
      <c r="I746" s="108">
        <f t="shared" si="557"/>
        <v>0</v>
      </c>
      <c r="J746" s="108">
        <f t="shared" si="557"/>
        <v>0</v>
      </c>
      <c r="K746" s="108">
        <f t="shared" si="557"/>
        <v>0</v>
      </c>
      <c r="L746" s="108">
        <f t="shared" si="557"/>
        <v>0</v>
      </c>
      <c r="M746" s="108">
        <f t="shared" si="557"/>
        <v>0</v>
      </c>
      <c r="N746" s="108">
        <f t="shared" si="557"/>
        <v>0</v>
      </c>
      <c r="O746" s="108">
        <f t="shared" si="557"/>
        <v>0</v>
      </c>
      <c r="P746" s="108">
        <f t="shared" si="557"/>
        <v>0</v>
      </c>
      <c r="Q746" s="108">
        <f t="shared" si="557"/>
        <v>0</v>
      </c>
      <c r="R746" s="108">
        <f t="shared" si="557"/>
        <v>0</v>
      </c>
      <c r="S746" s="108">
        <f t="shared" si="557"/>
        <v>0</v>
      </c>
      <c r="T746" s="28" t="s">
        <v>26</v>
      </c>
      <c r="V746" s="104" t="str">
        <f>$V$92</f>
        <v>-</v>
      </c>
      <c r="W746" s="108">
        <f t="shared" si="503"/>
        <v>-1</v>
      </c>
      <c r="X746" s="108">
        <f t="shared" si="504"/>
        <v>-1</v>
      </c>
      <c r="Y746" s="108">
        <f t="shared" si="505"/>
        <v>-1</v>
      </c>
      <c r="Z746" s="108">
        <f t="shared" si="506"/>
        <v>-1</v>
      </c>
      <c r="AA746" s="108">
        <f t="shared" si="507"/>
        <v>-1</v>
      </c>
      <c r="AB746" s="108">
        <f t="shared" si="508"/>
        <v>-1</v>
      </c>
      <c r="AC746" s="108">
        <f t="shared" si="509"/>
        <v>-1</v>
      </c>
      <c r="AD746" s="108">
        <f t="shared" si="510"/>
        <v>-1</v>
      </c>
      <c r="AE746" s="108">
        <f t="shared" si="511"/>
        <v>-1</v>
      </c>
      <c r="AF746" s="108">
        <f t="shared" si="512"/>
        <v>-1</v>
      </c>
      <c r="AG746" s="108">
        <f t="shared" si="513"/>
        <v>-1</v>
      </c>
      <c r="AH746" s="108">
        <f t="shared" si="514"/>
        <v>-1</v>
      </c>
      <c r="AI746" s="108">
        <f t="shared" si="515"/>
        <v>-1</v>
      </c>
      <c r="AJ746" s="108">
        <f t="shared" si="516"/>
        <v>-1</v>
      </c>
      <c r="AK746" s="108">
        <f t="shared" si="517"/>
        <v>-1</v>
      </c>
      <c r="AL746" s="108">
        <f t="shared" si="518"/>
        <v>-1</v>
      </c>
      <c r="AM746" s="108"/>
    </row>
    <row r="747" spans="3:39" x14ac:dyDescent="0.55000000000000004">
      <c r="AM747" s="108"/>
    </row>
    <row r="748" spans="3:39" x14ac:dyDescent="0.55000000000000004">
      <c r="AM748" s="108"/>
    </row>
    <row r="749" spans="3:39" x14ac:dyDescent="0.55000000000000004">
      <c r="AM749" s="108"/>
    </row>
    <row r="750" spans="3:39" x14ac:dyDescent="0.55000000000000004">
      <c r="C750" s="104" t="str">
        <f>$BK$340</f>
        <v>Level</v>
      </c>
      <c r="D750" s="104" t="str">
        <f>$W$33</f>
        <v>16h</v>
      </c>
      <c r="E750" s="104" t="str">
        <f>$X$33</f>
        <v>17h</v>
      </c>
      <c r="F750" s="104" t="str">
        <f>$Y$33</f>
        <v>18h</v>
      </c>
      <c r="G750" s="104" t="str">
        <f>$Z$33</f>
        <v>19h</v>
      </c>
      <c r="H750" s="104" t="str">
        <f>$AA$33</f>
        <v>20h</v>
      </c>
      <c r="I750" s="104" t="str">
        <f>$AB$33</f>
        <v>21h</v>
      </c>
      <c r="J750" s="104" t="str">
        <f>$AC$33</f>
        <v>22h</v>
      </c>
      <c r="K750" s="104" t="str">
        <f>$AD$33</f>
        <v>23h</v>
      </c>
      <c r="L750" s="104" t="str">
        <f>$AE$33</f>
        <v>00h</v>
      </c>
      <c r="M750" s="104" t="str">
        <f>$AF$33</f>
        <v>01h</v>
      </c>
      <c r="N750" s="104" t="str">
        <f>$AG$33</f>
        <v>02h</v>
      </c>
      <c r="O750" s="104" t="str">
        <f>$AH$33</f>
        <v>03h</v>
      </c>
      <c r="P750" s="104" t="str">
        <f>$AI$33</f>
        <v>04h</v>
      </c>
      <c r="Q750" s="104" t="str">
        <f>$AJ$33</f>
        <v>05h</v>
      </c>
      <c r="R750" s="104" t="str">
        <f>$AK$33</f>
        <v>06h</v>
      </c>
      <c r="S750" s="104" t="str">
        <f>$AL$33</f>
        <v>07h</v>
      </c>
      <c r="V750" s="104" t="str">
        <f>$BK$340</f>
        <v>Level</v>
      </c>
      <c r="W750" s="104" t="str">
        <f>$W$33</f>
        <v>16h</v>
      </c>
      <c r="X750" s="104" t="str">
        <f>$X$33</f>
        <v>17h</v>
      </c>
      <c r="Y750" s="104" t="str">
        <f>$Y$33</f>
        <v>18h</v>
      </c>
      <c r="Z750" s="104" t="str">
        <f>$Z$33</f>
        <v>19h</v>
      </c>
      <c r="AA750" s="104" t="str">
        <f>$AA$33</f>
        <v>20h</v>
      </c>
      <c r="AB750" s="104" t="str">
        <f>$AB$33</f>
        <v>21h</v>
      </c>
      <c r="AC750" s="104" t="str">
        <f>$AC$33</f>
        <v>22h</v>
      </c>
      <c r="AD750" s="104" t="str">
        <f>$AD$33</f>
        <v>23h</v>
      </c>
      <c r="AE750" s="104" t="str">
        <f>$AE$33</f>
        <v>00h</v>
      </c>
      <c r="AF750" s="104" t="str">
        <f>$AF$33</f>
        <v>01h</v>
      </c>
      <c r="AG750" s="104" t="str">
        <f>$AG$33</f>
        <v>02h</v>
      </c>
      <c r="AH750" s="104" t="str">
        <f>$AH$33</f>
        <v>03h</v>
      </c>
      <c r="AI750" s="104" t="str">
        <f>$AI$33</f>
        <v>04h</v>
      </c>
      <c r="AJ750" s="104" t="str">
        <f>$AJ$33</f>
        <v>05h</v>
      </c>
      <c r="AK750" s="104" t="str">
        <f>$AK$33</f>
        <v>06h</v>
      </c>
      <c r="AL750" s="104" t="str">
        <f>$AL$33</f>
        <v>07h</v>
      </c>
      <c r="AM750" s="108"/>
    </row>
    <row r="751" spans="3:39" x14ac:dyDescent="0.55000000000000004">
      <c r="C751" s="104" t="str">
        <f>$V$53</f>
        <v>Jennifer</v>
      </c>
      <c r="D751" s="108">
        <f t="shared" ref="D751:S751" si="558">D53</f>
        <v>0</v>
      </c>
      <c r="E751" s="108">
        <f t="shared" si="558"/>
        <v>0</v>
      </c>
      <c r="F751" s="108">
        <f t="shared" si="558"/>
        <v>0</v>
      </c>
      <c r="G751" s="108">
        <f t="shared" si="558"/>
        <v>0</v>
      </c>
      <c r="H751" s="108">
        <f t="shared" si="558"/>
        <v>0</v>
      </c>
      <c r="I751" s="108">
        <f t="shared" si="558"/>
        <v>0</v>
      </c>
      <c r="J751" s="108">
        <f t="shared" si="558"/>
        <v>0</v>
      </c>
      <c r="K751" s="108">
        <f t="shared" si="558"/>
        <v>0</v>
      </c>
      <c r="L751" s="108">
        <f t="shared" si="558"/>
        <v>0</v>
      </c>
      <c r="M751" s="108">
        <f t="shared" si="558"/>
        <v>0</v>
      </c>
      <c r="N751" s="108">
        <f t="shared" si="558"/>
        <v>0</v>
      </c>
      <c r="O751" s="108">
        <f t="shared" si="558"/>
        <v>0</v>
      </c>
      <c r="P751" s="108">
        <f t="shared" si="558"/>
        <v>0</v>
      </c>
      <c r="Q751" s="108">
        <f t="shared" si="558"/>
        <v>0</v>
      </c>
      <c r="R751" s="108">
        <f t="shared" si="558"/>
        <v>0</v>
      </c>
      <c r="S751" s="108">
        <f t="shared" si="558"/>
        <v>0</v>
      </c>
      <c r="T751" s="28" t="s">
        <v>26</v>
      </c>
      <c r="V751" s="104" t="str">
        <f>$V$53</f>
        <v>Jennifer</v>
      </c>
      <c r="W751" s="108">
        <f t="shared" ref="W751:W790" si="559">AR314+AS314-1</f>
        <v>-1</v>
      </c>
      <c r="X751" s="108">
        <f t="shared" ref="X751:X790" si="560">AS314+AT314-1</f>
        <v>-1</v>
      </c>
      <c r="Y751" s="108">
        <f t="shared" ref="Y751:Y790" si="561">AT314+AU314-1</f>
        <v>-1</v>
      </c>
      <c r="Z751" s="108">
        <f t="shared" ref="Z751:Z790" si="562">AU314+AV314-1</f>
        <v>-1</v>
      </c>
      <c r="AA751" s="108">
        <f t="shared" ref="AA751:AA790" si="563">AV314+AW314-1</f>
        <v>-1</v>
      </c>
      <c r="AB751" s="108">
        <f t="shared" ref="AB751:AB790" si="564">AW314+AX314-1</f>
        <v>-1</v>
      </c>
      <c r="AC751" s="108">
        <f t="shared" ref="AC751:AC790" si="565">AX314+AY314-1</f>
        <v>-1</v>
      </c>
      <c r="AD751" s="108">
        <f t="shared" ref="AD751:AD790" si="566">AY314+AZ314-1</f>
        <v>-1</v>
      </c>
      <c r="AE751" s="108">
        <f t="shared" ref="AE751:AE790" si="567">AZ314+BA314-1</f>
        <v>-1</v>
      </c>
      <c r="AF751" s="108">
        <f t="shared" ref="AF751:AF790" si="568">BA314+BB314-1</f>
        <v>-1</v>
      </c>
      <c r="AG751" s="108">
        <f t="shared" ref="AG751:AG790" si="569">BB314+BC314-1</f>
        <v>-1</v>
      </c>
      <c r="AH751" s="108">
        <f t="shared" ref="AH751:AH790" si="570">BC314+BD314-1</f>
        <v>-1</v>
      </c>
      <c r="AI751" s="108">
        <f t="shared" ref="AI751:AI790" si="571">BD314+BE314-1</f>
        <v>-1</v>
      </c>
      <c r="AJ751" s="108">
        <f t="shared" ref="AJ751:AJ790" si="572">BE314+BF314-1</f>
        <v>-1</v>
      </c>
      <c r="AK751" s="108">
        <f t="shared" ref="AK751:AK790" si="573">BF314+BG314-1</f>
        <v>-1</v>
      </c>
      <c r="AL751" s="108">
        <f t="shared" ref="AL751:AL790" si="574">BG314+BH314-1</f>
        <v>-1</v>
      </c>
      <c r="AM751" s="108"/>
    </row>
    <row r="752" spans="3:39" x14ac:dyDescent="0.55000000000000004">
      <c r="C752" s="104" t="str">
        <f>$V$54</f>
        <v>Galileo</v>
      </c>
      <c r="D752" s="108">
        <f t="shared" ref="D752:S752" si="575">D54</f>
        <v>0</v>
      </c>
      <c r="E752" s="108">
        <f t="shared" si="575"/>
        <v>0</v>
      </c>
      <c r="F752" s="108">
        <f t="shared" si="575"/>
        <v>0</v>
      </c>
      <c r="G752" s="108">
        <f t="shared" si="575"/>
        <v>0</v>
      </c>
      <c r="H752" s="108">
        <f t="shared" si="575"/>
        <v>0</v>
      </c>
      <c r="I752" s="108">
        <f t="shared" si="575"/>
        <v>0</v>
      </c>
      <c r="J752" s="108">
        <f t="shared" si="575"/>
        <v>0</v>
      </c>
      <c r="K752" s="108">
        <f t="shared" si="575"/>
        <v>0</v>
      </c>
      <c r="L752" s="108">
        <f t="shared" si="575"/>
        <v>0</v>
      </c>
      <c r="M752" s="108">
        <f t="shared" si="575"/>
        <v>0</v>
      </c>
      <c r="N752" s="108">
        <f t="shared" si="575"/>
        <v>0</v>
      </c>
      <c r="O752" s="108">
        <f t="shared" si="575"/>
        <v>0</v>
      </c>
      <c r="P752" s="108">
        <f t="shared" si="575"/>
        <v>0</v>
      </c>
      <c r="Q752" s="108">
        <f t="shared" si="575"/>
        <v>0</v>
      </c>
      <c r="R752" s="108">
        <f t="shared" si="575"/>
        <v>0</v>
      </c>
      <c r="S752" s="108">
        <f t="shared" si="575"/>
        <v>0</v>
      </c>
      <c r="T752" s="28" t="s">
        <v>26</v>
      </c>
      <c r="V752" s="104" t="str">
        <f>$V$54</f>
        <v>Galileo</v>
      </c>
      <c r="W752" s="108">
        <f t="shared" si="559"/>
        <v>-1</v>
      </c>
      <c r="X752" s="108">
        <f t="shared" si="560"/>
        <v>-1</v>
      </c>
      <c r="Y752" s="108">
        <f t="shared" si="561"/>
        <v>-1</v>
      </c>
      <c r="Z752" s="108">
        <f t="shared" si="562"/>
        <v>0</v>
      </c>
      <c r="AA752" s="108">
        <f t="shared" si="563"/>
        <v>0</v>
      </c>
      <c r="AB752" s="108">
        <f t="shared" si="564"/>
        <v>-1</v>
      </c>
      <c r="AC752" s="108">
        <f t="shared" si="565"/>
        <v>-1</v>
      </c>
      <c r="AD752" s="108">
        <f t="shared" si="566"/>
        <v>-1</v>
      </c>
      <c r="AE752" s="108">
        <f t="shared" si="567"/>
        <v>-1</v>
      </c>
      <c r="AF752" s="108">
        <f t="shared" si="568"/>
        <v>-1</v>
      </c>
      <c r="AG752" s="108">
        <f t="shared" si="569"/>
        <v>-1</v>
      </c>
      <c r="AH752" s="108">
        <f t="shared" si="570"/>
        <v>-1</v>
      </c>
      <c r="AI752" s="108">
        <f t="shared" si="571"/>
        <v>-1</v>
      </c>
      <c r="AJ752" s="108">
        <f t="shared" si="572"/>
        <v>-1</v>
      </c>
      <c r="AK752" s="108">
        <f t="shared" si="573"/>
        <v>-1</v>
      </c>
      <c r="AL752" s="108">
        <f t="shared" si="574"/>
        <v>-1</v>
      </c>
      <c r="AM752" s="108"/>
    </row>
    <row r="753" spans="3:39" x14ac:dyDescent="0.55000000000000004">
      <c r="C753" s="104" t="str">
        <f>$V$55</f>
        <v>Óscar</v>
      </c>
      <c r="D753" s="108">
        <f t="shared" ref="D753:S753" si="576">D55</f>
        <v>0</v>
      </c>
      <c r="E753" s="108">
        <f t="shared" si="576"/>
        <v>0</v>
      </c>
      <c r="F753" s="108">
        <f t="shared" si="576"/>
        <v>0</v>
      </c>
      <c r="G753" s="108">
        <f t="shared" si="576"/>
        <v>0</v>
      </c>
      <c r="H753" s="108">
        <f t="shared" si="576"/>
        <v>0</v>
      </c>
      <c r="I753" s="108">
        <f t="shared" si="576"/>
        <v>0</v>
      </c>
      <c r="J753" s="108">
        <f t="shared" si="576"/>
        <v>0</v>
      </c>
      <c r="K753" s="108">
        <f t="shared" si="576"/>
        <v>0</v>
      </c>
      <c r="L753" s="108">
        <f t="shared" si="576"/>
        <v>0</v>
      </c>
      <c r="M753" s="108">
        <f t="shared" si="576"/>
        <v>0</v>
      </c>
      <c r="N753" s="108">
        <f t="shared" si="576"/>
        <v>0</v>
      </c>
      <c r="O753" s="108">
        <f t="shared" si="576"/>
        <v>0</v>
      </c>
      <c r="P753" s="108">
        <f t="shared" si="576"/>
        <v>0</v>
      </c>
      <c r="Q753" s="108">
        <f t="shared" si="576"/>
        <v>0</v>
      </c>
      <c r="R753" s="108">
        <f t="shared" si="576"/>
        <v>0</v>
      </c>
      <c r="S753" s="108">
        <f t="shared" si="576"/>
        <v>0</v>
      </c>
      <c r="T753" s="28" t="s">
        <v>26</v>
      </c>
      <c r="V753" s="104" t="str">
        <f>$V$55</f>
        <v>Óscar</v>
      </c>
      <c r="W753" s="108">
        <f t="shared" si="559"/>
        <v>-1</v>
      </c>
      <c r="X753" s="108">
        <f t="shared" si="560"/>
        <v>-1</v>
      </c>
      <c r="Y753" s="108">
        <f t="shared" si="561"/>
        <v>-1</v>
      </c>
      <c r="Z753" s="108">
        <f t="shared" si="562"/>
        <v>-1</v>
      </c>
      <c r="AA753" s="108">
        <f t="shared" si="563"/>
        <v>0</v>
      </c>
      <c r="AB753" s="108">
        <f t="shared" si="564"/>
        <v>0</v>
      </c>
      <c r="AC753" s="108">
        <f t="shared" si="565"/>
        <v>-1</v>
      </c>
      <c r="AD753" s="108">
        <f t="shared" si="566"/>
        <v>-1</v>
      </c>
      <c r="AE753" s="108">
        <f t="shared" si="567"/>
        <v>-1</v>
      </c>
      <c r="AF753" s="108">
        <f t="shared" si="568"/>
        <v>-1</v>
      </c>
      <c r="AG753" s="108">
        <f t="shared" si="569"/>
        <v>-1</v>
      </c>
      <c r="AH753" s="108">
        <f t="shared" si="570"/>
        <v>-1</v>
      </c>
      <c r="AI753" s="108">
        <f t="shared" si="571"/>
        <v>-1</v>
      </c>
      <c r="AJ753" s="108">
        <f t="shared" si="572"/>
        <v>-1</v>
      </c>
      <c r="AK753" s="108">
        <f t="shared" si="573"/>
        <v>-1</v>
      </c>
      <c r="AL753" s="108">
        <f t="shared" si="574"/>
        <v>-1</v>
      </c>
      <c r="AM753" s="108"/>
    </row>
    <row r="754" spans="3:39" x14ac:dyDescent="0.55000000000000004">
      <c r="C754" s="104" t="str">
        <f>$V$56</f>
        <v>Sebastián</v>
      </c>
      <c r="D754" s="108">
        <f t="shared" ref="D754:S754" si="577">D56</f>
        <v>0</v>
      </c>
      <c r="E754" s="108">
        <f t="shared" si="577"/>
        <v>0</v>
      </c>
      <c r="F754" s="108">
        <f t="shared" si="577"/>
        <v>0</v>
      </c>
      <c r="G754" s="108">
        <f t="shared" si="577"/>
        <v>0</v>
      </c>
      <c r="H754" s="108">
        <f t="shared" si="577"/>
        <v>0</v>
      </c>
      <c r="I754" s="108">
        <f t="shared" si="577"/>
        <v>0</v>
      </c>
      <c r="J754" s="108">
        <f t="shared" si="577"/>
        <v>0</v>
      </c>
      <c r="K754" s="108">
        <f t="shared" si="577"/>
        <v>0</v>
      </c>
      <c r="L754" s="108">
        <f t="shared" si="577"/>
        <v>0</v>
      </c>
      <c r="M754" s="108">
        <f t="shared" si="577"/>
        <v>0</v>
      </c>
      <c r="N754" s="108">
        <f t="shared" si="577"/>
        <v>0</v>
      </c>
      <c r="O754" s="108">
        <f t="shared" si="577"/>
        <v>0</v>
      </c>
      <c r="P754" s="108">
        <f t="shared" si="577"/>
        <v>0</v>
      </c>
      <c r="Q754" s="108">
        <f t="shared" si="577"/>
        <v>0</v>
      </c>
      <c r="R754" s="108">
        <f t="shared" si="577"/>
        <v>0</v>
      </c>
      <c r="S754" s="108">
        <f t="shared" si="577"/>
        <v>0</v>
      </c>
      <c r="T754" s="28" t="s">
        <v>26</v>
      </c>
      <c r="V754" s="104" t="str">
        <f>$V$56</f>
        <v>Sebastián</v>
      </c>
      <c r="W754" s="108">
        <f t="shared" si="559"/>
        <v>-1</v>
      </c>
      <c r="X754" s="108">
        <f t="shared" si="560"/>
        <v>-1</v>
      </c>
      <c r="Y754" s="108">
        <f t="shared" si="561"/>
        <v>-1</v>
      </c>
      <c r="Z754" s="108">
        <f t="shared" si="562"/>
        <v>0</v>
      </c>
      <c r="AA754" s="108">
        <f t="shared" si="563"/>
        <v>0</v>
      </c>
      <c r="AB754" s="108">
        <f t="shared" si="564"/>
        <v>-1</v>
      </c>
      <c r="AC754" s="108">
        <f t="shared" si="565"/>
        <v>-1</v>
      </c>
      <c r="AD754" s="108">
        <f t="shared" si="566"/>
        <v>-1</v>
      </c>
      <c r="AE754" s="108">
        <f t="shared" si="567"/>
        <v>-1</v>
      </c>
      <c r="AF754" s="108">
        <f t="shared" si="568"/>
        <v>-1</v>
      </c>
      <c r="AG754" s="108">
        <f t="shared" si="569"/>
        <v>-1</v>
      </c>
      <c r="AH754" s="108">
        <f t="shared" si="570"/>
        <v>-1</v>
      </c>
      <c r="AI754" s="108">
        <f t="shared" si="571"/>
        <v>-1</v>
      </c>
      <c r="AJ754" s="108">
        <f t="shared" si="572"/>
        <v>-1</v>
      </c>
      <c r="AK754" s="108">
        <f t="shared" si="573"/>
        <v>-1</v>
      </c>
      <c r="AL754" s="108">
        <f t="shared" si="574"/>
        <v>-1</v>
      </c>
      <c r="AM754" s="108"/>
    </row>
    <row r="755" spans="3:39" x14ac:dyDescent="0.55000000000000004">
      <c r="C755" s="104" t="str">
        <f>$V$57</f>
        <v>Marcos</v>
      </c>
      <c r="D755" s="108">
        <f t="shared" ref="D755:S755" si="578">D57</f>
        <v>0</v>
      </c>
      <c r="E755" s="108">
        <f t="shared" si="578"/>
        <v>0</v>
      </c>
      <c r="F755" s="108">
        <f t="shared" si="578"/>
        <v>0</v>
      </c>
      <c r="G755" s="108">
        <f t="shared" si="578"/>
        <v>0</v>
      </c>
      <c r="H755" s="108">
        <f t="shared" si="578"/>
        <v>0</v>
      </c>
      <c r="I755" s="108">
        <f t="shared" si="578"/>
        <v>0</v>
      </c>
      <c r="J755" s="108">
        <f t="shared" si="578"/>
        <v>0</v>
      </c>
      <c r="K755" s="108">
        <f t="shared" si="578"/>
        <v>0</v>
      </c>
      <c r="L755" s="108">
        <f t="shared" si="578"/>
        <v>0</v>
      </c>
      <c r="M755" s="108">
        <f t="shared" si="578"/>
        <v>0</v>
      </c>
      <c r="N755" s="108">
        <f t="shared" si="578"/>
        <v>0</v>
      </c>
      <c r="O755" s="108">
        <f t="shared" si="578"/>
        <v>0</v>
      </c>
      <c r="P755" s="108">
        <f t="shared" si="578"/>
        <v>0</v>
      </c>
      <c r="Q755" s="108">
        <f t="shared" si="578"/>
        <v>0</v>
      </c>
      <c r="R755" s="108">
        <f t="shared" si="578"/>
        <v>0</v>
      </c>
      <c r="S755" s="108">
        <f t="shared" si="578"/>
        <v>0</v>
      </c>
      <c r="T755" s="28" t="s">
        <v>26</v>
      </c>
      <c r="V755" s="104" t="str">
        <f>$V$57</f>
        <v>Marcos</v>
      </c>
      <c r="W755" s="108">
        <f t="shared" si="559"/>
        <v>-1</v>
      </c>
      <c r="X755" s="108">
        <f t="shared" si="560"/>
        <v>-1</v>
      </c>
      <c r="Y755" s="108">
        <f t="shared" si="561"/>
        <v>-1</v>
      </c>
      <c r="Z755" s="108">
        <f t="shared" si="562"/>
        <v>-1</v>
      </c>
      <c r="AA755" s="108">
        <f t="shared" si="563"/>
        <v>-1</v>
      </c>
      <c r="AB755" s="108">
        <f t="shared" si="564"/>
        <v>-1</v>
      </c>
      <c r="AC755" s="108">
        <f t="shared" si="565"/>
        <v>-1</v>
      </c>
      <c r="AD755" s="108">
        <f t="shared" si="566"/>
        <v>-1</v>
      </c>
      <c r="AE755" s="108">
        <f t="shared" si="567"/>
        <v>-1</v>
      </c>
      <c r="AF755" s="108">
        <f t="shared" si="568"/>
        <v>-1</v>
      </c>
      <c r="AG755" s="108">
        <f t="shared" si="569"/>
        <v>-1</v>
      </c>
      <c r="AH755" s="108">
        <f t="shared" si="570"/>
        <v>-1</v>
      </c>
      <c r="AI755" s="108">
        <f t="shared" si="571"/>
        <v>-1</v>
      </c>
      <c r="AJ755" s="108">
        <f t="shared" si="572"/>
        <v>-1</v>
      </c>
      <c r="AK755" s="108">
        <f t="shared" si="573"/>
        <v>-1</v>
      </c>
      <c r="AL755" s="108">
        <f t="shared" si="574"/>
        <v>-1</v>
      </c>
      <c r="AM755" s="108"/>
    </row>
    <row r="756" spans="3:39" x14ac:dyDescent="0.55000000000000004">
      <c r="C756" s="104" t="str">
        <f>$V$58</f>
        <v>Weixin</v>
      </c>
      <c r="D756" s="108">
        <f t="shared" ref="D756:S756" si="579">D58</f>
        <v>0</v>
      </c>
      <c r="E756" s="108">
        <f t="shared" si="579"/>
        <v>0</v>
      </c>
      <c r="F756" s="108">
        <f t="shared" si="579"/>
        <v>0</v>
      </c>
      <c r="G756" s="108">
        <f t="shared" si="579"/>
        <v>0</v>
      </c>
      <c r="H756" s="108">
        <f t="shared" si="579"/>
        <v>0</v>
      </c>
      <c r="I756" s="108">
        <f t="shared" si="579"/>
        <v>0</v>
      </c>
      <c r="J756" s="108">
        <f t="shared" si="579"/>
        <v>0</v>
      </c>
      <c r="K756" s="108">
        <f t="shared" si="579"/>
        <v>0</v>
      </c>
      <c r="L756" s="108">
        <f t="shared" si="579"/>
        <v>0</v>
      </c>
      <c r="M756" s="108">
        <f t="shared" si="579"/>
        <v>0</v>
      </c>
      <c r="N756" s="108">
        <f t="shared" si="579"/>
        <v>0</v>
      </c>
      <c r="O756" s="108">
        <f t="shared" si="579"/>
        <v>0</v>
      </c>
      <c r="P756" s="108">
        <f t="shared" si="579"/>
        <v>0</v>
      </c>
      <c r="Q756" s="108">
        <f t="shared" si="579"/>
        <v>0</v>
      </c>
      <c r="R756" s="108">
        <f t="shared" si="579"/>
        <v>0</v>
      </c>
      <c r="S756" s="108">
        <f t="shared" si="579"/>
        <v>0</v>
      </c>
      <c r="T756" s="28" t="s">
        <v>26</v>
      </c>
      <c r="V756" s="104" t="str">
        <f>$V$58</f>
        <v>Weixin</v>
      </c>
      <c r="W756" s="108">
        <f t="shared" si="559"/>
        <v>-1</v>
      </c>
      <c r="X756" s="108">
        <f t="shared" si="560"/>
        <v>-1</v>
      </c>
      <c r="Y756" s="108">
        <f t="shared" si="561"/>
        <v>-1</v>
      </c>
      <c r="Z756" s="108">
        <f t="shared" si="562"/>
        <v>-1</v>
      </c>
      <c r="AA756" s="108">
        <f t="shared" si="563"/>
        <v>0</v>
      </c>
      <c r="AB756" s="108">
        <f t="shared" si="564"/>
        <v>0</v>
      </c>
      <c r="AC756" s="108">
        <f t="shared" si="565"/>
        <v>-1</v>
      </c>
      <c r="AD756" s="108">
        <f t="shared" si="566"/>
        <v>-1</v>
      </c>
      <c r="AE756" s="108">
        <f t="shared" si="567"/>
        <v>-1</v>
      </c>
      <c r="AF756" s="108">
        <f t="shared" si="568"/>
        <v>-1</v>
      </c>
      <c r="AG756" s="108">
        <f t="shared" si="569"/>
        <v>-1</v>
      </c>
      <c r="AH756" s="108">
        <f t="shared" si="570"/>
        <v>-1</v>
      </c>
      <c r="AI756" s="108">
        <f t="shared" si="571"/>
        <v>-1</v>
      </c>
      <c r="AJ756" s="108">
        <f t="shared" si="572"/>
        <v>-1</v>
      </c>
      <c r="AK756" s="108">
        <f t="shared" si="573"/>
        <v>-1</v>
      </c>
      <c r="AL756" s="108">
        <f t="shared" si="574"/>
        <v>-1</v>
      </c>
      <c r="AM756" s="108"/>
    </row>
    <row r="757" spans="3:39" x14ac:dyDescent="0.55000000000000004">
      <c r="C757" s="104" t="str">
        <f>$V$59</f>
        <v>Benjamin</v>
      </c>
      <c r="D757" s="108">
        <f t="shared" ref="D757:S757" si="580">D59</f>
        <v>0</v>
      </c>
      <c r="E757" s="108">
        <f t="shared" si="580"/>
        <v>0</v>
      </c>
      <c r="F757" s="108">
        <f t="shared" si="580"/>
        <v>0</v>
      </c>
      <c r="G757" s="108">
        <f t="shared" si="580"/>
        <v>0</v>
      </c>
      <c r="H757" s="108">
        <f t="shared" si="580"/>
        <v>0</v>
      </c>
      <c r="I757" s="108">
        <f t="shared" si="580"/>
        <v>0</v>
      </c>
      <c r="J757" s="108">
        <f t="shared" si="580"/>
        <v>0</v>
      </c>
      <c r="K757" s="108">
        <f t="shared" si="580"/>
        <v>0</v>
      </c>
      <c r="L757" s="108">
        <f t="shared" si="580"/>
        <v>0</v>
      </c>
      <c r="M757" s="108">
        <f t="shared" si="580"/>
        <v>0</v>
      </c>
      <c r="N757" s="108">
        <f t="shared" si="580"/>
        <v>0</v>
      </c>
      <c r="O757" s="108">
        <f t="shared" si="580"/>
        <v>0</v>
      </c>
      <c r="P757" s="108">
        <f t="shared" si="580"/>
        <v>0</v>
      </c>
      <c r="Q757" s="108">
        <f t="shared" si="580"/>
        <v>0</v>
      </c>
      <c r="R757" s="108">
        <f t="shared" si="580"/>
        <v>0</v>
      </c>
      <c r="S757" s="108">
        <f t="shared" si="580"/>
        <v>0</v>
      </c>
      <c r="T757" s="28" t="s">
        <v>26</v>
      </c>
      <c r="V757" s="104" t="str">
        <f>$V$59</f>
        <v>Benjamin</v>
      </c>
      <c r="W757" s="108">
        <f t="shared" si="559"/>
        <v>-1</v>
      </c>
      <c r="X757" s="108">
        <f t="shared" si="560"/>
        <v>-1</v>
      </c>
      <c r="Y757" s="108">
        <f t="shared" si="561"/>
        <v>-1</v>
      </c>
      <c r="Z757" s="108">
        <f t="shared" si="562"/>
        <v>-1</v>
      </c>
      <c r="AA757" s="108">
        <f t="shared" si="563"/>
        <v>-1</v>
      </c>
      <c r="AB757" s="108">
        <f t="shared" si="564"/>
        <v>-1</v>
      </c>
      <c r="AC757" s="108">
        <f t="shared" si="565"/>
        <v>-1</v>
      </c>
      <c r="AD757" s="108">
        <f t="shared" si="566"/>
        <v>-1</v>
      </c>
      <c r="AE757" s="108">
        <f t="shared" si="567"/>
        <v>-1</v>
      </c>
      <c r="AF757" s="108">
        <f t="shared" si="568"/>
        <v>-1</v>
      </c>
      <c r="AG757" s="108">
        <f t="shared" si="569"/>
        <v>-1</v>
      </c>
      <c r="AH757" s="108">
        <f t="shared" si="570"/>
        <v>-1</v>
      </c>
      <c r="AI757" s="108">
        <f t="shared" si="571"/>
        <v>-1</v>
      </c>
      <c r="AJ757" s="108">
        <f t="shared" si="572"/>
        <v>-1</v>
      </c>
      <c r="AK757" s="108">
        <f t="shared" si="573"/>
        <v>-1</v>
      </c>
      <c r="AL757" s="108">
        <f t="shared" si="574"/>
        <v>-1</v>
      </c>
      <c r="AM757" s="108"/>
    </row>
    <row r="758" spans="3:39" x14ac:dyDescent="0.55000000000000004">
      <c r="C758" s="104" t="str">
        <f>$V$60</f>
        <v>Joelle</v>
      </c>
      <c r="D758" s="108">
        <f t="shared" ref="D758:S758" si="581">D60</f>
        <v>0</v>
      </c>
      <c r="E758" s="108">
        <f t="shared" si="581"/>
        <v>0</v>
      </c>
      <c r="F758" s="108">
        <f t="shared" si="581"/>
        <v>0</v>
      </c>
      <c r="G758" s="108">
        <f t="shared" si="581"/>
        <v>0</v>
      </c>
      <c r="H758" s="108">
        <f t="shared" si="581"/>
        <v>0</v>
      </c>
      <c r="I758" s="108">
        <f t="shared" si="581"/>
        <v>0</v>
      </c>
      <c r="J758" s="108">
        <f t="shared" si="581"/>
        <v>0</v>
      </c>
      <c r="K758" s="108">
        <f t="shared" si="581"/>
        <v>0</v>
      </c>
      <c r="L758" s="108">
        <f t="shared" si="581"/>
        <v>0</v>
      </c>
      <c r="M758" s="108">
        <f t="shared" si="581"/>
        <v>0</v>
      </c>
      <c r="N758" s="108">
        <f t="shared" si="581"/>
        <v>0</v>
      </c>
      <c r="O758" s="108">
        <f t="shared" si="581"/>
        <v>0</v>
      </c>
      <c r="P758" s="108">
        <f t="shared" si="581"/>
        <v>0</v>
      </c>
      <c r="Q758" s="108">
        <f t="shared" si="581"/>
        <v>0</v>
      </c>
      <c r="R758" s="108">
        <f t="shared" si="581"/>
        <v>0</v>
      </c>
      <c r="S758" s="108">
        <f t="shared" si="581"/>
        <v>0</v>
      </c>
      <c r="T758" s="28" t="s">
        <v>26</v>
      </c>
      <c r="V758" s="104" t="str">
        <f>$V$60</f>
        <v>Joelle</v>
      </c>
      <c r="W758" s="108">
        <f t="shared" si="559"/>
        <v>-1</v>
      </c>
      <c r="X758" s="108">
        <f t="shared" si="560"/>
        <v>-1</v>
      </c>
      <c r="Y758" s="108">
        <f t="shared" si="561"/>
        <v>-1</v>
      </c>
      <c r="Z758" s="108">
        <f t="shared" si="562"/>
        <v>-1</v>
      </c>
      <c r="AA758" s="108">
        <f t="shared" si="563"/>
        <v>-1</v>
      </c>
      <c r="AB758" s="108">
        <f t="shared" si="564"/>
        <v>-1</v>
      </c>
      <c r="AC758" s="108">
        <f t="shared" si="565"/>
        <v>-1</v>
      </c>
      <c r="AD758" s="108">
        <f t="shared" si="566"/>
        <v>-1</v>
      </c>
      <c r="AE758" s="108">
        <f t="shared" si="567"/>
        <v>-1</v>
      </c>
      <c r="AF758" s="108">
        <f t="shared" si="568"/>
        <v>-1</v>
      </c>
      <c r="AG758" s="108">
        <f t="shared" si="569"/>
        <v>-1</v>
      </c>
      <c r="AH758" s="108">
        <f t="shared" si="570"/>
        <v>-1</v>
      </c>
      <c r="AI758" s="108">
        <f t="shared" si="571"/>
        <v>-1</v>
      </c>
      <c r="AJ758" s="108">
        <f t="shared" si="572"/>
        <v>-1</v>
      </c>
      <c r="AK758" s="108">
        <f t="shared" si="573"/>
        <v>-1</v>
      </c>
      <c r="AL758" s="108">
        <f t="shared" si="574"/>
        <v>-1</v>
      </c>
      <c r="AM758" s="108"/>
    </row>
    <row r="759" spans="3:39" x14ac:dyDescent="0.55000000000000004">
      <c r="C759" s="104" t="str">
        <f>$V$61</f>
        <v>Alexia</v>
      </c>
      <c r="D759" s="108">
        <f t="shared" ref="D759:S759" si="582">D61</f>
        <v>0</v>
      </c>
      <c r="E759" s="108">
        <f t="shared" si="582"/>
        <v>0</v>
      </c>
      <c r="F759" s="108">
        <f t="shared" si="582"/>
        <v>0</v>
      </c>
      <c r="G759" s="108">
        <f t="shared" si="582"/>
        <v>0</v>
      </c>
      <c r="H759" s="108">
        <f t="shared" si="582"/>
        <v>0</v>
      </c>
      <c r="I759" s="108">
        <f t="shared" si="582"/>
        <v>0</v>
      </c>
      <c r="J759" s="108">
        <f t="shared" si="582"/>
        <v>0</v>
      </c>
      <c r="K759" s="108">
        <f t="shared" si="582"/>
        <v>0</v>
      </c>
      <c r="L759" s="108">
        <f t="shared" si="582"/>
        <v>0</v>
      </c>
      <c r="M759" s="108">
        <f t="shared" si="582"/>
        <v>0</v>
      </c>
      <c r="N759" s="108">
        <f t="shared" si="582"/>
        <v>0</v>
      </c>
      <c r="O759" s="108">
        <f t="shared" si="582"/>
        <v>0</v>
      </c>
      <c r="P759" s="108">
        <f t="shared" si="582"/>
        <v>0</v>
      </c>
      <c r="Q759" s="108">
        <f t="shared" si="582"/>
        <v>0</v>
      </c>
      <c r="R759" s="108">
        <f t="shared" si="582"/>
        <v>0</v>
      </c>
      <c r="S759" s="108">
        <f t="shared" si="582"/>
        <v>0</v>
      </c>
      <c r="T759" s="28" t="s">
        <v>26</v>
      </c>
      <c r="V759" s="104" t="str">
        <f>$V$61</f>
        <v>Alexia</v>
      </c>
      <c r="W759" s="108">
        <f t="shared" si="559"/>
        <v>-1</v>
      </c>
      <c r="X759" s="108">
        <f t="shared" si="560"/>
        <v>-1</v>
      </c>
      <c r="Y759" s="108">
        <f t="shared" si="561"/>
        <v>-1</v>
      </c>
      <c r="Z759" s="108">
        <f t="shared" si="562"/>
        <v>-1</v>
      </c>
      <c r="AA759" s="108">
        <f t="shared" si="563"/>
        <v>-1</v>
      </c>
      <c r="AB759" s="108">
        <f t="shared" si="564"/>
        <v>-1</v>
      </c>
      <c r="AC759" s="108">
        <f t="shared" si="565"/>
        <v>-1</v>
      </c>
      <c r="AD759" s="108">
        <f t="shared" si="566"/>
        <v>-1</v>
      </c>
      <c r="AE759" s="108">
        <f t="shared" si="567"/>
        <v>-1</v>
      </c>
      <c r="AF759" s="108">
        <f t="shared" si="568"/>
        <v>-1</v>
      </c>
      <c r="AG759" s="108">
        <f t="shared" si="569"/>
        <v>-1</v>
      </c>
      <c r="AH759" s="108">
        <f t="shared" si="570"/>
        <v>-1</v>
      </c>
      <c r="AI759" s="108">
        <f t="shared" si="571"/>
        <v>-1</v>
      </c>
      <c r="AJ759" s="108">
        <f t="shared" si="572"/>
        <v>-1</v>
      </c>
      <c r="AK759" s="108">
        <f t="shared" si="573"/>
        <v>-1</v>
      </c>
      <c r="AL759" s="108">
        <f t="shared" si="574"/>
        <v>-1</v>
      </c>
      <c r="AM759" s="108"/>
    </row>
    <row r="760" spans="3:39" x14ac:dyDescent="0.55000000000000004">
      <c r="C760" s="104" t="str">
        <f>$V$62</f>
        <v>Joao</v>
      </c>
      <c r="D760" s="108">
        <f t="shared" ref="D760:S760" si="583">D62</f>
        <v>0</v>
      </c>
      <c r="E760" s="108">
        <f t="shared" si="583"/>
        <v>0</v>
      </c>
      <c r="F760" s="108">
        <f t="shared" si="583"/>
        <v>0</v>
      </c>
      <c r="G760" s="108">
        <f t="shared" si="583"/>
        <v>0</v>
      </c>
      <c r="H760" s="108">
        <f t="shared" si="583"/>
        <v>0</v>
      </c>
      <c r="I760" s="108">
        <f t="shared" si="583"/>
        <v>0</v>
      </c>
      <c r="J760" s="108">
        <f t="shared" si="583"/>
        <v>0</v>
      </c>
      <c r="K760" s="108">
        <f t="shared" si="583"/>
        <v>0</v>
      </c>
      <c r="L760" s="108">
        <f t="shared" si="583"/>
        <v>0</v>
      </c>
      <c r="M760" s="108">
        <f t="shared" si="583"/>
        <v>0</v>
      </c>
      <c r="N760" s="108">
        <f t="shared" si="583"/>
        <v>0</v>
      </c>
      <c r="O760" s="108">
        <f t="shared" si="583"/>
        <v>0</v>
      </c>
      <c r="P760" s="108">
        <f t="shared" si="583"/>
        <v>0</v>
      </c>
      <c r="Q760" s="108">
        <f t="shared" si="583"/>
        <v>0</v>
      </c>
      <c r="R760" s="108">
        <f t="shared" si="583"/>
        <v>0</v>
      </c>
      <c r="S760" s="108">
        <f t="shared" si="583"/>
        <v>0</v>
      </c>
      <c r="T760" s="28" t="s">
        <v>26</v>
      </c>
      <c r="V760" s="104" t="str">
        <f>$V$62</f>
        <v>Joao</v>
      </c>
      <c r="W760" s="108">
        <f t="shared" si="559"/>
        <v>-1</v>
      </c>
      <c r="X760" s="108">
        <f t="shared" si="560"/>
        <v>-1</v>
      </c>
      <c r="Y760" s="108">
        <f t="shared" si="561"/>
        <v>-1</v>
      </c>
      <c r="Z760" s="108">
        <f t="shared" si="562"/>
        <v>-1</v>
      </c>
      <c r="AA760" s="108">
        <f t="shared" si="563"/>
        <v>-1</v>
      </c>
      <c r="AB760" s="108">
        <f t="shared" si="564"/>
        <v>-1</v>
      </c>
      <c r="AC760" s="108">
        <f t="shared" si="565"/>
        <v>-1</v>
      </c>
      <c r="AD760" s="108">
        <f t="shared" si="566"/>
        <v>-1</v>
      </c>
      <c r="AE760" s="108">
        <f t="shared" si="567"/>
        <v>-1</v>
      </c>
      <c r="AF760" s="108">
        <f t="shared" si="568"/>
        <v>-1</v>
      </c>
      <c r="AG760" s="108">
        <f t="shared" si="569"/>
        <v>-1</v>
      </c>
      <c r="AH760" s="108">
        <f t="shared" si="570"/>
        <v>-1</v>
      </c>
      <c r="AI760" s="108">
        <f t="shared" si="571"/>
        <v>-1</v>
      </c>
      <c r="AJ760" s="108">
        <f t="shared" si="572"/>
        <v>-1</v>
      </c>
      <c r="AK760" s="108">
        <f t="shared" si="573"/>
        <v>-1</v>
      </c>
      <c r="AL760" s="108">
        <f t="shared" si="574"/>
        <v>-1</v>
      </c>
      <c r="AM760" s="108"/>
    </row>
    <row r="761" spans="3:39" x14ac:dyDescent="0.55000000000000004">
      <c r="C761" s="104" t="str">
        <f>$V$63</f>
        <v>Maxime</v>
      </c>
      <c r="D761" s="108">
        <f t="shared" ref="D761:S761" si="584">D63</f>
        <v>0</v>
      </c>
      <c r="E761" s="108">
        <f t="shared" si="584"/>
        <v>0</v>
      </c>
      <c r="F761" s="108">
        <f t="shared" si="584"/>
        <v>0</v>
      </c>
      <c r="G761" s="108">
        <f t="shared" si="584"/>
        <v>0</v>
      </c>
      <c r="H761" s="108">
        <f t="shared" si="584"/>
        <v>0</v>
      </c>
      <c r="I761" s="108">
        <f t="shared" si="584"/>
        <v>0</v>
      </c>
      <c r="J761" s="108">
        <f t="shared" si="584"/>
        <v>0</v>
      </c>
      <c r="K761" s="108">
        <f t="shared" si="584"/>
        <v>0</v>
      </c>
      <c r="L761" s="108">
        <f t="shared" si="584"/>
        <v>0</v>
      </c>
      <c r="M761" s="108">
        <f t="shared" si="584"/>
        <v>0</v>
      </c>
      <c r="N761" s="108">
        <f t="shared" si="584"/>
        <v>0</v>
      </c>
      <c r="O761" s="108">
        <f t="shared" si="584"/>
        <v>0</v>
      </c>
      <c r="P761" s="108">
        <f t="shared" si="584"/>
        <v>0</v>
      </c>
      <c r="Q761" s="108">
        <f t="shared" si="584"/>
        <v>0</v>
      </c>
      <c r="R761" s="108">
        <f t="shared" si="584"/>
        <v>0</v>
      </c>
      <c r="S761" s="108">
        <f t="shared" si="584"/>
        <v>0</v>
      </c>
      <c r="T761" s="28" t="s">
        <v>26</v>
      </c>
      <c r="V761" s="104" t="str">
        <f>$V$63</f>
        <v>Maxime</v>
      </c>
      <c r="W761" s="108">
        <f t="shared" si="559"/>
        <v>-1</v>
      </c>
      <c r="X761" s="108">
        <f t="shared" si="560"/>
        <v>-1</v>
      </c>
      <c r="Y761" s="108">
        <f t="shared" si="561"/>
        <v>-1</v>
      </c>
      <c r="Z761" s="108">
        <f t="shared" si="562"/>
        <v>-1</v>
      </c>
      <c r="AA761" s="108">
        <f t="shared" si="563"/>
        <v>-1</v>
      </c>
      <c r="AB761" s="108">
        <f t="shared" si="564"/>
        <v>-1</v>
      </c>
      <c r="AC761" s="108">
        <f t="shared" si="565"/>
        <v>-1</v>
      </c>
      <c r="AD761" s="108">
        <f t="shared" si="566"/>
        <v>-1</v>
      </c>
      <c r="AE761" s="108">
        <f t="shared" si="567"/>
        <v>-1</v>
      </c>
      <c r="AF761" s="108">
        <f t="shared" si="568"/>
        <v>-1</v>
      </c>
      <c r="AG761" s="108">
        <f t="shared" si="569"/>
        <v>-1</v>
      </c>
      <c r="AH761" s="108">
        <f t="shared" si="570"/>
        <v>-1</v>
      </c>
      <c r="AI761" s="108">
        <f t="shared" si="571"/>
        <v>-1</v>
      </c>
      <c r="AJ761" s="108">
        <f t="shared" si="572"/>
        <v>-1</v>
      </c>
      <c r="AK761" s="108">
        <f t="shared" si="573"/>
        <v>-1</v>
      </c>
      <c r="AL761" s="108">
        <f t="shared" si="574"/>
        <v>-1</v>
      </c>
      <c r="AM761" s="108"/>
    </row>
    <row r="762" spans="3:39" x14ac:dyDescent="0.55000000000000004">
      <c r="C762" s="104" t="str">
        <f>$V$64</f>
        <v>Alex</v>
      </c>
      <c r="D762" s="108">
        <f t="shared" ref="D762:S762" si="585">D64</f>
        <v>0</v>
      </c>
      <c r="E762" s="108">
        <f t="shared" si="585"/>
        <v>0</v>
      </c>
      <c r="F762" s="108">
        <f t="shared" si="585"/>
        <v>0</v>
      </c>
      <c r="G762" s="108">
        <f t="shared" si="585"/>
        <v>0</v>
      </c>
      <c r="H762" s="108">
        <f t="shared" si="585"/>
        <v>0</v>
      </c>
      <c r="I762" s="108">
        <f t="shared" si="585"/>
        <v>0</v>
      </c>
      <c r="J762" s="108">
        <f t="shared" si="585"/>
        <v>0</v>
      </c>
      <c r="K762" s="108">
        <f t="shared" si="585"/>
        <v>0</v>
      </c>
      <c r="L762" s="108">
        <f t="shared" si="585"/>
        <v>0</v>
      </c>
      <c r="M762" s="108">
        <f t="shared" si="585"/>
        <v>0</v>
      </c>
      <c r="N762" s="108">
        <f t="shared" si="585"/>
        <v>0</v>
      </c>
      <c r="O762" s="108">
        <f t="shared" si="585"/>
        <v>0</v>
      </c>
      <c r="P762" s="108">
        <f t="shared" si="585"/>
        <v>0</v>
      </c>
      <c r="Q762" s="108">
        <f t="shared" si="585"/>
        <v>0</v>
      </c>
      <c r="R762" s="108">
        <f t="shared" si="585"/>
        <v>0</v>
      </c>
      <c r="S762" s="108">
        <f t="shared" si="585"/>
        <v>0</v>
      </c>
      <c r="T762" s="28" t="s">
        <v>26</v>
      </c>
      <c r="V762" s="104" t="str">
        <f>$V$64</f>
        <v>Alex</v>
      </c>
      <c r="W762" s="108">
        <f t="shared" si="559"/>
        <v>-1</v>
      </c>
      <c r="X762" s="108">
        <f t="shared" si="560"/>
        <v>-1</v>
      </c>
      <c r="Y762" s="108">
        <f t="shared" si="561"/>
        <v>-1</v>
      </c>
      <c r="Z762" s="108">
        <f t="shared" si="562"/>
        <v>-1</v>
      </c>
      <c r="AA762" s="108">
        <f t="shared" si="563"/>
        <v>-1</v>
      </c>
      <c r="AB762" s="108">
        <f t="shared" si="564"/>
        <v>-1</v>
      </c>
      <c r="AC762" s="108">
        <f t="shared" si="565"/>
        <v>-1</v>
      </c>
      <c r="AD762" s="108">
        <f t="shared" si="566"/>
        <v>-1</v>
      </c>
      <c r="AE762" s="108">
        <f t="shared" si="567"/>
        <v>-1</v>
      </c>
      <c r="AF762" s="108">
        <f t="shared" si="568"/>
        <v>-1</v>
      </c>
      <c r="AG762" s="108">
        <f t="shared" si="569"/>
        <v>-1</v>
      </c>
      <c r="AH762" s="108">
        <f t="shared" si="570"/>
        <v>-1</v>
      </c>
      <c r="AI762" s="108">
        <f t="shared" si="571"/>
        <v>-1</v>
      </c>
      <c r="AJ762" s="108">
        <f t="shared" si="572"/>
        <v>-1</v>
      </c>
      <c r="AK762" s="108">
        <f t="shared" si="573"/>
        <v>-1</v>
      </c>
      <c r="AL762" s="108">
        <f t="shared" si="574"/>
        <v>-1</v>
      </c>
      <c r="AM762" s="108"/>
    </row>
    <row r="763" spans="3:39" x14ac:dyDescent="0.55000000000000004">
      <c r="C763" s="104" t="str">
        <f>$V$65</f>
        <v>Alyssa</v>
      </c>
      <c r="D763" s="108">
        <f t="shared" ref="D763:S763" si="586">D65</f>
        <v>0</v>
      </c>
      <c r="E763" s="108">
        <f t="shared" si="586"/>
        <v>0</v>
      </c>
      <c r="F763" s="108">
        <f t="shared" si="586"/>
        <v>0</v>
      </c>
      <c r="G763" s="108">
        <f t="shared" si="586"/>
        <v>0</v>
      </c>
      <c r="H763" s="108">
        <f t="shared" si="586"/>
        <v>0</v>
      </c>
      <c r="I763" s="108">
        <f t="shared" si="586"/>
        <v>0</v>
      </c>
      <c r="J763" s="108">
        <f t="shared" si="586"/>
        <v>0</v>
      </c>
      <c r="K763" s="108">
        <f t="shared" si="586"/>
        <v>0</v>
      </c>
      <c r="L763" s="108">
        <f t="shared" si="586"/>
        <v>0</v>
      </c>
      <c r="M763" s="108">
        <f t="shared" si="586"/>
        <v>0</v>
      </c>
      <c r="N763" s="108">
        <f t="shared" si="586"/>
        <v>0</v>
      </c>
      <c r="O763" s="108">
        <f t="shared" si="586"/>
        <v>0</v>
      </c>
      <c r="P763" s="108">
        <f t="shared" si="586"/>
        <v>0</v>
      </c>
      <c r="Q763" s="108">
        <f t="shared" si="586"/>
        <v>0</v>
      </c>
      <c r="R763" s="108">
        <f t="shared" si="586"/>
        <v>0</v>
      </c>
      <c r="S763" s="108">
        <f t="shared" si="586"/>
        <v>0</v>
      </c>
      <c r="T763" s="28" t="s">
        <v>26</v>
      </c>
      <c r="V763" s="104" t="str">
        <f>$V$65</f>
        <v>Alyssa</v>
      </c>
      <c r="W763" s="108">
        <f t="shared" si="559"/>
        <v>-1</v>
      </c>
      <c r="X763" s="108">
        <f t="shared" si="560"/>
        <v>-1</v>
      </c>
      <c r="Y763" s="108">
        <f t="shared" si="561"/>
        <v>-1</v>
      </c>
      <c r="Z763" s="108">
        <f t="shared" si="562"/>
        <v>-1</v>
      </c>
      <c r="AA763" s="108">
        <f t="shared" si="563"/>
        <v>-1</v>
      </c>
      <c r="AB763" s="108">
        <f t="shared" si="564"/>
        <v>-1</v>
      </c>
      <c r="AC763" s="108">
        <f t="shared" si="565"/>
        <v>-1</v>
      </c>
      <c r="AD763" s="108">
        <f t="shared" si="566"/>
        <v>-1</v>
      </c>
      <c r="AE763" s="108">
        <f t="shared" si="567"/>
        <v>-1</v>
      </c>
      <c r="AF763" s="108">
        <f t="shared" si="568"/>
        <v>-1</v>
      </c>
      <c r="AG763" s="108">
        <f t="shared" si="569"/>
        <v>-1</v>
      </c>
      <c r="AH763" s="108">
        <f t="shared" si="570"/>
        <v>-1</v>
      </c>
      <c r="AI763" s="108">
        <f t="shared" si="571"/>
        <v>-1</v>
      </c>
      <c r="AJ763" s="108">
        <f t="shared" si="572"/>
        <v>-1</v>
      </c>
      <c r="AK763" s="108">
        <f t="shared" si="573"/>
        <v>-1</v>
      </c>
      <c r="AL763" s="108">
        <f t="shared" si="574"/>
        <v>-1</v>
      </c>
      <c r="AM763" s="108"/>
    </row>
    <row r="764" spans="3:39" x14ac:dyDescent="0.55000000000000004">
      <c r="C764" s="104" t="str">
        <f>$V$66</f>
        <v>Amanda</v>
      </c>
      <c r="D764" s="108">
        <f t="shared" ref="D764:S764" si="587">D66</f>
        <v>0</v>
      </c>
      <c r="E764" s="108">
        <f t="shared" si="587"/>
        <v>0</v>
      </c>
      <c r="F764" s="108">
        <f t="shared" si="587"/>
        <v>0</v>
      </c>
      <c r="G764" s="108">
        <f t="shared" si="587"/>
        <v>0</v>
      </c>
      <c r="H764" s="108">
        <f t="shared" si="587"/>
        <v>0</v>
      </c>
      <c r="I764" s="108">
        <f t="shared" si="587"/>
        <v>0</v>
      </c>
      <c r="J764" s="108">
        <f t="shared" si="587"/>
        <v>0</v>
      </c>
      <c r="K764" s="108">
        <f t="shared" si="587"/>
        <v>0</v>
      </c>
      <c r="L764" s="108">
        <f t="shared" si="587"/>
        <v>0</v>
      </c>
      <c r="M764" s="108">
        <f t="shared" si="587"/>
        <v>0</v>
      </c>
      <c r="N764" s="108">
        <f t="shared" si="587"/>
        <v>0</v>
      </c>
      <c r="O764" s="108">
        <f t="shared" si="587"/>
        <v>0</v>
      </c>
      <c r="P764" s="108">
        <f t="shared" si="587"/>
        <v>0</v>
      </c>
      <c r="Q764" s="108">
        <f t="shared" si="587"/>
        <v>0</v>
      </c>
      <c r="R764" s="108">
        <f t="shared" si="587"/>
        <v>0</v>
      </c>
      <c r="S764" s="108">
        <f t="shared" si="587"/>
        <v>0</v>
      </c>
      <c r="T764" s="28" t="s">
        <v>26</v>
      </c>
      <c r="V764" s="104" t="str">
        <f>$V$66</f>
        <v>Amanda</v>
      </c>
      <c r="W764" s="108">
        <f t="shared" si="559"/>
        <v>-1</v>
      </c>
      <c r="X764" s="108">
        <f t="shared" si="560"/>
        <v>-1</v>
      </c>
      <c r="Y764" s="108">
        <f t="shared" si="561"/>
        <v>-1</v>
      </c>
      <c r="Z764" s="108">
        <f t="shared" si="562"/>
        <v>-1</v>
      </c>
      <c r="AA764" s="108">
        <f t="shared" si="563"/>
        <v>-1</v>
      </c>
      <c r="AB764" s="108">
        <f t="shared" si="564"/>
        <v>-1</v>
      </c>
      <c r="AC764" s="108">
        <f t="shared" si="565"/>
        <v>-1</v>
      </c>
      <c r="AD764" s="108">
        <f t="shared" si="566"/>
        <v>-1</v>
      </c>
      <c r="AE764" s="108">
        <f t="shared" si="567"/>
        <v>-1</v>
      </c>
      <c r="AF764" s="108">
        <f t="shared" si="568"/>
        <v>-1</v>
      </c>
      <c r="AG764" s="108">
        <f t="shared" si="569"/>
        <v>-1</v>
      </c>
      <c r="AH764" s="108">
        <f t="shared" si="570"/>
        <v>-1</v>
      </c>
      <c r="AI764" s="108">
        <f t="shared" si="571"/>
        <v>-1</v>
      </c>
      <c r="AJ764" s="108">
        <f t="shared" si="572"/>
        <v>-1</v>
      </c>
      <c r="AK764" s="108">
        <f t="shared" si="573"/>
        <v>-1</v>
      </c>
      <c r="AL764" s="108">
        <f t="shared" si="574"/>
        <v>-1</v>
      </c>
      <c r="AM764" s="108"/>
    </row>
    <row r="765" spans="3:39" x14ac:dyDescent="0.55000000000000004">
      <c r="C765" s="104" t="str">
        <f>$V$67</f>
        <v>Antoine</v>
      </c>
      <c r="D765" s="108">
        <f t="shared" ref="D765:S765" si="588">D67</f>
        <v>0</v>
      </c>
      <c r="E765" s="108">
        <f t="shared" si="588"/>
        <v>0</v>
      </c>
      <c r="F765" s="108">
        <f t="shared" si="588"/>
        <v>0</v>
      </c>
      <c r="G765" s="108">
        <f t="shared" si="588"/>
        <v>0</v>
      </c>
      <c r="H765" s="108">
        <f t="shared" si="588"/>
        <v>0</v>
      </c>
      <c r="I765" s="108">
        <f t="shared" si="588"/>
        <v>0</v>
      </c>
      <c r="J765" s="108">
        <f t="shared" si="588"/>
        <v>0</v>
      </c>
      <c r="K765" s="108">
        <f t="shared" si="588"/>
        <v>0</v>
      </c>
      <c r="L765" s="108">
        <f t="shared" si="588"/>
        <v>0</v>
      </c>
      <c r="M765" s="108">
        <f t="shared" si="588"/>
        <v>0</v>
      </c>
      <c r="N765" s="108">
        <f t="shared" si="588"/>
        <v>0</v>
      </c>
      <c r="O765" s="108">
        <f t="shared" si="588"/>
        <v>0</v>
      </c>
      <c r="P765" s="108">
        <f t="shared" si="588"/>
        <v>0</v>
      </c>
      <c r="Q765" s="108">
        <f t="shared" si="588"/>
        <v>0</v>
      </c>
      <c r="R765" s="108">
        <f t="shared" si="588"/>
        <v>0</v>
      </c>
      <c r="S765" s="108">
        <f t="shared" si="588"/>
        <v>0</v>
      </c>
      <c r="T765" s="28" t="s">
        <v>26</v>
      </c>
      <c r="V765" s="104" t="str">
        <f>$V$67</f>
        <v>Antoine</v>
      </c>
      <c r="W765" s="108">
        <f t="shared" si="559"/>
        <v>-1</v>
      </c>
      <c r="X765" s="108">
        <f t="shared" si="560"/>
        <v>-1</v>
      </c>
      <c r="Y765" s="108">
        <f t="shared" si="561"/>
        <v>-1</v>
      </c>
      <c r="Z765" s="108">
        <f t="shared" si="562"/>
        <v>-1</v>
      </c>
      <c r="AA765" s="108">
        <f t="shared" si="563"/>
        <v>-1</v>
      </c>
      <c r="AB765" s="108">
        <f t="shared" si="564"/>
        <v>-1</v>
      </c>
      <c r="AC765" s="108">
        <f t="shared" si="565"/>
        <v>-1</v>
      </c>
      <c r="AD765" s="108">
        <f t="shared" si="566"/>
        <v>-1</v>
      </c>
      <c r="AE765" s="108">
        <f t="shared" si="567"/>
        <v>-1</v>
      </c>
      <c r="AF765" s="108">
        <f t="shared" si="568"/>
        <v>-1</v>
      </c>
      <c r="AG765" s="108">
        <f t="shared" si="569"/>
        <v>-1</v>
      </c>
      <c r="AH765" s="108">
        <f t="shared" si="570"/>
        <v>-1</v>
      </c>
      <c r="AI765" s="108">
        <f t="shared" si="571"/>
        <v>-1</v>
      </c>
      <c r="AJ765" s="108">
        <f t="shared" si="572"/>
        <v>-1</v>
      </c>
      <c r="AK765" s="108">
        <f t="shared" si="573"/>
        <v>-1</v>
      </c>
      <c r="AL765" s="108">
        <f t="shared" si="574"/>
        <v>-1</v>
      </c>
      <c r="AM765" s="108"/>
    </row>
    <row r="766" spans="3:39" x14ac:dyDescent="0.55000000000000004">
      <c r="C766" s="104" t="str">
        <f>$V$68</f>
        <v>Beatriz</v>
      </c>
      <c r="D766" s="108">
        <f t="shared" ref="D766:S766" si="589">D68</f>
        <v>0</v>
      </c>
      <c r="E766" s="108">
        <f t="shared" si="589"/>
        <v>0</v>
      </c>
      <c r="F766" s="108">
        <f t="shared" si="589"/>
        <v>0</v>
      </c>
      <c r="G766" s="108">
        <f t="shared" si="589"/>
        <v>0</v>
      </c>
      <c r="H766" s="108">
        <f t="shared" si="589"/>
        <v>0</v>
      </c>
      <c r="I766" s="108">
        <f t="shared" si="589"/>
        <v>0</v>
      </c>
      <c r="J766" s="108">
        <f t="shared" si="589"/>
        <v>0</v>
      </c>
      <c r="K766" s="108">
        <f t="shared" si="589"/>
        <v>0</v>
      </c>
      <c r="L766" s="108">
        <f t="shared" si="589"/>
        <v>0</v>
      </c>
      <c r="M766" s="108">
        <f t="shared" si="589"/>
        <v>0</v>
      </c>
      <c r="N766" s="108">
        <f t="shared" si="589"/>
        <v>0</v>
      </c>
      <c r="O766" s="108">
        <f t="shared" si="589"/>
        <v>0</v>
      </c>
      <c r="P766" s="108">
        <f t="shared" si="589"/>
        <v>0</v>
      </c>
      <c r="Q766" s="108">
        <f t="shared" si="589"/>
        <v>0</v>
      </c>
      <c r="R766" s="108">
        <f t="shared" si="589"/>
        <v>0</v>
      </c>
      <c r="S766" s="108">
        <f t="shared" si="589"/>
        <v>0</v>
      </c>
      <c r="T766" s="28" t="s">
        <v>26</v>
      </c>
      <c r="V766" s="104" t="str">
        <f>$V$68</f>
        <v>Beatriz</v>
      </c>
      <c r="W766" s="108">
        <f t="shared" si="559"/>
        <v>-1</v>
      </c>
      <c r="X766" s="108">
        <f t="shared" si="560"/>
        <v>-1</v>
      </c>
      <c r="Y766" s="108">
        <f t="shared" si="561"/>
        <v>-1</v>
      </c>
      <c r="Z766" s="108">
        <f t="shared" si="562"/>
        <v>-1</v>
      </c>
      <c r="AA766" s="108">
        <f t="shared" si="563"/>
        <v>-1</v>
      </c>
      <c r="AB766" s="108">
        <f t="shared" si="564"/>
        <v>-1</v>
      </c>
      <c r="AC766" s="108">
        <f t="shared" si="565"/>
        <v>-1</v>
      </c>
      <c r="AD766" s="108">
        <f t="shared" si="566"/>
        <v>-1</v>
      </c>
      <c r="AE766" s="108">
        <f t="shared" si="567"/>
        <v>-1</v>
      </c>
      <c r="AF766" s="108">
        <f t="shared" si="568"/>
        <v>-1</v>
      </c>
      <c r="AG766" s="108">
        <f t="shared" si="569"/>
        <v>-1</v>
      </c>
      <c r="AH766" s="108">
        <f t="shared" si="570"/>
        <v>-1</v>
      </c>
      <c r="AI766" s="108">
        <f t="shared" si="571"/>
        <v>-1</v>
      </c>
      <c r="AJ766" s="108">
        <f t="shared" si="572"/>
        <v>-1</v>
      </c>
      <c r="AK766" s="108">
        <f t="shared" si="573"/>
        <v>-1</v>
      </c>
      <c r="AL766" s="108">
        <f t="shared" si="574"/>
        <v>-1</v>
      </c>
      <c r="AM766" s="108"/>
    </row>
    <row r="767" spans="3:39" x14ac:dyDescent="0.55000000000000004">
      <c r="C767" s="104" t="str">
        <f>$V$69</f>
        <v>Charelle</v>
      </c>
      <c r="D767" s="108">
        <f t="shared" ref="D767:S767" si="590">D69</f>
        <v>0</v>
      </c>
      <c r="E767" s="108">
        <f t="shared" si="590"/>
        <v>0</v>
      </c>
      <c r="F767" s="108">
        <f t="shared" si="590"/>
        <v>0</v>
      </c>
      <c r="G767" s="108">
        <f t="shared" si="590"/>
        <v>0</v>
      </c>
      <c r="H767" s="108">
        <f t="shared" si="590"/>
        <v>0</v>
      </c>
      <c r="I767" s="108">
        <f t="shared" si="590"/>
        <v>0</v>
      </c>
      <c r="J767" s="108">
        <f t="shared" si="590"/>
        <v>0</v>
      </c>
      <c r="K767" s="108">
        <f t="shared" si="590"/>
        <v>0</v>
      </c>
      <c r="L767" s="108">
        <f t="shared" si="590"/>
        <v>0</v>
      </c>
      <c r="M767" s="108">
        <f t="shared" si="590"/>
        <v>0</v>
      </c>
      <c r="N767" s="108">
        <f t="shared" si="590"/>
        <v>0</v>
      </c>
      <c r="O767" s="108">
        <f t="shared" si="590"/>
        <v>0</v>
      </c>
      <c r="P767" s="108">
        <f t="shared" si="590"/>
        <v>0</v>
      </c>
      <c r="Q767" s="108">
        <f t="shared" si="590"/>
        <v>0</v>
      </c>
      <c r="R767" s="108">
        <f t="shared" si="590"/>
        <v>0</v>
      </c>
      <c r="S767" s="108">
        <f t="shared" si="590"/>
        <v>0</v>
      </c>
      <c r="T767" s="28" t="s">
        <v>26</v>
      </c>
      <c r="V767" s="104" t="str">
        <f>$V$69</f>
        <v>Charelle</v>
      </c>
      <c r="W767" s="108">
        <f t="shared" si="559"/>
        <v>-1</v>
      </c>
      <c r="X767" s="108">
        <f t="shared" si="560"/>
        <v>-1</v>
      </c>
      <c r="Y767" s="108">
        <f t="shared" si="561"/>
        <v>-1</v>
      </c>
      <c r="Z767" s="108">
        <f t="shared" si="562"/>
        <v>-3</v>
      </c>
      <c r="AA767" s="108">
        <f t="shared" si="563"/>
        <v>-3</v>
      </c>
      <c r="AB767" s="108">
        <f t="shared" si="564"/>
        <v>-1</v>
      </c>
      <c r="AC767" s="108">
        <f t="shared" si="565"/>
        <v>-1</v>
      </c>
      <c r="AD767" s="108">
        <f t="shared" si="566"/>
        <v>-1</v>
      </c>
      <c r="AE767" s="108">
        <f t="shared" si="567"/>
        <v>-1</v>
      </c>
      <c r="AF767" s="108">
        <f t="shared" si="568"/>
        <v>-1</v>
      </c>
      <c r="AG767" s="108">
        <f t="shared" si="569"/>
        <v>-1</v>
      </c>
      <c r="AH767" s="108">
        <f t="shared" si="570"/>
        <v>-1</v>
      </c>
      <c r="AI767" s="108">
        <f t="shared" si="571"/>
        <v>-1</v>
      </c>
      <c r="AJ767" s="108">
        <f t="shared" si="572"/>
        <v>-1</v>
      </c>
      <c r="AK767" s="108">
        <f t="shared" si="573"/>
        <v>-1</v>
      </c>
      <c r="AL767" s="108">
        <f t="shared" si="574"/>
        <v>-1</v>
      </c>
      <c r="AM767" s="108"/>
    </row>
    <row r="768" spans="3:39" x14ac:dyDescent="0.55000000000000004">
      <c r="C768" s="104" t="str">
        <f>$V$70</f>
        <v>Dimitri</v>
      </c>
      <c r="D768" s="108">
        <f t="shared" ref="D768:S768" si="591">D70</f>
        <v>0</v>
      </c>
      <c r="E768" s="108">
        <f t="shared" si="591"/>
        <v>0</v>
      </c>
      <c r="F768" s="108">
        <f t="shared" si="591"/>
        <v>0</v>
      </c>
      <c r="G768" s="108">
        <f t="shared" si="591"/>
        <v>0</v>
      </c>
      <c r="H768" s="108">
        <f t="shared" si="591"/>
        <v>0</v>
      </c>
      <c r="I768" s="108">
        <f t="shared" si="591"/>
        <v>0</v>
      </c>
      <c r="J768" s="108">
        <f t="shared" si="591"/>
        <v>0</v>
      </c>
      <c r="K768" s="108">
        <f t="shared" si="591"/>
        <v>0</v>
      </c>
      <c r="L768" s="108">
        <f t="shared" si="591"/>
        <v>0</v>
      </c>
      <c r="M768" s="108">
        <f t="shared" si="591"/>
        <v>0</v>
      </c>
      <c r="N768" s="108">
        <f t="shared" si="591"/>
        <v>0</v>
      </c>
      <c r="O768" s="108">
        <f t="shared" si="591"/>
        <v>0</v>
      </c>
      <c r="P768" s="108">
        <f t="shared" si="591"/>
        <v>0</v>
      </c>
      <c r="Q768" s="108">
        <f t="shared" si="591"/>
        <v>0</v>
      </c>
      <c r="R768" s="108">
        <f t="shared" si="591"/>
        <v>0</v>
      </c>
      <c r="S768" s="108">
        <f t="shared" si="591"/>
        <v>0</v>
      </c>
      <c r="T768" s="28" t="s">
        <v>26</v>
      </c>
      <c r="V768" s="104" t="str">
        <f>$V$70</f>
        <v>Dimitri</v>
      </c>
      <c r="W768" s="108">
        <f t="shared" si="559"/>
        <v>-1</v>
      </c>
      <c r="X768" s="108">
        <f t="shared" si="560"/>
        <v>-1</v>
      </c>
      <c r="Y768" s="108">
        <f t="shared" si="561"/>
        <v>-1</v>
      </c>
      <c r="Z768" s="108">
        <f t="shared" si="562"/>
        <v>-1</v>
      </c>
      <c r="AA768" s="108">
        <f t="shared" si="563"/>
        <v>-1</v>
      </c>
      <c r="AB768" s="108">
        <f t="shared" si="564"/>
        <v>-1</v>
      </c>
      <c r="AC768" s="108">
        <f t="shared" si="565"/>
        <v>-1</v>
      </c>
      <c r="AD768" s="108">
        <f t="shared" si="566"/>
        <v>-1</v>
      </c>
      <c r="AE768" s="108">
        <f t="shared" si="567"/>
        <v>-1</v>
      </c>
      <c r="AF768" s="108">
        <f t="shared" si="568"/>
        <v>-1</v>
      </c>
      <c r="AG768" s="108">
        <f t="shared" si="569"/>
        <v>-1</v>
      </c>
      <c r="AH768" s="108">
        <f t="shared" si="570"/>
        <v>-1</v>
      </c>
      <c r="AI768" s="108">
        <f t="shared" si="571"/>
        <v>-1</v>
      </c>
      <c r="AJ768" s="108">
        <f t="shared" si="572"/>
        <v>-1</v>
      </c>
      <c r="AK768" s="108">
        <f t="shared" si="573"/>
        <v>-1</v>
      </c>
      <c r="AL768" s="108">
        <f t="shared" si="574"/>
        <v>-1</v>
      </c>
      <c r="AM768" s="108"/>
    </row>
    <row r="769" spans="3:39" x14ac:dyDescent="0.55000000000000004">
      <c r="C769" s="104" t="str">
        <f>$V$71</f>
        <v>Marina</v>
      </c>
      <c r="D769" s="108">
        <f t="shared" ref="D769:S769" si="592">D71</f>
        <v>0</v>
      </c>
      <c r="E769" s="108">
        <f t="shared" si="592"/>
        <v>0</v>
      </c>
      <c r="F769" s="108">
        <f t="shared" si="592"/>
        <v>0</v>
      </c>
      <c r="G769" s="108">
        <f t="shared" si="592"/>
        <v>0</v>
      </c>
      <c r="H769" s="108">
        <f t="shared" si="592"/>
        <v>0</v>
      </c>
      <c r="I769" s="108">
        <f t="shared" si="592"/>
        <v>0</v>
      </c>
      <c r="J769" s="108">
        <f t="shared" si="592"/>
        <v>0</v>
      </c>
      <c r="K769" s="108">
        <f t="shared" si="592"/>
        <v>0</v>
      </c>
      <c r="L769" s="108">
        <f t="shared" si="592"/>
        <v>0</v>
      </c>
      <c r="M769" s="108">
        <f t="shared" si="592"/>
        <v>0</v>
      </c>
      <c r="N769" s="108">
        <f t="shared" si="592"/>
        <v>0</v>
      </c>
      <c r="O769" s="108">
        <f t="shared" si="592"/>
        <v>0</v>
      </c>
      <c r="P769" s="108">
        <f t="shared" si="592"/>
        <v>0</v>
      </c>
      <c r="Q769" s="108">
        <f t="shared" si="592"/>
        <v>0</v>
      </c>
      <c r="R769" s="108">
        <f t="shared" si="592"/>
        <v>0</v>
      </c>
      <c r="S769" s="108">
        <f t="shared" si="592"/>
        <v>0</v>
      </c>
      <c r="T769" s="28" t="s">
        <v>26</v>
      </c>
      <c r="V769" s="104" t="str">
        <f>$V$71</f>
        <v>Marina</v>
      </c>
      <c r="W769" s="108">
        <f t="shared" si="559"/>
        <v>-1</v>
      </c>
      <c r="X769" s="108">
        <f t="shared" si="560"/>
        <v>-1</v>
      </c>
      <c r="Y769" s="108">
        <f t="shared" si="561"/>
        <v>-1</v>
      </c>
      <c r="Z769" s="108">
        <f t="shared" si="562"/>
        <v>-1</v>
      </c>
      <c r="AA769" s="108">
        <f t="shared" si="563"/>
        <v>-1</v>
      </c>
      <c r="AB769" s="108">
        <f t="shared" si="564"/>
        <v>-1</v>
      </c>
      <c r="AC769" s="108">
        <f t="shared" si="565"/>
        <v>-1</v>
      </c>
      <c r="AD769" s="108">
        <f t="shared" si="566"/>
        <v>-1</v>
      </c>
      <c r="AE769" s="108">
        <f t="shared" si="567"/>
        <v>-1</v>
      </c>
      <c r="AF769" s="108">
        <f t="shared" si="568"/>
        <v>-1</v>
      </c>
      <c r="AG769" s="108">
        <f t="shared" si="569"/>
        <v>-1</v>
      </c>
      <c r="AH769" s="108">
        <f t="shared" si="570"/>
        <v>-1</v>
      </c>
      <c r="AI769" s="108">
        <f t="shared" si="571"/>
        <v>-1</v>
      </c>
      <c r="AJ769" s="108">
        <f t="shared" si="572"/>
        <v>-1</v>
      </c>
      <c r="AK769" s="108">
        <f t="shared" si="573"/>
        <v>-1</v>
      </c>
      <c r="AL769" s="108">
        <f t="shared" si="574"/>
        <v>-1</v>
      </c>
      <c r="AM769" s="108"/>
    </row>
    <row r="770" spans="3:39" x14ac:dyDescent="0.55000000000000004">
      <c r="C770" s="104" t="str">
        <f>$V$72</f>
        <v>Michel</v>
      </c>
      <c r="D770" s="108">
        <f t="shared" ref="D770:S770" si="593">D72</f>
        <v>0</v>
      </c>
      <c r="E770" s="108">
        <f t="shared" si="593"/>
        <v>0</v>
      </c>
      <c r="F770" s="108">
        <f t="shared" si="593"/>
        <v>0</v>
      </c>
      <c r="G770" s="108">
        <f t="shared" si="593"/>
        <v>0</v>
      </c>
      <c r="H770" s="108">
        <f t="shared" si="593"/>
        <v>0</v>
      </c>
      <c r="I770" s="108">
        <f t="shared" si="593"/>
        <v>0</v>
      </c>
      <c r="J770" s="108">
        <f t="shared" si="593"/>
        <v>0</v>
      </c>
      <c r="K770" s="108">
        <f t="shared" si="593"/>
        <v>0</v>
      </c>
      <c r="L770" s="108">
        <f t="shared" si="593"/>
        <v>0</v>
      </c>
      <c r="M770" s="108">
        <f t="shared" si="593"/>
        <v>0</v>
      </c>
      <c r="N770" s="108">
        <f t="shared" si="593"/>
        <v>0</v>
      </c>
      <c r="O770" s="108">
        <f t="shared" si="593"/>
        <v>0</v>
      </c>
      <c r="P770" s="108">
        <f t="shared" si="593"/>
        <v>0</v>
      </c>
      <c r="Q770" s="108">
        <f t="shared" si="593"/>
        <v>0</v>
      </c>
      <c r="R770" s="108">
        <f t="shared" si="593"/>
        <v>0</v>
      </c>
      <c r="S770" s="108">
        <f t="shared" si="593"/>
        <v>0</v>
      </c>
      <c r="T770" s="28" t="s">
        <v>26</v>
      </c>
      <c r="V770" s="104" t="str">
        <f>$V$72</f>
        <v>Michel</v>
      </c>
      <c r="W770" s="108">
        <f t="shared" si="559"/>
        <v>-1</v>
      </c>
      <c r="X770" s="108">
        <f t="shared" si="560"/>
        <v>-1</v>
      </c>
      <c r="Y770" s="108">
        <f t="shared" si="561"/>
        <v>-1</v>
      </c>
      <c r="Z770" s="108">
        <f t="shared" si="562"/>
        <v>-1</v>
      </c>
      <c r="AA770" s="108">
        <f t="shared" si="563"/>
        <v>-1</v>
      </c>
      <c r="AB770" s="108">
        <f t="shared" si="564"/>
        <v>-1</v>
      </c>
      <c r="AC770" s="108">
        <f t="shared" si="565"/>
        <v>-1</v>
      </c>
      <c r="AD770" s="108">
        <f t="shared" si="566"/>
        <v>-1</v>
      </c>
      <c r="AE770" s="108">
        <f t="shared" si="567"/>
        <v>-1</v>
      </c>
      <c r="AF770" s="108">
        <f t="shared" si="568"/>
        <v>-1</v>
      </c>
      <c r="AG770" s="108">
        <f t="shared" si="569"/>
        <v>-1</v>
      </c>
      <c r="AH770" s="108">
        <f t="shared" si="570"/>
        <v>-1</v>
      </c>
      <c r="AI770" s="108">
        <f t="shared" si="571"/>
        <v>-1</v>
      </c>
      <c r="AJ770" s="108">
        <f t="shared" si="572"/>
        <v>-1</v>
      </c>
      <c r="AK770" s="108">
        <f t="shared" si="573"/>
        <v>-1</v>
      </c>
      <c r="AL770" s="108">
        <f t="shared" si="574"/>
        <v>-1</v>
      </c>
      <c r="AM770" s="108"/>
    </row>
    <row r="771" spans="3:39" x14ac:dyDescent="0.55000000000000004">
      <c r="C771" s="104" t="str">
        <f>$V$73</f>
        <v>Nour</v>
      </c>
      <c r="D771" s="108">
        <f t="shared" ref="D771:S771" si="594">D73</f>
        <v>0</v>
      </c>
      <c r="E771" s="108">
        <f t="shared" si="594"/>
        <v>0</v>
      </c>
      <c r="F771" s="108">
        <f t="shared" si="594"/>
        <v>0</v>
      </c>
      <c r="G771" s="108">
        <f t="shared" si="594"/>
        <v>0</v>
      </c>
      <c r="H771" s="108">
        <f t="shared" si="594"/>
        <v>0</v>
      </c>
      <c r="I771" s="108">
        <f t="shared" si="594"/>
        <v>0</v>
      </c>
      <c r="J771" s="108">
        <f t="shared" si="594"/>
        <v>0</v>
      </c>
      <c r="K771" s="108">
        <f t="shared" si="594"/>
        <v>0</v>
      </c>
      <c r="L771" s="108">
        <f t="shared" si="594"/>
        <v>0</v>
      </c>
      <c r="M771" s="108">
        <f t="shared" si="594"/>
        <v>0</v>
      </c>
      <c r="N771" s="108">
        <f t="shared" si="594"/>
        <v>0</v>
      </c>
      <c r="O771" s="108">
        <f t="shared" si="594"/>
        <v>0</v>
      </c>
      <c r="P771" s="108">
        <f t="shared" si="594"/>
        <v>0</v>
      </c>
      <c r="Q771" s="108">
        <f t="shared" si="594"/>
        <v>0</v>
      </c>
      <c r="R771" s="108">
        <f t="shared" si="594"/>
        <v>0</v>
      </c>
      <c r="S771" s="108">
        <f t="shared" si="594"/>
        <v>0</v>
      </c>
      <c r="T771" s="28" t="s">
        <v>26</v>
      </c>
      <c r="V771" s="104" t="str">
        <f>$V$73</f>
        <v>Nour</v>
      </c>
      <c r="W771" s="108">
        <f t="shared" si="559"/>
        <v>-1</v>
      </c>
      <c r="X771" s="108">
        <f t="shared" si="560"/>
        <v>-1</v>
      </c>
      <c r="Y771" s="108">
        <f t="shared" si="561"/>
        <v>-1</v>
      </c>
      <c r="Z771" s="108">
        <f t="shared" si="562"/>
        <v>-1</v>
      </c>
      <c r="AA771" s="108">
        <f t="shared" si="563"/>
        <v>-1</v>
      </c>
      <c r="AB771" s="108">
        <f t="shared" si="564"/>
        <v>-1</v>
      </c>
      <c r="AC771" s="108">
        <f t="shared" si="565"/>
        <v>-1</v>
      </c>
      <c r="AD771" s="108">
        <f t="shared" si="566"/>
        <v>-1</v>
      </c>
      <c r="AE771" s="108">
        <f t="shared" si="567"/>
        <v>-1</v>
      </c>
      <c r="AF771" s="108">
        <f t="shared" si="568"/>
        <v>-1</v>
      </c>
      <c r="AG771" s="108">
        <f t="shared" si="569"/>
        <v>-1</v>
      </c>
      <c r="AH771" s="108">
        <f t="shared" si="570"/>
        <v>-1</v>
      </c>
      <c r="AI771" s="108">
        <f t="shared" si="571"/>
        <v>-1</v>
      </c>
      <c r="AJ771" s="108">
        <f t="shared" si="572"/>
        <v>-1</v>
      </c>
      <c r="AK771" s="108">
        <f t="shared" si="573"/>
        <v>-1</v>
      </c>
      <c r="AL771" s="108">
        <f t="shared" si="574"/>
        <v>-1</v>
      </c>
      <c r="AM771" s="108"/>
    </row>
    <row r="772" spans="3:39" x14ac:dyDescent="0.55000000000000004">
      <c r="C772" s="104" t="str">
        <f>$V$74</f>
        <v>Samuel</v>
      </c>
      <c r="D772" s="108">
        <f t="shared" ref="D772:S772" si="595">D74</f>
        <v>0</v>
      </c>
      <c r="E772" s="108">
        <f t="shared" si="595"/>
        <v>0</v>
      </c>
      <c r="F772" s="108">
        <f t="shared" si="595"/>
        <v>0</v>
      </c>
      <c r="G772" s="108">
        <f t="shared" si="595"/>
        <v>0</v>
      </c>
      <c r="H772" s="108">
        <f t="shared" si="595"/>
        <v>0</v>
      </c>
      <c r="I772" s="108">
        <f t="shared" si="595"/>
        <v>0</v>
      </c>
      <c r="J772" s="108">
        <f t="shared" si="595"/>
        <v>0</v>
      </c>
      <c r="K772" s="108">
        <f t="shared" si="595"/>
        <v>0</v>
      </c>
      <c r="L772" s="108">
        <f t="shared" si="595"/>
        <v>0</v>
      </c>
      <c r="M772" s="108">
        <f t="shared" si="595"/>
        <v>0</v>
      </c>
      <c r="N772" s="108">
        <f t="shared" si="595"/>
        <v>0</v>
      </c>
      <c r="O772" s="108">
        <f t="shared" si="595"/>
        <v>0</v>
      </c>
      <c r="P772" s="108">
        <f t="shared" si="595"/>
        <v>0</v>
      </c>
      <c r="Q772" s="108">
        <f t="shared" si="595"/>
        <v>0</v>
      </c>
      <c r="R772" s="108">
        <f t="shared" si="595"/>
        <v>0</v>
      </c>
      <c r="S772" s="108">
        <f t="shared" si="595"/>
        <v>0</v>
      </c>
      <c r="T772" s="28" t="s">
        <v>26</v>
      </c>
      <c r="V772" s="104" t="str">
        <f>$V$74</f>
        <v>Samuel</v>
      </c>
      <c r="W772" s="108">
        <f t="shared" si="559"/>
        <v>-1</v>
      </c>
      <c r="X772" s="108">
        <f t="shared" si="560"/>
        <v>-1</v>
      </c>
      <c r="Y772" s="108">
        <f t="shared" si="561"/>
        <v>-1</v>
      </c>
      <c r="Z772" s="108">
        <f t="shared" si="562"/>
        <v>-1</v>
      </c>
      <c r="AA772" s="108">
        <f t="shared" si="563"/>
        <v>-1</v>
      </c>
      <c r="AB772" s="108">
        <f t="shared" si="564"/>
        <v>-1</v>
      </c>
      <c r="AC772" s="108">
        <f t="shared" si="565"/>
        <v>-1</v>
      </c>
      <c r="AD772" s="108">
        <f t="shared" si="566"/>
        <v>-1</v>
      </c>
      <c r="AE772" s="108">
        <f t="shared" si="567"/>
        <v>-1</v>
      </c>
      <c r="AF772" s="108">
        <f t="shared" si="568"/>
        <v>-1</v>
      </c>
      <c r="AG772" s="108">
        <f t="shared" si="569"/>
        <v>-1</v>
      </c>
      <c r="AH772" s="108">
        <f t="shared" si="570"/>
        <v>-1</v>
      </c>
      <c r="AI772" s="108">
        <f t="shared" si="571"/>
        <v>-1</v>
      </c>
      <c r="AJ772" s="108">
        <f t="shared" si="572"/>
        <v>-1</v>
      </c>
      <c r="AK772" s="108">
        <f t="shared" si="573"/>
        <v>-1</v>
      </c>
      <c r="AL772" s="108">
        <f t="shared" si="574"/>
        <v>-1</v>
      </c>
      <c r="AM772" s="108"/>
    </row>
    <row r="773" spans="3:39" x14ac:dyDescent="0.55000000000000004">
      <c r="C773" s="104" t="str">
        <f>$V$75</f>
        <v>Yassin</v>
      </c>
      <c r="D773" s="108">
        <f t="shared" ref="D773:S773" si="596">D75</f>
        <v>0</v>
      </c>
      <c r="E773" s="108">
        <f t="shared" si="596"/>
        <v>0</v>
      </c>
      <c r="F773" s="108">
        <f t="shared" si="596"/>
        <v>0</v>
      </c>
      <c r="G773" s="108">
        <f t="shared" si="596"/>
        <v>0</v>
      </c>
      <c r="H773" s="108">
        <f t="shared" si="596"/>
        <v>0</v>
      </c>
      <c r="I773" s="108">
        <f t="shared" si="596"/>
        <v>0</v>
      </c>
      <c r="J773" s="108">
        <f t="shared" si="596"/>
        <v>0</v>
      </c>
      <c r="K773" s="108">
        <f t="shared" si="596"/>
        <v>0</v>
      </c>
      <c r="L773" s="108">
        <f t="shared" si="596"/>
        <v>0</v>
      </c>
      <c r="M773" s="108">
        <f t="shared" si="596"/>
        <v>0</v>
      </c>
      <c r="N773" s="108">
        <f t="shared" si="596"/>
        <v>0</v>
      </c>
      <c r="O773" s="108">
        <f t="shared" si="596"/>
        <v>0</v>
      </c>
      <c r="P773" s="108">
        <f t="shared" si="596"/>
        <v>0</v>
      </c>
      <c r="Q773" s="108">
        <f t="shared" si="596"/>
        <v>0</v>
      </c>
      <c r="R773" s="108">
        <f t="shared" si="596"/>
        <v>0</v>
      </c>
      <c r="S773" s="108">
        <f t="shared" si="596"/>
        <v>0</v>
      </c>
      <c r="T773" s="28" t="s">
        <v>26</v>
      </c>
      <c r="V773" s="104" t="str">
        <f>$V$75</f>
        <v>Yassin</v>
      </c>
      <c r="W773" s="108">
        <f t="shared" si="559"/>
        <v>-1</v>
      </c>
      <c r="X773" s="108">
        <f t="shared" si="560"/>
        <v>-1</v>
      </c>
      <c r="Y773" s="108">
        <f t="shared" si="561"/>
        <v>-1</v>
      </c>
      <c r="Z773" s="108">
        <f t="shared" si="562"/>
        <v>-1</v>
      </c>
      <c r="AA773" s="108">
        <f t="shared" si="563"/>
        <v>-1</v>
      </c>
      <c r="AB773" s="108">
        <f t="shared" si="564"/>
        <v>-1</v>
      </c>
      <c r="AC773" s="108">
        <f t="shared" si="565"/>
        <v>-1</v>
      </c>
      <c r="AD773" s="108">
        <f t="shared" si="566"/>
        <v>-1</v>
      </c>
      <c r="AE773" s="108">
        <f t="shared" si="567"/>
        <v>-1</v>
      </c>
      <c r="AF773" s="108">
        <f t="shared" si="568"/>
        <v>-1</v>
      </c>
      <c r="AG773" s="108">
        <f t="shared" si="569"/>
        <v>-1</v>
      </c>
      <c r="AH773" s="108">
        <f t="shared" si="570"/>
        <v>-1</v>
      </c>
      <c r="AI773" s="108">
        <f t="shared" si="571"/>
        <v>-1</v>
      </c>
      <c r="AJ773" s="108">
        <f t="shared" si="572"/>
        <v>-1</v>
      </c>
      <c r="AK773" s="108">
        <f t="shared" si="573"/>
        <v>-1</v>
      </c>
      <c r="AL773" s="108">
        <f t="shared" si="574"/>
        <v>-1</v>
      </c>
      <c r="AM773" s="108"/>
    </row>
    <row r="774" spans="3:39" x14ac:dyDescent="0.55000000000000004">
      <c r="C774" s="104" t="str">
        <f>$V$76</f>
        <v>Kamar</v>
      </c>
      <c r="D774" s="108">
        <f t="shared" ref="D774:S774" si="597">D76</f>
        <v>0</v>
      </c>
      <c r="E774" s="108">
        <f t="shared" si="597"/>
        <v>0</v>
      </c>
      <c r="F774" s="108">
        <f t="shared" si="597"/>
        <v>0</v>
      </c>
      <c r="G774" s="108">
        <f t="shared" si="597"/>
        <v>0</v>
      </c>
      <c r="H774" s="108">
        <f t="shared" si="597"/>
        <v>0</v>
      </c>
      <c r="I774" s="108">
        <f t="shared" si="597"/>
        <v>0</v>
      </c>
      <c r="J774" s="108">
        <f t="shared" si="597"/>
        <v>0</v>
      </c>
      <c r="K774" s="108">
        <f t="shared" si="597"/>
        <v>0</v>
      </c>
      <c r="L774" s="108">
        <f t="shared" si="597"/>
        <v>0</v>
      </c>
      <c r="M774" s="108">
        <f t="shared" si="597"/>
        <v>0</v>
      </c>
      <c r="N774" s="108">
        <f t="shared" si="597"/>
        <v>0</v>
      </c>
      <c r="O774" s="108">
        <f t="shared" si="597"/>
        <v>0</v>
      </c>
      <c r="P774" s="108">
        <f t="shared" si="597"/>
        <v>0</v>
      </c>
      <c r="Q774" s="108">
        <f t="shared" si="597"/>
        <v>0</v>
      </c>
      <c r="R774" s="108">
        <f t="shared" si="597"/>
        <v>0</v>
      </c>
      <c r="S774" s="108">
        <f t="shared" si="597"/>
        <v>0</v>
      </c>
      <c r="T774" s="28" t="s">
        <v>26</v>
      </c>
      <c r="V774" s="104" t="str">
        <f>$V$76</f>
        <v>Kamar</v>
      </c>
      <c r="W774" s="108">
        <f t="shared" si="559"/>
        <v>-1</v>
      </c>
      <c r="X774" s="108">
        <f t="shared" si="560"/>
        <v>-1</v>
      </c>
      <c r="Y774" s="108">
        <f t="shared" si="561"/>
        <v>-1</v>
      </c>
      <c r="Z774" s="108">
        <f t="shared" si="562"/>
        <v>-1</v>
      </c>
      <c r="AA774" s="108">
        <f t="shared" si="563"/>
        <v>-1</v>
      </c>
      <c r="AB774" s="108">
        <f t="shared" si="564"/>
        <v>-1</v>
      </c>
      <c r="AC774" s="108">
        <f t="shared" si="565"/>
        <v>-1</v>
      </c>
      <c r="AD774" s="108">
        <f t="shared" si="566"/>
        <v>-1</v>
      </c>
      <c r="AE774" s="108">
        <f t="shared" si="567"/>
        <v>-1</v>
      </c>
      <c r="AF774" s="108">
        <f t="shared" si="568"/>
        <v>-1</v>
      </c>
      <c r="AG774" s="108">
        <f t="shared" si="569"/>
        <v>-1</v>
      </c>
      <c r="AH774" s="108">
        <f t="shared" si="570"/>
        <v>-1</v>
      </c>
      <c r="AI774" s="108">
        <f t="shared" si="571"/>
        <v>-1</v>
      </c>
      <c r="AJ774" s="108">
        <f t="shared" si="572"/>
        <v>-1</v>
      </c>
      <c r="AK774" s="108">
        <f t="shared" si="573"/>
        <v>-1</v>
      </c>
      <c r="AL774" s="108">
        <f t="shared" si="574"/>
        <v>-1</v>
      </c>
      <c r="AM774" s="108"/>
    </row>
    <row r="775" spans="3:39" x14ac:dyDescent="0.55000000000000004">
      <c r="C775" s="104" t="str">
        <f>$V$77</f>
        <v>-</v>
      </c>
      <c r="D775" s="108">
        <f t="shared" ref="D775:S775" si="598">D77</f>
        <v>0</v>
      </c>
      <c r="E775" s="108">
        <f t="shared" si="598"/>
        <v>0</v>
      </c>
      <c r="F775" s="108">
        <f t="shared" si="598"/>
        <v>0</v>
      </c>
      <c r="G775" s="108">
        <f t="shared" si="598"/>
        <v>0</v>
      </c>
      <c r="H775" s="108">
        <f t="shared" si="598"/>
        <v>0</v>
      </c>
      <c r="I775" s="108">
        <f t="shared" si="598"/>
        <v>0</v>
      </c>
      <c r="J775" s="108">
        <f t="shared" si="598"/>
        <v>0</v>
      </c>
      <c r="K775" s="108">
        <f t="shared" si="598"/>
        <v>0</v>
      </c>
      <c r="L775" s="108">
        <f t="shared" si="598"/>
        <v>0</v>
      </c>
      <c r="M775" s="108">
        <f t="shared" si="598"/>
        <v>0</v>
      </c>
      <c r="N775" s="108">
        <f t="shared" si="598"/>
        <v>0</v>
      </c>
      <c r="O775" s="108">
        <f t="shared" si="598"/>
        <v>0</v>
      </c>
      <c r="P775" s="108">
        <f t="shared" si="598"/>
        <v>0</v>
      </c>
      <c r="Q775" s="108">
        <f t="shared" si="598"/>
        <v>0</v>
      </c>
      <c r="R775" s="108">
        <f t="shared" si="598"/>
        <v>0</v>
      </c>
      <c r="S775" s="108">
        <f t="shared" si="598"/>
        <v>0</v>
      </c>
      <c r="T775" s="28" t="s">
        <v>26</v>
      </c>
      <c r="V775" s="104" t="str">
        <f>$V$77</f>
        <v>-</v>
      </c>
      <c r="W775" s="108">
        <f t="shared" si="559"/>
        <v>-1</v>
      </c>
      <c r="X775" s="108">
        <f t="shared" si="560"/>
        <v>-1</v>
      </c>
      <c r="Y775" s="108">
        <f t="shared" si="561"/>
        <v>-1</v>
      </c>
      <c r="Z775" s="108">
        <f t="shared" si="562"/>
        <v>-1</v>
      </c>
      <c r="AA775" s="108">
        <f t="shared" si="563"/>
        <v>-1</v>
      </c>
      <c r="AB775" s="108">
        <f t="shared" si="564"/>
        <v>-1</v>
      </c>
      <c r="AC775" s="108">
        <f t="shared" si="565"/>
        <v>-1</v>
      </c>
      <c r="AD775" s="108">
        <f t="shared" si="566"/>
        <v>-1</v>
      </c>
      <c r="AE775" s="108">
        <f t="shared" si="567"/>
        <v>-1</v>
      </c>
      <c r="AF775" s="108">
        <f t="shared" si="568"/>
        <v>-1</v>
      </c>
      <c r="AG775" s="108">
        <f t="shared" si="569"/>
        <v>-1</v>
      </c>
      <c r="AH775" s="108">
        <f t="shared" si="570"/>
        <v>-1</v>
      </c>
      <c r="AI775" s="108">
        <f t="shared" si="571"/>
        <v>-1</v>
      </c>
      <c r="AJ775" s="108">
        <f t="shared" si="572"/>
        <v>-1</v>
      </c>
      <c r="AK775" s="108">
        <f t="shared" si="573"/>
        <v>-1</v>
      </c>
      <c r="AL775" s="108">
        <f t="shared" si="574"/>
        <v>-1</v>
      </c>
      <c r="AM775" s="108"/>
    </row>
    <row r="776" spans="3:39" x14ac:dyDescent="0.55000000000000004">
      <c r="C776" s="104" t="str">
        <f>$V$78</f>
        <v>-</v>
      </c>
      <c r="D776" s="108">
        <f t="shared" ref="D776:S776" si="599">D78</f>
        <v>0</v>
      </c>
      <c r="E776" s="108">
        <f t="shared" si="599"/>
        <v>0</v>
      </c>
      <c r="F776" s="108">
        <f t="shared" si="599"/>
        <v>0</v>
      </c>
      <c r="G776" s="108">
        <f t="shared" si="599"/>
        <v>0</v>
      </c>
      <c r="H776" s="108">
        <f t="shared" si="599"/>
        <v>0</v>
      </c>
      <c r="I776" s="108">
        <f t="shared" si="599"/>
        <v>0</v>
      </c>
      <c r="J776" s="108">
        <f t="shared" si="599"/>
        <v>0</v>
      </c>
      <c r="K776" s="108">
        <f t="shared" si="599"/>
        <v>0</v>
      </c>
      <c r="L776" s="108">
        <f t="shared" si="599"/>
        <v>0</v>
      </c>
      <c r="M776" s="108">
        <f t="shared" si="599"/>
        <v>0</v>
      </c>
      <c r="N776" s="108">
        <f t="shared" si="599"/>
        <v>0</v>
      </c>
      <c r="O776" s="108">
        <f t="shared" si="599"/>
        <v>0</v>
      </c>
      <c r="P776" s="108">
        <f t="shared" si="599"/>
        <v>0</v>
      </c>
      <c r="Q776" s="108">
        <f t="shared" si="599"/>
        <v>0</v>
      </c>
      <c r="R776" s="108">
        <f t="shared" si="599"/>
        <v>0</v>
      </c>
      <c r="S776" s="108">
        <f t="shared" si="599"/>
        <v>0</v>
      </c>
      <c r="T776" s="28" t="s">
        <v>26</v>
      </c>
      <c r="V776" s="104" t="str">
        <f>$V$78</f>
        <v>-</v>
      </c>
      <c r="W776" s="108">
        <f t="shared" si="559"/>
        <v>-1</v>
      </c>
      <c r="X776" s="108">
        <f t="shared" si="560"/>
        <v>-1</v>
      </c>
      <c r="Y776" s="108">
        <f t="shared" si="561"/>
        <v>-1</v>
      </c>
      <c r="Z776" s="108">
        <f t="shared" si="562"/>
        <v>-1</v>
      </c>
      <c r="AA776" s="108">
        <f t="shared" si="563"/>
        <v>-1</v>
      </c>
      <c r="AB776" s="108">
        <f t="shared" si="564"/>
        <v>-1</v>
      </c>
      <c r="AC776" s="108">
        <f t="shared" si="565"/>
        <v>-1</v>
      </c>
      <c r="AD776" s="108">
        <f t="shared" si="566"/>
        <v>-1</v>
      </c>
      <c r="AE776" s="108">
        <f t="shared" si="567"/>
        <v>-1</v>
      </c>
      <c r="AF776" s="108">
        <f t="shared" si="568"/>
        <v>-1</v>
      </c>
      <c r="AG776" s="108">
        <f t="shared" si="569"/>
        <v>-1</v>
      </c>
      <c r="AH776" s="108">
        <f t="shared" si="570"/>
        <v>-1</v>
      </c>
      <c r="AI776" s="108">
        <f t="shared" si="571"/>
        <v>-1</v>
      </c>
      <c r="AJ776" s="108">
        <f t="shared" si="572"/>
        <v>-1</v>
      </c>
      <c r="AK776" s="108">
        <f t="shared" si="573"/>
        <v>-1</v>
      </c>
      <c r="AL776" s="108">
        <f t="shared" si="574"/>
        <v>-1</v>
      </c>
    </row>
    <row r="777" spans="3:39" x14ac:dyDescent="0.55000000000000004">
      <c r="C777" s="104" t="str">
        <f>$V$79</f>
        <v>-</v>
      </c>
      <c r="D777" s="108">
        <f t="shared" ref="D777:S777" si="600">D79</f>
        <v>0</v>
      </c>
      <c r="E777" s="108">
        <f t="shared" si="600"/>
        <v>0</v>
      </c>
      <c r="F777" s="108">
        <f t="shared" si="600"/>
        <v>0</v>
      </c>
      <c r="G777" s="108">
        <f t="shared" si="600"/>
        <v>0</v>
      </c>
      <c r="H777" s="108">
        <f t="shared" si="600"/>
        <v>0</v>
      </c>
      <c r="I777" s="108">
        <f t="shared" si="600"/>
        <v>0</v>
      </c>
      <c r="J777" s="108">
        <f t="shared" si="600"/>
        <v>0</v>
      </c>
      <c r="K777" s="108">
        <f t="shared" si="600"/>
        <v>0</v>
      </c>
      <c r="L777" s="108">
        <f t="shared" si="600"/>
        <v>0</v>
      </c>
      <c r="M777" s="108">
        <f t="shared" si="600"/>
        <v>0</v>
      </c>
      <c r="N777" s="108">
        <f t="shared" si="600"/>
        <v>0</v>
      </c>
      <c r="O777" s="108">
        <f t="shared" si="600"/>
        <v>0</v>
      </c>
      <c r="P777" s="108">
        <f t="shared" si="600"/>
        <v>0</v>
      </c>
      <c r="Q777" s="108">
        <f t="shared" si="600"/>
        <v>0</v>
      </c>
      <c r="R777" s="108">
        <f t="shared" si="600"/>
        <v>0</v>
      </c>
      <c r="S777" s="108">
        <f t="shared" si="600"/>
        <v>0</v>
      </c>
      <c r="T777" s="28" t="s">
        <v>26</v>
      </c>
      <c r="V777" s="104" t="str">
        <f>$V$79</f>
        <v>-</v>
      </c>
      <c r="W777" s="108">
        <f t="shared" si="559"/>
        <v>-1</v>
      </c>
      <c r="X777" s="108">
        <f t="shared" si="560"/>
        <v>-1</v>
      </c>
      <c r="Y777" s="108">
        <f t="shared" si="561"/>
        <v>-1</v>
      </c>
      <c r="Z777" s="108">
        <f t="shared" si="562"/>
        <v>-1</v>
      </c>
      <c r="AA777" s="108">
        <f t="shared" si="563"/>
        <v>-1</v>
      </c>
      <c r="AB777" s="108">
        <f t="shared" si="564"/>
        <v>-1</v>
      </c>
      <c r="AC777" s="108">
        <f t="shared" si="565"/>
        <v>-1</v>
      </c>
      <c r="AD777" s="108">
        <f t="shared" si="566"/>
        <v>-1</v>
      </c>
      <c r="AE777" s="108">
        <f t="shared" si="567"/>
        <v>-1</v>
      </c>
      <c r="AF777" s="108">
        <f t="shared" si="568"/>
        <v>-1</v>
      </c>
      <c r="AG777" s="108">
        <f t="shared" si="569"/>
        <v>-1</v>
      </c>
      <c r="AH777" s="108">
        <f t="shared" si="570"/>
        <v>-1</v>
      </c>
      <c r="AI777" s="108">
        <f t="shared" si="571"/>
        <v>-1</v>
      </c>
      <c r="AJ777" s="108">
        <f t="shared" si="572"/>
        <v>-1</v>
      </c>
      <c r="AK777" s="108">
        <f t="shared" si="573"/>
        <v>-1</v>
      </c>
      <c r="AL777" s="108">
        <f t="shared" si="574"/>
        <v>-1</v>
      </c>
    </row>
    <row r="778" spans="3:39" x14ac:dyDescent="0.55000000000000004">
      <c r="C778" s="104" t="str">
        <f>$V$80</f>
        <v>-</v>
      </c>
      <c r="D778" s="108">
        <f t="shared" ref="D778:S778" si="601">D80</f>
        <v>0</v>
      </c>
      <c r="E778" s="108">
        <f t="shared" si="601"/>
        <v>0</v>
      </c>
      <c r="F778" s="108">
        <f t="shared" si="601"/>
        <v>0</v>
      </c>
      <c r="G778" s="108">
        <f t="shared" si="601"/>
        <v>0</v>
      </c>
      <c r="H778" s="108">
        <f t="shared" si="601"/>
        <v>0</v>
      </c>
      <c r="I778" s="108">
        <f t="shared" si="601"/>
        <v>0</v>
      </c>
      <c r="J778" s="108">
        <f t="shared" si="601"/>
        <v>0</v>
      </c>
      <c r="K778" s="108">
        <f t="shared" si="601"/>
        <v>0</v>
      </c>
      <c r="L778" s="108">
        <f t="shared" si="601"/>
        <v>0</v>
      </c>
      <c r="M778" s="108">
        <f t="shared" si="601"/>
        <v>0</v>
      </c>
      <c r="N778" s="108">
        <f t="shared" si="601"/>
        <v>0</v>
      </c>
      <c r="O778" s="108">
        <f t="shared" si="601"/>
        <v>0</v>
      </c>
      <c r="P778" s="108">
        <f t="shared" si="601"/>
        <v>0</v>
      </c>
      <c r="Q778" s="108">
        <f t="shared" si="601"/>
        <v>0</v>
      </c>
      <c r="R778" s="108">
        <f t="shared" si="601"/>
        <v>0</v>
      </c>
      <c r="S778" s="108">
        <f t="shared" si="601"/>
        <v>0</v>
      </c>
      <c r="T778" s="28" t="s">
        <v>26</v>
      </c>
      <c r="V778" s="104" t="str">
        <f>$V$80</f>
        <v>-</v>
      </c>
      <c r="W778" s="108">
        <f t="shared" si="559"/>
        <v>-1</v>
      </c>
      <c r="X778" s="108">
        <f t="shared" si="560"/>
        <v>-1</v>
      </c>
      <c r="Y778" s="108">
        <f t="shared" si="561"/>
        <v>-1</v>
      </c>
      <c r="Z778" s="108">
        <f t="shared" si="562"/>
        <v>-1</v>
      </c>
      <c r="AA778" s="108">
        <f t="shared" si="563"/>
        <v>-3</v>
      </c>
      <c r="AB778" s="108">
        <f t="shared" si="564"/>
        <v>-3</v>
      </c>
      <c r="AC778" s="108">
        <f t="shared" si="565"/>
        <v>-1</v>
      </c>
      <c r="AD778" s="108">
        <f t="shared" si="566"/>
        <v>-1</v>
      </c>
      <c r="AE778" s="108">
        <f t="shared" si="567"/>
        <v>-1</v>
      </c>
      <c r="AF778" s="108">
        <f t="shared" si="568"/>
        <v>-1</v>
      </c>
      <c r="AG778" s="108">
        <f t="shared" si="569"/>
        <v>-1</v>
      </c>
      <c r="AH778" s="108">
        <f t="shared" si="570"/>
        <v>-1</v>
      </c>
      <c r="AI778" s="108">
        <f t="shared" si="571"/>
        <v>-1</v>
      </c>
      <c r="AJ778" s="108">
        <f t="shared" si="572"/>
        <v>-1</v>
      </c>
      <c r="AK778" s="108">
        <f t="shared" si="573"/>
        <v>-1</v>
      </c>
      <c r="AL778" s="108">
        <f t="shared" si="574"/>
        <v>-1</v>
      </c>
    </row>
    <row r="779" spans="3:39" x14ac:dyDescent="0.55000000000000004">
      <c r="C779" s="104" t="str">
        <f>$V$81</f>
        <v>-</v>
      </c>
      <c r="D779" s="108">
        <f t="shared" ref="D779:S779" si="602">D81</f>
        <v>0</v>
      </c>
      <c r="E779" s="108">
        <f t="shared" si="602"/>
        <v>0</v>
      </c>
      <c r="F779" s="108">
        <f t="shared" si="602"/>
        <v>0</v>
      </c>
      <c r="G779" s="108">
        <f t="shared" si="602"/>
        <v>0</v>
      </c>
      <c r="H779" s="108">
        <f t="shared" si="602"/>
        <v>0</v>
      </c>
      <c r="I779" s="108">
        <f t="shared" si="602"/>
        <v>0</v>
      </c>
      <c r="J779" s="108">
        <f t="shared" si="602"/>
        <v>0</v>
      </c>
      <c r="K779" s="108">
        <f t="shared" si="602"/>
        <v>0</v>
      </c>
      <c r="L779" s="108">
        <f t="shared" si="602"/>
        <v>0</v>
      </c>
      <c r="M779" s="108">
        <f t="shared" si="602"/>
        <v>0</v>
      </c>
      <c r="N779" s="108">
        <f t="shared" si="602"/>
        <v>0</v>
      </c>
      <c r="O779" s="108">
        <f t="shared" si="602"/>
        <v>0</v>
      </c>
      <c r="P779" s="108">
        <f t="shared" si="602"/>
        <v>0</v>
      </c>
      <c r="Q779" s="108">
        <f t="shared" si="602"/>
        <v>0</v>
      </c>
      <c r="R779" s="108">
        <f t="shared" si="602"/>
        <v>0</v>
      </c>
      <c r="S779" s="108">
        <f t="shared" si="602"/>
        <v>0</v>
      </c>
      <c r="T779" s="28" t="s">
        <v>26</v>
      </c>
      <c r="V779" s="104" t="str">
        <f>$V$81</f>
        <v>-</v>
      </c>
      <c r="W779" s="108">
        <f t="shared" si="559"/>
        <v>-1</v>
      </c>
      <c r="X779" s="108">
        <f t="shared" si="560"/>
        <v>-1</v>
      </c>
      <c r="Y779" s="108">
        <f t="shared" si="561"/>
        <v>-1</v>
      </c>
      <c r="Z779" s="108">
        <f t="shared" si="562"/>
        <v>-1</v>
      </c>
      <c r="AA779" s="108">
        <f t="shared" si="563"/>
        <v>-1</v>
      </c>
      <c r="AB779" s="108">
        <f t="shared" si="564"/>
        <v>-1</v>
      </c>
      <c r="AC779" s="108">
        <f t="shared" si="565"/>
        <v>-1</v>
      </c>
      <c r="AD779" s="108">
        <f t="shared" si="566"/>
        <v>-1</v>
      </c>
      <c r="AE779" s="108">
        <f t="shared" si="567"/>
        <v>-1</v>
      </c>
      <c r="AF779" s="108">
        <f t="shared" si="568"/>
        <v>-1</v>
      </c>
      <c r="AG779" s="108">
        <f t="shared" si="569"/>
        <v>-1</v>
      </c>
      <c r="AH779" s="108">
        <f t="shared" si="570"/>
        <v>-1</v>
      </c>
      <c r="AI779" s="108">
        <f t="shared" si="571"/>
        <v>-1</v>
      </c>
      <c r="AJ779" s="108">
        <f t="shared" si="572"/>
        <v>-1</v>
      </c>
      <c r="AK779" s="108">
        <f t="shared" si="573"/>
        <v>-1</v>
      </c>
      <c r="AL779" s="108">
        <f t="shared" si="574"/>
        <v>-1</v>
      </c>
    </row>
    <row r="780" spans="3:39" x14ac:dyDescent="0.55000000000000004">
      <c r="C780" s="104" t="str">
        <f>$V$82</f>
        <v>-</v>
      </c>
      <c r="D780" s="108">
        <f t="shared" ref="D780:S780" si="603">D82</f>
        <v>0</v>
      </c>
      <c r="E780" s="108">
        <f t="shared" si="603"/>
        <v>0</v>
      </c>
      <c r="F780" s="108">
        <f t="shared" si="603"/>
        <v>0</v>
      </c>
      <c r="G780" s="108">
        <f t="shared" si="603"/>
        <v>0</v>
      </c>
      <c r="H780" s="108">
        <f t="shared" si="603"/>
        <v>0</v>
      </c>
      <c r="I780" s="108">
        <f t="shared" si="603"/>
        <v>0</v>
      </c>
      <c r="J780" s="108">
        <f t="shared" si="603"/>
        <v>0</v>
      </c>
      <c r="K780" s="108">
        <f t="shared" si="603"/>
        <v>0</v>
      </c>
      <c r="L780" s="108">
        <f t="shared" si="603"/>
        <v>0</v>
      </c>
      <c r="M780" s="108">
        <f t="shared" si="603"/>
        <v>0</v>
      </c>
      <c r="N780" s="108">
        <f t="shared" si="603"/>
        <v>0</v>
      </c>
      <c r="O780" s="108">
        <f t="shared" si="603"/>
        <v>0</v>
      </c>
      <c r="P780" s="108">
        <f t="shared" si="603"/>
        <v>0</v>
      </c>
      <c r="Q780" s="108">
        <f t="shared" si="603"/>
        <v>0</v>
      </c>
      <c r="R780" s="108">
        <f t="shared" si="603"/>
        <v>0</v>
      </c>
      <c r="S780" s="108">
        <f t="shared" si="603"/>
        <v>0</v>
      </c>
      <c r="T780" s="28" t="s">
        <v>26</v>
      </c>
      <c r="V780" s="104" t="str">
        <f>$V$82</f>
        <v>-</v>
      </c>
      <c r="W780" s="108">
        <f t="shared" si="559"/>
        <v>-1</v>
      </c>
      <c r="X780" s="108">
        <f t="shared" si="560"/>
        <v>-1</v>
      </c>
      <c r="Y780" s="108">
        <f t="shared" si="561"/>
        <v>-1</v>
      </c>
      <c r="Z780" s="108">
        <f t="shared" si="562"/>
        <v>-1</v>
      </c>
      <c r="AA780" s="108">
        <f t="shared" si="563"/>
        <v>-1</v>
      </c>
      <c r="AB780" s="108">
        <f t="shared" si="564"/>
        <v>-1</v>
      </c>
      <c r="AC780" s="108">
        <f t="shared" si="565"/>
        <v>-1</v>
      </c>
      <c r="AD780" s="108">
        <f t="shared" si="566"/>
        <v>-1</v>
      </c>
      <c r="AE780" s="108">
        <f t="shared" si="567"/>
        <v>-1</v>
      </c>
      <c r="AF780" s="108">
        <f t="shared" si="568"/>
        <v>-1</v>
      </c>
      <c r="AG780" s="108">
        <f t="shared" si="569"/>
        <v>-1</v>
      </c>
      <c r="AH780" s="108">
        <f t="shared" si="570"/>
        <v>-1</v>
      </c>
      <c r="AI780" s="108">
        <f t="shared" si="571"/>
        <v>-1</v>
      </c>
      <c r="AJ780" s="108">
        <f t="shared" si="572"/>
        <v>-1</v>
      </c>
      <c r="AK780" s="108">
        <f t="shared" si="573"/>
        <v>-1</v>
      </c>
      <c r="AL780" s="108">
        <f t="shared" si="574"/>
        <v>-1</v>
      </c>
      <c r="AM780" s="108"/>
    </row>
    <row r="781" spans="3:39" x14ac:dyDescent="0.55000000000000004">
      <c r="C781" s="104" t="str">
        <f>$V$83</f>
        <v>-</v>
      </c>
      <c r="D781" s="108">
        <f t="shared" ref="D781:S781" si="604">D83</f>
        <v>0</v>
      </c>
      <c r="E781" s="108">
        <f t="shared" si="604"/>
        <v>0</v>
      </c>
      <c r="F781" s="108">
        <f t="shared" si="604"/>
        <v>0</v>
      </c>
      <c r="G781" s="108">
        <f t="shared" si="604"/>
        <v>0</v>
      </c>
      <c r="H781" s="108">
        <f t="shared" si="604"/>
        <v>0</v>
      </c>
      <c r="I781" s="108">
        <f t="shared" si="604"/>
        <v>0</v>
      </c>
      <c r="J781" s="108">
        <f t="shared" si="604"/>
        <v>0</v>
      </c>
      <c r="K781" s="108">
        <f t="shared" si="604"/>
        <v>0</v>
      </c>
      <c r="L781" s="108">
        <f t="shared" si="604"/>
        <v>0</v>
      </c>
      <c r="M781" s="108">
        <f t="shared" si="604"/>
        <v>0</v>
      </c>
      <c r="N781" s="108">
        <f t="shared" si="604"/>
        <v>0</v>
      </c>
      <c r="O781" s="108">
        <f t="shared" si="604"/>
        <v>0</v>
      </c>
      <c r="P781" s="108">
        <f t="shared" si="604"/>
        <v>0</v>
      </c>
      <c r="Q781" s="108">
        <f t="shared" si="604"/>
        <v>0</v>
      </c>
      <c r="R781" s="108">
        <f t="shared" si="604"/>
        <v>0</v>
      </c>
      <c r="S781" s="108">
        <f t="shared" si="604"/>
        <v>0</v>
      </c>
      <c r="T781" s="28" t="s">
        <v>26</v>
      </c>
      <c r="V781" s="104" t="str">
        <f>$V$83</f>
        <v>-</v>
      </c>
      <c r="W781" s="108">
        <f t="shared" si="559"/>
        <v>-1</v>
      </c>
      <c r="X781" s="108">
        <f t="shared" si="560"/>
        <v>-1</v>
      </c>
      <c r="Y781" s="108">
        <f t="shared" si="561"/>
        <v>-1</v>
      </c>
      <c r="Z781" s="108">
        <f t="shared" si="562"/>
        <v>-1</v>
      </c>
      <c r="AA781" s="108">
        <f t="shared" si="563"/>
        <v>-1</v>
      </c>
      <c r="AB781" s="108">
        <f t="shared" si="564"/>
        <v>-1</v>
      </c>
      <c r="AC781" s="108">
        <f t="shared" si="565"/>
        <v>-1</v>
      </c>
      <c r="AD781" s="108">
        <f t="shared" si="566"/>
        <v>-1</v>
      </c>
      <c r="AE781" s="108">
        <f t="shared" si="567"/>
        <v>-1</v>
      </c>
      <c r="AF781" s="108">
        <f t="shared" si="568"/>
        <v>-1</v>
      </c>
      <c r="AG781" s="108">
        <f t="shared" si="569"/>
        <v>-1</v>
      </c>
      <c r="AH781" s="108">
        <f t="shared" si="570"/>
        <v>-1</v>
      </c>
      <c r="AI781" s="108">
        <f t="shared" si="571"/>
        <v>-1</v>
      </c>
      <c r="AJ781" s="108">
        <f t="shared" si="572"/>
        <v>-1</v>
      </c>
      <c r="AK781" s="108">
        <f t="shared" si="573"/>
        <v>-1</v>
      </c>
      <c r="AL781" s="108">
        <f t="shared" si="574"/>
        <v>-1</v>
      </c>
      <c r="AM781" s="108"/>
    </row>
    <row r="782" spans="3:39" x14ac:dyDescent="0.55000000000000004">
      <c r="C782" s="104" t="str">
        <f>$V$84</f>
        <v>-</v>
      </c>
      <c r="D782" s="108">
        <f t="shared" ref="D782:S782" si="605">D84</f>
        <v>0</v>
      </c>
      <c r="E782" s="108">
        <f t="shared" si="605"/>
        <v>0</v>
      </c>
      <c r="F782" s="108">
        <f t="shared" si="605"/>
        <v>0</v>
      </c>
      <c r="G782" s="108">
        <f t="shared" si="605"/>
        <v>0</v>
      </c>
      <c r="H782" s="108">
        <f t="shared" si="605"/>
        <v>0</v>
      </c>
      <c r="I782" s="108">
        <f t="shared" si="605"/>
        <v>0</v>
      </c>
      <c r="J782" s="108">
        <f t="shared" si="605"/>
        <v>0</v>
      </c>
      <c r="K782" s="108">
        <f t="shared" si="605"/>
        <v>0</v>
      </c>
      <c r="L782" s="108">
        <f t="shared" si="605"/>
        <v>0</v>
      </c>
      <c r="M782" s="108">
        <f t="shared" si="605"/>
        <v>0</v>
      </c>
      <c r="N782" s="108">
        <f t="shared" si="605"/>
        <v>0</v>
      </c>
      <c r="O782" s="108">
        <f t="shared" si="605"/>
        <v>0</v>
      </c>
      <c r="P782" s="108">
        <f t="shared" si="605"/>
        <v>0</v>
      </c>
      <c r="Q782" s="108">
        <f t="shared" si="605"/>
        <v>0</v>
      </c>
      <c r="R782" s="108">
        <f t="shared" si="605"/>
        <v>0</v>
      </c>
      <c r="S782" s="108">
        <f t="shared" si="605"/>
        <v>0</v>
      </c>
      <c r="T782" s="28" t="s">
        <v>26</v>
      </c>
      <c r="V782" s="104" t="str">
        <f>$V$84</f>
        <v>-</v>
      </c>
      <c r="W782" s="108">
        <f t="shared" si="559"/>
        <v>-1</v>
      </c>
      <c r="X782" s="108">
        <f t="shared" si="560"/>
        <v>-1</v>
      </c>
      <c r="Y782" s="108">
        <f t="shared" si="561"/>
        <v>-1</v>
      </c>
      <c r="Z782" s="108">
        <f t="shared" si="562"/>
        <v>-1</v>
      </c>
      <c r="AA782" s="108">
        <f t="shared" si="563"/>
        <v>-1</v>
      </c>
      <c r="AB782" s="108">
        <f t="shared" si="564"/>
        <v>-1</v>
      </c>
      <c r="AC782" s="108">
        <f t="shared" si="565"/>
        <v>-1</v>
      </c>
      <c r="AD782" s="108">
        <f t="shared" si="566"/>
        <v>-1</v>
      </c>
      <c r="AE782" s="108">
        <f t="shared" si="567"/>
        <v>-1</v>
      </c>
      <c r="AF782" s="108">
        <f t="shared" si="568"/>
        <v>-1</v>
      </c>
      <c r="AG782" s="108">
        <f t="shared" si="569"/>
        <v>-1</v>
      </c>
      <c r="AH782" s="108">
        <f t="shared" si="570"/>
        <v>-1</v>
      </c>
      <c r="AI782" s="108">
        <f t="shared" si="571"/>
        <v>-1</v>
      </c>
      <c r="AJ782" s="108">
        <f t="shared" si="572"/>
        <v>-1</v>
      </c>
      <c r="AK782" s="108">
        <f t="shared" si="573"/>
        <v>-1</v>
      </c>
      <c r="AL782" s="108">
        <f t="shared" si="574"/>
        <v>-1</v>
      </c>
      <c r="AM782" s="108"/>
    </row>
    <row r="783" spans="3:39" x14ac:dyDescent="0.55000000000000004">
      <c r="C783" s="104" t="str">
        <f>$V$85</f>
        <v>-</v>
      </c>
      <c r="D783" s="108">
        <f t="shared" ref="D783:S783" si="606">D85</f>
        <v>0</v>
      </c>
      <c r="E783" s="108">
        <f t="shared" si="606"/>
        <v>0</v>
      </c>
      <c r="F783" s="108">
        <f t="shared" si="606"/>
        <v>0</v>
      </c>
      <c r="G783" s="108">
        <f t="shared" si="606"/>
        <v>0</v>
      </c>
      <c r="H783" s="108">
        <f t="shared" si="606"/>
        <v>0</v>
      </c>
      <c r="I783" s="108">
        <f t="shared" si="606"/>
        <v>0</v>
      </c>
      <c r="J783" s="108">
        <f t="shared" si="606"/>
        <v>0</v>
      </c>
      <c r="K783" s="108">
        <f t="shared" si="606"/>
        <v>0</v>
      </c>
      <c r="L783" s="108">
        <f t="shared" si="606"/>
        <v>0</v>
      </c>
      <c r="M783" s="108">
        <f t="shared" si="606"/>
        <v>0</v>
      </c>
      <c r="N783" s="108">
        <f t="shared" si="606"/>
        <v>0</v>
      </c>
      <c r="O783" s="108">
        <f t="shared" si="606"/>
        <v>0</v>
      </c>
      <c r="P783" s="108">
        <f t="shared" si="606"/>
        <v>0</v>
      </c>
      <c r="Q783" s="108">
        <f t="shared" si="606"/>
        <v>0</v>
      </c>
      <c r="R783" s="108">
        <f t="shared" si="606"/>
        <v>0</v>
      </c>
      <c r="S783" s="108">
        <f t="shared" si="606"/>
        <v>0</v>
      </c>
      <c r="T783" s="28" t="s">
        <v>26</v>
      </c>
      <c r="V783" s="104" t="str">
        <f>$V$85</f>
        <v>-</v>
      </c>
      <c r="W783" s="108">
        <f t="shared" si="559"/>
        <v>-1</v>
      </c>
      <c r="X783" s="108">
        <f t="shared" si="560"/>
        <v>-1</v>
      </c>
      <c r="Y783" s="108">
        <f t="shared" si="561"/>
        <v>-1</v>
      </c>
      <c r="Z783" s="108">
        <f t="shared" si="562"/>
        <v>-1</v>
      </c>
      <c r="AA783" s="108">
        <f t="shared" si="563"/>
        <v>-1</v>
      </c>
      <c r="AB783" s="108">
        <f t="shared" si="564"/>
        <v>-1</v>
      </c>
      <c r="AC783" s="108">
        <f t="shared" si="565"/>
        <v>-1</v>
      </c>
      <c r="AD783" s="108">
        <f t="shared" si="566"/>
        <v>-1</v>
      </c>
      <c r="AE783" s="108">
        <f t="shared" si="567"/>
        <v>-1</v>
      </c>
      <c r="AF783" s="108">
        <f t="shared" si="568"/>
        <v>-1</v>
      </c>
      <c r="AG783" s="108">
        <f t="shared" si="569"/>
        <v>-1</v>
      </c>
      <c r="AH783" s="108">
        <f t="shared" si="570"/>
        <v>-1</v>
      </c>
      <c r="AI783" s="108">
        <f t="shared" si="571"/>
        <v>-1</v>
      </c>
      <c r="AJ783" s="108">
        <f t="shared" si="572"/>
        <v>-1</v>
      </c>
      <c r="AK783" s="108">
        <f t="shared" si="573"/>
        <v>-1</v>
      </c>
      <c r="AL783" s="108">
        <f t="shared" si="574"/>
        <v>-1</v>
      </c>
      <c r="AM783" s="108"/>
    </row>
    <row r="784" spans="3:39" x14ac:dyDescent="0.55000000000000004">
      <c r="C784" s="104" t="str">
        <f>$V$86</f>
        <v>-</v>
      </c>
      <c r="D784" s="108">
        <f t="shared" ref="D784:S784" si="607">D86</f>
        <v>0</v>
      </c>
      <c r="E784" s="108">
        <f t="shared" si="607"/>
        <v>0</v>
      </c>
      <c r="F784" s="108">
        <f t="shared" si="607"/>
        <v>0</v>
      </c>
      <c r="G784" s="108">
        <f t="shared" si="607"/>
        <v>0</v>
      </c>
      <c r="H784" s="108">
        <f t="shared" si="607"/>
        <v>0</v>
      </c>
      <c r="I784" s="108">
        <f t="shared" si="607"/>
        <v>0</v>
      </c>
      <c r="J784" s="108">
        <f t="shared" si="607"/>
        <v>0</v>
      </c>
      <c r="K784" s="108">
        <f t="shared" si="607"/>
        <v>0</v>
      </c>
      <c r="L784" s="108">
        <f t="shared" si="607"/>
        <v>0</v>
      </c>
      <c r="M784" s="108">
        <f t="shared" si="607"/>
        <v>0</v>
      </c>
      <c r="N784" s="108">
        <f t="shared" si="607"/>
        <v>0</v>
      </c>
      <c r="O784" s="108">
        <f t="shared" si="607"/>
        <v>0</v>
      </c>
      <c r="P784" s="108">
        <f t="shared" si="607"/>
        <v>0</v>
      </c>
      <c r="Q784" s="108">
        <f t="shared" si="607"/>
        <v>0</v>
      </c>
      <c r="R784" s="108">
        <f t="shared" si="607"/>
        <v>0</v>
      </c>
      <c r="S784" s="108">
        <f t="shared" si="607"/>
        <v>0</v>
      </c>
      <c r="T784" s="28" t="s">
        <v>26</v>
      </c>
      <c r="V784" s="104" t="str">
        <f>$V$86</f>
        <v>-</v>
      </c>
      <c r="W784" s="108">
        <f t="shared" si="559"/>
        <v>-1</v>
      </c>
      <c r="X784" s="108">
        <f t="shared" si="560"/>
        <v>-1</v>
      </c>
      <c r="Y784" s="108">
        <f t="shared" si="561"/>
        <v>-1</v>
      </c>
      <c r="Z784" s="108">
        <f t="shared" si="562"/>
        <v>-1</v>
      </c>
      <c r="AA784" s="108">
        <f t="shared" si="563"/>
        <v>-1</v>
      </c>
      <c r="AB784" s="108">
        <f t="shared" si="564"/>
        <v>-1</v>
      </c>
      <c r="AC784" s="108">
        <f t="shared" si="565"/>
        <v>-1</v>
      </c>
      <c r="AD784" s="108">
        <f t="shared" si="566"/>
        <v>-1</v>
      </c>
      <c r="AE784" s="108">
        <f t="shared" si="567"/>
        <v>-1</v>
      </c>
      <c r="AF784" s="108">
        <f t="shared" si="568"/>
        <v>-1</v>
      </c>
      <c r="AG784" s="108">
        <f t="shared" si="569"/>
        <v>-1</v>
      </c>
      <c r="AH784" s="108">
        <f t="shared" si="570"/>
        <v>-1</v>
      </c>
      <c r="AI784" s="108">
        <f t="shared" si="571"/>
        <v>-1</v>
      </c>
      <c r="AJ784" s="108">
        <f t="shared" si="572"/>
        <v>-1</v>
      </c>
      <c r="AK784" s="108">
        <f t="shared" si="573"/>
        <v>-1</v>
      </c>
      <c r="AL784" s="108">
        <f t="shared" si="574"/>
        <v>-1</v>
      </c>
      <c r="AM784" s="108"/>
    </row>
    <row r="785" spans="3:39" x14ac:dyDescent="0.55000000000000004">
      <c r="C785" s="104" t="str">
        <f>$V$87</f>
        <v>-</v>
      </c>
      <c r="D785" s="108">
        <f t="shared" ref="D785:S785" si="608">D87</f>
        <v>0</v>
      </c>
      <c r="E785" s="108">
        <f t="shared" si="608"/>
        <v>0</v>
      </c>
      <c r="F785" s="108">
        <f t="shared" si="608"/>
        <v>0</v>
      </c>
      <c r="G785" s="108">
        <f t="shared" si="608"/>
        <v>0</v>
      </c>
      <c r="H785" s="108">
        <f t="shared" si="608"/>
        <v>0</v>
      </c>
      <c r="I785" s="108">
        <f t="shared" si="608"/>
        <v>0</v>
      </c>
      <c r="J785" s="108">
        <f t="shared" si="608"/>
        <v>0</v>
      </c>
      <c r="K785" s="108">
        <f t="shared" si="608"/>
        <v>0</v>
      </c>
      <c r="L785" s="108">
        <f t="shared" si="608"/>
        <v>0</v>
      </c>
      <c r="M785" s="108">
        <f t="shared" si="608"/>
        <v>0</v>
      </c>
      <c r="N785" s="108">
        <f t="shared" si="608"/>
        <v>0</v>
      </c>
      <c r="O785" s="108">
        <f t="shared" si="608"/>
        <v>0</v>
      </c>
      <c r="P785" s="108">
        <f t="shared" si="608"/>
        <v>0</v>
      </c>
      <c r="Q785" s="108">
        <f t="shared" si="608"/>
        <v>0</v>
      </c>
      <c r="R785" s="108">
        <f t="shared" si="608"/>
        <v>0</v>
      </c>
      <c r="S785" s="108">
        <f t="shared" si="608"/>
        <v>0</v>
      </c>
      <c r="T785" s="28" t="s">
        <v>26</v>
      </c>
      <c r="V785" s="104" t="str">
        <f>$V$87</f>
        <v>-</v>
      </c>
      <c r="W785" s="108">
        <f t="shared" si="559"/>
        <v>-1</v>
      </c>
      <c r="X785" s="108">
        <f t="shared" si="560"/>
        <v>-1</v>
      </c>
      <c r="Y785" s="108">
        <f t="shared" si="561"/>
        <v>-1</v>
      </c>
      <c r="Z785" s="108">
        <f t="shared" si="562"/>
        <v>-1</v>
      </c>
      <c r="AA785" s="108">
        <f t="shared" si="563"/>
        <v>-1</v>
      </c>
      <c r="AB785" s="108">
        <f t="shared" si="564"/>
        <v>-1</v>
      </c>
      <c r="AC785" s="108">
        <f t="shared" si="565"/>
        <v>-1</v>
      </c>
      <c r="AD785" s="108">
        <f t="shared" si="566"/>
        <v>-1</v>
      </c>
      <c r="AE785" s="108">
        <f t="shared" si="567"/>
        <v>-1</v>
      </c>
      <c r="AF785" s="108">
        <f t="shared" si="568"/>
        <v>-1</v>
      </c>
      <c r="AG785" s="108">
        <f t="shared" si="569"/>
        <v>-1</v>
      </c>
      <c r="AH785" s="108">
        <f t="shared" si="570"/>
        <v>-1</v>
      </c>
      <c r="AI785" s="108">
        <f t="shared" si="571"/>
        <v>-1</v>
      </c>
      <c r="AJ785" s="108">
        <f t="shared" si="572"/>
        <v>-1</v>
      </c>
      <c r="AK785" s="108">
        <f t="shared" si="573"/>
        <v>-1</v>
      </c>
      <c r="AL785" s="108">
        <f t="shared" si="574"/>
        <v>-1</v>
      </c>
      <c r="AM785" s="108"/>
    </row>
    <row r="786" spans="3:39" x14ac:dyDescent="0.55000000000000004">
      <c r="C786" s="104" t="str">
        <f>$V$88</f>
        <v>-</v>
      </c>
      <c r="D786" s="108">
        <f t="shared" ref="D786:S786" si="609">D88</f>
        <v>0</v>
      </c>
      <c r="E786" s="108">
        <f t="shared" si="609"/>
        <v>0</v>
      </c>
      <c r="F786" s="108">
        <f t="shared" si="609"/>
        <v>0</v>
      </c>
      <c r="G786" s="108">
        <f t="shared" si="609"/>
        <v>0</v>
      </c>
      <c r="H786" s="108">
        <f t="shared" si="609"/>
        <v>0</v>
      </c>
      <c r="I786" s="108">
        <f t="shared" si="609"/>
        <v>0</v>
      </c>
      <c r="J786" s="108">
        <f t="shared" si="609"/>
        <v>0</v>
      </c>
      <c r="K786" s="108">
        <f t="shared" si="609"/>
        <v>0</v>
      </c>
      <c r="L786" s="108">
        <f t="shared" si="609"/>
        <v>0</v>
      </c>
      <c r="M786" s="108">
        <f t="shared" si="609"/>
        <v>0</v>
      </c>
      <c r="N786" s="108">
        <f t="shared" si="609"/>
        <v>0</v>
      </c>
      <c r="O786" s="108">
        <f t="shared" si="609"/>
        <v>0</v>
      </c>
      <c r="P786" s="108">
        <f t="shared" si="609"/>
        <v>0</v>
      </c>
      <c r="Q786" s="108">
        <f t="shared" si="609"/>
        <v>0</v>
      </c>
      <c r="R786" s="108">
        <f t="shared" si="609"/>
        <v>0</v>
      </c>
      <c r="S786" s="108">
        <f t="shared" si="609"/>
        <v>0</v>
      </c>
      <c r="T786" s="28" t="s">
        <v>26</v>
      </c>
      <c r="V786" s="104" t="str">
        <f>$V$88</f>
        <v>-</v>
      </c>
      <c r="W786" s="108">
        <f t="shared" si="559"/>
        <v>-1</v>
      </c>
      <c r="X786" s="108">
        <f t="shared" si="560"/>
        <v>-1</v>
      </c>
      <c r="Y786" s="108">
        <f t="shared" si="561"/>
        <v>-1</v>
      </c>
      <c r="Z786" s="108">
        <f t="shared" si="562"/>
        <v>-1</v>
      </c>
      <c r="AA786" s="108">
        <f t="shared" si="563"/>
        <v>-1</v>
      </c>
      <c r="AB786" s="108">
        <f t="shared" si="564"/>
        <v>-1</v>
      </c>
      <c r="AC786" s="108">
        <f t="shared" si="565"/>
        <v>-1</v>
      </c>
      <c r="AD786" s="108">
        <f t="shared" si="566"/>
        <v>-1</v>
      </c>
      <c r="AE786" s="108">
        <f t="shared" si="567"/>
        <v>-1</v>
      </c>
      <c r="AF786" s="108">
        <f t="shared" si="568"/>
        <v>-1</v>
      </c>
      <c r="AG786" s="108">
        <f t="shared" si="569"/>
        <v>-1</v>
      </c>
      <c r="AH786" s="108">
        <f t="shared" si="570"/>
        <v>-1</v>
      </c>
      <c r="AI786" s="108">
        <f t="shared" si="571"/>
        <v>-1</v>
      </c>
      <c r="AJ786" s="108">
        <f t="shared" si="572"/>
        <v>-1</v>
      </c>
      <c r="AK786" s="108">
        <f t="shared" si="573"/>
        <v>-1</v>
      </c>
      <c r="AL786" s="108">
        <f t="shared" si="574"/>
        <v>-1</v>
      </c>
      <c r="AM786" s="108"/>
    </row>
    <row r="787" spans="3:39" x14ac:dyDescent="0.55000000000000004">
      <c r="C787" s="104" t="str">
        <f>$V$89</f>
        <v>-</v>
      </c>
      <c r="D787" s="108">
        <f t="shared" ref="D787:S787" si="610">D89</f>
        <v>0</v>
      </c>
      <c r="E787" s="108">
        <f t="shared" si="610"/>
        <v>0</v>
      </c>
      <c r="F787" s="108">
        <f t="shared" si="610"/>
        <v>0</v>
      </c>
      <c r="G787" s="108">
        <f t="shared" si="610"/>
        <v>0</v>
      </c>
      <c r="H787" s="108">
        <f t="shared" si="610"/>
        <v>0</v>
      </c>
      <c r="I787" s="108">
        <f t="shared" si="610"/>
        <v>0</v>
      </c>
      <c r="J787" s="108">
        <f t="shared" si="610"/>
        <v>0</v>
      </c>
      <c r="K787" s="108">
        <f t="shared" si="610"/>
        <v>0</v>
      </c>
      <c r="L787" s="108">
        <f t="shared" si="610"/>
        <v>0</v>
      </c>
      <c r="M787" s="108">
        <f t="shared" si="610"/>
        <v>0</v>
      </c>
      <c r="N787" s="108">
        <f t="shared" si="610"/>
        <v>0</v>
      </c>
      <c r="O787" s="108">
        <f t="shared" si="610"/>
        <v>0</v>
      </c>
      <c r="P787" s="108">
        <f t="shared" si="610"/>
        <v>0</v>
      </c>
      <c r="Q787" s="108">
        <f t="shared" si="610"/>
        <v>0</v>
      </c>
      <c r="R787" s="108">
        <f t="shared" si="610"/>
        <v>0</v>
      </c>
      <c r="S787" s="108">
        <f t="shared" si="610"/>
        <v>0</v>
      </c>
      <c r="T787" s="28" t="s">
        <v>26</v>
      </c>
      <c r="V787" s="104" t="str">
        <f>$V$89</f>
        <v>-</v>
      </c>
      <c r="W787" s="108">
        <f t="shared" si="559"/>
        <v>-1</v>
      </c>
      <c r="X787" s="108">
        <f t="shared" si="560"/>
        <v>-1</v>
      </c>
      <c r="Y787" s="108">
        <f t="shared" si="561"/>
        <v>-1</v>
      </c>
      <c r="Z787" s="108">
        <f t="shared" si="562"/>
        <v>-1</v>
      </c>
      <c r="AA787" s="108">
        <f t="shared" si="563"/>
        <v>-1</v>
      </c>
      <c r="AB787" s="108">
        <f t="shared" si="564"/>
        <v>-1</v>
      </c>
      <c r="AC787" s="108">
        <f t="shared" si="565"/>
        <v>-1</v>
      </c>
      <c r="AD787" s="108">
        <f t="shared" si="566"/>
        <v>-1</v>
      </c>
      <c r="AE787" s="108">
        <f t="shared" si="567"/>
        <v>-1</v>
      </c>
      <c r="AF787" s="108">
        <f t="shared" si="568"/>
        <v>-1</v>
      </c>
      <c r="AG787" s="108">
        <f t="shared" si="569"/>
        <v>-1</v>
      </c>
      <c r="AH787" s="108">
        <f t="shared" si="570"/>
        <v>-1</v>
      </c>
      <c r="AI787" s="108">
        <f t="shared" si="571"/>
        <v>-1</v>
      </c>
      <c r="AJ787" s="108">
        <f t="shared" si="572"/>
        <v>-1</v>
      </c>
      <c r="AK787" s="108">
        <f t="shared" si="573"/>
        <v>-1</v>
      </c>
      <c r="AL787" s="108">
        <f t="shared" si="574"/>
        <v>-1</v>
      </c>
      <c r="AM787" s="108"/>
    </row>
    <row r="788" spans="3:39" x14ac:dyDescent="0.55000000000000004">
      <c r="C788" s="104" t="str">
        <f>$V$90</f>
        <v>-</v>
      </c>
      <c r="D788" s="108">
        <f t="shared" ref="D788:S788" si="611">D90</f>
        <v>0</v>
      </c>
      <c r="E788" s="108">
        <f t="shared" si="611"/>
        <v>0</v>
      </c>
      <c r="F788" s="108">
        <f t="shared" si="611"/>
        <v>0</v>
      </c>
      <c r="G788" s="108">
        <f t="shared" si="611"/>
        <v>0</v>
      </c>
      <c r="H788" s="108">
        <f t="shared" si="611"/>
        <v>0</v>
      </c>
      <c r="I788" s="108">
        <f t="shared" si="611"/>
        <v>0</v>
      </c>
      <c r="J788" s="108">
        <f t="shared" si="611"/>
        <v>0</v>
      </c>
      <c r="K788" s="108">
        <f t="shared" si="611"/>
        <v>0</v>
      </c>
      <c r="L788" s="108">
        <f t="shared" si="611"/>
        <v>0</v>
      </c>
      <c r="M788" s="108">
        <f t="shared" si="611"/>
        <v>0</v>
      </c>
      <c r="N788" s="108">
        <f t="shared" si="611"/>
        <v>0</v>
      </c>
      <c r="O788" s="108">
        <f t="shared" si="611"/>
        <v>0</v>
      </c>
      <c r="P788" s="108">
        <f t="shared" si="611"/>
        <v>0</v>
      </c>
      <c r="Q788" s="108">
        <f t="shared" si="611"/>
        <v>0</v>
      </c>
      <c r="R788" s="108">
        <f t="shared" si="611"/>
        <v>0</v>
      </c>
      <c r="S788" s="108">
        <f t="shared" si="611"/>
        <v>0</v>
      </c>
      <c r="T788" s="28" t="s">
        <v>26</v>
      </c>
      <c r="V788" s="104" t="str">
        <f>$V$90</f>
        <v>-</v>
      </c>
      <c r="W788" s="108">
        <f t="shared" si="559"/>
        <v>-1</v>
      </c>
      <c r="X788" s="108">
        <f t="shared" si="560"/>
        <v>-1</v>
      </c>
      <c r="Y788" s="108">
        <f t="shared" si="561"/>
        <v>-1</v>
      </c>
      <c r="Z788" s="108">
        <f t="shared" si="562"/>
        <v>-1</v>
      </c>
      <c r="AA788" s="108">
        <f t="shared" si="563"/>
        <v>-1</v>
      </c>
      <c r="AB788" s="108">
        <f t="shared" si="564"/>
        <v>-1</v>
      </c>
      <c r="AC788" s="108">
        <f t="shared" si="565"/>
        <v>-1</v>
      </c>
      <c r="AD788" s="108">
        <f t="shared" si="566"/>
        <v>-1</v>
      </c>
      <c r="AE788" s="108">
        <f t="shared" si="567"/>
        <v>-1</v>
      </c>
      <c r="AF788" s="108">
        <f t="shared" si="568"/>
        <v>-1</v>
      </c>
      <c r="AG788" s="108">
        <f t="shared" si="569"/>
        <v>-1</v>
      </c>
      <c r="AH788" s="108">
        <f t="shared" si="570"/>
        <v>-1</v>
      </c>
      <c r="AI788" s="108">
        <f t="shared" si="571"/>
        <v>-1</v>
      </c>
      <c r="AJ788" s="108">
        <f t="shared" si="572"/>
        <v>-1</v>
      </c>
      <c r="AK788" s="108">
        <f t="shared" si="573"/>
        <v>-1</v>
      </c>
      <c r="AL788" s="108">
        <f t="shared" si="574"/>
        <v>-1</v>
      </c>
      <c r="AM788" s="108"/>
    </row>
    <row r="789" spans="3:39" x14ac:dyDescent="0.55000000000000004">
      <c r="C789" s="104" t="str">
        <f>$V$91</f>
        <v>-</v>
      </c>
      <c r="D789" s="108">
        <f t="shared" ref="D789:S789" si="612">D91</f>
        <v>0</v>
      </c>
      <c r="E789" s="108">
        <f t="shared" si="612"/>
        <v>0</v>
      </c>
      <c r="F789" s="108">
        <f t="shared" si="612"/>
        <v>0</v>
      </c>
      <c r="G789" s="108">
        <f t="shared" si="612"/>
        <v>0</v>
      </c>
      <c r="H789" s="108">
        <f t="shared" si="612"/>
        <v>0</v>
      </c>
      <c r="I789" s="108">
        <f t="shared" si="612"/>
        <v>0</v>
      </c>
      <c r="J789" s="108">
        <f t="shared" si="612"/>
        <v>0</v>
      </c>
      <c r="K789" s="108">
        <f t="shared" si="612"/>
        <v>0</v>
      </c>
      <c r="L789" s="108">
        <f t="shared" si="612"/>
        <v>0</v>
      </c>
      <c r="M789" s="108">
        <f t="shared" si="612"/>
        <v>0</v>
      </c>
      <c r="N789" s="108">
        <f t="shared" si="612"/>
        <v>0</v>
      </c>
      <c r="O789" s="108">
        <f t="shared" si="612"/>
        <v>0</v>
      </c>
      <c r="P789" s="108">
        <f t="shared" si="612"/>
        <v>0</v>
      </c>
      <c r="Q789" s="108">
        <f t="shared" si="612"/>
        <v>0</v>
      </c>
      <c r="R789" s="108">
        <f t="shared" si="612"/>
        <v>0</v>
      </c>
      <c r="S789" s="108">
        <f t="shared" si="612"/>
        <v>0</v>
      </c>
      <c r="T789" s="28" t="s">
        <v>26</v>
      </c>
      <c r="V789" s="104" t="str">
        <f>$V$91</f>
        <v>-</v>
      </c>
      <c r="W789" s="108">
        <f t="shared" si="559"/>
        <v>-1</v>
      </c>
      <c r="X789" s="108">
        <f t="shared" si="560"/>
        <v>-1</v>
      </c>
      <c r="Y789" s="108">
        <f t="shared" si="561"/>
        <v>-1</v>
      </c>
      <c r="Z789" s="108">
        <f t="shared" si="562"/>
        <v>-1</v>
      </c>
      <c r="AA789" s="108">
        <f t="shared" si="563"/>
        <v>-1</v>
      </c>
      <c r="AB789" s="108">
        <f t="shared" si="564"/>
        <v>-1</v>
      </c>
      <c r="AC789" s="108">
        <f t="shared" si="565"/>
        <v>-1</v>
      </c>
      <c r="AD789" s="108">
        <f t="shared" si="566"/>
        <v>-1</v>
      </c>
      <c r="AE789" s="108">
        <f t="shared" si="567"/>
        <v>-1</v>
      </c>
      <c r="AF789" s="108">
        <f t="shared" si="568"/>
        <v>-1</v>
      </c>
      <c r="AG789" s="108">
        <f t="shared" si="569"/>
        <v>-1</v>
      </c>
      <c r="AH789" s="108">
        <f t="shared" si="570"/>
        <v>-1</v>
      </c>
      <c r="AI789" s="108">
        <f t="shared" si="571"/>
        <v>-1</v>
      </c>
      <c r="AJ789" s="108">
        <f t="shared" si="572"/>
        <v>-1</v>
      </c>
      <c r="AK789" s="108">
        <f t="shared" si="573"/>
        <v>-1</v>
      </c>
      <c r="AL789" s="108">
        <f t="shared" si="574"/>
        <v>-1</v>
      </c>
      <c r="AM789" s="108"/>
    </row>
    <row r="790" spans="3:39" x14ac:dyDescent="0.55000000000000004">
      <c r="C790" s="104" t="str">
        <f>$V$92</f>
        <v>-</v>
      </c>
      <c r="D790" s="108">
        <f t="shared" ref="D790:S790" si="613">D92</f>
        <v>0</v>
      </c>
      <c r="E790" s="108">
        <f t="shared" si="613"/>
        <v>0</v>
      </c>
      <c r="F790" s="108">
        <f t="shared" si="613"/>
        <v>0</v>
      </c>
      <c r="G790" s="108">
        <f t="shared" si="613"/>
        <v>0</v>
      </c>
      <c r="H790" s="108">
        <f t="shared" si="613"/>
        <v>0</v>
      </c>
      <c r="I790" s="108">
        <f t="shared" si="613"/>
        <v>0</v>
      </c>
      <c r="J790" s="108">
        <f t="shared" si="613"/>
        <v>0</v>
      </c>
      <c r="K790" s="108">
        <f t="shared" si="613"/>
        <v>0</v>
      </c>
      <c r="L790" s="108">
        <f t="shared" si="613"/>
        <v>0</v>
      </c>
      <c r="M790" s="108">
        <f t="shared" si="613"/>
        <v>0</v>
      </c>
      <c r="N790" s="108">
        <f t="shared" si="613"/>
        <v>0</v>
      </c>
      <c r="O790" s="108">
        <f t="shared" si="613"/>
        <v>0</v>
      </c>
      <c r="P790" s="108">
        <f t="shared" si="613"/>
        <v>0</v>
      </c>
      <c r="Q790" s="108">
        <f t="shared" si="613"/>
        <v>0</v>
      </c>
      <c r="R790" s="108">
        <f t="shared" si="613"/>
        <v>0</v>
      </c>
      <c r="S790" s="108">
        <f t="shared" si="613"/>
        <v>0</v>
      </c>
      <c r="T790" s="28" t="s">
        <v>26</v>
      </c>
      <c r="V790" s="104" t="str">
        <f>$V$92</f>
        <v>-</v>
      </c>
      <c r="W790" s="108">
        <f t="shared" si="559"/>
        <v>-1</v>
      </c>
      <c r="X790" s="108">
        <f t="shared" si="560"/>
        <v>-1</v>
      </c>
      <c r="Y790" s="108">
        <f t="shared" si="561"/>
        <v>-1</v>
      </c>
      <c r="Z790" s="108">
        <f t="shared" si="562"/>
        <v>-1</v>
      </c>
      <c r="AA790" s="108">
        <f t="shared" si="563"/>
        <v>-1</v>
      </c>
      <c r="AB790" s="108">
        <f t="shared" si="564"/>
        <v>-1</v>
      </c>
      <c r="AC790" s="108">
        <f t="shared" si="565"/>
        <v>-1</v>
      </c>
      <c r="AD790" s="108">
        <f t="shared" si="566"/>
        <v>-1</v>
      </c>
      <c r="AE790" s="108">
        <f t="shared" si="567"/>
        <v>-1</v>
      </c>
      <c r="AF790" s="108">
        <f t="shared" si="568"/>
        <v>-1</v>
      </c>
      <c r="AG790" s="108">
        <f t="shared" si="569"/>
        <v>-1</v>
      </c>
      <c r="AH790" s="108">
        <f t="shared" si="570"/>
        <v>-1</v>
      </c>
      <c r="AI790" s="108">
        <f t="shared" si="571"/>
        <v>-1</v>
      </c>
      <c r="AJ790" s="108">
        <f t="shared" si="572"/>
        <v>-1</v>
      </c>
      <c r="AK790" s="108">
        <f t="shared" si="573"/>
        <v>-1</v>
      </c>
      <c r="AL790" s="108">
        <f t="shared" si="574"/>
        <v>-1</v>
      </c>
      <c r="AM790" s="108"/>
    </row>
    <row r="791" spans="3:39" x14ac:dyDescent="0.55000000000000004">
      <c r="AM791" s="108"/>
    </row>
    <row r="792" spans="3:39" x14ac:dyDescent="0.55000000000000004">
      <c r="AM792" s="108"/>
    </row>
    <row r="793" spans="3:39" x14ac:dyDescent="0.55000000000000004">
      <c r="AM793" s="108"/>
    </row>
    <row r="794" spans="3:39" x14ac:dyDescent="0.55000000000000004">
      <c r="C794" s="104" t="str">
        <f>$BK$384</f>
        <v>Çapèse</v>
      </c>
      <c r="D794" s="104" t="str">
        <f>$W$33</f>
        <v>16h</v>
      </c>
      <c r="E794" s="104" t="str">
        <f>$X$33</f>
        <v>17h</v>
      </c>
      <c r="F794" s="104" t="str">
        <f>$Y$33</f>
        <v>18h</v>
      </c>
      <c r="G794" s="104" t="str">
        <f>$Z$33</f>
        <v>19h</v>
      </c>
      <c r="H794" s="104" t="str">
        <f>$AA$33</f>
        <v>20h</v>
      </c>
      <c r="I794" s="104" t="str">
        <f>$AB$33</f>
        <v>21h</v>
      </c>
      <c r="J794" s="104" t="str">
        <f>$AC$33</f>
        <v>22h</v>
      </c>
      <c r="K794" s="104" t="str">
        <f>$AD$33</f>
        <v>23h</v>
      </c>
      <c r="L794" s="104" t="str">
        <f>$AE$33</f>
        <v>00h</v>
      </c>
      <c r="M794" s="104" t="str">
        <f>$AF$33</f>
        <v>01h</v>
      </c>
      <c r="N794" s="104" t="str">
        <f>$AG$33</f>
        <v>02h</v>
      </c>
      <c r="O794" s="104" t="str">
        <f>$AH$33</f>
        <v>03h</v>
      </c>
      <c r="P794" s="104" t="str">
        <f>$AI$33</f>
        <v>04h</v>
      </c>
      <c r="Q794" s="104" t="str">
        <f>$AJ$33</f>
        <v>05h</v>
      </c>
      <c r="R794" s="104" t="str">
        <f>$AK$33</f>
        <v>06h</v>
      </c>
      <c r="S794" s="104" t="str">
        <f>$AL$33</f>
        <v>07h</v>
      </c>
      <c r="V794" s="104" t="str">
        <f>$BK$384</f>
        <v>Çapèse</v>
      </c>
      <c r="W794" s="104" t="str">
        <f>$W$33</f>
        <v>16h</v>
      </c>
      <c r="X794" s="104" t="str">
        <f>$X$33</f>
        <v>17h</v>
      </c>
      <c r="Y794" s="104" t="str">
        <f>$Y$33</f>
        <v>18h</v>
      </c>
      <c r="Z794" s="104" t="str">
        <f>$Z$33</f>
        <v>19h</v>
      </c>
      <c r="AA794" s="104" t="str">
        <f>$AA$33</f>
        <v>20h</v>
      </c>
      <c r="AB794" s="104" t="str">
        <f>$AB$33</f>
        <v>21h</v>
      </c>
      <c r="AC794" s="104" t="str">
        <f>$AC$33</f>
        <v>22h</v>
      </c>
      <c r="AD794" s="104" t="str">
        <f>$AD$33</f>
        <v>23h</v>
      </c>
      <c r="AE794" s="104" t="str">
        <f>$AE$33</f>
        <v>00h</v>
      </c>
      <c r="AF794" s="104" t="str">
        <f>$AF$33</f>
        <v>01h</v>
      </c>
      <c r="AG794" s="104" t="str">
        <f>$AG$33</f>
        <v>02h</v>
      </c>
      <c r="AH794" s="104" t="str">
        <f>$AH$33</f>
        <v>03h</v>
      </c>
      <c r="AI794" s="104" t="str">
        <f>$AI$33</f>
        <v>04h</v>
      </c>
      <c r="AJ794" s="104" t="str">
        <f>$AJ$33</f>
        <v>05h</v>
      </c>
      <c r="AK794" s="104" t="str">
        <f>$AK$33</f>
        <v>06h</v>
      </c>
      <c r="AL794" s="104" t="str">
        <f>$AL$33</f>
        <v>07h</v>
      </c>
      <c r="AM794" s="108"/>
    </row>
    <row r="795" spans="3:39" x14ac:dyDescent="0.55000000000000004">
      <c r="C795" s="104" t="str">
        <f>$V$53</f>
        <v>Jennifer</v>
      </c>
      <c r="D795" s="108">
        <f t="shared" ref="D795:S795" si="614">D53</f>
        <v>0</v>
      </c>
      <c r="E795" s="108">
        <f t="shared" si="614"/>
        <v>0</v>
      </c>
      <c r="F795" s="108">
        <f t="shared" si="614"/>
        <v>0</v>
      </c>
      <c r="G795" s="108">
        <f t="shared" si="614"/>
        <v>0</v>
      </c>
      <c r="H795" s="108">
        <f t="shared" si="614"/>
        <v>0</v>
      </c>
      <c r="I795" s="108">
        <f t="shared" si="614"/>
        <v>0</v>
      </c>
      <c r="J795" s="108">
        <f t="shared" si="614"/>
        <v>0</v>
      </c>
      <c r="K795" s="108">
        <f t="shared" si="614"/>
        <v>0</v>
      </c>
      <c r="L795" s="108">
        <f t="shared" si="614"/>
        <v>0</v>
      </c>
      <c r="M795" s="108">
        <f t="shared" si="614"/>
        <v>0</v>
      </c>
      <c r="N795" s="108">
        <f t="shared" si="614"/>
        <v>0</v>
      </c>
      <c r="O795" s="108">
        <f t="shared" si="614"/>
        <v>0</v>
      </c>
      <c r="P795" s="108">
        <f t="shared" si="614"/>
        <v>0</v>
      </c>
      <c r="Q795" s="108">
        <f t="shared" si="614"/>
        <v>0</v>
      </c>
      <c r="R795" s="108">
        <f t="shared" si="614"/>
        <v>0</v>
      </c>
      <c r="S795" s="108">
        <f t="shared" si="614"/>
        <v>0</v>
      </c>
      <c r="T795" s="28" t="s">
        <v>26</v>
      </c>
      <c r="V795" s="104" t="str">
        <f>$V$53</f>
        <v>Jennifer</v>
      </c>
      <c r="W795" s="108">
        <f t="shared" ref="W795:W834" si="615">AR354+AS354-1</f>
        <v>-1</v>
      </c>
      <c r="X795" s="108">
        <f t="shared" ref="X795:X834" si="616">AS354+AT354-1</f>
        <v>-1</v>
      </c>
      <c r="Y795" s="108">
        <f t="shared" ref="Y795:Y834" si="617">AT354+AU354-1</f>
        <v>-1</v>
      </c>
      <c r="Z795" s="108">
        <f t="shared" ref="Z795:Z834" si="618">AU354+AV354-1</f>
        <v>-1</v>
      </c>
      <c r="AA795" s="108">
        <f t="shared" ref="AA795:AA834" si="619">AV354+AW354-1</f>
        <v>-1</v>
      </c>
      <c r="AB795" s="108">
        <f t="shared" ref="AB795:AB834" si="620">AW354+AX354-1</f>
        <v>-1</v>
      </c>
      <c r="AC795" s="108">
        <f t="shared" ref="AC795:AC834" si="621">AX354+AY354-1</f>
        <v>-1</v>
      </c>
      <c r="AD795" s="108">
        <f t="shared" ref="AD795:AD834" si="622">AY354+AZ354-1</f>
        <v>-1</v>
      </c>
      <c r="AE795" s="108">
        <f t="shared" ref="AE795:AE834" si="623">AZ354+BA354-1</f>
        <v>-1</v>
      </c>
      <c r="AF795" s="108">
        <f t="shared" ref="AF795:AF834" si="624">BA354+BB354-1</f>
        <v>-1</v>
      </c>
      <c r="AG795" s="108">
        <f t="shared" ref="AG795:AG834" si="625">BB354+BC354-1</f>
        <v>-1</v>
      </c>
      <c r="AH795" s="108">
        <f t="shared" ref="AH795:AH834" si="626">BC354+BD354-1</f>
        <v>-1</v>
      </c>
      <c r="AI795" s="108">
        <f t="shared" ref="AI795:AI834" si="627">BD354+BE354-1</f>
        <v>-1</v>
      </c>
      <c r="AJ795" s="108">
        <f t="shared" ref="AJ795:AJ834" si="628">BE354+BF354-1</f>
        <v>-1</v>
      </c>
      <c r="AK795" s="108">
        <f t="shared" ref="AK795:AK834" si="629">BF354+BG354-1</f>
        <v>-1</v>
      </c>
      <c r="AL795" s="108">
        <f t="shared" ref="AL795:AL834" si="630">BG354+BH354-1</f>
        <v>-1</v>
      </c>
      <c r="AM795" s="108"/>
    </row>
    <row r="796" spans="3:39" x14ac:dyDescent="0.55000000000000004">
      <c r="C796" s="104" t="str">
        <f>$V$54</f>
        <v>Galileo</v>
      </c>
      <c r="D796" s="108">
        <f t="shared" ref="D796:S796" si="631">D54</f>
        <v>0</v>
      </c>
      <c r="E796" s="108">
        <f t="shared" si="631"/>
        <v>0</v>
      </c>
      <c r="F796" s="108">
        <f t="shared" si="631"/>
        <v>0</v>
      </c>
      <c r="G796" s="108">
        <f t="shared" si="631"/>
        <v>0</v>
      </c>
      <c r="H796" s="108">
        <f t="shared" si="631"/>
        <v>0</v>
      </c>
      <c r="I796" s="108">
        <f t="shared" si="631"/>
        <v>0</v>
      </c>
      <c r="J796" s="108">
        <f t="shared" si="631"/>
        <v>0</v>
      </c>
      <c r="K796" s="108">
        <f t="shared" si="631"/>
        <v>0</v>
      </c>
      <c r="L796" s="108">
        <f t="shared" si="631"/>
        <v>0</v>
      </c>
      <c r="M796" s="108">
        <f t="shared" si="631"/>
        <v>0</v>
      </c>
      <c r="N796" s="108">
        <f t="shared" si="631"/>
        <v>0</v>
      </c>
      <c r="O796" s="108">
        <f t="shared" si="631"/>
        <v>0</v>
      </c>
      <c r="P796" s="108">
        <f t="shared" si="631"/>
        <v>0</v>
      </c>
      <c r="Q796" s="108">
        <f t="shared" si="631"/>
        <v>0</v>
      </c>
      <c r="R796" s="108">
        <f t="shared" si="631"/>
        <v>0</v>
      </c>
      <c r="S796" s="108">
        <f t="shared" si="631"/>
        <v>0</v>
      </c>
      <c r="T796" s="28" t="s">
        <v>26</v>
      </c>
      <c r="V796" s="104" t="str">
        <f>$V$54</f>
        <v>Galileo</v>
      </c>
      <c r="W796" s="108">
        <f t="shared" si="615"/>
        <v>-1</v>
      </c>
      <c r="X796" s="108">
        <f t="shared" si="616"/>
        <v>-1</v>
      </c>
      <c r="Y796" s="108">
        <f t="shared" si="617"/>
        <v>-1</v>
      </c>
      <c r="Z796" s="108">
        <f t="shared" si="618"/>
        <v>-1</v>
      </c>
      <c r="AA796" s="108">
        <f t="shared" si="619"/>
        <v>-1</v>
      </c>
      <c r="AB796" s="108">
        <f t="shared" si="620"/>
        <v>-1</v>
      </c>
      <c r="AC796" s="108">
        <f t="shared" si="621"/>
        <v>-1</v>
      </c>
      <c r="AD796" s="108">
        <f t="shared" si="622"/>
        <v>-1</v>
      </c>
      <c r="AE796" s="108">
        <f t="shared" si="623"/>
        <v>-1</v>
      </c>
      <c r="AF796" s="108">
        <f t="shared" si="624"/>
        <v>-1</v>
      </c>
      <c r="AG796" s="108">
        <f t="shared" si="625"/>
        <v>-1</v>
      </c>
      <c r="AH796" s="108">
        <f t="shared" si="626"/>
        <v>-1</v>
      </c>
      <c r="AI796" s="108">
        <f t="shared" si="627"/>
        <v>-1</v>
      </c>
      <c r="AJ796" s="108">
        <f t="shared" si="628"/>
        <v>-1</v>
      </c>
      <c r="AK796" s="108">
        <f t="shared" si="629"/>
        <v>-1</v>
      </c>
      <c r="AL796" s="108">
        <f t="shared" si="630"/>
        <v>-1</v>
      </c>
      <c r="AM796" s="108"/>
    </row>
    <row r="797" spans="3:39" x14ac:dyDescent="0.55000000000000004">
      <c r="C797" s="104" t="str">
        <f>$V$55</f>
        <v>Óscar</v>
      </c>
      <c r="D797" s="108">
        <f t="shared" ref="D797:S797" si="632">D55</f>
        <v>0</v>
      </c>
      <c r="E797" s="108">
        <f t="shared" si="632"/>
        <v>0</v>
      </c>
      <c r="F797" s="108">
        <f t="shared" si="632"/>
        <v>0</v>
      </c>
      <c r="G797" s="108">
        <f t="shared" si="632"/>
        <v>0</v>
      </c>
      <c r="H797" s="108">
        <f t="shared" si="632"/>
        <v>0</v>
      </c>
      <c r="I797" s="108">
        <f t="shared" si="632"/>
        <v>0</v>
      </c>
      <c r="J797" s="108">
        <f t="shared" si="632"/>
        <v>0</v>
      </c>
      <c r="K797" s="108">
        <f t="shared" si="632"/>
        <v>0</v>
      </c>
      <c r="L797" s="108">
        <f t="shared" si="632"/>
        <v>0</v>
      </c>
      <c r="M797" s="108">
        <f t="shared" si="632"/>
        <v>0</v>
      </c>
      <c r="N797" s="108">
        <f t="shared" si="632"/>
        <v>0</v>
      </c>
      <c r="O797" s="108">
        <f t="shared" si="632"/>
        <v>0</v>
      </c>
      <c r="P797" s="108">
        <f t="shared" si="632"/>
        <v>0</v>
      </c>
      <c r="Q797" s="108">
        <f t="shared" si="632"/>
        <v>0</v>
      </c>
      <c r="R797" s="108">
        <f t="shared" si="632"/>
        <v>0</v>
      </c>
      <c r="S797" s="108">
        <f t="shared" si="632"/>
        <v>0</v>
      </c>
      <c r="T797" s="28" t="s">
        <v>26</v>
      </c>
      <c r="V797" s="104" t="str">
        <f>$V$55</f>
        <v>Óscar</v>
      </c>
      <c r="W797" s="108">
        <f t="shared" si="615"/>
        <v>0</v>
      </c>
      <c r="X797" s="108">
        <f t="shared" si="616"/>
        <v>-1</v>
      </c>
      <c r="Y797" s="108">
        <f t="shared" si="617"/>
        <v>-1</v>
      </c>
      <c r="Z797" s="108">
        <f t="shared" si="618"/>
        <v>-1</v>
      </c>
      <c r="AA797" s="108">
        <f t="shared" si="619"/>
        <v>-1</v>
      </c>
      <c r="AB797" s="108">
        <f t="shared" si="620"/>
        <v>-1</v>
      </c>
      <c r="AC797" s="108">
        <f t="shared" si="621"/>
        <v>-1</v>
      </c>
      <c r="AD797" s="108">
        <f t="shared" si="622"/>
        <v>-1</v>
      </c>
      <c r="AE797" s="108">
        <f t="shared" si="623"/>
        <v>-1</v>
      </c>
      <c r="AF797" s="108">
        <f t="shared" si="624"/>
        <v>-1</v>
      </c>
      <c r="AG797" s="108">
        <f t="shared" si="625"/>
        <v>-1</v>
      </c>
      <c r="AH797" s="108">
        <f t="shared" si="626"/>
        <v>-1</v>
      </c>
      <c r="AI797" s="108">
        <f t="shared" si="627"/>
        <v>-1</v>
      </c>
      <c r="AJ797" s="108">
        <f t="shared" si="628"/>
        <v>-1</v>
      </c>
      <c r="AK797" s="108">
        <f t="shared" si="629"/>
        <v>-1</v>
      </c>
      <c r="AL797" s="108">
        <f t="shared" si="630"/>
        <v>-1</v>
      </c>
      <c r="AM797" s="108"/>
    </row>
    <row r="798" spans="3:39" x14ac:dyDescent="0.55000000000000004">
      <c r="C798" s="104" t="str">
        <f>$V$56</f>
        <v>Sebastián</v>
      </c>
      <c r="D798" s="108">
        <f t="shared" ref="D798:S798" si="633">D56</f>
        <v>0</v>
      </c>
      <c r="E798" s="108">
        <f t="shared" si="633"/>
        <v>0</v>
      </c>
      <c r="F798" s="108">
        <f t="shared" si="633"/>
        <v>0</v>
      </c>
      <c r="G798" s="108">
        <f t="shared" si="633"/>
        <v>0</v>
      </c>
      <c r="H798" s="108">
        <f t="shared" si="633"/>
        <v>0</v>
      </c>
      <c r="I798" s="108">
        <f t="shared" si="633"/>
        <v>0</v>
      </c>
      <c r="J798" s="108">
        <f t="shared" si="633"/>
        <v>0</v>
      </c>
      <c r="K798" s="108">
        <f t="shared" si="633"/>
        <v>0</v>
      </c>
      <c r="L798" s="108">
        <f t="shared" si="633"/>
        <v>0</v>
      </c>
      <c r="M798" s="108">
        <f t="shared" si="633"/>
        <v>0</v>
      </c>
      <c r="N798" s="108">
        <f t="shared" si="633"/>
        <v>0</v>
      </c>
      <c r="O798" s="108">
        <f t="shared" si="633"/>
        <v>0</v>
      </c>
      <c r="P798" s="108">
        <f t="shared" si="633"/>
        <v>0</v>
      </c>
      <c r="Q798" s="108">
        <f t="shared" si="633"/>
        <v>0</v>
      </c>
      <c r="R798" s="108">
        <f t="shared" si="633"/>
        <v>0</v>
      </c>
      <c r="S798" s="108">
        <f t="shared" si="633"/>
        <v>0</v>
      </c>
      <c r="T798" s="28" t="s">
        <v>26</v>
      </c>
      <c r="V798" s="104" t="str">
        <f>$V$56</f>
        <v>Sebastián</v>
      </c>
      <c r="W798" s="108">
        <f t="shared" si="615"/>
        <v>-1</v>
      </c>
      <c r="X798" s="108">
        <f t="shared" si="616"/>
        <v>-1</v>
      </c>
      <c r="Y798" s="108">
        <f t="shared" si="617"/>
        <v>-1</v>
      </c>
      <c r="Z798" s="108">
        <f t="shared" si="618"/>
        <v>-1</v>
      </c>
      <c r="AA798" s="108">
        <f t="shared" si="619"/>
        <v>-1</v>
      </c>
      <c r="AB798" s="108">
        <f t="shared" si="620"/>
        <v>-1</v>
      </c>
      <c r="AC798" s="108">
        <f t="shared" si="621"/>
        <v>-1</v>
      </c>
      <c r="AD798" s="108">
        <f t="shared" si="622"/>
        <v>-1</v>
      </c>
      <c r="AE798" s="108">
        <f t="shared" si="623"/>
        <v>-1</v>
      </c>
      <c r="AF798" s="108">
        <f t="shared" si="624"/>
        <v>-1</v>
      </c>
      <c r="AG798" s="108">
        <f t="shared" si="625"/>
        <v>-1</v>
      </c>
      <c r="AH798" s="108">
        <f t="shared" si="626"/>
        <v>-1</v>
      </c>
      <c r="AI798" s="108">
        <f t="shared" si="627"/>
        <v>-1</v>
      </c>
      <c r="AJ798" s="108">
        <f t="shared" si="628"/>
        <v>-1</v>
      </c>
      <c r="AK798" s="108">
        <f t="shared" si="629"/>
        <v>-1</v>
      </c>
      <c r="AL798" s="108">
        <f t="shared" si="630"/>
        <v>-1</v>
      </c>
      <c r="AM798" s="108"/>
    </row>
    <row r="799" spans="3:39" x14ac:dyDescent="0.55000000000000004">
      <c r="C799" s="104" t="str">
        <f>$V$57</f>
        <v>Marcos</v>
      </c>
      <c r="D799" s="108">
        <f t="shared" ref="D799:S799" si="634">D57</f>
        <v>0</v>
      </c>
      <c r="E799" s="108">
        <f t="shared" si="634"/>
        <v>0</v>
      </c>
      <c r="F799" s="108">
        <f t="shared" si="634"/>
        <v>0</v>
      </c>
      <c r="G799" s="108">
        <f t="shared" si="634"/>
        <v>0</v>
      </c>
      <c r="H799" s="108">
        <f t="shared" si="634"/>
        <v>0</v>
      </c>
      <c r="I799" s="108">
        <f t="shared" si="634"/>
        <v>0</v>
      </c>
      <c r="J799" s="108">
        <f t="shared" si="634"/>
        <v>0</v>
      </c>
      <c r="K799" s="108">
        <f t="shared" si="634"/>
        <v>0</v>
      </c>
      <c r="L799" s="108">
        <f t="shared" si="634"/>
        <v>0</v>
      </c>
      <c r="M799" s="108">
        <f t="shared" si="634"/>
        <v>0</v>
      </c>
      <c r="N799" s="108">
        <f t="shared" si="634"/>
        <v>0</v>
      </c>
      <c r="O799" s="108">
        <f t="shared" si="634"/>
        <v>0</v>
      </c>
      <c r="P799" s="108">
        <f t="shared" si="634"/>
        <v>0</v>
      </c>
      <c r="Q799" s="108">
        <f t="shared" si="634"/>
        <v>0</v>
      </c>
      <c r="R799" s="108">
        <f t="shared" si="634"/>
        <v>0</v>
      </c>
      <c r="S799" s="108">
        <f t="shared" si="634"/>
        <v>0</v>
      </c>
      <c r="T799" s="28" t="s">
        <v>26</v>
      </c>
      <c r="V799" s="104" t="str">
        <f>$V$57</f>
        <v>Marcos</v>
      </c>
      <c r="W799" s="108">
        <f t="shared" si="615"/>
        <v>-1</v>
      </c>
      <c r="X799" s="108">
        <f t="shared" si="616"/>
        <v>-1</v>
      </c>
      <c r="Y799" s="108">
        <f t="shared" si="617"/>
        <v>-1</v>
      </c>
      <c r="Z799" s="108">
        <f t="shared" si="618"/>
        <v>-1</v>
      </c>
      <c r="AA799" s="108">
        <f t="shared" si="619"/>
        <v>-1</v>
      </c>
      <c r="AB799" s="108">
        <f t="shared" si="620"/>
        <v>-1</v>
      </c>
      <c r="AC799" s="108">
        <f t="shared" si="621"/>
        <v>-1</v>
      </c>
      <c r="AD799" s="108">
        <f t="shared" si="622"/>
        <v>-1</v>
      </c>
      <c r="AE799" s="108">
        <f t="shared" si="623"/>
        <v>-1</v>
      </c>
      <c r="AF799" s="108">
        <f t="shared" si="624"/>
        <v>-1</v>
      </c>
      <c r="AG799" s="108">
        <f t="shared" si="625"/>
        <v>-1</v>
      </c>
      <c r="AH799" s="108">
        <f t="shared" si="626"/>
        <v>-1</v>
      </c>
      <c r="AI799" s="108">
        <f t="shared" si="627"/>
        <v>-1</v>
      </c>
      <c r="AJ799" s="108">
        <f t="shared" si="628"/>
        <v>-1</v>
      </c>
      <c r="AK799" s="108">
        <f t="shared" si="629"/>
        <v>-1</v>
      </c>
      <c r="AL799" s="108">
        <f t="shared" si="630"/>
        <v>-1</v>
      </c>
      <c r="AM799" s="108"/>
    </row>
    <row r="800" spans="3:39" x14ac:dyDescent="0.55000000000000004">
      <c r="C800" s="104" t="str">
        <f>$V$58</f>
        <v>Weixin</v>
      </c>
      <c r="D800" s="108">
        <f t="shared" ref="D800:S800" si="635">D58</f>
        <v>0</v>
      </c>
      <c r="E800" s="108">
        <f t="shared" si="635"/>
        <v>0</v>
      </c>
      <c r="F800" s="108">
        <f t="shared" si="635"/>
        <v>0</v>
      </c>
      <c r="G800" s="108">
        <f t="shared" si="635"/>
        <v>0</v>
      </c>
      <c r="H800" s="108">
        <f t="shared" si="635"/>
        <v>0</v>
      </c>
      <c r="I800" s="108">
        <f t="shared" si="635"/>
        <v>0</v>
      </c>
      <c r="J800" s="108">
        <f t="shared" si="635"/>
        <v>0</v>
      </c>
      <c r="K800" s="108">
        <f t="shared" si="635"/>
        <v>0</v>
      </c>
      <c r="L800" s="108">
        <f t="shared" si="635"/>
        <v>0</v>
      </c>
      <c r="M800" s="108">
        <f t="shared" si="635"/>
        <v>0</v>
      </c>
      <c r="N800" s="108">
        <f t="shared" si="635"/>
        <v>0</v>
      </c>
      <c r="O800" s="108">
        <f t="shared" si="635"/>
        <v>0</v>
      </c>
      <c r="P800" s="108">
        <f t="shared" si="635"/>
        <v>0</v>
      </c>
      <c r="Q800" s="108">
        <f t="shared" si="635"/>
        <v>0</v>
      </c>
      <c r="R800" s="108">
        <f t="shared" si="635"/>
        <v>0</v>
      </c>
      <c r="S800" s="108">
        <f t="shared" si="635"/>
        <v>0</v>
      </c>
      <c r="T800" s="28" t="s">
        <v>26</v>
      </c>
      <c r="V800" s="104" t="str">
        <f>$V$58</f>
        <v>Weixin</v>
      </c>
      <c r="W800" s="108">
        <f t="shared" si="615"/>
        <v>0</v>
      </c>
      <c r="X800" s="108">
        <f t="shared" si="616"/>
        <v>-1</v>
      </c>
      <c r="Y800" s="108">
        <f t="shared" si="617"/>
        <v>-1</v>
      </c>
      <c r="Z800" s="108">
        <f t="shared" si="618"/>
        <v>-1</v>
      </c>
      <c r="AA800" s="108">
        <f t="shared" si="619"/>
        <v>-1</v>
      </c>
      <c r="AB800" s="108">
        <f t="shared" si="620"/>
        <v>-1</v>
      </c>
      <c r="AC800" s="108">
        <f t="shared" si="621"/>
        <v>-1</v>
      </c>
      <c r="AD800" s="108">
        <f t="shared" si="622"/>
        <v>-1</v>
      </c>
      <c r="AE800" s="108">
        <f t="shared" si="623"/>
        <v>-1</v>
      </c>
      <c r="AF800" s="108">
        <f t="shared" si="624"/>
        <v>-1</v>
      </c>
      <c r="AG800" s="108">
        <f t="shared" si="625"/>
        <v>-1</v>
      </c>
      <c r="AH800" s="108">
        <f t="shared" si="626"/>
        <v>-1</v>
      </c>
      <c r="AI800" s="108">
        <f t="shared" si="627"/>
        <v>-1</v>
      </c>
      <c r="AJ800" s="108">
        <f t="shared" si="628"/>
        <v>-1</v>
      </c>
      <c r="AK800" s="108">
        <f t="shared" si="629"/>
        <v>-1</v>
      </c>
      <c r="AL800" s="108">
        <f t="shared" si="630"/>
        <v>-1</v>
      </c>
      <c r="AM800" s="108"/>
    </row>
    <row r="801" spans="3:39" x14ac:dyDescent="0.55000000000000004">
      <c r="C801" s="104" t="str">
        <f>$V$59</f>
        <v>Benjamin</v>
      </c>
      <c r="D801" s="108">
        <f t="shared" ref="D801:S801" si="636">D59</f>
        <v>0</v>
      </c>
      <c r="E801" s="108">
        <f t="shared" si="636"/>
        <v>0</v>
      </c>
      <c r="F801" s="108">
        <f t="shared" si="636"/>
        <v>0</v>
      </c>
      <c r="G801" s="108">
        <f t="shared" si="636"/>
        <v>0</v>
      </c>
      <c r="H801" s="108">
        <f t="shared" si="636"/>
        <v>0</v>
      </c>
      <c r="I801" s="108">
        <f t="shared" si="636"/>
        <v>0</v>
      </c>
      <c r="J801" s="108">
        <f t="shared" si="636"/>
        <v>0</v>
      </c>
      <c r="K801" s="108">
        <f t="shared" si="636"/>
        <v>0</v>
      </c>
      <c r="L801" s="108">
        <f t="shared" si="636"/>
        <v>0</v>
      </c>
      <c r="M801" s="108">
        <f t="shared" si="636"/>
        <v>0</v>
      </c>
      <c r="N801" s="108">
        <f t="shared" si="636"/>
        <v>0</v>
      </c>
      <c r="O801" s="108">
        <f t="shared" si="636"/>
        <v>0</v>
      </c>
      <c r="P801" s="108">
        <f t="shared" si="636"/>
        <v>0</v>
      </c>
      <c r="Q801" s="108">
        <f t="shared" si="636"/>
        <v>0</v>
      </c>
      <c r="R801" s="108">
        <f t="shared" si="636"/>
        <v>0</v>
      </c>
      <c r="S801" s="108">
        <f t="shared" si="636"/>
        <v>0</v>
      </c>
      <c r="T801" s="28" t="s">
        <v>26</v>
      </c>
      <c r="V801" s="104" t="str">
        <f>$V$59</f>
        <v>Benjamin</v>
      </c>
      <c r="W801" s="108">
        <f t="shared" si="615"/>
        <v>-1</v>
      </c>
      <c r="X801" s="108">
        <f t="shared" si="616"/>
        <v>-1</v>
      </c>
      <c r="Y801" s="108">
        <f t="shared" si="617"/>
        <v>-1</v>
      </c>
      <c r="Z801" s="108">
        <f t="shared" si="618"/>
        <v>-1</v>
      </c>
      <c r="AA801" s="108">
        <f t="shared" si="619"/>
        <v>-1</v>
      </c>
      <c r="AB801" s="108">
        <f t="shared" si="620"/>
        <v>-1</v>
      </c>
      <c r="AC801" s="108">
        <f t="shared" si="621"/>
        <v>-1</v>
      </c>
      <c r="AD801" s="108">
        <f t="shared" si="622"/>
        <v>-1</v>
      </c>
      <c r="AE801" s="108">
        <f t="shared" si="623"/>
        <v>-1</v>
      </c>
      <c r="AF801" s="108">
        <f t="shared" si="624"/>
        <v>-1</v>
      </c>
      <c r="AG801" s="108">
        <f t="shared" si="625"/>
        <v>-1</v>
      </c>
      <c r="AH801" s="108">
        <f t="shared" si="626"/>
        <v>-1</v>
      </c>
      <c r="AI801" s="108">
        <f t="shared" si="627"/>
        <v>-1</v>
      </c>
      <c r="AJ801" s="108">
        <f t="shared" si="628"/>
        <v>-1</v>
      </c>
      <c r="AK801" s="108">
        <f t="shared" si="629"/>
        <v>-1</v>
      </c>
      <c r="AL801" s="108">
        <f t="shared" si="630"/>
        <v>-1</v>
      </c>
      <c r="AM801" s="108"/>
    </row>
    <row r="802" spans="3:39" x14ac:dyDescent="0.55000000000000004">
      <c r="C802" s="104" t="str">
        <f>$V$60</f>
        <v>Joelle</v>
      </c>
      <c r="D802" s="108">
        <f t="shared" ref="D802:S802" si="637">D60</f>
        <v>0</v>
      </c>
      <c r="E802" s="108">
        <f t="shared" si="637"/>
        <v>0</v>
      </c>
      <c r="F802" s="108">
        <f t="shared" si="637"/>
        <v>0</v>
      </c>
      <c r="G802" s="108">
        <f t="shared" si="637"/>
        <v>0</v>
      </c>
      <c r="H802" s="108">
        <f t="shared" si="637"/>
        <v>0</v>
      </c>
      <c r="I802" s="108">
        <f t="shared" si="637"/>
        <v>0</v>
      </c>
      <c r="J802" s="108">
        <f t="shared" si="637"/>
        <v>0</v>
      </c>
      <c r="K802" s="108">
        <f t="shared" si="637"/>
        <v>0</v>
      </c>
      <c r="L802" s="108">
        <f t="shared" si="637"/>
        <v>0</v>
      </c>
      <c r="M802" s="108">
        <f t="shared" si="637"/>
        <v>0</v>
      </c>
      <c r="N802" s="108">
        <f t="shared" si="637"/>
        <v>0</v>
      </c>
      <c r="O802" s="108">
        <f t="shared" si="637"/>
        <v>0</v>
      </c>
      <c r="P802" s="108">
        <f t="shared" si="637"/>
        <v>0</v>
      </c>
      <c r="Q802" s="108">
        <f t="shared" si="637"/>
        <v>0</v>
      </c>
      <c r="R802" s="108">
        <f t="shared" si="637"/>
        <v>0</v>
      </c>
      <c r="S802" s="108">
        <f t="shared" si="637"/>
        <v>0</v>
      </c>
      <c r="T802" s="28" t="s">
        <v>26</v>
      </c>
      <c r="V802" s="104" t="str">
        <f>$V$60</f>
        <v>Joelle</v>
      </c>
      <c r="W802" s="108">
        <f t="shared" si="615"/>
        <v>-1</v>
      </c>
      <c r="X802" s="108">
        <f t="shared" si="616"/>
        <v>-1</v>
      </c>
      <c r="Y802" s="108">
        <f t="shared" si="617"/>
        <v>-1</v>
      </c>
      <c r="Z802" s="108">
        <f t="shared" si="618"/>
        <v>-1</v>
      </c>
      <c r="AA802" s="108">
        <f t="shared" si="619"/>
        <v>-1</v>
      </c>
      <c r="AB802" s="108">
        <f t="shared" si="620"/>
        <v>-1</v>
      </c>
      <c r="AC802" s="108">
        <f t="shared" si="621"/>
        <v>-1</v>
      </c>
      <c r="AD802" s="108">
        <f t="shared" si="622"/>
        <v>-1</v>
      </c>
      <c r="AE802" s="108">
        <f t="shared" si="623"/>
        <v>-1</v>
      </c>
      <c r="AF802" s="108">
        <f t="shared" si="624"/>
        <v>-1</v>
      </c>
      <c r="AG802" s="108">
        <f t="shared" si="625"/>
        <v>-1</v>
      </c>
      <c r="AH802" s="108">
        <f t="shared" si="626"/>
        <v>-1</v>
      </c>
      <c r="AI802" s="108">
        <f t="shared" si="627"/>
        <v>-1</v>
      </c>
      <c r="AJ802" s="108">
        <f t="shared" si="628"/>
        <v>-1</v>
      </c>
      <c r="AK802" s="108">
        <f t="shared" si="629"/>
        <v>-1</v>
      </c>
      <c r="AL802" s="108">
        <f t="shared" si="630"/>
        <v>-1</v>
      </c>
      <c r="AM802" s="108"/>
    </row>
    <row r="803" spans="3:39" x14ac:dyDescent="0.55000000000000004">
      <c r="C803" s="104" t="str">
        <f>$V$61</f>
        <v>Alexia</v>
      </c>
      <c r="D803" s="108">
        <f t="shared" ref="D803:S803" si="638">D61</f>
        <v>0</v>
      </c>
      <c r="E803" s="108">
        <f t="shared" si="638"/>
        <v>0</v>
      </c>
      <c r="F803" s="108">
        <f t="shared" si="638"/>
        <v>0</v>
      </c>
      <c r="G803" s="108">
        <f t="shared" si="638"/>
        <v>0</v>
      </c>
      <c r="H803" s="108">
        <f t="shared" si="638"/>
        <v>0</v>
      </c>
      <c r="I803" s="108">
        <f t="shared" si="638"/>
        <v>0</v>
      </c>
      <c r="J803" s="108">
        <f t="shared" si="638"/>
        <v>0</v>
      </c>
      <c r="K803" s="108">
        <f t="shared" si="638"/>
        <v>0</v>
      </c>
      <c r="L803" s="108">
        <f t="shared" si="638"/>
        <v>0</v>
      </c>
      <c r="M803" s="108">
        <f t="shared" si="638"/>
        <v>0</v>
      </c>
      <c r="N803" s="108">
        <f t="shared" si="638"/>
        <v>0</v>
      </c>
      <c r="O803" s="108">
        <f t="shared" si="638"/>
        <v>0</v>
      </c>
      <c r="P803" s="108">
        <f t="shared" si="638"/>
        <v>0</v>
      </c>
      <c r="Q803" s="108">
        <f t="shared" si="638"/>
        <v>0</v>
      </c>
      <c r="R803" s="108">
        <f t="shared" si="638"/>
        <v>0</v>
      </c>
      <c r="S803" s="108">
        <f t="shared" si="638"/>
        <v>0</v>
      </c>
      <c r="T803" s="28" t="s">
        <v>26</v>
      </c>
      <c r="V803" s="104" t="str">
        <f>$V$61</f>
        <v>Alexia</v>
      </c>
      <c r="W803" s="108">
        <f t="shared" si="615"/>
        <v>-1</v>
      </c>
      <c r="X803" s="108">
        <f t="shared" si="616"/>
        <v>-1</v>
      </c>
      <c r="Y803" s="108">
        <f t="shared" si="617"/>
        <v>-1</v>
      </c>
      <c r="Z803" s="108">
        <f t="shared" si="618"/>
        <v>-1</v>
      </c>
      <c r="AA803" s="108">
        <f t="shared" si="619"/>
        <v>-1</v>
      </c>
      <c r="AB803" s="108">
        <f t="shared" si="620"/>
        <v>-1</v>
      </c>
      <c r="AC803" s="108">
        <f t="shared" si="621"/>
        <v>-1</v>
      </c>
      <c r="AD803" s="108">
        <f t="shared" si="622"/>
        <v>-1</v>
      </c>
      <c r="AE803" s="108">
        <f t="shared" si="623"/>
        <v>-1</v>
      </c>
      <c r="AF803" s="108">
        <f t="shared" si="624"/>
        <v>-1</v>
      </c>
      <c r="AG803" s="108">
        <f t="shared" si="625"/>
        <v>-1</v>
      </c>
      <c r="AH803" s="108">
        <f t="shared" si="626"/>
        <v>-1</v>
      </c>
      <c r="AI803" s="108">
        <f t="shared" si="627"/>
        <v>-1</v>
      </c>
      <c r="AJ803" s="108">
        <f t="shared" si="628"/>
        <v>-1</v>
      </c>
      <c r="AK803" s="108">
        <f t="shared" si="629"/>
        <v>-1</v>
      </c>
      <c r="AL803" s="108">
        <f t="shared" si="630"/>
        <v>-1</v>
      </c>
      <c r="AM803" s="108"/>
    </row>
    <row r="804" spans="3:39" x14ac:dyDescent="0.55000000000000004">
      <c r="C804" s="104" t="str">
        <f>$V$62</f>
        <v>Joao</v>
      </c>
      <c r="D804" s="108">
        <f t="shared" ref="D804:S804" si="639">D62</f>
        <v>0</v>
      </c>
      <c r="E804" s="108">
        <f t="shared" si="639"/>
        <v>0</v>
      </c>
      <c r="F804" s="108">
        <f t="shared" si="639"/>
        <v>0</v>
      </c>
      <c r="G804" s="108">
        <f t="shared" si="639"/>
        <v>0</v>
      </c>
      <c r="H804" s="108">
        <f t="shared" si="639"/>
        <v>0</v>
      </c>
      <c r="I804" s="108">
        <f t="shared" si="639"/>
        <v>0</v>
      </c>
      <c r="J804" s="108">
        <f t="shared" si="639"/>
        <v>0</v>
      </c>
      <c r="K804" s="108">
        <f t="shared" si="639"/>
        <v>0</v>
      </c>
      <c r="L804" s="108">
        <f t="shared" si="639"/>
        <v>0</v>
      </c>
      <c r="M804" s="108">
        <f t="shared" si="639"/>
        <v>0</v>
      </c>
      <c r="N804" s="108">
        <f t="shared" si="639"/>
        <v>0</v>
      </c>
      <c r="O804" s="108">
        <f t="shared" si="639"/>
        <v>0</v>
      </c>
      <c r="P804" s="108">
        <f t="shared" si="639"/>
        <v>0</v>
      </c>
      <c r="Q804" s="108">
        <f t="shared" si="639"/>
        <v>0</v>
      </c>
      <c r="R804" s="108">
        <f t="shared" si="639"/>
        <v>0</v>
      </c>
      <c r="S804" s="108">
        <f t="shared" si="639"/>
        <v>0</v>
      </c>
      <c r="T804" s="28" t="s">
        <v>26</v>
      </c>
      <c r="V804" s="104" t="str">
        <f>$V$62</f>
        <v>Joao</v>
      </c>
      <c r="W804" s="108">
        <f t="shared" si="615"/>
        <v>-1</v>
      </c>
      <c r="X804" s="108">
        <f t="shared" si="616"/>
        <v>-1</v>
      </c>
      <c r="Y804" s="108">
        <f t="shared" si="617"/>
        <v>-1</v>
      </c>
      <c r="Z804" s="108">
        <f t="shared" si="618"/>
        <v>-1</v>
      </c>
      <c r="AA804" s="108">
        <f t="shared" si="619"/>
        <v>-1</v>
      </c>
      <c r="AB804" s="108">
        <f t="shared" si="620"/>
        <v>-1</v>
      </c>
      <c r="AC804" s="108">
        <f t="shared" si="621"/>
        <v>-1</v>
      </c>
      <c r="AD804" s="108">
        <f t="shared" si="622"/>
        <v>-1</v>
      </c>
      <c r="AE804" s="108">
        <f t="shared" si="623"/>
        <v>-1</v>
      </c>
      <c r="AF804" s="108">
        <f t="shared" si="624"/>
        <v>-1</v>
      </c>
      <c r="AG804" s="108">
        <f t="shared" si="625"/>
        <v>-1</v>
      </c>
      <c r="AH804" s="108">
        <f t="shared" si="626"/>
        <v>-1</v>
      </c>
      <c r="AI804" s="108">
        <f t="shared" si="627"/>
        <v>-1</v>
      </c>
      <c r="AJ804" s="108">
        <f t="shared" si="628"/>
        <v>-1</v>
      </c>
      <c r="AK804" s="108">
        <f t="shared" si="629"/>
        <v>-1</v>
      </c>
      <c r="AL804" s="108">
        <f t="shared" si="630"/>
        <v>-1</v>
      </c>
      <c r="AM804" s="108"/>
    </row>
    <row r="805" spans="3:39" x14ac:dyDescent="0.55000000000000004">
      <c r="C805" s="104" t="str">
        <f>$V$63</f>
        <v>Maxime</v>
      </c>
      <c r="D805" s="108">
        <f t="shared" ref="D805:S805" si="640">D63</f>
        <v>0</v>
      </c>
      <c r="E805" s="108">
        <f t="shared" si="640"/>
        <v>0</v>
      </c>
      <c r="F805" s="108">
        <f t="shared" si="640"/>
        <v>0</v>
      </c>
      <c r="G805" s="108">
        <f t="shared" si="640"/>
        <v>0</v>
      </c>
      <c r="H805" s="108">
        <f t="shared" si="640"/>
        <v>0</v>
      </c>
      <c r="I805" s="108">
        <f t="shared" si="640"/>
        <v>0</v>
      </c>
      <c r="J805" s="108">
        <f t="shared" si="640"/>
        <v>0</v>
      </c>
      <c r="K805" s="108">
        <f t="shared" si="640"/>
        <v>0</v>
      </c>
      <c r="L805" s="108">
        <f t="shared" si="640"/>
        <v>0</v>
      </c>
      <c r="M805" s="108">
        <f t="shared" si="640"/>
        <v>0</v>
      </c>
      <c r="N805" s="108">
        <f t="shared" si="640"/>
        <v>0</v>
      </c>
      <c r="O805" s="108">
        <f t="shared" si="640"/>
        <v>0</v>
      </c>
      <c r="P805" s="108">
        <f t="shared" si="640"/>
        <v>0</v>
      </c>
      <c r="Q805" s="108">
        <f t="shared" si="640"/>
        <v>0</v>
      </c>
      <c r="R805" s="108">
        <f t="shared" si="640"/>
        <v>0</v>
      </c>
      <c r="S805" s="108">
        <f t="shared" si="640"/>
        <v>0</v>
      </c>
      <c r="T805" s="28" t="s">
        <v>26</v>
      </c>
      <c r="V805" s="104" t="str">
        <f>$V$63</f>
        <v>Maxime</v>
      </c>
      <c r="W805" s="108">
        <f t="shared" si="615"/>
        <v>-1</v>
      </c>
      <c r="X805" s="108">
        <f t="shared" si="616"/>
        <v>-1</v>
      </c>
      <c r="Y805" s="108">
        <f t="shared" si="617"/>
        <v>-1</v>
      </c>
      <c r="Z805" s="108">
        <f t="shared" si="618"/>
        <v>-1</v>
      </c>
      <c r="AA805" s="108">
        <f t="shared" si="619"/>
        <v>-1</v>
      </c>
      <c r="AB805" s="108">
        <f t="shared" si="620"/>
        <v>-1</v>
      </c>
      <c r="AC805" s="108">
        <f t="shared" si="621"/>
        <v>-1</v>
      </c>
      <c r="AD805" s="108">
        <f t="shared" si="622"/>
        <v>-1</v>
      </c>
      <c r="AE805" s="108">
        <f t="shared" si="623"/>
        <v>-1</v>
      </c>
      <c r="AF805" s="108">
        <f t="shared" si="624"/>
        <v>-1</v>
      </c>
      <c r="AG805" s="108">
        <f t="shared" si="625"/>
        <v>-1</v>
      </c>
      <c r="AH805" s="108">
        <f t="shared" si="626"/>
        <v>-1</v>
      </c>
      <c r="AI805" s="108">
        <f t="shared" si="627"/>
        <v>-1</v>
      </c>
      <c r="AJ805" s="108">
        <f t="shared" si="628"/>
        <v>-1</v>
      </c>
      <c r="AK805" s="108">
        <f t="shared" si="629"/>
        <v>-1</v>
      </c>
      <c r="AL805" s="108">
        <f t="shared" si="630"/>
        <v>-1</v>
      </c>
      <c r="AM805" s="108"/>
    </row>
    <row r="806" spans="3:39" x14ac:dyDescent="0.55000000000000004">
      <c r="C806" s="104" t="str">
        <f>$V$64</f>
        <v>Alex</v>
      </c>
      <c r="D806" s="108">
        <f t="shared" ref="D806:S806" si="641">D64</f>
        <v>0</v>
      </c>
      <c r="E806" s="108">
        <f t="shared" si="641"/>
        <v>0</v>
      </c>
      <c r="F806" s="108">
        <f t="shared" si="641"/>
        <v>0</v>
      </c>
      <c r="G806" s="108">
        <f t="shared" si="641"/>
        <v>0</v>
      </c>
      <c r="H806" s="108">
        <f t="shared" si="641"/>
        <v>0</v>
      </c>
      <c r="I806" s="108">
        <f t="shared" si="641"/>
        <v>0</v>
      </c>
      <c r="J806" s="108">
        <f t="shared" si="641"/>
        <v>0</v>
      </c>
      <c r="K806" s="108">
        <f t="shared" si="641"/>
        <v>0</v>
      </c>
      <c r="L806" s="108">
        <f t="shared" si="641"/>
        <v>0</v>
      </c>
      <c r="M806" s="108">
        <f t="shared" si="641"/>
        <v>0</v>
      </c>
      <c r="N806" s="108">
        <f t="shared" si="641"/>
        <v>0</v>
      </c>
      <c r="O806" s="108">
        <f t="shared" si="641"/>
        <v>0</v>
      </c>
      <c r="P806" s="108">
        <f t="shared" si="641"/>
        <v>0</v>
      </c>
      <c r="Q806" s="108">
        <f t="shared" si="641"/>
        <v>0</v>
      </c>
      <c r="R806" s="108">
        <f t="shared" si="641"/>
        <v>0</v>
      </c>
      <c r="S806" s="108">
        <f t="shared" si="641"/>
        <v>0</v>
      </c>
      <c r="T806" s="28" t="s">
        <v>26</v>
      </c>
      <c r="V806" s="104" t="str">
        <f>$V$64</f>
        <v>Alex</v>
      </c>
      <c r="W806" s="108">
        <f t="shared" si="615"/>
        <v>-1</v>
      </c>
      <c r="X806" s="108">
        <f t="shared" si="616"/>
        <v>-1</v>
      </c>
      <c r="Y806" s="108">
        <f t="shared" si="617"/>
        <v>-1</v>
      </c>
      <c r="Z806" s="108">
        <f t="shared" si="618"/>
        <v>-1</v>
      </c>
      <c r="AA806" s="108">
        <f t="shared" si="619"/>
        <v>-1</v>
      </c>
      <c r="AB806" s="108">
        <f t="shared" si="620"/>
        <v>-1</v>
      </c>
      <c r="AC806" s="108">
        <f t="shared" si="621"/>
        <v>-1</v>
      </c>
      <c r="AD806" s="108">
        <f t="shared" si="622"/>
        <v>-1</v>
      </c>
      <c r="AE806" s="108">
        <f t="shared" si="623"/>
        <v>-1</v>
      </c>
      <c r="AF806" s="108">
        <f t="shared" si="624"/>
        <v>-1</v>
      </c>
      <c r="AG806" s="108">
        <f t="shared" si="625"/>
        <v>-1</v>
      </c>
      <c r="AH806" s="108">
        <f t="shared" si="626"/>
        <v>-1</v>
      </c>
      <c r="AI806" s="108">
        <f t="shared" si="627"/>
        <v>-1</v>
      </c>
      <c r="AJ806" s="108">
        <f t="shared" si="628"/>
        <v>-1</v>
      </c>
      <c r="AK806" s="108">
        <f t="shared" si="629"/>
        <v>-1</v>
      </c>
      <c r="AL806" s="108">
        <f t="shared" si="630"/>
        <v>-1</v>
      </c>
      <c r="AM806" s="108"/>
    </row>
    <row r="807" spans="3:39" x14ac:dyDescent="0.55000000000000004">
      <c r="C807" s="104" t="str">
        <f>$V$65</f>
        <v>Alyssa</v>
      </c>
      <c r="D807" s="108">
        <f t="shared" ref="D807:S807" si="642">D65</f>
        <v>0</v>
      </c>
      <c r="E807" s="108">
        <f t="shared" si="642"/>
        <v>0</v>
      </c>
      <c r="F807" s="108">
        <f t="shared" si="642"/>
        <v>0</v>
      </c>
      <c r="G807" s="108">
        <f t="shared" si="642"/>
        <v>0</v>
      </c>
      <c r="H807" s="108">
        <f t="shared" si="642"/>
        <v>0</v>
      </c>
      <c r="I807" s="108">
        <f t="shared" si="642"/>
        <v>0</v>
      </c>
      <c r="J807" s="108">
        <f t="shared" si="642"/>
        <v>0</v>
      </c>
      <c r="K807" s="108">
        <f t="shared" si="642"/>
        <v>0</v>
      </c>
      <c r="L807" s="108">
        <f t="shared" si="642"/>
        <v>0</v>
      </c>
      <c r="M807" s="108">
        <f t="shared" si="642"/>
        <v>0</v>
      </c>
      <c r="N807" s="108">
        <f t="shared" si="642"/>
        <v>0</v>
      </c>
      <c r="O807" s="108">
        <f t="shared" si="642"/>
        <v>0</v>
      </c>
      <c r="P807" s="108">
        <f t="shared" si="642"/>
        <v>0</v>
      </c>
      <c r="Q807" s="108">
        <f t="shared" si="642"/>
        <v>0</v>
      </c>
      <c r="R807" s="108">
        <f t="shared" si="642"/>
        <v>0</v>
      </c>
      <c r="S807" s="108">
        <f t="shared" si="642"/>
        <v>0</v>
      </c>
      <c r="T807" s="28" t="s">
        <v>26</v>
      </c>
      <c r="V807" s="104" t="str">
        <f>$V$65</f>
        <v>Alyssa</v>
      </c>
      <c r="W807" s="108">
        <f t="shared" si="615"/>
        <v>-1</v>
      </c>
      <c r="X807" s="108">
        <f t="shared" si="616"/>
        <v>-1</v>
      </c>
      <c r="Y807" s="108">
        <f t="shared" si="617"/>
        <v>-1</v>
      </c>
      <c r="Z807" s="108">
        <f t="shared" si="618"/>
        <v>-1</v>
      </c>
      <c r="AA807" s="108">
        <f t="shared" si="619"/>
        <v>-1</v>
      </c>
      <c r="AB807" s="108">
        <f t="shared" si="620"/>
        <v>-1</v>
      </c>
      <c r="AC807" s="108">
        <f t="shared" si="621"/>
        <v>-1</v>
      </c>
      <c r="AD807" s="108">
        <f t="shared" si="622"/>
        <v>-1</v>
      </c>
      <c r="AE807" s="108">
        <f t="shared" si="623"/>
        <v>-1</v>
      </c>
      <c r="AF807" s="108">
        <f t="shared" si="624"/>
        <v>-1</v>
      </c>
      <c r="AG807" s="108">
        <f t="shared" si="625"/>
        <v>-1</v>
      </c>
      <c r="AH807" s="108">
        <f t="shared" si="626"/>
        <v>-1</v>
      </c>
      <c r="AI807" s="108">
        <f t="shared" si="627"/>
        <v>-1</v>
      </c>
      <c r="AJ807" s="108">
        <f t="shared" si="628"/>
        <v>-1</v>
      </c>
      <c r="AK807" s="108">
        <f t="shared" si="629"/>
        <v>-1</v>
      </c>
      <c r="AL807" s="108">
        <f t="shared" si="630"/>
        <v>-1</v>
      </c>
      <c r="AM807" s="108"/>
    </row>
    <row r="808" spans="3:39" x14ac:dyDescent="0.55000000000000004">
      <c r="C808" s="104" t="str">
        <f>$V$66</f>
        <v>Amanda</v>
      </c>
      <c r="D808" s="108">
        <f t="shared" ref="D808:S808" si="643">D66</f>
        <v>0</v>
      </c>
      <c r="E808" s="108">
        <f t="shared" si="643"/>
        <v>0</v>
      </c>
      <c r="F808" s="108">
        <f t="shared" si="643"/>
        <v>0</v>
      </c>
      <c r="G808" s="108">
        <f t="shared" si="643"/>
        <v>0</v>
      </c>
      <c r="H808" s="108">
        <f t="shared" si="643"/>
        <v>0</v>
      </c>
      <c r="I808" s="108">
        <f t="shared" si="643"/>
        <v>0</v>
      </c>
      <c r="J808" s="108">
        <f t="shared" si="643"/>
        <v>0</v>
      </c>
      <c r="K808" s="108">
        <f t="shared" si="643"/>
        <v>0</v>
      </c>
      <c r="L808" s="108">
        <f t="shared" si="643"/>
        <v>0</v>
      </c>
      <c r="M808" s="108">
        <f t="shared" si="643"/>
        <v>0</v>
      </c>
      <c r="N808" s="108">
        <f t="shared" si="643"/>
        <v>0</v>
      </c>
      <c r="O808" s="108">
        <f t="shared" si="643"/>
        <v>0</v>
      </c>
      <c r="P808" s="108">
        <f t="shared" si="643"/>
        <v>0</v>
      </c>
      <c r="Q808" s="108">
        <f t="shared" si="643"/>
        <v>0</v>
      </c>
      <c r="R808" s="108">
        <f t="shared" si="643"/>
        <v>0</v>
      </c>
      <c r="S808" s="108">
        <f t="shared" si="643"/>
        <v>0</v>
      </c>
      <c r="T808" s="28" t="s">
        <v>26</v>
      </c>
      <c r="V808" s="104" t="str">
        <f>$V$66</f>
        <v>Amanda</v>
      </c>
      <c r="W808" s="108">
        <f t="shared" si="615"/>
        <v>-1</v>
      </c>
      <c r="X808" s="108">
        <f t="shared" si="616"/>
        <v>-1</v>
      </c>
      <c r="Y808" s="108">
        <f t="shared" si="617"/>
        <v>-1</v>
      </c>
      <c r="Z808" s="108">
        <f t="shared" si="618"/>
        <v>-1</v>
      </c>
      <c r="AA808" s="108">
        <f t="shared" si="619"/>
        <v>-1</v>
      </c>
      <c r="AB808" s="108">
        <f t="shared" si="620"/>
        <v>-1</v>
      </c>
      <c r="AC808" s="108">
        <f t="shared" si="621"/>
        <v>-1</v>
      </c>
      <c r="AD808" s="108">
        <f t="shared" si="622"/>
        <v>-1</v>
      </c>
      <c r="AE808" s="108">
        <f t="shared" si="623"/>
        <v>-1</v>
      </c>
      <c r="AF808" s="108">
        <f t="shared" si="624"/>
        <v>-1</v>
      </c>
      <c r="AG808" s="108">
        <f t="shared" si="625"/>
        <v>-1</v>
      </c>
      <c r="AH808" s="108">
        <f t="shared" si="626"/>
        <v>-1</v>
      </c>
      <c r="AI808" s="108">
        <f t="shared" si="627"/>
        <v>-1</v>
      </c>
      <c r="AJ808" s="108">
        <f t="shared" si="628"/>
        <v>-1</v>
      </c>
      <c r="AK808" s="108">
        <f t="shared" si="629"/>
        <v>-1</v>
      </c>
      <c r="AL808" s="108">
        <f t="shared" si="630"/>
        <v>-1</v>
      </c>
      <c r="AM808" s="108"/>
    </row>
    <row r="809" spans="3:39" x14ac:dyDescent="0.55000000000000004">
      <c r="C809" s="104" t="str">
        <f>$V$67</f>
        <v>Antoine</v>
      </c>
      <c r="D809" s="108">
        <f t="shared" ref="D809:S809" si="644">D67</f>
        <v>0</v>
      </c>
      <c r="E809" s="108">
        <f t="shared" si="644"/>
        <v>0</v>
      </c>
      <c r="F809" s="108">
        <f t="shared" si="644"/>
        <v>0</v>
      </c>
      <c r="G809" s="108">
        <f t="shared" si="644"/>
        <v>0</v>
      </c>
      <c r="H809" s="108">
        <f t="shared" si="644"/>
        <v>0</v>
      </c>
      <c r="I809" s="108">
        <f t="shared" si="644"/>
        <v>0</v>
      </c>
      <c r="J809" s="108">
        <f t="shared" si="644"/>
        <v>0</v>
      </c>
      <c r="K809" s="108">
        <f t="shared" si="644"/>
        <v>0</v>
      </c>
      <c r="L809" s="108">
        <f t="shared" si="644"/>
        <v>0</v>
      </c>
      <c r="M809" s="108">
        <f t="shared" si="644"/>
        <v>0</v>
      </c>
      <c r="N809" s="108">
        <f t="shared" si="644"/>
        <v>0</v>
      </c>
      <c r="O809" s="108">
        <f t="shared" si="644"/>
        <v>0</v>
      </c>
      <c r="P809" s="108">
        <f t="shared" si="644"/>
        <v>0</v>
      </c>
      <c r="Q809" s="108">
        <f t="shared" si="644"/>
        <v>0</v>
      </c>
      <c r="R809" s="108">
        <f t="shared" si="644"/>
        <v>0</v>
      </c>
      <c r="S809" s="108">
        <f t="shared" si="644"/>
        <v>0</v>
      </c>
      <c r="T809" s="28" t="s">
        <v>26</v>
      </c>
      <c r="V809" s="104" t="str">
        <f>$V$67</f>
        <v>Antoine</v>
      </c>
      <c r="W809" s="108">
        <f t="shared" si="615"/>
        <v>-1</v>
      </c>
      <c r="X809" s="108">
        <f t="shared" si="616"/>
        <v>-1</v>
      </c>
      <c r="Y809" s="108">
        <f t="shared" si="617"/>
        <v>-1</v>
      </c>
      <c r="Z809" s="108">
        <f t="shared" si="618"/>
        <v>-1</v>
      </c>
      <c r="AA809" s="108">
        <f t="shared" si="619"/>
        <v>-1</v>
      </c>
      <c r="AB809" s="108">
        <f t="shared" si="620"/>
        <v>-1</v>
      </c>
      <c r="AC809" s="108">
        <f t="shared" si="621"/>
        <v>-1</v>
      </c>
      <c r="AD809" s="108">
        <f t="shared" si="622"/>
        <v>-1</v>
      </c>
      <c r="AE809" s="108">
        <f t="shared" si="623"/>
        <v>-1</v>
      </c>
      <c r="AF809" s="108">
        <f t="shared" si="624"/>
        <v>-1</v>
      </c>
      <c r="AG809" s="108">
        <f t="shared" si="625"/>
        <v>-1</v>
      </c>
      <c r="AH809" s="108">
        <f t="shared" si="626"/>
        <v>-1</v>
      </c>
      <c r="AI809" s="108">
        <f t="shared" si="627"/>
        <v>-1</v>
      </c>
      <c r="AJ809" s="108">
        <f t="shared" si="628"/>
        <v>-1</v>
      </c>
      <c r="AK809" s="108">
        <f t="shared" si="629"/>
        <v>-1</v>
      </c>
      <c r="AL809" s="108">
        <f t="shared" si="630"/>
        <v>-1</v>
      </c>
      <c r="AM809" s="108"/>
    </row>
    <row r="810" spans="3:39" x14ac:dyDescent="0.55000000000000004">
      <c r="C810" s="104" t="str">
        <f>$V$68</f>
        <v>Beatriz</v>
      </c>
      <c r="D810" s="108">
        <f t="shared" ref="D810:S810" si="645">D68</f>
        <v>0</v>
      </c>
      <c r="E810" s="108">
        <f t="shared" si="645"/>
        <v>0</v>
      </c>
      <c r="F810" s="108">
        <f t="shared" si="645"/>
        <v>0</v>
      </c>
      <c r="G810" s="108">
        <f t="shared" si="645"/>
        <v>0</v>
      </c>
      <c r="H810" s="108">
        <f t="shared" si="645"/>
        <v>0</v>
      </c>
      <c r="I810" s="108">
        <f t="shared" si="645"/>
        <v>0</v>
      </c>
      <c r="J810" s="108">
        <f t="shared" si="645"/>
        <v>0</v>
      </c>
      <c r="K810" s="108">
        <f t="shared" si="645"/>
        <v>0</v>
      </c>
      <c r="L810" s="108">
        <f t="shared" si="645"/>
        <v>0</v>
      </c>
      <c r="M810" s="108">
        <f t="shared" si="645"/>
        <v>0</v>
      </c>
      <c r="N810" s="108">
        <f t="shared" si="645"/>
        <v>0</v>
      </c>
      <c r="O810" s="108">
        <f t="shared" si="645"/>
        <v>0</v>
      </c>
      <c r="P810" s="108">
        <f t="shared" si="645"/>
        <v>0</v>
      </c>
      <c r="Q810" s="108">
        <f t="shared" si="645"/>
        <v>0</v>
      </c>
      <c r="R810" s="108">
        <f t="shared" si="645"/>
        <v>0</v>
      </c>
      <c r="S810" s="108">
        <f t="shared" si="645"/>
        <v>0</v>
      </c>
      <c r="T810" s="28" t="s">
        <v>26</v>
      </c>
      <c r="V810" s="104" t="str">
        <f>$V$68</f>
        <v>Beatriz</v>
      </c>
      <c r="W810" s="108">
        <f t="shared" si="615"/>
        <v>-1</v>
      </c>
      <c r="X810" s="108">
        <f t="shared" si="616"/>
        <v>-1</v>
      </c>
      <c r="Y810" s="108">
        <f t="shared" si="617"/>
        <v>-1</v>
      </c>
      <c r="Z810" s="108">
        <f t="shared" si="618"/>
        <v>-1</v>
      </c>
      <c r="AA810" s="108">
        <f t="shared" si="619"/>
        <v>-1</v>
      </c>
      <c r="AB810" s="108">
        <f t="shared" si="620"/>
        <v>-1</v>
      </c>
      <c r="AC810" s="108">
        <f t="shared" si="621"/>
        <v>-1</v>
      </c>
      <c r="AD810" s="108">
        <f t="shared" si="622"/>
        <v>-1</v>
      </c>
      <c r="AE810" s="108">
        <f t="shared" si="623"/>
        <v>-1</v>
      </c>
      <c r="AF810" s="108">
        <f t="shared" si="624"/>
        <v>-1</v>
      </c>
      <c r="AG810" s="108">
        <f t="shared" si="625"/>
        <v>-1</v>
      </c>
      <c r="AH810" s="108">
        <f t="shared" si="626"/>
        <v>-1</v>
      </c>
      <c r="AI810" s="108">
        <f t="shared" si="627"/>
        <v>-1</v>
      </c>
      <c r="AJ810" s="108">
        <f t="shared" si="628"/>
        <v>-1</v>
      </c>
      <c r="AK810" s="108">
        <f t="shared" si="629"/>
        <v>-1</v>
      </c>
      <c r="AL810" s="108">
        <f t="shared" si="630"/>
        <v>-1</v>
      </c>
      <c r="AM810" s="108"/>
    </row>
    <row r="811" spans="3:39" x14ac:dyDescent="0.55000000000000004">
      <c r="C811" s="104" t="str">
        <f>$V$69</f>
        <v>Charelle</v>
      </c>
      <c r="D811" s="108">
        <f t="shared" ref="D811:S811" si="646">D69</f>
        <v>0</v>
      </c>
      <c r="E811" s="108">
        <f t="shared" si="646"/>
        <v>0</v>
      </c>
      <c r="F811" s="108">
        <f t="shared" si="646"/>
        <v>0</v>
      </c>
      <c r="G811" s="108">
        <f t="shared" si="646"/>
        <v>0</v>
      </c>
      <c r="H811" s="108">
        <f t="shared" si="646"/>
        <v>0</v>
      </c>
      <c r="I811" s="108">
        <f t="shared" si="646"/>
        <v>0</v>
      </c>
      <c r="J811" s="108">
        <f t="shared" si="646"/>
        <v>0</v>
      </c>
      <c r="K811" s="108">
        <f t="shared" si="646"/>
        <v>0</v>
      </c>
      <c r="L811" s="108">
        <f t="shared" si="646"/>
        <v>0</v>
      </c>
      <c r="M811" s="108">
        <f t="shared" si="646"/>
        <v>0</v>
      </c>
      <c r="N811" s="108">
        <f t="shared" si="646"/>
        <v>0</v>
      </c>
      <c r="O811" s="108">
        <f t="shared" si="646"/>
        <v>0</v>
      </c>
      <c r="P811" s="108">
        <f t="shared" si="646"/>
        <v>0</v>
      </c>
      <c r="Q811" s="108">
        <f t="shared" si="646"/>
        <v>0</v>
      </c>
      <c r="R811" s="108">
        <f t="shared" si="646"/>
        <v>0</v>
      </c>
      <c r="S811" s="108">
        <f t="shared" si="646"/>
        <v>0</v>
      </c>
      <c r="T811" s="28" t="s">
        <v>26</v>
      </c>
      <c r="V811" s="104" t="str">
        <f>$V$69</f>
        <v>Charelle</v>
      </c>
      <c r="W811" s="108">
        <f t="shared" si="615"/>
        <v>-1</v>
      </c>
      <c r="X811" s="108">
        <f t="shared" si="616"/>
        <v>-1</v>
      </c>
      <c r="Y811" s="108">
        <f t="shared" si="617"/>
        <v>-1</v>
      </c>
      <c r="Z811" s="108">
        <f t="shared" si="618"/>
        <v>-1</v>
      </c>
      <c r="AA811" s="108">
        <f t="shared" si="619"/>
        <v>-1</v>
      </c>
      <c r="AB811" s="108">
        <f t="shared" si="620"/>
        <v>-1</v>
      </c>
      <c r="AC811" s="108">
        <f t="shared" si="621"/>
        <v>-1</v>
      </c>
      <c r="AD811" s="108">
        <f t="shared" si="622"/>
        <v>-1</v>
      </c>
      <c r="AE811" s="108">
        <f t="shared" si="623"/>
        <v>-1</v>
      </c>
      <c r="AF811" s="108">
        <f t="shared" si="624"/>
        <v>-1</v>
      </c>
      <c r="AG811" s="108">
        <f t="shared" si="625"/>
        <v>-1</v>
      </c>
      <c r="AH811" s="108">
        <f t="shared" si="626"/>
        <v>-1</v>
      </c>
      <c r="AI811" s="108">
        <f t="shared" si="627"/>
        <v>-1</v>
      </c>
      <c r="AJ811" s="108">
        <f t="shared" si="628"/>
        <v>-1</v>
      </c>
      <c r="AK811" s="108">
        <f t="shared" si="629"/>
        <v>-1</v>
      </c>
      <c r="AL811" s="108">
        <f t="shared" si="630"/>
        <v>-1</v>
      </c>
      <c r="AM811" s="108"/>
    </row>
    <row r="812" spans="3:39" x14ac:dyDescent="0.55000000000000004">
      <c r="C812" s="104" t="str">
        <f>$V$70</f>
        <v>Dimitri</v>
      </c>
      <c r="D812" s="108">
        <f t="shared" ref="D812:S812" si="647">D70</f>
        <v>0</v>
      </c>
      <c r="E812" s="108">
        <f t="shared" si="647"/>
        <v>0</v>
      </c>
      <c r="F812" s="108">
        <f t="shared" si="647"/>
        <v>0</v>
      </c>
      <c r="G812" s="108">
        <f t="shared" si="647"/>
        <v>0</v>
      </c>
      <c r="H812" s="108">
        <f t="shared" si="647"/>
        <v>0</v>
      </c>
      <c r="I812" s="108">
        <f t="shared" si="647"/>
        <v>0</v>
      </c>
      <c r="J812" s="108">
        <f t="shared" si="647"/>
        <v>0</v>
      </c>
      <c r="K812" s="108">
        <f t="shared" si="647"/>
        <v>0</v>
      </c>
      <c r="L812" s="108">
        <f t="shared" si="647"/>
        <v>0</v>
      </c>
      <c r="M812" s="108">
        <f t="shared" si="647"/>
        <v>0</v>
      </c>
      <c r="N812" s="108">
        <f t="shared" si="647"/>
        <v>0</v>
      </c>
      <c r="O812" s="108">
        <f t="shared" si="647"/>
        <v>0</v>
      </c>
      <c r="P812" s="108">
        <f t="shared" si="647"/>
        <v>0</v>
      </c>
      <c r="Q812" s="108">
        <f t="shared" si="647"/>
        <v>0</v>
      </c>
      <c r="R812" s="108">
        <f t="shared" si="647"/>
        <v>0</v>
      </c>
      <c r="S812" s="108">
        <f t="shared" si="647"/>
        <v>0</v>
      </c>
      <c r="T812" s="28" t="s">
        <v>26</v>
      </c>
      <c r="V812" s="104" t="str">
        <f>$V$70</f>
        <v>Dimitri</v>
      </c>
      <c r="W812" s="108">
        <f t="shared" si="615"/>
        <v>-1</v>
      </c>
      <c r="X812" s="108">
        <f t="shared" si="616"/>
        <v>-1</v>
      </c>
      <c r="Y812" s="108">
        <f t="shared" si="617"/>
        <v>-1</v>
      </c>
      <c r="Z812" s="108">
        <f t="shared" si="618"/>
        <v>-1</v>
      </c>
      <c r="AA812" s="108">
        <f t="shared" si="619"/>
        <v>-1</v>
      </c>
      <c r="AB812" s="108">
        <f t="shared" si="620"/>
        <v>-1</v>
      </c>
      <c r="AC812" s="108">
        <f t="shared" si="621"/>
        <v>-1</v>
      </c>
      <c r="AD812" s="108">
        <f t="shared" si="622"/>
        <v>-1</v>
      </c>
      <c r="AE812" s="108">
        <f t="shared" si="623"/>
        <v>-1</v>
      </c>
      <c r="AF812" s="108">
        <f t="shared" si="624"/>
        <v>-1</v>
      </c>
      <c r="AG812" s="108">
        <f t="shared" si="625"/>
        <v>-1</v>
      </c>
      <c r="AH812" s="108">
        <f t="shared" si="626"/>
        <v>-1</v>
      </c>
      <c r="AI812" s="108">
        <f t="shared" si="627"/>
        <v>-1</v>
      </c>
      <c r="AJ812" s="108">
        <f t="shared" si="628"/>
        <v>-1</v>
      </c>
      <c r="AK812" s="108">
        <f t="shared" si="629"/>
        <v>-1</v>
      </c>
      <c r="AL812" s="108">
        <f t="shared" si="630"/>
        <v>-1</v>
      </c>
      <c r="AM812" s="108"/>
    </row>
    <row r="813" spans="3:39" x14ac:dyDescent="0.55000000000000004">
      <c r="C813" s="104" t="str">
        <f>$V$71</f>
        <v>Marina</v>
      </c>
      <c r="D813" s="108">
        <f t="shared" ref="D813:S813" si="648">D71</f>
        <v>0</v>
      </c>
      <c r="E813" s="108">
        <f t="shared" si="648"/>
        <v>0</v>
      </c>
      <c r="F813" s="108">
        <f t="shared" si="648"/>
        <v>0</v>
      </c>
      <c r="G813" s="108">
        <f t="shared" si="648"/>
        <v>0</v>
      </c>
      <c r="H813" s="108">
        <f t="shared" si="648"/>
        <v>0</v>
      </c>
      <c r="I813" s="108">
        <f t="shared" si="648"/>
        <v>0</v>
      </c>
      <c r="J813" s="108">
        <f t="shared" si="648"/>
        <v>0</v>
      </c>
      <c r="K813" s="108">
        <f t="shared" si="648"/>
        <v>0</v>
      </c>
      <c r="L813" s="108">
        <f t="shared" si="648"/>
        <v>0</v>
      </c>
      <c r="M813" s="108">
        <f t="shared" si="648"/>
        <v>0</v>
      </c>
      <c r="N813" s="108">
        <f t="shared" si="648"/>
        <v>0</v>
      </c>
      <c r="O813" s="108">
        <f t="shared" si="648"/>
        <v>0</v>
      </c>
      <c r="P813" s="108">
        <f t="shared" si="648"/>
        <v>0</v>
      </c>
      <c r="Q813" s="108">
        <f t="shared" si="648"/>
        <v>0</v>
      </c>
      <c r="R813" s="108">
        <f t="shared" si="648"/>
        <v>0</v>
      </c>
      <c r="S813" s="108">
        <f t="shared" si="648"/>
        <v>0</v>
      </c>
      <c r="T813" s="28" t="s">
        <v>26</v>
      </c>
      <c r="V813" s="104" t="str">
        <f>$V$71</f>
        <v>Marina</v>
      </c>
      <c r="W813" s="108">
        <f t="shared" si="615"/>
        <v>-1</v>
      </c>
      <c r="X813" s="108">
        <f t="shared" si="616"/>
        <v>-1</v>
      </c>
      <c r="Y813" s="108">
        <f t="shared" si="617"/>
        <v>-1</v>
      </c>
      <c r="Z813" s="108">
        <f t="shared" si="618"/>
        <v>-1</v>
      </c>
      <c r="AA813" s="108">
        <f t="shared" si="619"/>
        <v>-1</v>
      </c>
      <c r="AB813" s="108">
        <f t="shared" si="620"/>
        <v>-1</v>
      </c>
      <c r="AC813" s="108">
        <f t="shared" si="621"/>
        <v>-1</v>
      </c>
      <c r="AD813" s="108">
        <f t="shared" si="622"/>
        <v>-1</v>
      </c>
      <c r="AE813" s="108">
        <f t="shared" si="623"/>
        <v>-1</v>
      </c>
      <c r="AF813" s="108">
        <f t="shared" si="624"/>
        <v>-1</v>
      </c>
      <c r="AG813" s="108">
        <f t="shared" si="625"/>
        <v>-1</v>
      </c>
      <c r="AH813" s="108">
        <f t="shared" si="626"/>
        <v>-1</v>
      </c>
      <c r="AI813" s="108">
        <f t="shared" si="627"/>
        <v>-1</v>
      </c>
      <c r="AJ813" s="108">
        <f t="shared" si="628"/>
        <v>-1</v>
      </c>
      <c r="AK813" s="108">
        <f t="shared" si="629"/>
        <v>-1</v>
      </c>
      <c r="AL813" s="108">
        <f t="shared" si="630"/>
        <v>-1</v>
      </c>
      <c r="AM813" s="108"/>
    </row>
    <row r="814" spans="3:39" x14ac:dyDescent="0.55000000000000004">
      <c r="C814" s="104" t="str">
        <f>$V$72</f>
        <v>Michel</v>
      </c>
      <c r="D814" s="108">
        <f t="shared" ref="D814:S814" si="649">D72</f>
        <v>0</v>
      </c>
      <c r="E814" s="108">
        <f t="shared" si="649"/>
        <v>0</v>
      </c>
      <c r="F814" s="108">
        <f t="shared" si="649"/>
        <v>0</v>
      </c>
      <c r="G814" s="108">
        <f t="shared" si="649"/>
        <v>0</v>
      </c>
      <c r="H814" s="108">
        <f t="shared" si="649"/>
        <v>0</v>
      </c>
      <c r="I814" s="108">
        <f t="shared" si="649"/>
        <v>0</v>
      </c>
      <c r="J814" s="108">
        <f t="shared" si="649"/>
        <v>0</v>
      </c>
      <c r="K814" s="108">
        <f t="shared" si="649"/>
        <v>0</v>
      </c>
      <c r="L814" s="108">
        <f t="shared" si="649"/>
        <v>0</v>
      </c>
      <c r="M814" s="108">
        <f t="shared" si="649"/>
        <v>0</v>
      </c>
      <c r="N814" s="108">
        <f t="shared" si="649"/>
        <v>0</v>
      </c>
      <c r="O814" s="108">
        <f t="shared" si="649"/>
        <v>0</v>
      </c>
      <c r="P814" s="108">
        <f t="shared" si="649"/>
        <v>0</v>
      </c>
      <c r="Q814" s="108">
        <f t="shared" si="649"/>
        <v>0</v>
      </c>
      <c r="R814" s="108">
        <f t="shared" si="649"/>
        <v>0</v>
      </c>
      <c r="S814" s="108">
        <f t="shared" si="649"/>
        <v>0</v>
      </c>
      <c r="T814" s="28" t="s">
        <v>26</v>
      </c>
      <c r="V814" s="104" t="str">
        <f>$V$72</f>
        <v>Michel</v>
      </c>
      <c r="W814" s="108">
        <f t="shared" si="615"/>
        <v>-1</v>
      </c>
      <c r="X814" s="108">
        <f t="shared" si="616"/>
        <v>-1</v>
      </c>
      <c r="Y814" s="108">
        <f t="shared" si="617"/>
        <v>-1</v>
      </c>
      <c r="Z814" s="108">
        <f t="shared" si="618"/>
        <v>-1</v>
      </c>
      <c r="AA814" s="108">
        <f t="shared" si="619"/>
        <v>-1</v>
      </c>
      <c r="AB814" s="108">
        <f t="shared" si="620"/>
        <v>-1</v>
      </c>
      <c r="AC814" s="108">
        <f t="shared" si="621"/>
        <v>-1</v>
      </c>
      <c r="AD814" s="108">
        <f t="shared" si="622"/>
        <v>-1</v>
      </c>
      <c r="AE814" s="108">
        <f t="shared" si="623"/>
        <v>-1</v>
      </c>
      <c r="AF814" s="108">
        <f t="shared" si="624"/>
        <v>-1</v>
      </c>
      <c r="AG814" s="108">
        <f t="shared" si="625"/>
        <v>-1</v>
      </c>
      <c r="AH814" s="108">
        <f t="shared" si="626"/>
        <v>-1</v>
      </c>
      <c r="AI814" s="108">
        <f t="shared" si="627"/>
        <v>-1</v>
      </c>
      <c r="AJ814" s="108">
        <f t="shared" si="628"/>
        <v>-1</v>
      </c>
      <c r="AK814" s="108">
        <f t="shared" si="629"/>
        <v>-1</v>
      </c>
      <c r="AL814" s="108">
        <f t="shared" si="630"/>
        <v>-1</v>
      </c>
      <c r="AM814" s="108"/>
    </row>
    <row r="815" spans="3:39" x14ac:dyDescent="0.55000000000000004">
      <c r="C815" s="104" t="str">
        <f>$V$73</f>
        <v>Nour</v>
      </c>
      <c r="D815" s="108">
        <f t="shared" ref="D815:S815" si="650">D73</f>
        <v>0</v>
      </c>
      <c r="E815" s="108">
        <f t="shared" si="650"/>
        <v>0</v>
      </c>
      <c r="F815" s="108">
        <f t="shared" si="650"/>
        <v>0</v>
      </c>
      <c r="G815" s="108">
        <f t="shared" si="650"/>
        <v>0</v>
      </c>
      <c r="H815" s="108">
        <f t="shared" si="650"/>
        <v>0</v>
      </c>
      <c r="I815" s="108">
        <f t="shared" si="650"/>
        <v>0</v>
      </c>
      <c r="J815" s="108">
        <f t="shared" si="650"/>
        <v>0</v>
      </c>
      <c r="K815" s="108">
        <f t="shared" si="650"/>
        <v>0</v>
      </c>
      <c r="L815" s="108">
        <f t="shared" si="650"/>
        <v>0</v>
      </c>
      <c r="M815" s="108">
        <f t="shared" si="650"/>
        <v>0</v>
      </c>
      <c r="N815" s="108">
        <f t="shared" si="650"/>
        <v>0</v>
      </c>
      <c r="O815" s="108">
        <f t="shared" si="650"/>
        <v>0</v>
      </c>
      <c r="P815" s="108">
        <f t="shared" si="650"/>
        <v>0</v>
      </c>
      <c r="Q815" s="108">
        <f t="shared" si="650"/>
        <v>0</v>
      </c>
      <c r="R815" s="108">
        <f t="shared" si="650"/>
        <v>0</v>
      </c>
      <c r="S815" s="108">
        <f t="shared" si="650"/>
        <v>0</v>
      </c>
      <c r="T815" s="28" t="s">
        <v>26</v>
      </c>
      <c r="V815" s="104" t="str">
        <f>$V$73</f>
        <v>Nour</v>
      </c>
      <c r="W815" s="108">
        <f t="shared" si="615"/>
        <v>-3</v>
      </c>
      <c r="X815" s="108">
        <f t="shared" si="616"/>
        <v>-1</v>
      </c>
      <c r="Y815" s="108">
        <f t="shared" si="617"/>
        <v>-1</v>
      </c>
      <c r="Z815" s="108">
        <f t="shared" si="618"/>
        <v>-1</v>
      </c>
      <c r="AA815" s="108">
        <f t="shared" si="619"/>
        <v>-1</v>
      </c>
      <c r="AB815" s="108">
        <f t="shared" si="620"/>
        <v>-1</v>
      </c>
      <c r="AC815" s="108">
        <f t="shared" si="621"/>
        <v>-1</v>
      </c>
      <c r="AD815" s="108">
        <f t="shared" si="622"/>
        <v>-1</v>
      </c>
      <c r="AE815" s="108">
        <f t="shared" si="623"/>
        <v>-1</v>
      </c>
      <c r="AF815" s="108">
        <f t="shared" si="624"/>
        <v>-1</v>
      </c>
      <c r="AG815" s="108">
        <f t="shared" si="625"/>
        <v>-1</v>
      </c>
      <c r="AH815" s="108">
        <f t="shared" si="626"/>
        <v>-1</v>
      </c>
      <c r="AI815" s="108">
        <f t="shared" si="627"/>
        <v>-1</v>
      </c>
      <c r="AJ815" s="108">
        <f t="shared" si="628"/>
        <v>-1</v>
      </c>
      <c r="AK815" s="108">
        <f t="shared" si="629"/>
        <v>-1</v>
      </c>
      <c r="AL815" s="108">
        <f t="shared" si="630"/>
        <v>-1</v>
      </c>
      <c r="AM815" s="108"/>
    </row>
    <row r="816" spans="3:39" x14ac:dyDescent="0.55000000000000004">
      <c r="C816" s="104" t="str">
        <f>$V$74</f>
        <v>Samuel</v>
      </c>
      <c r="D816" s="108">
        <f t="shared" ref="D816:S816" si="651">D74</f>
        <v>0</v>
      </c>
      <c r="E816" s="108">
        <f t="shared" si="651"/>
        <v>0</v>
      </c>
      <c r="F816" s="108">
        <f t="shared" si="651"/>
        <v>0</v>
      </c>
      <c r="G816" s="108">
        <f t="shared" si="651"/>
        <v>0</v>
      </c>
      <c r="H816" s="108">
        <f t="shared" si="651"/>
        <v>0</v>
      </c>
      <c r="I816" s="108">
        <f t="shared" si="651"/>
        <v>0</v>
      </c>
      <c r="J816" s="108">
        <f t="shared" si="651"/>
        <v>0</v>
      </c>
      <c r="K816" s="108">
        <f t="shared" si="651"/>
        <v>0</v>
      </c>
      <c r="L816" s="108">
        <f t="shared" si="651"/>
        <v>0</v>
      </c>
      <c r="M816" s="108">
        <f t="shared" si="651"/>
        <v>0</v>
      </c>
      <c r="N816" s="108">
        <f t="shared" si="651"/>
        <v>0</v>
      </c>
      <c r="O816" s="108">
        <f t="shared" si="651"/>
        <v>0</v>
      </c>
      <c r="P816" s="108">
        <f t="shared" si="651"/>
        <v>0</v>
      </c>
      <c r="Q816" s="108">
        <f t="shared" si="651"/>
        <v>0</v>
      </c>
      <c r="R816" s="108">
        <f t="shared" si="651"/>
        <v>0</v>
      </c>
      <c r="S816" s="108">
        <f t="shared" si="651"/>
        <v>0</v>
      </c>
      <c r="T816" s="28" t="s">
        <v>26</v>
      </c>
      <c r="V816" s="104" t="str">
        <f>$V$74</f>
        <v>Samuel</v>
      </c>
      <c r="W816" s="108">
        <f t="shared" si="615"/>
        <v>-1</v>
      </c>
      <c r="X816" s="108">
        <f t="shared" si="616"/>
        <v>-1</v>
      </c>
      <c r="Y816" s="108">
        <f t="shared" si="617"/>
        <v>-1</v>
      </c>
      <c r="Z816" s="108">
        <f t="shared" si="618"/>
        <v>-1</v>
      </c>
      <c r="AA816" s="108">
        <f t="shared" si="619"/>
        <v>-1</v>
      </c>
      <c r="AB816" s="108">
        <f t="shared" si="620"/>
        <v>-1</v>
      </c>
      <c r="AC816" s="108">
        <f t="shared" si="621"/>
        <v>-1</v>
      </c>
      <c r="AD816" s="108">
        <f t="shared" si="622"/>
        <v>-1</v>
      </c>
      <c r="AE816" s="108">
        <f t="shared" si="623"/>
        <v>-1</v>
      </c>
      <c r="AF816" s="108">
        <f t="shared" si="624"/>
        <v>-1</v>
      </c>
      <c r="AG816" s="108">
        <f t="shared" si="625"/>
        <v>-1</v>
      </c>
      <c r="AH816" s="108">
        <f t="shared" si="626"/>
        <v>-1</v>
      </c>
      <c r="AI816" s="108">
        <f t="shared" si="627"/>
        <v>-1</v>
      </c>
      <c r="AJ816" s="108">
        <f t="shared" si="628"/>
        <v>-1</v>
      </c>
      <c r="AK816" s="108">
        <f t="shared" si="629"/>
        <v>-1</v>
      </c>
      <c r="AL816" s="108">
        <f t="shared" si="630"/>
        <v>-1</v>
      </c>
      <c r="AM816" s="108"/>
    </row>
    <row r="817" spans="3:39" x14ac:dyDescent="0.55000000000000004">
      <c r="C817" s="104" t="str">
        <f>$V$75</f>
        <v>Yassin</v>
      </c>
      <c r="D817" s="108">
        <f t="shared" ref="D817:S817" si="652">D75</f>
        <v>0</v>
      </c>
      <c r="E817" s="108">
        <f t="shared" si="652"/>
        <v>0</v>
      </c>
      <c r="F817" s="108">
        <f t="shared" si="652"/>
        <v>0</v>
      </c>
      <c r="G817" s="108">
        <f t="shared" si="652"/>
        <v>0</v>
      </c>
      <c r="H817" s="108">
        <f t="shared" si="652"/>
        <v>0</v>
      </c>
      <c r="I817" s="108">
        <f t="shared" si="652"/>
        <v>0</v>
      </c>
      <c r="J817" s="108">
        <f t="shared" si="652"/>
        <v>0</v>
      </c>
      <c r="K817" s="108">
        <f t="shared" si="652"/>
        <v>0</v>
      </c>
      <c r="L817" s="108">
        <f t="shared" si="652"/>
        <v>0</v>
      </c>
      <c r="M817" s="108">
        <f t="shared" si="652"/>
        <v>0</v>
      </c>
      <c r="N817" s="108">
        <f t="shared" si="652"/>
        <v>0</v>
      </c>
      <c r="O817" s="108">
        <f t="shared" si="652"/>
        <v>0</v>
      </c>
      <c r="P817" s="108">
        <f t="shared" si="652"/>
        <v>0</v>
      </c>
      <c r="Q817" s="108">
        <f t="shared" si="652"/>
        <v>0</v>
      </c>
      <c r="R817" s="108">
        <f t="shared" si="652"/>
        <v>0</v>
      </c>
      <c r="S817" s="108">
        <f t="shared" si="652"/>
        <v>0</v>
      </c>
      <c r="T817" s="28" t="s">
        <v>26</v>
      </c>
      <c r="V817" s="104" t="str">
        <f>$V$75</f>
        <v>Yassin</v>
      </c>
      <c r="W817" s="108">
        <f t="shared" si="615"/>
        <v>-1</v>
      </c>
      <c r="X817" s="108">
        <f t="shared" si="616"/>
        <v>-1</v>
      </c>
      <c r="Y817" s="108">
        <f t="shared" si="617"/>
        <v>-1</v>
      </c>
      <c r="Z817" s="108">
        <f t="shared" si="618"/>
        <v>-1</v>
      </c>
      <c r="AA817" s="108">
        <f t="shared" si="619"/>
        <v>-1</v>
      </c>
      <c r="AB817" s="108">
        <f t="shared" si="620"/>
        <v>-1</v>
      </c>
      <c r="AC817" s="108">
        <f t="shared" si="621"/>
        <v>-1</v>
      </c>
      <c r="AD817" s="108">
        <f t="shared" si="622"/>
        <v>-1</v>
      </c>
      <c r="AE817" s="108">
        <f t="shared" si="623"/>
        <v>-1</v>
      </c>
      <c r="AF817" s="108">
        <f t="shared" si="624"/>
        <v>-1</v>
      </c>
      <c r="AG817" s="108">
        <f t="shared" si="625"/>
        <v>-1</v>
      </c>
      <c r="AH817" s="108">
        <f t="shared" si="626"/>
        <v>-1</v>
      </c>
      <c r="AI817" s="108">
        <f t="shared" si="627"/>
        <v>-1</v>
      </c>
      <c r="AJ817" s="108">
        <f t="shared" si="628"/>
        <v>-1</v>
      </c>
      <c r="AK817" s="108">
        <f t="shared" si="629"/>
        <v>-1</v>
      </c>
      <c r="AL817" s="108">
        <f t="shared" si="630"/>
        <v>-1</v>
      </c>
      <c r="AM817" s="108"/>
    </row>
    <row r="818" spans="3:39" x14ac:dyDescent="0.55000000000000004">
      <c r="C818" s="104" t="str">
        <f>$V$76</f>
        <v>Kamar</v>
      </c>
      <c r="D818" s="108">
        <f t="shared" ref="D818:S818" si="653">D76</f>
        <v>0</v>
      </c>
      <c r="E818" s="108">
        <f t="shared" si="653"/>
        <v>0</v>
      </c>
      <c r="F818" s="108">
        <f t="shared" si="653"/>
        <v>0</v>
      </c>
      <c r="G818" s="108">
        <f t="shared" si="653"/>
        <v>0</v>
      </c>
      <c r="H818" s="108">
        <f t="shared" si="653"/>
        <v>0</v>
      </c>
      <c r="I818" s="108">
        <f t="shared" si="653"/>
        <v>0</v>
      </c>
      <c r="J818" s="108">
        <f t="shared" si="653"/>
        <v>0</v>
      </c>
      <c r="K818" s="108">
        <f t="shared" si="653"/>
        <v>0</v>
      </c>
      <c r="L818" s="108">
        <f t="shared" si="653"/>
        <v>0</v>
      </c>
      <c r="M818" s="108">
        <f t="shared" si="653"/>
        <v>0</v>
      </c>
      <c r="N818" s="108">
        <f t="shared" si="653"/>
        <v>0</v>
      </c>
      <c r="O818" s="108">
        <f t="shared" si="653"/>
        <v>0</v>
      </c>
      <c r="P818" s="108">
        <f t="shared" si="653"/>
        <v>0</v>
      </c>
      <c r="Q818" s="108">
        <f t="shared" si="653"/>
        <v>0</v>
      </c>
      <c r="R818" s="108">
        <f t="shared" si="653"/>
        <v>0</v>
      </c>
      <c r="S818" s="108">
        <f t="shared" si="653"/>
        <v>0</v>
      </c>
      <c r="T818" s="28" t="s">
        <v>26</v>
      </c>
      <c r="V818" s="104" t="str">
        <f>$V$76</f>
        <v>Kamar</v>
      </c>
      <c r="W818" s="108">
        <f t="shared" si="615"/>
        <v>-1</v>
      </c>
      <c r="X818" s="108">
        <f t="shared" si="616"/>
        <v>-1</v>
      </c>
      <c r="Y818" s="108">
        <f t="shared" si="617"/>
        <v>-1</v>
      </c>
      <c r="Z818" s="108">
        <f t="shared" si="618"/>
        <v>-1</v>
      </c>
      <c r="AA818" s="108">
        <f t="shared" si="619"/>
        <v>-1</v>
      </c>
      <c r="AB818" s="108">
        <f t="shared" si="620"/>
        <v>-1</v>
      </c>
      <c r="AC818" s="108">
        <f t="shared" si="621"/>
        <v>-1</v>
      </c>
      <c r="AD818" s="108">
        <f t="shared" si="622"/>
        <v>-1</v>
      </c>
      <c r="AE818" s="108">
        <f t="shared" si="623"/>
        <v>-1</v>
      </c>
      <c r="AF818" s="108">
        <f t="shared" si="624"/>
        <v>-1</v>
      </c>
      <c r="AG818" s="108">
        <f t="shared" si="625"/>
        <v>-1</v>
      </c>
      <c r="AH818" s="108">
        <f t="shared" si="626"/>
        <v>-1</v>
      </c>
      <c r="AI818" s="108">
        <f t="shared" si="627"/>
        <v>-1</v>
      </c>
      <c r="AJ818" s="108">
        <f t="shared" si="628"/>
        <v>-1</v>
      </c>
      <c r="AK818" s="108">
        <f t="shared" si="629"/>
        <v>-1</v>
      </c>
      <c r="AL818" s="108">
        <f t="shared" si="630"/>
        <v>-1</v>
      </c>
      <c r="AM818" s="108"/>
    </row>
    <row r="819" spans="3:39" x14ac:dyDescent="0.55000000000000004">
      <c r="C819" s="104" t="str">
        <f>$V$77</f>
        <v>-</v>
      </c>
      <c r="D819" s="108">
        <f t="shared" ref="D819:S819" si="654">D77</f>
        <v>0</v>
      </c>
      <c r="E819" s="108">
        <f t="shared" si="654"/>
        <v>0</v>
      </c>
      <c r="F819" s="108">
        <f t="shared" si="654"/>
        <v>0</v>
      </c>
      <c r="G819" s="108">
        <f t="shared" si="654"/>
        <v>0</v>
      </c>
      <c r="H819" s="108">
        <f t="shared" si="654"/>
        <v>0</v>
      </c>
      <c r="I819" s="108">
        <f t="shared" si="654"/>
        <v>0</v>
      </c>
      <c r="J819" s="108">
        <f t="shared" si="654"/>
        <v>0</v>
      </c>
      <c r="K819" s="108">
        <f t="shared" si="654"/>
        <v>0</v>
      </c>
      <c r="L819" s="108">
        <f t="shared" si="654"/>
        <v>0</v>
      </c>
      <c r="M819" s="108">
        <f t="shared" si="654"/>
        <v>0</v>
      </c>
      <c r="N819" s="108">
        <f t="shared" si="654"/>
        <v>0</v>
      </c>
      <c r="O819" s="108">
        <f t="shared" si="654"/>
        <v>0</v>
      </c>
      <c r="P819" s="108">
        <f t="shared" si="654"/>
        <v>0</v>
      </c>
      <c r="Q819" s="108">
        <f t="shared" si="654"/>
        <v>0</v>
      </c>
      <c r="R819" s="108">
        <f t="shared" si="654"/>
        <v>0</v>
      </c>
      <c r="S819" s="108">
        <f t="shared" si="654"/>
        <v>0</v>
      </c>
      <c r="T819" s="28" t="s">
        <v>26</v>
      </c>
      <c r="V819" s="104" t="str">
        <f>$V$77</f>
        <v>-</v>
      </c>
      <c r="W819" s="108">
        <f t="shared" si="615"/>
        <v>-1</v>
      </c>
      <c r="X819" s="108">
        <f t="shared" si="616"/>
        <v>-1</v>
      </c>
      <c r="Y819" s="108">
        <f t="shared" si="617"/>
        <v>-1</v>
      </c>
      <c r="Z819" s="108">
        <f t="shared" si="618"/>
        <v>-1</v>
      </c>
      <c r="AA819" s="108">
        <f t="shared" si="619"/>
        <v>-1</v>
      </c>
      <c r="AB819" s="108">
        <f t="shared" si="620"/>
        <v>-1</v>
      </c>
      <c r="AC819" s="108">
        <f t="shared" si="621"/>
        <v>-1</v>
      </c>
      <c r="AD819" s="108">
        <f t="shared" si="622"/>
        <v>-1</v>
      </c>
      <c r="AE819" s="108">
        <f t="shared" si="623"/>
        <v>-1</v>
      </c>
      <c r="AF819" s="108">
        <f t="shared" si="624"/>
        <v>-1</v>
      </c>
      <c r="AG819" s="108">
        <f t="shared" si="625"/>
        <v>-1</v>
      </c>
      <c r="AH819" s="108">
        <f t="shared" si="626"/>
        <v>-1</v>
      </c>
      <c r="AI819" s="108">
        <f t="shared" si="627"/>
        <v>-1</v>
      </c>
      <c r="AJ819" s="108">
        <f t="shared" si="628"/>
        <v>-1</v>
      </c>
      <c r="AK819" s="108">
        <f t="shared" si="629"/>
        <v>-1</v>
      </c>
      <c r="AL819" s="108">
        <f t="shared" si="630"/>
        <v>-1</v>
      </c>
      <c r="AM819" s="108"/>
    </row>
    <row r="820" spans="3:39" x14ac:dyDescent="0.55000000000000004">
      <c r="C820" s="104" t="str">
        <f>$V$78</f>
        <v>-</v>
      </c>
      <c r="D820" s="108">
        <f t="shared" ref="D820:S820" si="655">D78</f>
        <v>0</v>
      </c>
      <c r="E820" s="108">
        <f t="shared" si="655"/>
        <v>0</v>
      </c>
      <c r="F820" s="108">
        <f t="shared" si="655"/>
        <v>0</v>
      </c>
      <c r="G820" s="108">
        <f t="shared" si="655"/>
        <v>0</v>
      </c>
      <c r="H820" s="108">
        <f t="shared" si="655"/>
        <v>0</v>
      </c>
      <c r="I820" s="108">
        <f t="shared" si="655"/>
        <v>0</v>
      </c>
      <c r="J820" s="108">
        <f t="shared" si="655"/>
        <v>0</v>
      </c>
      <c r="K820" s="108">
        <f t="shared" si="655"/>
        <v>0</v>
      </c>
      <c r="L820" s="108">
        <f t="shared" si="655"/>
        <v>0</v>
      </c>
      <c r="M820" s="108">
        <f t="shared" si="655"/>
        <v>0</v>
      </c>
      <c r="N820" s="108">
        <f t="shared" si="655"/>
        <v>0</v>
      </c>
      <c r="O820" s="108">
        <f t="shared" si="655"/>
        <v>0</v>
      </c>
      <c r="P820" s="108">
        <f t="shared" si="655"/>
        <v>0</v>
      </c>
      <c r="Q820" s="108">
        <f t="shared" si="655"/>
        <v>0</v>
      </c>
      <c r="R820" s="108">
        <f t="shared" si="655"/>
        <v>0</v>
      </c>
      <c r="S820" s="108">
        <f t="shared" si="655"/>
        <v>0</v>
      </c>
      <c r="T820" s="28" t="s">
        <v>26</v>
      </c>
      <c r="V820" s="104" t="str">
        <f>$V$78</f>
        <v>-</v>
      </c>
      <c r="W820" s="108">
        <f t="shared" si="615"/>
        <v>-1</v>
      </c>
      <c r="X820" s="108">
        <f t="shared" si="616"/>
        <v>-1</v>
      </c>
      <c r="Y820" s="108">
        <f t="shared" si="617"/>
        <v>-1</v>
      </c>
      <c r="Z820" s="108">
        <f t="shared" si="618"/>
        <v>-1</v>
      </c>
      <c r="AA820" s="108">
        <f t="shared" si="619"/>
        <v>-1</v>
      </c>
      <c r="AB820" s="108">
        <f t="shared" si="620"/>
        <v>-1</v>
      </c>
      <c r="AC820" s="108">
        <f t="shared" si="621"/>
        <v>-1</v>
      </c>
      <c r="AD820" s="108">
        <f t="shared" si="622"/>
        <v>-1</v>
      </c>
      <c r="AE820" s="108">
        <f t="shared" si="623"/>
        <v>-1</v>
      </c>
      <c r="AF820" s="108">
        <f t="shared" si="624"/>
        <v>-1</v>
      </c>
      <c r="AG820" s="108">
        <f t="shared" si="625"/>
        <v>-1</v>
      </c>
      <c r="AH820" s="108">
        <f t="shared" si="626"/>
        <v>-1</v>
      </c>
      <c r="AI820" s="108">
        <f t="shared" si="627"/>
        <v>-1</v>
      </c>
      <c r="AJ820" s="108">
        <f t="shared" si="628"/>
        <v>-1</v>
      </c>
      <c r="AK820" s="108">
        <f t="shared" si="629"/>
        <v>-1</v>
      </c>
      <c r="AL820" s="108">
        <f t="shared" si="630"/>
        <v>-1</v>
      </c>
    </row>
    <row r="821" spans="3:39" x14ac:dyDescent="0.55000000000000004">
      <c r="C821" s="104" t="str">
        <f>$V$79</f>
        <v>-</v>
      </c>
      <c r="D821" s="108">
        <f t="shared" ref="D821:S821" si="656">D79</f>
        <v>0</v>
      </c>
      <c r="E821" s="108">
        <f t="shared" si="656"/>
        <v>0</v>
      </c>
      <c r="F821" s="108">
        <f t="shared" si="656"/>
        <v>0</v>
      </c>
      <c r="G821" s="108">
        <f t="shared" si="656"/>
        <v>0</v>
      </c>
      <c r="H821" s="108">
        <f t="shared" si="656"/>
        <v>0</v>
      </c>
      <c r="I821" s="108">
        <f t="shared" si="656"/>
        <v>0</v>
      </c>
      <c r="J821" s="108">
        <f t="shared" si="656"/>
        <v>0</v>
      </c>
      <c r="K821" s="108">
        <f t="shared" si="656"/>
        <v>0</v>
      </c>
      <c r="L821" s="108">
        <f t="shared" si="656"/>
        <v>0</v>
      </c>
      <c r="M821" s="108">
        <f t="shared" si="656"/>
        <v>0</v>
      </c>
      <c r="N821" s="108">
        <f t="shared" si="656"/>
        <v>0</v>
      </c>
      <c r="O821" s="108">
        <f t="shared" si="656"/>
        <v>0</v>
      </c>
      <c r="P821" s="108">
        <f t="shared" si="656"/>
        <v>0</v>
      </c>
      <c r="Q821" s="108">
        <f t="shared" si="656"/>
        <v>0</v>
      </c>
      <c r="R821" s="108">
        <f t="shared" si="656"/>
        <v>0</v>
      </c>
      <c r="S821" s="108">
        <f t="shared" si="656"/>
        <v>0</v>
      </c>
      <c r="T821" s="28" t="s">
        <v>26</v>
      </c>
      <c r="V821" s="104" t="str">
        <f>$V$79</f>
        <v>-</v>
      </c>
      <c r="W821" s="108">
        <f t="shared" si="615"/>
        <v>-1</v>
      </c>
      <c r="X821" s="108">
        <f t="shared" si="616"/>
        <v>-1</v>
      </c>
      <c r="Y821" s="108">
        <f t="shared" si="617"/>
        <v>-1</v>
      </c>
      <c r="Z821" s="108">
        <f t="shared" si="618"/>
        <v>-1</v>
      </c>
      <c r="AA821" s="108">
        <f t="shared" si="619"/>
        <v>-1</v>
      </c>
      <c r="AB821" s="108">
        <f t="shared" si="620"/>
        <v>-1</v>
      </c>
      <c r="AC821" s="108">
        <f t="shared" si="621"/>
        <v>-1</v>
      </c>
      <c r="AD821" s="108">
        <f t="shared" si="622"/>
        <v>-1</v>
      </c>
      <c r="AE821" s="108">
        <f t="shared" si="623"/>
        <v>-1</v>
      </c>
      <c r="AF821" s="108">
        <f t="shared" si="624"/>
        <v>-1</v>
      </c>
      <c r="AG821" s="108">
        <f t="shared" si="625"/>
        <v>-1</v>
      </c>
      <c r="AH821" s="108">
        <f t="shared" si="626"/>
        <v>-1</v>
      </c>
      <c r="AI821" s="108">
        <f t="shared" si="627"/>
        <v>-1</v>
      </c>
      <c r="AJ821" s="108">
        <f t="shared" si="628"/>
        <v>-1</v>
      </c>
      <c r="AK821" s="108">
        <f t="shared" si="629"/>
        <v>-1</v>
      </c>
      <c r="AL821" s="108">
        <f t="shared" si="630"/>
        <v>-1</v>
      </c>
    </row>
    <row r="822" spans="3:39" x14ac:dyDescent="0.55000000000000004">
      <c r="C822" s="104" t="str">
        <f>$V$80</f>
        <v>-</v>
      </c>
      <c r="D822" s="108">
        <f t="shared" ref="D822:S822" si="657">D80</f>
        <v>0</v>
      </c>
      <c r="E822" s="108">
        <f t="shared" si="657"/>
        <v>0</v>
      </c>
      <c r="F822" s="108">
        <f t="shared" si="657"/>
        <v>0</v>
      </c>
      <c r="G822" s="108">
        <f t="shared" si="657"/>
        <v>0</v>
      </c>
      <c r="H822" s="108">
        <f t="shared" si="657"/>
        <v>0</v>
      </c>
      <c r="I822" s="108">
        <f t="shared" si="657"/>
        <v>0</v>
      </c>
      <c r="J822" s="108">
        <f t="shared" si="657"/>
        <v>0</v>
      </c>
      <c r="K822" s="108">
        <f t="shared" si="657"/>
        <v>0</v>
      </c>
      <c r="L822" s="108">
        <f t="shared" si="657"/>
        <v>0</v>
      </c>
      <c r="M822" s="108">
        <f t="shared" si="657"/>
        <v>0</v>
      </c>
      <c r="N822" s="108">
        <f t="shared" si="657"/>
        <v>0</v>
      </c>
      <c r="O822" s="108">
        <f t="shared" si="657"/>
        <v>0</v>
      </c>
      <c r="P822" s="108">
        <f t="shared" si="657"/>
        <v>0</v>
      </c>
      <c r="Q822" s="108">
        <f t="shared" si="657"/>
        <v>0</v>
      </c>
      <c r="R822" s="108">
        <f t="shared" si="657"/>
        <v>0</v>
      </c>
      <c r="S822" s="108">
        <f t="shared" si="657"/>
        <v>0</v>
      </c>
      <c r="T822" s="28" t="s">
        <v>26</v>
      </c>
      <c r="V822" s="104" t="str">
        <f>$V$80</f>
        <v>-</v>
      </c>
      <c r="W822" s="108">
        <f t="shared" si="615"/>
        <v>-1</v>
      </c>
      <c r="X822" s="108">
        <f t="shared" si="616"/>
        <v>-1</v>
      </c>
      <c r="Y822" s="108">
        <f t="shared" si="617"/>
        <v>-1</v>
      </c>
      <c r="Z822" s="108">
        <f t="shared" si="618"/>
        <v>-1</v>
      </c>
      <c r="AA822" s="108">
        <f t="shared" si="619"/>
        <v>-1</v>
      </c>
      <c r="AB822" s="108">
        <f t="shared" si="620"/>
        <v>-1</v>
      </c>
      <c r="AC822" s="108">
        <f t="shared" si="621"/>
        <v>-1</v>
      </c>
      <c r="AD822" s="108">
        <f t="shared" si="622"/>
        <v>-1</v>
      </c>
      <c r="AE822" s="108">
        <f t="shared" si="623"/>
        <v>-1</v>
      </c>
      <c r="AF822" s="108">
        <f t="shared" si="624"/>
        <v>-1</v>
      </c>
      <c r="AG822" s="108">
        <f t="shared" si="625"/>
        <v>-1</v>
      </c>
      <c r="AH822" s="108">
        <f t="shared" si="626"/>
        <v>-1</v>
      </c>
      <c r="AI822" s="108">
        <f t="shared" si="627"/>
        <v>-1</v>
      </c>
      <c r="AJ822" s="108">
        <f t="shared" si="628"/>
        <v>-1</v>
      </c>
      <c r="AK822" s="108">
        <f t="shared" si="629"/>
        <v>-1</v>
      </c>
      <c r="AL822" s="108">
        <f t="shared" si="630"/>
        <v>-1</v>
      </c>
    </row>
    <row r="823" spans="3:39" x14ac:dyDescent="0.55000000000000004">
      <c r="C823" s="104" t="str">
        <f>$V$81</f>
        <v>-</v>
      </c>
      <c r="D823" s="108">
        <f t="shared" ref="D823:S823" si="658">D81</f>
        <v>0</v>
      </c>
      <c r="E823" s="108">
        <f t="shared" si="658"/>
        <v>0</v>
      </c>
      <c r="F823" s="108">
        <f t="shared" si="658"/>
        <v>0</v>
      </c>
      <c r="G823" s="108">
        <f t="shared" si="658"/>
        <v>0</v>
      </c>
      <c r="H823" s="108">
        <f t="shared" si="658"/>
        <v>0</v>
      </c>
      <c r="I823" s="108">
        <f t="shared" si="658"/>
        <v>0</v>
      </c>
      <c r="J823" s="108">
        <f t="shared" si="658"/>
        <v>0</v>
      </c>
      <c r="K823" s="108">
        <f t="shared" si="658"/>
        <v>0</v>
      </c>
      <c r="L823" s="108">
        <f t="shared" si="658"/>
        <v>0</v>
      </c>
      <c r="M823" s="108">
        <f t="shared" si="658"/>
        <v>0</v>
      </c>
      <c r="N823" s="108">
        <f t="shared" si="658"/>
        <v>0</v>
      </c>
      <c r="O823" s="108">
        <f t="shared" si="658"/>
        <v>0</v>
      </c>
      <c r="P823" s="108">
        <f t="shared" si="658"/>
        <v>0</v>
      </c>
      <c r="Q823" s="108">
        <f t="shared" si="658"/>
        <v>0</v>
      </c>
      <c r="R823" s="108">
        <f t="shared" si="658"/>
        <v>0</v>
      </c>
      <c r="S823" s="108">
        <f t="shared" si="658"/>
        <v>0</v>
      </c>
      <c r="T823" s="28" t="s">
        <v>26</v>
      </c>
      <c r="V823" s="104" t="str">
        <f>$V$81</f>
        <v>-</v>
      </c>
      <c r="W823" s="108">
        <f t="shared" si="615"/>
        <v>-1</v>
      </c>
      <c r="X823" s="108">
        <f t="shared" si="616"/>
        <v>-1</v>
      </c>
      <c r="Y823" s="108">
        <f t="shared" si="617"/>
        <v>-1</v>
      </c>
      <c r="Z823" s="108">
        <f t="shared" si="618"/>
        <v>-1</v>
      </c>
      <c r="AA823" s="108">
        <f t="shared" si="619"/>
        <v>-1</v>
      </c>
      <c r="AB823" s="108">
        <f t="shared" si="620"/>
        <v>-1</v>
      </c>
      <c r="AC823" s="108">
        <f t="shared" si="621"/>
        <v>-1</v>
      </c>
      <c r="AD823" s="108">
        <f t="shared" si="622"/>
        <v>-1</v>
      </c>
      <c r="AE823" s="108">
        <f t="shared" si="623"/>
        <v>-1</v>
      </c>
      <c r="AF823" s="108">
        <f t="shared" si="624"/>
        <v>-1</v>
      </c>
      <c r="AG823" s="108">
        <f t="shared" si="625"/>
        <v>-1</v>
      </c>
      <c r="AH823" s="108">
        <f t="shared" si="626"/>
        <v>-1</v>
      </c>
      <c r="AI823" s="108">
        <f t="shared" si="627"/>
        <v>-1</v>
      </c>
      <c r="AJ823" s="108">
        <f t="shared" si="628"/>
        <v>-1</v>
      </c>
      <c r="AK823" s="108">
        <f t="shared" si="629"/>
        <v>-1</v>
      </c>
      <c r="AL823" s="108">
        <f t="shared" si="630"/>
        <v>-1</v>
      </c>
    </row>
    <row r="824" spans="3:39" x14ac:dyDescent="0.55000000000000004">
      <c r="C824" s="104" t="str">
        <f>$V$82</f>
        <v>-</v>
      </c>
      <c r="D824" s="108">
        <f t="shared" ref="D824:S824" si="659">D82</f>
        <v>0</v>
      </c>
      <c r="E824" s="108">
        <f t="shared" si="659"/>
        <v>0</v>
      </c>
      <c r="F824" s="108">
        <f t="shared" si="659"/>
        <v>0</v>
      </c>
      <c r="G824" s="108">
        <f t="shared" si="659"/>
        <v>0</v>
      </c>
      <c r="H824" s="108">
        <f t="shared" si="659"/>
        <v>0</v>
      </c>
      <c r="I824" s="108">
        <f t="shared" si="659"/>
        <v>0</v>
      </c>
      <c r="J824" s="108">
        <f t="shared" si="659"/>
        <v>0</v>
      </c>
      <c r="K824" s="108">
        <f t="shared" si="659"/>
        <v>0</v>
      </c>
      <c r="L824" s="108">
        <f t="shared" si="659"/>
        <v>0</v>
      </c>
      <c r="M824" s="108">
        <f t="shared" si="659"/>
        <v>0</v>
      </c>
      <c r="N824" s="108">
        <f t="shared" si="659"/>
        <v>0</v>
      </c>
      <c r="O824" s="108">
        <f t="shared" si="659"/>
        <v>0</v>
      </c>
      <c r="P824" s="108">
        <f t="shared" si="659"/>
        <v>0</v>
      </c>
      <c r="Q824" s="108">
        <f t="shared" si="659"/>
        <v>0</v>
      </c>
      <c r="R824" s="108">
        <f t="shared" si="659"/>
        <v>0</v>
      </c>
      <c r="S824" s="108">
        <f t="shared" si="659"/>
        <v>0</v>
      </c>
      <c r="T824" s="28" t="s">
        <v>26</v>
      </c>
      <c r="V824" s="104" t="str">
        <f>$V$82</f>
        <v>-</v>
      </c>
      <c r="W824" s="108">
        <f t="shared" si="615"/>
        <v>-1</v>
      </c>
      <c r="X824" s="108">
        <f t="shared" si="616"/>
        <v>-1</v>
      </c>
      <c r="Y824" s="108">
        <f t="shared" si="617"/>
        <v>-1</v>
      </c>
      <c r="Z824" s="108">
        <f t="shared" si="618"/>
        <v>-1</v>
      </c>
      <c r="AA824" s="108">
        <f t="shared" si="619"/>
        <v>-1</v>
      </c>
      <c r="AB824" s="108">
        <f t="shared" si="620"/>
        <v>-1</v>
      </c>
      <c r="AC824" s="108">
        <f t="shared" si="621"/>
        <v>-1</v>
      </c>
      <c r="AD824" s="108">
        <f t="shared" si="622"/>
        <v>-1</v>
      </c>
      <c r="AE824" s="108">
        <f t="shared" si="623"/>
        <v>-1</v>
      </c>
      <c r="AF824" s="108">
        <f t="shared" si="624"/>
        <v>-1</v>
      </c>
      <c r="AG824" s="108">
        <f t="shared" si="625"/>
        <v>-1</v>
      </c>
      <c r="AH824" s="108">
        <f t="shared" si="626"/>
        <v>-1</v>
      </c>
      <c r="AI824" s="108">
        <f t="shared" si="627"/>
        <v>-1</v>
      </c>
      <c r="AJ824" s="108">
        <f t="shared" si="628"/>
        <v>-1</v>
      </c>
      <c r="AK824" s="108">
        <f t="shared" si="629"/>
        <v>-1</v>
      </c>
      <c r="AL824" s="108">
        <f t="shared" si="630"/>
        <v>-1</v>
      </c>
      <c r="AM824" s="108"/>
    </row>
    <row r="825" spans="3:39" x14ac:dyDescent="0.55000000000000004">
      <c r="C825" s="104" t="str">
        <f>$V$83</f>
        <v>-</v>
      </c>
      <c r="D825" s="108">
        <f t="shared" ref="D825:S825" si="660">D83</f>
        <v>0</v>
      </c>
      <c r="E825" s="108">
        <f t="shared" si="660"/>
        <v>0</v>
      </c>
      <c r="F825" s="108">
        <f t="shared" si="660"/>
        <v>0</v>
      </c>
      <c r="G825" s="108">
        <f t="shared" si="660"/>
        <v>0</v>
      </c>
      <c r="H825" s="108">
        <f t="shared" si="660"/>
        <v>0</v>
      </c>
      <c r="I825" s="108">
        <f t="shared" si="660"/>
        <v>0</v>
      </c>
      <c r="J825" s="108">
        <f t="shared" si="660"/>
        <v>0</v>
      </c>
      <c r="K825" s="108">
        <f t="shared" si="660"/>
        <v>0</v>
      </c>
      <c r="L825" s="108">
        <f t="shared" si="660"/>
        <v>0</v>
      </c>
      <c r="M825" s="108">
        <f t="shared" si="660"/>
        <v>0</v>
      </c>
      <c r="N825" s="108">
        <f t="shared" si="660"/>
        <v>0</v>
      </c>
      <c r="O825" s="108">
        <f t="shared" si="660"/>
        <v>0</v>
      </c>
      <c r="P825" s="108">
        <f t="shared" si="660"/>
        <v>0</v>
      </c>
      <c r="Q825" s="108">
        <f t="shared" si="660"/>
        <v>0</v>
      </c>
      <c r="R825" s="108">
        <f t="shared" si="660"/>
        <v>0</v>
      </c>
      <c r="S825" s="108">
        <f t="shared" si="660"/>
        <v>0</v>
      </c>
      <c r="T825" s="28" t="s">
        <v>26</v>
      </c>
      <c r="V825" s="104" t="str">
        <f>$V$83</f>
        <v>-</v>
      </c>
      <c r="W825" s="108">
        <f t="shared" si="615"/>
        <v>-1</v>
      </c>
      <c r="X825" s="108">
        <f t="shared" si="616"/>
        <v>-1</v>
      </c>
      <c r="Y825" s="108">
        <f t="shared" si="617"/>
        <v>-1</v>
      </c>
      <c r="Z825" s="108">
        <f t="shared" si="618"/>
        <v>-1</v>
      </c>
      <c r="AA825" s="108">
        <f t="shared" si="619"/>
        <v>-1</v>
      </c>
      <c r="AB825" s="108">
        <f t="shared" si="620"/>
        <v>-1</v>
      </c>
      <c r="AC825" s="108">
        <f t="shared" si="621"/>
        <v>-1</v>
      </c>
      <c r="AD825" s="108">
        <f t="shared" si="622"/>
        <v>-1</v>
      </c>
      <c r="AE825" s="108">
        <f t="shared" si="623"/>
        <v>-1</v>
      </c>
      <c r="AF825" s="108">
        <f t="shared" si="624"/>
        <v>-1</v>
      </c>
      <c r="AG825" s="108">
        <f t="shared" si="625"/>
        <v>-1</v>
      </c>
      <c r="AH825" s="108">
        <f t="shared" si="626"/>
        <v>-1</v>
      </c>
      <c r="AI825" s="108">
        <f t="shared" si="627"/>
        <v>-1</v>
      </c>
      <c r="AJ825" s="108">
        <f t="shared" si="628"/>
        <v>-1</v>
      </c>
      <c r="AK825" s="108">
        <f t="shared" si="629"/>
        <v>-1</v>
      </c>
      <c r="AL825" s="108">
        <f t="shared" si="630"/>
        <v>-1</v>
      </c>
      <c r="AM825" s="108"/>
    </row>
    <row r="826" spans="3:39" x14ac:dyDescent="0.55000000000000004">
      <c r="C826" s="104" t="str">
        <f>$V$84</f>
        <v>-</v>
      </c>
      <c r="D826" s="108">
        <f t="shared" ref="D826:S826" si="661">D84</f>
        <v>0</v>
      </c>
      <c r="E826" s="108">
        <f t="shared" si="661"/>
        <v>0</v>
      </c>
      <c r="F826" s="108">
        <f t="shared" si="661"/>
        <v>0</v>
      </c>
      <c r="G826" s="108">
        <f t="shared" si="661"/>
        <v>0</v>
      </c>
      <c r="H826" s="108">
        <f t="shared" si="661"/>
        <v>0</v>
      </c>
      <c r="I826" s="108">
        <f t="shared" si="661"/>
        <v>0</v>
      </c>
      <c r="J826" s="108">
        <f t="shared" si="661"/>
        <v>0</v>
      </c>
      <c r="K826" s="108">
        <f t="shared" si="661"/>
        <v>0</v>
      </c>
      <c r="L826" s="108">
        <f t="shared" si="661"/>
        <v>0</v>
      </c>
      <c r="M826" s="108">
        <f t="shared" si="661"/>
        <v>0</v>
      </c>
      <c r="N826" s="108">
        <f t="shared" si="661"/>
        <v>0</v>
      </c>
      <c r="O826" s="108">
        <f t="shared" si="661"/>
        <v>0</v>
      </c>
      <c r="P826" s="108">
        <f t="shared" si="661"/>
        <v>0</v>
      </c>
      <c r="Q826" s="108">
        <f t="shared" si="661"/>
        <v>0</v>
      </c>
      <c r="R826" s="108">
        <f t="shared" si="661"/>
        <v>0</v>
      </c>
      <c r="S826" s="108">
        <f t="shared" si="661"/>
        <v>0</v>
      </c>
      <c r="T826" s="28" t="s">
        <v>26</v>
      </c>
      <c r="V826" s="104" t="str">
        <f>$V$84</f>
        <v>-</v>
      </c>
      <c r="W826" s="108">
        <f t="shared" si="615"/>
        <v>-1</v>
      </c>
      <c r="X826" s="108">
        <f t="shared" si="616"/>
        <v>-1</v>
      </c>
      <c r="Y826" s="108">
        <f t="shared" si="617"/>
        <v>-1</v>
      </c>
      <c r="Z826" s="108">
        <f t="shared" si="618"/>
        <v>-1</v>
      </c>
      <c r="AA826" s="108">
        <f t="shared" si="619"/>
        <v>-1</v>
      </c>
      <c r="AB826" s="108">
        <f t="shared" si="620"/>
        <v>-1</v>
      </c>
      <c r="AC826" s="108">
        <f t="shared" si="621"/>
        <v>-1</v>
      </c>
      <c r="AD826" s="108">
        <f t="shared" si="622"/>
        <v>-1</v>
      </c>
      <c r="AE826" s="108">
        <f t="shared" si="623"/>
        <v>-1</v>
      </c>
      <c r="AF826" s="108">
        <f t="shared" si="624"/>
        <v>-1</v>
      </c>
      <c r="AG826" s="108">
        <f t="shared" si="625"/>
        <v>-1</v>
      </c>
      <c r="AH826" s="108">
        <f t="shared" si="626"/>
        <v>-1</v>
      </c>
      <c r="AI826" s="108">
        <f t="shared" si="627"/>
        <v>-1</v>
      </c>
      <c r="AJ826" s="108">
        <f t="shared" si="628"/>
        <v>-1</v>
      </c>
      <c r="AK826" s="108">
        <f t="shared" si="629"/>
        <v>-1</v>
      </c>
      <c r="AL826" s="108">
        <f t="shared" si="630"/>
        <v>-1</v>
      </c>
      <c r="AM826" s="108"/>
    </row>
    <row r="827" spans="3:39" x14ac:dyDescent="0.55000000000000004">
      <c r="C827" s="104" t="str">
        <f>$V$85</f>
        <v>-</v>
      </c>
      <c r="D827" s="108">
        <f t="shared" ref="D827:S827" si="662">D85</f>
        <v>0</v>
      </c>
      <c r="E827" s="108">
        <f t="shared" si="662"/>
        <v>0</v>
      </c>
      <c r="F827" s="108">
        <f t="shared" si="662"/>
        <v>0</v>
      </c>
      <c r="G827" s="108">
        <f t="shared" si="662"/>
        <v>0</v>
      </c>
      <c r="H827" s="108">
        <f t="shared" si="662"/>
        <v>0</v>
      </c>
      <c r="I827" s="108">
        <f t="shared" si="662"/>
        <v>0</v>
      </c>
      <c r="J827" s="108">
        <f t="shared" si="662"/>
        <v>0</v>
      </c>
      <c r="K827" s="108">
        <f t="shared" si="662"/>
        <v>0</v>
      </c>
      <c r="L827" s="108">
        <f t="shared" si="662"/>
        <v>0</v>
      </c>
      <c r="M827" s="108">
        <f t="shared" si="662"/>
        <v>0</v>
      </c>
      <c r="N827" s="108">
        <f t="shared" si="662"/>
        <v>0</v>
      </c>
      <c r="O827" s="108">
        <f t="shared" si="662"/>
        <v>0</v>
      </c>
      <c r="P827" s="108">
        <f t="shared" si="662"/>
        <v>0</v>
      </c>
      <c r="Q827" s="108">
        <f t="shared" si="662"/>
        <v>0</v>
      </c>
      <c r="R827" s="108">
        <f t="shared" si="662"/>
        <v>0</v>
      </c>
      <c r="S827" s="108">
        <f t="shared" si="662"/>
        <v>0</v>
      </c>
      <c r="T827" s="28" t="s">
        <v>26</v>
      </c>
      <c r="V827" s="104" t="str">
        <f>$V$85</f>
        <v>-</v>
      </c>
      <c r="W827" s="108">
        <f t="shared" si="615"/>
        <v>-1</v>
      </c>
      <c r="X827" s="108">
        <f t="shared" si="616"/>
        <v>-1</v>
      </c>
      <c r="Y827" s="108">
        <f t="shared" si="617"/>
        <v>-1</v>
      </c>
      <c r="Z827" s="108">
        <f t="shared" si="618"/>
        <v>-1</v>
      </c>
      <c r="AA827" s="108">
        <f t="shared" si="619"/>
        <v>-1</v>
      </c>
      <c r="AB827" s="108">
        <f t="shared" si="620"/>
        <v>-1</v>
      </c>
      <c r="AC827" s="108">
        <f t="shared" si="621"/>
        <v>-1</v>
      </c>
      <c r="AD827" s="108">
        <f t="shared" si="622"/>
        <v>-1</v>
      </c>
      <c r="AE827" s="108">
        <f t="shared" si="623"/>
        <v>-1</v>
      </c>
      <c r="AF827" s="108">
        <f t="shared" si="624"/>
        <v>-1</v>
      </c>
      <c r="AG827" s="108">
        <f t="shared" si="625"/>
        <v>-1</v>
      </c>
      <c r="AH827" s="108">
        <f t="shared" si="626"/>
        <v>-1</v>
      </c>
      <c r="AI827" s="108">
        <f t="shared" si="627"/>
        <v>-1</v>
      </c>
      <c r="AJ827" s="108">
        <f t="shared" si="628"/>
        <v>-1</v>
      </c>
      <c r="AK827" s="108">
        <f t="shared" si="629"/>
        <v>-1</v>
      </c>
      <c r="AL827" s="108">
        <f t="shared" si="630"/>
        <v>-1</v>
      </c>
      <c r="AM827" s="108"/>
    </row>
    <row r="828" spans="3:39" x14ac:dyDescent="0.55000000000000004">
      <c r="C828" s="104" t="str">
        <f>$V$86</f>
        <v>-</v>
      </c>
      <c r="D828" s="108">
        <f t="shared" ref="D828:S828" si="663">D86</f>
        <v>0</v>
      </c>
      <c r="E828" s="108">
        <f t="shared" si="663"/>
        <v>0</v>
      </c>
      <c r="F828" s="108">
        <f t="shared" si="663"/>
        <v>0</v>
      </c>
      <c r="G828" s="108">
        <f t="shared" si="663"/>
        <v>0</v>
      </c>
      <c r="H828" s="108">
        <f t="shared" si="663"/>
        <v>0</v>
      </c>
      <c r="I828" s="108">
        <f t="shared" si="663"/>
        <v>0</v>
      </c>
      <c r="J828" s="108">
        <f t="shared" si="663"/>
        <v>0</v>
      </c>
      <c r="K828" s="108">
        <f t="shared" si="663"/>
        <v>0</v>
      </c>
      <c r="L828" s="108">
        <f t="shared" si="663"/>
        <v>0</v>
      </c>
      <c r="M828" s="108">
        <f t="shared" si="663"/>
        <v>0</v>
      </c>
      <c r="N828" s="108">
        <f t="shared" si="663"/>
        <v>0</v>
      </c>
      <c r="O828" s="108">
        <f t="shared" si="663"/>
        <v>0</v>
      </c>
      <c r="P828" s="108">
        <f t="shared" si="663"/>
        <v>0</v>
      </c>
      <c r="Q828" s="108">
        <f t="shared" si="663"/>
        <v>0</v>
      </c>
      <c r="R828" s="108">
        <f t="shared" si="663"/>
        <v>0</v>
      </c>
      <c r="S828" s="108">
        <f t="shared" si="663"/>
        <v>0</v>
      </c>
      <c r="T828" s="28" t="s">
        <v>26</v>
      </c>
      <c r="V828" s="104" t="str">
        <f>$V$86</f>
        <v>-</v>
      </c>
      <c r="W828" s="108">
        <f t="shared" si="615"/>
        <v>-1</v>
      </c>
      <c r="X828" s="108">
        <f t="shared" si="616"/>
        <v>-1</v>
      </c>
      <c r="Y828" s="108">
        <f t="shared" si="617"/>
        <v>-1</v>
      </c>
      <c r="Z828" s="108">
        <f t="shared" si="618"/>
        <v>-1</v>
      </c>
      <c r="AA828" s="108">
        <f t="shared" si="619"/>
        <v>-1</v>
      </c>
      <c r="AB828" s="108">
        <f t="shared" si="620"/>
        <v>-1</v>
      </c>
      <c r="AC828" s="108">
        <f t="shared" si="621"/>
        <v>-1</v>
      </c>
      <c r="AD828" s="108">
        <f t="shared" si="622"/>
        <v>-1</v>
      </c>
      <c r="AE828" s="108">
        <f t="shared" si="623"/>
        <v>-1</v>
      </c>
      <c r="AF828" s="108">
        <f t="shared" si="624"/>
        <v>-1</v>
      </c>
      <c r="AG828" s="108">
        <f t="shared" si="625"/>
        <v>-1</v>
      </c>
      <c r="AH828" s="108">
        <f t="shared" si="626"/>
        <v>-1</v>
      </c>
      <c r="AI828" s="108">
        <f t="shared" si="627"/>
        <v>-1</v>
      </c>
      <c r="AJ828" s="108">
        <f t="shared" si="628"/>
        <v>-1</v>
      </c>
      <c r="AK828" s="108">
        <f t="shared" si="629"/>
        <v>-1</v>
      </c>
      <c r="AL828" s="108">
        <f t="shared" si="630"/>
        <v>-1</v>
      </c>
      <c r="AM828" s="108"/>
    </row>
    <row r="829" spans="3:39" x14ac:dyDescent="0.55000000000000004">
      <c r="C829" s="104" t="str">
        <f>$V$87</f>
        <v>-</v>
      </c>
      <c r="D829" s="108">
        <f t="shared" ref="D829:S829" si="664">D87</f>
        <v>0</v>
      </c>
      <c r="E829" s="108">
        <f t="shared" si="664"/>
        <v>0</v>
      </c>
      <c r="F829" s="108">
        <f t="shared" si="664"/>
        <v>0</v>
      </c>
      <c r="G829" s="108">
        <f t="shared" si="664"/>
        <v>0</v>
      </c>
      <c r="H829" s="108">
        <f t="shared" si="664"/>
        <v>0</v>
      </c>
      <c r="I829" s="108">
        <f t="shared" si="664"/>
        <v>0</v>
      </c>
      <c r="J829" s="108">
        <f t="shared" si="664"/>
        <v>0</v>
      </c>
      <c r="K829" s="108">
        <f t="shared" si="664"/>
        <v>0</v>
      </c>
      <c r="L829" s="108">
        <f t="shared" si="664"/>
        <v>0</v>
      </c>
      <c r="M829" s="108">
        <f t="shared" si="664"/>
        <v>0</v>
      </c>
      <c r="N829" s="108">
        <f t="shared" si="664"/>
        <v>0</v>
      </c>
      <c r="O829" s="108">
        <f t="shared" si="664"/>
        <v>0</v>
      </c>
      <c r="P829" s="108">
        <f t="shared" si="664"/>
        <v>0</v>
      </c>
      <c r="Q829" s="108">
        <f t="shared" si="664"/>
        <v>0</v>
      </c>
      <c r="R829" s="108">
        <f t="shared" si="664"/>
        <v>0</v>
      </c>
      <c r="S829" s="108">
        <f t="shared" si="664"/>
        <v>0</v>
      </c>
      <c r="T829" s="28" t="s">
        <v>26</v>
      </c>
      <c r="V829" s="104" t="str">
        <f>$V$87</f>
        <v>-</v>
      </c>
      <c r="W829" s="108">
        <f t="shared" si="615"/>
        <v>-1</v>
      </c>
      <c r="X829" s="108">
        <f t="shared" si="616"/>
        <v>-1</v>
      </c>
      <c r="Y829" s="108">
        <f t="shared" si="617"/>
        <v>-1</v>
      </c>
      <c r="Z829" s="108">
        <f t="shared" si="618"/>
        <v>-1</v>
      </c>
      <c r="AA829" s="108">
        <f t="shared" si="619"/>
        <v>-1</v>
      </c>
      <c r="AB829" s="108">
        <f t="shared" si="620"/>
        <v>-1</v>
      </c>
      <c r="AC829" s="108">
        <f t="shared" si="621"/>
        <v>-1</v>
      </c>
      <c r="AD829" s="108">
        <f t="shared" si="622"/>
        <v>-1</v>
      </c>
      <c r="AE829" s="108">
        <f t="shared" si="623"/>
        <v>-1</v>
      </c>
      <c r="AF829" s="108">
        <f t="shared" si="624"/>
        <v>-1</v>
      </c>
      <c r="AG829" s="108">
        <f t="shared" si="625"/>
        <v>-1</v>
      </c>
      <c r="AH829" s="108">
        <f t="shared" si="626"/>
        <v>-1</v>
      </c>
      <c r="AI829" s="108">
        <f t="shared" si="627"/>
        <v>-1</v>
      </c>
      <c r="AJ829" s="108">
        <f t="shared" si="628"/>
        <v>-1</v>
      </c>
      <c r="AK829" s="108">
        <f t="shared" si="629"/>
        <v>-1</v>
      </c>
      <c r="AL829" s="108">
        <f t="shared" si="630"/>
        <v>-1</v>
      </c>
      <c r="AM829" s="108"/>
    </row>
    <row r="830" spans="3:39" x14ac:dyDescent="0.55000000000000004">
      <c r="C830" s="104" t="str">
        <f>$V$88</f>
        <v>-</v>
      </c>
      <c r="D830" s="108">
        <f t="shared" ref="D830:S830" si="665">D88</f>
        <v>0</v>
      </c>
      <c r="E830" s="108">
        <f t="shared" si="665"/>
        <v>0</v>
      </c>
      <c r="F830" s="108">
        <f t="shared" si="665"/>
        <v>0</v>
      </c>
      <c r="G830" s="108">
        <f t="shared" si="665"/>
        <v>0</v>
      </c>
      <c r="H830" s="108">
        <f t="shared" si="665"/>
        <v>0</v>
      </c>
      <c r="I830" s="108">
        <f t="shared" si="665"/>
        <v>0</v>
      </c>
      <c r="J830" s="108">
        <f t="shared" si="665"/>
        <v>0</v>
      </c>
      <c r="K830" s="108">
        <f t="shared" si="665"/>
        <v>0</v>
      </c>
      <c r="L830" s="108">
        <f t="shared" si="665"/>
        <v>0</v>
      </c>
      <c r="M830" s="108">
        <f t="shared" si="665"/>
        <v>0</v>
      </c>
      <c r="N830" s="108">
        <f t="shared" si="665"/>
        <v>0</v>
      </c>
      <c r="O830" s="108">
        <f t="shared" si="665"/>
        <v>0</v>
      </c>
      <c r="P830" s="108">
        <f t="shared" si="665"/>
        <v>0</v>
      </c>
      <c r="Q830" s="108">
        <f t="shared" si="665"/>
        <v>0</v>
      </c>
      <c r="R830" s="108">
        <f t="shared" si="665"/>
        <v>0</v>
      </c>
      <c r="S830" s="108">
        <f t="shared" si="665"/>
        <v>0</v>
      </c>
      <c r="T830" s="28" t="s">
        <v>26</v>
      </c>
      <c r="V830" s="104" t="str">
        <f>$V$88</f>
        <v>-</v>
      </c>
      <c r="W830" s="108">
        <f t="shared" si="615"/>
        <v>-1</v>
      </c>
      <c r="X830" s="108">
        <f t="shared" si="616"/>
        <v>-1</v>
      </c>
      <c r="Y830" s="108">
        <f t="shared" si="617"/>
        <v>-1</v>
      </c>
      <c r="Z830" s="108">
        <f t="shared" si="618"/>
        <v>-1</v>
      </c>
      <c r="AA830" s="108">
        <f t="shared" si="619"/>
        <v>-1</v>
      </c>
      <c r="AB830" s="108">
        <f t="shared" si="620"/>
        <v>-1</v>
      </c>
      <c r="AC830" s="108">
        <f t="shared" si="621"/>
        <v>-1</v>
      </c>
      <c r="AD830" s="108">
        <f t="shared" si="622"/>
        <v>-1</v>
      </c>
      <c r="AE830" s="108">
        <f t="shared" si="623"/>
        <v>-1</v>
      </c>
      <c r="AF830" s="108">
        <f t="shared" si="624"/>
        <v>-1</v>
      </c>
      <c r="AG830" s="108">
        <f t="shared" si="625"/>
        <v>-1</v>
      </c>
      <c r="AH830" s="108">
        <f t="shared" si="626"/>
        <v>-1</v>
      </c>
      <c r="AI830" s="108">
        <f t="shared" si="627"/>
        <v>-1</v>
      </c>
      <c r="AJ830" s="108">
        <f t="shared" si="628"/>
        <v>-1</v>
      </c>
      <c r="AK830" s="108">
        <f t="shared" si="629"/>
        <v>-1</v>
      </c>
      <c r="AL830" s="108">
        <f t="shared" si="630"/>
        <v>-1</v>
      </c>
      <c r="AM830" s="108"/>
    </row>
    <row r="831" spans="3:39" x14ac:dyDescent="0.55000000000000004">
      <c r="C831" s="104" t="str">
        <f>$V$89</f>
        <v>-</v>
      </c>
      <c r="D831" s="108">
        <f t="shared" ref="D831:S831" si="666">D89</f>
        <v>0</v>
      </c>
      <c r="E831" s="108">
        <f t="shared" si="666"/>
        <v>0</v>
      </c>
      <c r="F831" s="108">
        <f t="shared" si="666"/>
        <v>0</v>
      </c>
      <c r="G831" s="108">
        <f t="shared" si="666"/>
        <v>0</v>
      </c>
      <c r="H831" s="108">
        <f t="shared" si="666"/>
        <v>0</v>
      </c>
      <c r="I831" s="108">
        <f t="shared" si="666"/>
        <v>0</v>
      </c>
      <c r="J831" s="108">
        <f t="shared" si="666"/>
        <v>0</v>
      </c>
      <c r="K831" s="108">
        <f t="shared" si="666"/>
        <v>0</v>
      </c>
      <c r="L831" s="108">
        <f t="shared" si="666"/>
        <v>0</v>
      </c>
      <c r="M831" s="108">
        <f t="shared" si="666"/>
        <v>0</v>
      </c>
      <c r="N831" s="108">
        <f t="shared" si="666"/>
        <v>0</v>
      </c>
      <c r="O831" s="108">
        <f t="shared" si="666"/>
        <v>0</v>
      </c>
      <c r="P831" s="108">
        <f t="shared" si="666"/>
        <v>0</v>
      </c>
      <c r="Q831" s="108">
        <f t="shared" si="666"/>
        <v>0</v>
      </c>
      <c r="R831" s="108">
        <f t="shared" si="666"/>
        <v>0</v>
      </c>
      <c r="S831" s="108">
        <f t="shared" si="666"/>
        <v>0</v>
      </c>
      <c r="T831" s="28" t="s">
        <v>26</v>
      </c>
      <c r="V831" s="104" t="str">
        <f>$V$89</f>
        <v>-</v>
      </c>
      <c r="W831" s="108">
        <f t="shared" si="615"/>
        <v>-1</v>
      </c>
      <c r="X831" s="108">
        <f t="shared" si="616"/>
        <v>-1</v>
      </c>
      <c r="Y831" s="108">
        <f t="shared" si="617"/>
        <v>-1</v>
      </c>
      <c r="Z831" s="108">
        <f t="shared" si="618"/>
        <v>-1</v>
      </c>
      <c r="AA831" s="108">
        <f t="shared" si="619"/>
        <v>-1</v>
      </c>
      <c r="AB831" s="108">
        <f t="shared" si="620"/>
        <v>-1</v>
      </c>
      <c r="AC831" s="108">
        <f t="shared" si="621"/>
        <v>-1</v>
      </c>
      <c r="AD831" s="108">
        <f t="shared" si="622"/>
        <v>-1</v>
      </c>
      <c r="AE831" s="108">
        <f t="shared" si="623"/>
        <v>-1</v>
      </c>
      <c r="AF831" s="108">
        <f t="shared" si="624"/>
        <v>-1</v>
      </c>
      <c r="AG831" s="108">
        <f t="shared" si="625"/>
        <v>-1</v>
      </c>
      <c r="AH831" s="108">
        <f t="shared" si="626"/>
        <v>-1</v>
      </c>
      <c r="AI831" s="108">
        <f t="shared" si="627"/>
        <v>-1</v>
      </c>
      <c r="AJ831" s="108">
        <f t="shared" si="628"/>
        <v>-1</v>
      </c>
      <c r="AK831" s="108">
        <f t="shared" si="629"/>
        <v>-1</v>
      </c>
      <c r="AL831" s="108">
        <f t="shared" si="630"/>
        <v>-1</v>
      </c>
      <c r="AM831" s="108"/>
    </row>
    <row r="832" spans="3:39" x14ac:dyDescent="0.55000000000000004">
      <c r="C832" s="104" t="str">
        <f>$V$90</f>
        <v>-</v>
      </c>
      <c r="D832" s="108">
        <f t="shared" ref="D832:S832" si="667">D90</f>
        <v>0</v>
      </c>
      <c r="E832" s="108">
        <f t="shared" si="667"/>
        <v>0</v>
      </c>
      <c r="F832" s="108">
        <f t="shared" si="667"/>
        <v>0</v>
      </c>
      <c r="G832" s="108">
        <f t="shared" si="667"/>
        <v>0</v>
      </c>
      <c r="H832" s="108">
        <f t="shared" si="667"/>
        <v>0</v>
      </c>
      <c r="I832" s="108">
        <f t="shared" si="667"/>
        <v>0</v>
      </c>
      <c r="J832" s="108">
        <f t="shared" si="667"/>
        <v>0</v>
      </c>
      <c r="K832" s="108">
        <f t="shared" si="667"/>
        <v>0</v>
      </c>
      <c r="L832" s="108">
        <f t="shared" si="667"/>
        <v>0</v>
      </c>
      <c r="M832" s="108">
        <f t="shared" si="667"/>
        <v>0</v>
      </c>
      <c r="N832" s="108">
        <f t="shared" si="667"/>
        <v>0</v>
      </c>
      <c r="O832" s="108">
        <f t="shared" si="667"/>
        <v>0</v>
      </c>
      <c r="P832" s="108">
        <f t="shared" si="667"/>
        <v>0</v>
      </c>
      <c r="Q832" s="108">
        <f t="shared" si="667"/>
        <v>0</v>
      </c>
      <c r="R832" s="108">
        <f t="shared" si="667"/>
        <v>0</v>
      </c>
      <c r="S832" s="108">
        <f t="shared" si="667"/>
        <v>0</v>
      </c>
      <c r="T832" s="28" t="s">
        <v>26</v>
      </c>
      <c r="V832" s="104" t="str">
        <f>$V$90</f>
        <v>-</v>
      </c>
      <c r="W832" s="108">
        <f t="shared" si="615"/>
        <v>-1</v>
      </c>
      <c r="X832" s="108">
        <f t="shared" si="616"/>
        <v>-1</v>
      </c>
      <c r="Y832" s="108">
        <f t="shared" si="617"/>
        <v>-1</v>
      </c>
      <c r="Z832" s="108">
        <f t="shared" si="618"/>
        <v>-1</v>
      </c>
      <c r="AA832" s="108">
        <f t="shared" si="619"/>
        <v>-1</v>
      </c>
      <c r="AB832" s="108">
        <f t="shared" si="620"/>
        <v>-1</v>
      </c>
      <c r="AC832" s="108">
        <f t="shared" si="621"/>
        <v>-1</v>
      </c>
      <c r="AD832" s="108">
        <f t="shared" si="622"/>
        <v>-1</v>
      </c>
      <c r="AE832" s="108">
        <f t="shared" si="623"/>
        <v>-1</v>
      </c>
      <c r="AF832" s="108">
        <f t="shared" si="624"/>
        <v>-1</v>
      </c>
      <c r="AG832" s="108">
        <f t="shared" si="625"/>
        <v>-1</v>
      </c>
      <c r="AH832" s="108">
        <f t="shared" si="626"/>
        <v>-1</v>
      </c>
      <c r="AI832" s="108">
        <f t="shared" si="627"/>
        <v>-1</v>
      </c>
      <c r="AJ832" s="108">
        <f t="shared" si="628"/>
        <v>-1</v>
      </c>
      <c r="AK832" s="108">
        <f t="shared" si="629"/>
        <v>-1</v>
      </c>
      <c r="AL832" s="108">
        <f t="shared" si="630"/>
        <v>-1</v>
      </c>
      <c r="AM832" s="108"/>
    </row>
    <row r="833" spans="3:39" x14ac:dyDescent="0.55000000000000004">
      <c r="C833" s="104" t="str">
        <f>$V$91</f>
        <v>-</v>
      </c>
      <c r="D833" s="108">
        <f t="shared" ref="D833:S833" si="668">D91</f>
        <v>0</v>
      </c>
      <c r="E833" s="108">
        <f t="shared" si="668"/>
        <v>0</v>
      </c>
      <c r="F833" s="108">
        <f t="shared" si="668"/>
        <v>0</v>
      </c>
      <c r="G833" s="108">
        <f t="shared" si="668"/>
        <v>0</v>
      </c>
      <c r="H833" s="108">
        <f t="shared" si="668"/>
        <v>0</v>
      </c>
      <c r="I833" s="108">
        <f t="shared" si="668"/>
        <v>0</v>
      </c>
      <c r="J833" s="108">
        <f t="shared" si="668"/>
        <v>0</v>
      </c>
      <c r="K833" s="108">
        <f t="shared" si="668"/>
        <v>0</v>
      </c>
      <c r="L833" s="108">
        <f t="shared" si="668"/>
        <v>0</v>
      </c>
      <c r="M833" s="108">
        <f t="shared" si="668"/>
        <v>0</v>
      </c>
      <c r="N833" s="108">
        <f t="shared" si="668"/>
        <v>0</v>
      </c>
      <c r="O833" s="108">
        <f t="shared" si="668"/>
        <v>0</v>
      </c>
      <c r="P833" s="108">
        <f t="shared" si="668"/>
        <v>0</v>
      </c>
      <c r="Q833" s="108">
        <f t="shared" si="668"/>
        <v>0</v>
      </c>
      <c r="R833" s="108">
        <f t="shared" si="668"/>
        <v>0</v>
      </c>
      <c r="S833" s="108">
        <f t="shared" si="668"/>
        <v>0</v>
      </c>
      <c r="T833" s="28" t="s">
        <v>26</v>
      </c>
      <c r="V833" s="104" t="str">
        <f>$V$91</f>
        <v>-</v>
      </c>
      <c r="W833" s="108">
        <f t="shared" si="615"/>
        <v>-1</v>
      </c>
      <c r="X833" s="108">
        <f t="shared" si="616"/>
        <v>-1</v>
      </c>
      <c r="Y833" s="108">
        <f t="shared" si="617"/>
        <v>-1</v>
      </c>
      <c r="Z833" s="108">
        <f t="shared" si="618"/>
        <v>-1</v>
      </c>
      <c r="AA833" s="108">
        <f t="shared" si="619"/>
        <v>-1</v>
      </c>
      <c r="AB833" s="108">
        <f t="shared" si="620"/>
        <v>-1</v>
      </c>
      <c r="AC833" s="108">
        <f t="shared" si="621"/>
        <v>-1</v>
      </c>
      <c r="AD833" s="108">
        <f t="shared" si="622"/>
        <v>-1</v>
      </c>
      <c r="AE833" s="108">
        <f t="shared" si="623"/>
        <v>-1</v>
      </c>
      <c r="AF833" s="108">
        <f t="shared" si="624"/>
        <v>-1</v>
      </c>
      <c r="AG833" s="108">
        <f t="shared" si="625"/>
        <v>-1</v>
      </c>
      <c r="AH833" s="108">
        <f t="shared" si="626"/>
        <v>-1</v>
      </c>
      <c r="AI833" s="108">
        <f t="shared" si="627"/>
        <v>-1</v>
      </c>
      <c r="AJ833" s="108">
        <f t="shared" si="628"/>
        <v>-1</v>
      </c>
      <c r="AK833" s="108">
        <f t="shared" si="629"/>
        <v>-1</v>
      </c>
      <c r="AL833" s="108">
        <f t="shared" si="630"/>
        <v>-1</v>
      </c>
      <c r="AM833" s="108"/>
    </row>
    <row r="834" spans="3:39" x14ac:dyDescent="0.55000000000000004">
      <c r="C834" s="104" t="str">
        <f>$V$92</f>
        <v>-</v>
      </c>
      <c r="D834" s="108">
        <f t="shared" ref="D834:S834" si="669">D92</f>
        <v>0</v>
      </c>
      <c r="E834" s="108">
        <f t="shared" si="669"/>
        <v>0</v>
      </c>
      <c r="F834" s="108">
        <f t="shared" si="669"/>
        <v>0</v>
      </c>
      <c r="G834" s="108">
        <f t="shared" si="669"/>
        <v>0</v>
      </c>
      <c r="H834" s="108">
        <f t="shared" si="669"/>
        <v>0</v>
      </c>
      <c r="I834" s="108">
        <f t="shared" si="669"/>
        <v>0</v>
      </c>
      <c r="J834" s="108">
        <f t="shared" si="669"/>
        <v>0</v>
      </c>
      <c r="K834" s="108">
        <f t="shared" si="669"/>
        <v>0</v>
      </c>
      <c r="L834" s="108">
        <f t="shared" si="669"/>
        <v>0</v>
      </c>
      <c r="M834" s="108">
        <f t="shared" si="669"/>
        <v>0</v>
      </c>
      <c r="N834" s="108">
        <f t="shared" si="669"/>
        <v>0</v>
      </c>
      <c r="O834" s="108">
        <f t="shared" si="669"/>
        <v>0</v>
      </c>
      <c r="P834" s="108">
        <f t="shared" si="669"/>
        <v>0</v>
      </c>
      <c r="Q834" s="108">
        <f t="shared" si="669"/>
        <v>0</v>
      </c>
      <c r="R834" s="108">
        <f t="shared" si="669"/>
        <v>0</v>
      </c>
      <c r="S834" s="108">
        <f t="shared" si="669"/>
        <v>0</v>
      </c>
      <c r="T834" s="28" t="s">
        <v>26</v>
      </c>
      <c r="V834" s="104" t="str">
        <f>$V$92</f>
        <v>-</v>
      </c>
      <c r="W834" s="108">
        <f t="shared" si="615"/>
        <v>-1</v>
      </c>
      <c r="X834" s="108">
        <f t="shared" si="616"/>
        <v>-1</v>
      </c>
      <c r="Y834" s="108">
        <f t="shared" si="617"/>
        <v>-1</v>
      </c>
      <c r="Z834" s="108">
        <f t="shared" si="618"/>
        <v>-1</v>
      </c>
      <c r="AA834" s="108">
        <f t="shared" si="619"/>
        <v>-1</v>
      </c>
      <c r="AB834" s="108">
        <f t="shared" si="620"/>
        <v>-1</v>
      </c>
      <c r="AC834" s="108">
        <f t="shared" si="621"/>
        <v>-1</v>
      </c>
      <c r="AD834" s="108">
        <f t="shared" si="622"/>
        <v>-1</v>
      </c>
      <c r="AE834" s="108">
        <f t="shared" si="623"/>
        <v>-1</v>
      </c>
      <c r="AF834" s="108">
        <f t="shared" si="624"/>
        <v>-1</v>
      </c>
      <c r="AG834" s="108">
        <f t="shared" si="625"/>
        <v>-1</v>
      </c>
      <c r="AH834" s="108">
        <f t="shared" si="626"/>
        <v>-1</v>
      </c>
      <c r="AI834" s="108">
        <f t="shared" si="627"/>
        <v>-1</v>
      </c>
      <c r="AJ834" s="108">
        <f t="shared" si="628"/>
        <v>-1</v>
      </c>
      <c r="AK834" s="108">
        <f t="shared" si="629"/>
        <v>-1</v>
      </c>
      <c r="AL834" s="108">
        <f t="shared" si="630"/>
        <v>-1</v>
      </c>
      <c r="AM834" s="108"/>
    </row>
    <row r="835" spans="3:39" x14ac:dyDescent="0.55000000000000004">
      <c r="AM835" s="108"/>
    </row>
    <row r="836" spans="3:39" x14ac:dyDescent="0.55000000000000004">
      <c r="AM836" s="108"/>
    </row>
    <row r="837" spans="3:39" x14ac:dyDescent="0.55000000000000004">
      <c r="AM837" s="108"/>
    </row>
    <row r="838" spans="3:39" x14ac:dyDescent="0.55000000000000004">
      <c r="C838" s="104" t="str">
        <f>$BK$428</f>
        <v>Tidying</v>
      </c>
      <c r="D838" s="104" t="str">
        <f>$W$33</f>
        <v>16h</v>
      </c>
      <c r="E838" s="104" t="str">
        <f>$X$33</f>
        <v>17h</v>
      </c>
      <c r="F838" s="104" t="str">
        <f>$Y$33</f>
        <v>18h</v>
      </c>
      <c r="G838" s="104" t="str">
        <f>$Z$33</f>
        <v>19h</v>
      </c>
      <c r="H838" s="104" t="str">
        <f>$AA$33</f>
        <v>20h</v>
      </c>
      <c r="I838" s="104" t="str">
        <f>$AB$33</f>
        <v>21h</v>
      </c>
      <c r="J838" s="104" t="str">
        <f>$AC$33</f>
        <v>22h</v>
      </c>
      <c r="K838" s="104" t="str">
        <f>$AD$33</f>
        <v>23h</v>
      </c>
      <c r="L838" s="104" t="str">
        <f>$AE$33</f>
        <v>00h</v>
      </c>
      <c r="M838" s="104" t="str">
        <f>$AF$33</f>
        <v>01h</v>
      </c>
      <c r="N838" s="104" t="str">
        <f>$AG$33</f>
        <v>02h</v>
      </c>
      <c r="O838" s="104" t="str">
        <f>$AH$33</f>
        <v>03h</v>
      </c>
      <c r="P838" s="104" t="str">
        <f>$AI$33</f>
        <v>04h</v>
      </c>
      <c r="Q838" s="104" t="str">
        <f>$AJ$33</f>
        <v>05h</v>
      </c>
      <c r="R838" s="104" t="str">
        <f>$AK$33</f>
        <v>06h</v>
      </c>
      <c r="S838" s="104" t="str">
        <f>$AL$33</f>
        <v>07h</v>
      </c>
      <c r="V838" s="104" t="str">
        <f>$BK$428</f>
        <v>Tidying</v>
      </c>
      <c r="W838" s="104" t="str">
        <f>$W$33</f>
        <v>16h</v>
      </c>
      <c r="X838" s="104" t="str">
        <f>$X$33</f>
        <v>17h</v>
      </c>
      <c r="Y838" s="104" t="str">
        <f>$Y$33</f>
        <v>18h</v>
      </c>
      <c r="Z838" s="104" t="str">
        <f>$Z$33</f>
        <v>19h</v>
      </c>
      <c r="AA838" s="104" t="str">
        <f>$AA$33</f>
        <v>20h</v>
      </c>
      <c r="AB838" s="104" t="str">
        <f>$AB$33</f>
        <v>21h</v>
      </c>
      <c r="AC838" s="104" t="str">
        <f>$AC$33</f>
        <v>22h</v>
      </c>
      <c r="AD838" s="104" t="str">
        <f>$AD$33</f>
        <v>23h</v>
      </c>
      <c r="AE838" s="104" t="str">
        <f>$AE$33</f>
        <v>00h</v>
      </c>
      <c r="AF838" s="104" t="str">
        <f>$AF$33</f>
        <v>01h</v>
      </c>
      <c r="AG838" s="104" t="str">
        <f>$AG$33</f>
        <v>02h</v>
      </c>
      <c r="AH838" s="104" t="str">
        <f>$AH$33</f>
        <v>03h</v>
      </c>
      <c r="AI838" s="104" t="str">
        <f>$AI$33</f>
        <v>04h</v>
      </c>
      <c r="AJ838" s="104" t="str">
        <f>$AJ$33</f>
        <v>05h</v>
      </c>
      <c r="AK838" s="104" t="str">
        <f>$AK$33</f>
        <v>06h</v>
      </c>
      <c r="AL838" s="104" t="str">
        <f>$AL$33</f>
        <v>07h</v>
      </c>
      <c r="AM838" s="108"/>
    </row>
    <row r="839" spans="3:39" x14ac:dyDescent="0.55000000000000004">
      <c r="C839" s="104" t="str">
        <f>$V$53</f>
        <v>Jennifer</v>
      </c>
      <c r="D839" s="108">
        <f t="shared" ref="D839:S839" si="670">D53</f>
        <v>0</v>
      </c>
      <c r="E839" s="108">
        <f t="shared" si="670"/>
        <v>0</v>
      </c>
      <c r="F839" s="108">
        <f t="shared" si="670"/>
        <v>0</v>
      </c>
      <c r="G839" s="108">
        <f t="shared" si="670"/>
        <v>0</v>
      </c>
      <c r="H839" s="108">
        <f t="shared" si="670"/>
        <v>0</v>
      </c>
      <c r="I839" s="108">
        <f t="shared" si="670"/>
        <v>0</v>
      </c>
      <c r="J839" s="108">
        <f t="shared" si="670"/>
        <v>0</v>
      </c>
      <c r="K839" s="108">
        <f t="shared" si="670"/>
        <v>0</v>
      </c>
      <c r="L839" s="108">
        <f t="shared" si="670"/>
        <v>0</v>
      </c>
      <c r="M839" s="108">
        <f t="shared" si="670"/>
        <v>0</v>
      </c>
      <c r="N839" s="108">
        <f t="shared" si="670"/>
        <v>0</v>
      </c>
      <c r="O839" s="108">
        <f t="shared" si="670"/>
        <v>0</v>
      </c>
      <c r="P839" s="108">
        <f t="shared" si="670"/>
        <v>0</v>
      </c>
      <c r="Q839" s="108">
        <f t="shared" si="670"/>
        <v>0</v>
      </c>
      <c r="R839" s="108">
        <f t="shared" si="670"/>
        <v>0</v>
      </c>
      <c r="S839" s="108">
        <f t="shared" si="670"/>
        <v>0</v>
      </c>
      <c r="T839" s="28" t="s">
        <v>26</v>
      </c>
      <c r="V839" s="104" t="str">
        <f>$V$53</f>
        <v>Jennifer</v>
      </c>
      <c r="W839" s="108">
        <f t="shared" ref="W839:W878" si="671">AR394+AS394-1</f>
        <v>-1</v>
      </c>
      <c r="X839" s="108">
        <f t="shared" ref="X839:X878" si="672">AS394+AT394-1</f>
        <v>-1</v>
      </c>
      <c r="Y839" s="108">
        <f t="shared" ref="Y839:Y878" si="673">AT394+AU394-1</f>
        <v>-1</v>
      </c>
      <c r="Z839" s="108">
        <f t="shared" ref="Z839:Z878" si="674">AU394+AV394-1</f>
        <v>-1</v>
      </c>
      <c r="AA839" s="108">
        <f t="shared" ref="AA839:AA878" si="675">AV394+AW394-1</f>
        <v>-1</v>
      </c>
      <c r="AB839" s="108">
        <f t="shared" ref="AB839:AB878" si="676">AW394+AX394-1</f>
        <v>-1</v>
      </c>
      <c r="AC839" s="108">
        <f t="shared" ref="AC839:AC878" si="677">AX394+AY394-1</f>
        <v>-1</v>
      </c>
      <c r="AD839" s="108">
        <f t="shared" ref="AD839:AD878" si="678">AY394+AZ394-1</f>
        <v>-1</v>
      </c>
      <c r="AE839" s="108">
        <f t="shared" ref="AE839:AE878" si="679">AZ394+BA394-1</f>
        <v>-1</v>
      </c>
      <c r="AF839" s="108">
        <f t="shared" ref="AF839:AF878" si="680">BA394+BB394-1</f>
        <v>-1</v>
      </c>
      <c r="AG839" s="108">
        <f t="shared" ref="AG839:AG878" si="681">BB394+BC394-1</f>
        <v>-1</v>
      </c>
      <c r="AH839" s="108">
        <f t="shared" ref="AH839:AH878" si="682">BC394+BD394-1</f>
        <v>-1</v>
      </c>
      <c r="AI839" s="108">
        <f t="shared" ref="AI839:AI878" si="683">BD394+BE394-1</f>
        <v>-1</v>
      </c>
      <c r="AJ839" s="108">
        <f t="shared" ref="AJ839:AJ878" si="684">BE394+BF394-1</f>
        <v>-1</v>
      </c>
      <c r="AK839" s="108">
        <f t="shared" ref="AK839:AK878" si="685">BF394+BG394-1</f>
        <v>-1</v>
      </c>
      <c r="AL839" s="108">
        <f t="shared" ref="AL839:AL878" si="686">BG394+BH394-1</f>
        <v>-1</v>
      </c>
      <c r="AM839" s="108"/>
    </row>
    <row r="840" spans="3:39" x14ac:dyDescent="0.55000000000000004">
      <c r="C840" s="104" t="str">
        <f>$V$54</f>
        <v>Galileo</v>
      </c>
      <c r="D840" s="108">
        <f t="shared" ref="D840:S840" si="687">D54</f>
        <v>0</v>
      </c>
      <c r="E840" s="108">
        <f t="shared" si="687"/>
        <v>0</v>
      </c>
      <c r="F840" s="108">
        <f t="shared" si="687"/>
        <v>0</v>
      </c>
      <c r="G840" s="108">
        <f t="shared" si="687"/>
        <v>0</v>
      </c>
      <c r="H840" s="108">
        <f t="shared" si="687"/>
        <v>0</v>
      </c>
      <c r="I840" s="108">
        <f t="shared" si="687"/>
        <v>0</v>
      </c>
      <c r="J840" s="108">
        <f t="shared" si="687"/>
        <v>0</v>
      </c>
      <c r="K840" s="108">
        <f t="shared" si="687"/>
        <v>0</v>
      </c>
      <c r="L840" s="108">
        <f t="shared" si="687"/>
        <v>0</v>
      </c>
      <c r="M840" s="108">
        <f t="shared" si="687"/>
        <v>0</v>
      </c>
      <c r="N840" s="108">
        <f t="shared" si="687"/>
        <v>0</v>
      </c>
      <c r="O840" s="108">
        <f t="shared" si="687"/>
        <v>0</v>
      </c>
      <c r="P840" s="108">
        <f t="shared" si="687"/>
        <v>0</v>
      </c>
      <c r="Q840" s="108">
        <f t="shared" si="687"/>
        <v>0</v>
      </c>
      <c r="R840" s="108">
        <f t="shared" si="687"/>
        <v>0</v>
      </c>
      <c r="S840" s="108">
        <f t="shared" si="687"/>
        <v>0</v>
      </c>
      <c r="T840" s="28" t="s">
        <v>26</v>
      </c>
      <c r="V840" s="104" t="str">
        <f>$V$54</f>
        <v>Galileo</v>
      </c>
      <c r="W840" s="108">
        <f t="shared" si="671"/>
        <v>-1</v>
      </c>
      <c r="X840" s="108">
        <f t="shared" si="672"/>
        <v>-1</v>
      </c>
      <c r="Y840" s="108">
        <f t="shared" si="673"/>
        <v>-1</v>
      </c>
      <c r="Z840" s="108">
        <f t="shared" si="674"/>
        <v>-1</v>
      </c>
      <c r="AA840" s="108">
        <f t="shared" si="675"/>
        <v>-1</v>
      </c>
      <c r="AB840" s="108">
        <f t="shared" si="676"/>
        <v>-1</v>
      </c>
      <c r="AC840" s="108">
        <f t="shared" si="677"/>
        <v>-1</v>
      </c>
      <c r="AD840" s="108">
        <f t="shared" si="678"/>
        <v>-1</v>
      </c>
      <c r="AE840" s="108">
        <f t="shared" si="679"/>
        <v>-1</v>
      </c>
      <c r="AF840" s="108">
        <f t="shared" si="680"/>
        <v>-1</v>
      </c>
      <c r="AG840" s="108">
        <f t="shared" si="681"/>
        <v>-1</v>
      </c>
      <c r="AH840" s="108">
        <f t="shared" si="682"/>
        <v>-1</v>
      </c>
      <c r="AI840" s="108">
        <f t="shared" si="683"/>
        <v>-1</v>
      </c>
      <c r="AJ840" s="108">
        <f t="shared" si="684"/>
        <v>-1</v>
      </c>
      <c r="AK840" s="108">
        <f t="shared" si="685"/>
        <v>-1</v>
      </c>
      <c r="AL840" s="108">
        <f t="shared" si="686"/>
        <v>-1</v>
      </c>
      <c r="AM840" s="108"/>
    </row>
    <row r="841" spans="3:39" x14ac:dyDescent="0.55000000000000004">
      <c r="C841" s="104" t="str">
        <f>$V$55</f>
        <v>Óscar</v>
      </c>
      <c r="D841" s="108">
        <f t="shared" ref="D841:S841" si="688">D55</f>
        <v>0</v>
      </c>
      <c r="E841" s="108">
        <f t="shared" si="688"/>
        <v>0</v>
      </c>
      <c r="F841" s="108">
        <f t="shared" si="688"/>
        <v>0</v>
      </c>
      <c r="G841" s="108">
        <f t="shared" si="688"/>
        <v>0</v>
      </c>
      <c r="H841" s="108">
        <f t="shared" si="688"/>
        <v>0</v>
      </c>
      <c r="I841" s="108">
        <f t="shared" si="688"/>
        <v>0</v>
      </c>
      <c r="J841" s="108">
        <f t="shared" si="688"/>
        <v>0</v>
      </c>
      <c r="K841" s="108">
        <f t="shared" si="688"/>
        <v>0</v>
      </c>
      <c r="L841" s="108">
        <f t="shared" si="688"/>
        <v>0</v>
      </c>
      <c r="M841" s="108">
        <f t="shared" si="688"/>
        <v>0</v>
      </c>
      <c r="N841" s="108">
        <f t="shared" si="688"/>
        <v>0</v>
      </c>
      <c r="O841" s="108">
        <f t="shared" si="688"/>
        <v>0</v>
      </c>
      <c r="P841" s="108">
        <f t="shared" si="688"/>
        <v>0</v>
      </c>
      <c r="Q841" s="108">
        <f t="shared" si="688"/>
        <v>0</v>
      </c>
      <c r="R841" s="108">
        <f t="shared" si="688"/>
        <v>0</v>
      </c>
      <c r="S841" s="108">
        <f t="shared" si="688"/>
        <v>0</v>
      </c>
      <c r="T841" s="28" t="s">
        <v>26</v>
      </c>
      <c r="V841" s="104" t="str">
        <f>$V$55</f>
        <v>Óscar</v>
      </c>
      <c r="W841" s="108">
        <f t="shared" si="671"/>
        <v>-1</v>
      </c>
      <c r="X841" s="108">
        <f t="shared" si="672"/>
        <v>-1</v>
      </c>
      <c r="Y841" s="108">
        <f t="shared" si="673"/>
        <v>-1</v>
      </c>
      <c r="Z841" s="108">
        <f t="shared" si="674"/>
        <v>-1</v>
      </c>
      <c r="AA841" s="108">
        <f t="shared" si="675"/>
        <v>-1</v>
      </c>
      <c r="AB841" s="108">
        <f t="shared" si="676"/>
        <v>-1</v>
      </c>
      <c r="AC841" s="108">
        <f t="shared" si="677"/>
        <v>-1</v>
      </c>
      <c r="AD841" s="108">
        <f t="shared" si="678"/>
        <v>-1</v>
      </c>
      <c r="AE841" s="108">
        <f t="shared" si="679"/>
        <v>-1</v>
      </c>
      <c r="AF841" s="108">
        <f t="shared" si="680"/>
        <v>-1</v>
      </c>
      <c r="AG841" s="108">
        <f t="shared" si="681"/>
        <v>-1</v>
      </c>
      <c r="AH841" s="108">
        <f t="shared" si="682"/>
        <v>-1</v>
      </c>
      <c r="AI841" s="108">
        <f t="shared" si="683"/>
        <v>-1</v>
      </c>
      <c r="AJ841" s="108">
        <f t="shared" si="684"/>
        <v>-1</v>
      </c>
      <c r="AK841" s="108">
        <f t="shared" si="685"/>
        <v>-1</v>
      </c>
      <c r="AL841" s="108">
        <f t="shared" si="686"/>
        <v>-1</v>
      </c>
      <c r="AM841" s="108"/>
    </row>
    <row r="842" spans="3:39" x14ac:dyDescent="0.55000000000000004">
      <c r="C842" s="104" t="str">
        <f>$V$56</f>
        <v>Sebastián</v>
      </c>
      <c r="D842" s="108">
        <f t="shared" ref="D842:S842" si="689">D56</f>
        <v>0</v>
      </c>
      <c r="E842" s="108">
        <f t="shared" si="689"/>
        <v>0</v>
      </c>
      <c r="F842" s="108">
        <f t="shared" si="689"/>
        <v>0</v>
      </c>
      <c r="G842" s="108">
        <f t="shared" si="689"/>
        <v>0</v>
      </c>
      <c r="H842" s="108">
        <f t="shared" si="689"/>
        <v>0</v>
      </c>
      <c r="I842" s="108">
        <f t="shared" si="689"/>
        <v>0</v>
      </c>
      <c r="J842" s="108">
        <f t="shared" si="689"/>
        <v>0</v>
      </c>
      <c r="K842" s="108">
        <f t="shared" si="689"/>
        <v>0</v>
      </c>
      <c r="L842" s="108">
        <f t="shared" si="689"/>
        <v>0</v>
      </c>
      <c r="M842" s="108">
        <f t="shared" si="689"/>
        <v>0</v>
      </c>
      <c r="N842" s="108">
        <f t="shared" si="689"/>
        <v>0</v>
      </c>
      <c r="O842" s="108">
        <f t="shared" si="689"/>
        <v>0</v>
      </c>
      <c r="P842" s="108">
        <f t="shared" si="689"/>
        <v>0</v>
      </c>
      <c r="Q842" s="108">
        <f t="shared" si="689"/>
        <v>0</v>
      </c>
      <c r="R842" s="108">
        <f t="shared" si="689"/>
        <v>0</v>
      </c>
      <c r="S842" s="108">
        <f t="shared" si="689"/>
        <v>0</v>
      </c>
      <c r="T842" s="28" t="s">
        <v>26</v>
      </c>
      <c r="V842" s="104" t="str">
        <f>$V$56</f>
        <v>Sebastián</v>
      </c>
      <c r="W842" s="108">
        <f t="shared" si="671"/>
        <v>-1</v>
      </c>
      <c r="X842" s="108">
        <f t="shared" si="672"/>
        <v>-1</v>
      </c>
      <c r="Y842" s="108">
        <f t="shared" si="673"/>
        <v>-1</v>
      </c>
      <c r="Z842" s="108">
        <f t="shared" si="674"/>
        <v>-1</v>
      </c>
      <c r="AA842" s="108">
        <f t="shared" si="675"/>
        <v>-1</v>
      </c>
      <c r="AB842" s="108">
        <f t="shared" si="676"/>
        <v>-1</v>
      </c>
      <c r="AC842" s="108">
        <f t="shared" si="677"/>
        <v>-1</v>
      </c>
      <c r="AD842" s="108">
        <f t="shared" si="678"/>
        <v>-1</v>
      </c>
      <c r="AE842" s="108">
        <f t="shared" si="679"/>
        <v>-1</v>
      </c>
      <c r="AF842" s="108">
        <f t="shared" si="680"/>
        <v>-1</v>
      </c>
      <c r="AG842" s="108">
        <f t="shared" si="681"/>
        <v>-1</v>
      </c>
      <c r="AH842" s="108">
        <f t="shared" si="682"/>
        <v>-1</v>
      </c>
      <c r="AI842" s="108">
        <f t="shared" si="683"/>
        <v>-1</v>
      </c>
      <c r="AJ842" s="108">
        <f t="shared" si="684"/>
        <v>-1</v>
      </c>
      <c r="AK842" s="108">
        <f t="shared" si="685"/>
        <v>-1</v>
      </c>
      <c r="AL842" s="108">
        <f t="shared" si="686"/>
        <v>-1</v>
      </c>
      <c r="AM842" s="108"/>
    </row>
    <row r="843" spans="3:39" x14ac:dyDescent="0.55000000000000004">
      <c r="C843" s="104" t="str">
        <f>$V$57</f>
        <v>Marcos</v>
      </c>
      <c r="D843" s="108">
        <f t="shared" ref="D843:S843" si="690">D57</f>
        <v>0</v>
      </c>
      <c r="E843" s="108">
        <f t="shared" si="690"/>
        <v>0</v>
      </c>
      <c r="F843" s="108">
        <f t="shared" si="690"/>
        <v>0</v>
      </c>
      <c r="G843" s="108">
        <f t="shared" si="690"/>
        <v>0</v>
      </c>
      <c r="H843" s="108">
        <f t="shared" si="690"/>
        <v>0</v>
      </c>
      <c r="I843" s="108">
        <f t="shared" si="690"/>
        <v>0</v>
      </c>
      <c r="J843" s="108">
        <f t="shared" si="690"/>
        <v>0</v>
      </c>
      <c r="K843" s="108">
        <f t="shared" si="690"/>
        <v>0</v>
      </c>
      <c r="L843" s="108">
        <f t="shared" si="690"/>
        <v>0</v>
      </c>
      <c r="M843" s="108">
        <f t="shared" si="690"/>
        <v>0</v>
      </c>
      <c r="N843" s="108">
        <f t="shared" si="690"/>
        <v>0</v>
      </c>
      <c r="O843" s="108">
        <f t="shared" si="690"/>
        <v>0</v>
      </c>
      <c r="P843" s="108">
        <f t="shared" si="690"/>
        <v>0</v>
      </c>
      <c r="Q843" s="108">
        <f t="shared" si="690"/>
        <v>0</v>
      </c>
      <c r="R843" s="108">
        <f t="shared" si="690"/>
        <v>0</v>
      </c>
      <c r="S843" s="108">
        <f t="shared" si="690"/>
        <v>0</v>
      </c>
      <c r="T843" s="28" t="s">
        <v>26</v>
      </c>
      <c r="V843" s="104" t="str">
        <f>$V$57</f>
        <v>Marcos</v>
      </c>
      <c r="W843" s="108">
        <f t="shared" si="671"/>
        <v>-1</v>
      </c>
      <c r="X843" s="108">
        <f t="shared" si="672"/>
        <v>-1</v>
      </c>
      <c r="Y843" s="108">
        <f t="shared" si="673"/>
        <v>-1</v>
      </c>
      <c r="Z843" s="108">
        <f t="shared" si="674"/>
        <v>-1</v>
      </c>
      <c r="AA843" s="108">
        <f t="shared" si="675"/>
        <v>-1</v>
      </c>
      <c r="AB843" s="108">
        <f t="shared" si="676"/>
        <v>-1</v>
      </c>
      <c r="AC843" s="108">
        <f t="shared" si="677"/>
        <v>-1</v>
      </c>
      <c r="AD843" s="108">
        <f t="shared" si="678"/>
        <v>-1</v>
      </c>
      <c r="AE843" s="108">
        <f t="shared" si="679"/>
        <v>-1</v>
      </c>
      <c r="AF843" s="108">
        <f t="shared" si="680"/>
        <v>-1</v>
      </c>
      <c r="AG843" s="108">
        <f t="shared" si="681"/>
        <v>-1</v>
      </c>
      <c r="AH843" s="108">
        <f t="shared" si="682"/>
        <v>-1</v>
      </c>
      <c r="AI843" s="108">
        <f t="shared" si="683"/>
        <v>-1</v>
      </c>
      <c r="AJ843" s="108">
        <f t="shared" si="684"/>
        <v>-1</v>
      </c>
      <c r="AK843" s="108">
        <f t="shared" si="685"/>
        <v>-1</v>
      </c>
      <c r="AL843" s="108">
        <f t="shared" si="686"/>
        <v>-1</v>
      </c>
      <c r="AM843" s="108"/>
    </row>
    <row r="844" spans="3:39" x14ac:dyDescent="0.55000000000000004">
      <c r="C844" s="104" t="str">
        <f>$V$58</f>
        <v>Weixin</v>
      </c>
      <c r="D844" s="108">
        <f t="shared" ref="D844:S844" si="691">D58</f>
        <v>0</v>
      </c>
      <c r="E844" s="108">
        <f t="shared" si="691"/>
        <v>0</v>
      </c>
      <c r="F844" s="108">
        <f t="shared" si="691"/>
        <v>0</v>
      </c>
      <c r="G844" s="108">
        <f t="shared" si="691"/>
        <v>0</v>
      </c>
      <c r="H844" s="108">
        <f t="shared" si="691"/>
        <v>0</v>
      </c>
      <c r="I844" s="108">
        <f t="shared" si="691"/>
        <v>0</v>
      </c>
      <c r="J844" s="108">
        <f t="shared" si="691"/>
        <v>0</v>
      </c>
      <c r="K844" s="108">
        <f t="shared" si="691"/>
        <v>0</v>
      </c>
      <c r="L844" s="108">
        <f t="shared" si="691"/>
        <v>0</v>
      </c>
      <c r="M844" s="108">
        <f t="shared" si="691"/>
        <v>0</v>
      </c>
      <c r="N844" s="108">
        <f t="shared" si="691"/>
        <v>0</v>
      </c>
      <c r="O844" s="108">
        <f t="shared" si="691"/>
        <v>0</v>
      </c>
      <c r="P844" s="108">
        <f t="shared" si="691"/>
        <v>0</v>
      </c>
      <c r="Q844" s="108">
        <f t="shared" si="691"/>
        <v>0</v>
      </c>
      <c r="R844" s="108">
        <f t="shared" si="691"/>
        <v>0</v>
      </c>
      <c r="S844" s="108">
        <f t="shared" si="691"/>
        <v>0</v>
      </c>
      <c r="T844" s="28" t="s">
        <v>26</v>
      </c>
      <c r="V844" s="104" t="str">
        <f>$V$58</f>
        <v>Weixin</v>
      </c>
      <c r="W844" s="108">
        <f t="shared" si="671"/>
        <v>-1</v>
      </c>
      <c r="X844" s="108">
        <f t="shared" si="672"/>
        <v>-1</v>
      </c>
      <c r="Y844" s="108">
        <f t="shared" si="673"/>
        <v>-1</v>
      </c>
      <c r="Z844" s="108">
        <f t="shared" si="674"/>
        <v>-1</v>
      </c>
      <c r="AA844" s="108">
        <f t="shared" si="675"/>
        <v>-1</v>
      </c>
      <c r="AB844" s="108">
        <f t="shared" si="676"/>
        <v>-1</v>
      </c>
      <c r="AC844" s="108">
        <f t="shared" si="677"/>
        <v>-1</v>
      </c>
      <c r="AD844" s="108">
        <f t="shared" si="678"/>
        <v>-1</v>
      </c>
      <c r="AE844" s="108">
        <f t="shared" si="679"/>
        <v>-1</v>
      </c>
      <c r="AF844" s="108">
        <f t="shared" si="680"/>
        <v>-1</v>
      </c>
      <c r="AG844" s="108">
        <f t="shared" si="681"/>
        <v>-1</v>
      </c>
      <c r="AH844" s="108">
        <f t="shared" si="682"/>
        <v>-1</v>
      </c>
      <c r="AI844" s="108">
        <f t="shared" si="683"/>
        <v>-1</v>
      </c>
      <c r="AJ844" s="108">
        <f t="shared" si="684"/>
        <v>-1</v>
      </c>
      <c r="AK844" s="108">
        <f t="shared" si="685"/>
        <v>-1</v>
      </c>
      <c r="AL844" s="108">
        <f t="shared" si="686"/>
        <v>-1</v>
      </c>
      <c r="AM844" s="108"/>
    </row>
    <row r="845" spans="3:39" x14ac:dyDescent="0.55000000000000004">
      <c r="C845" s="104" t="str">
        <f>$V$59</f>
        <v>Benjamin</v>
      </c>
      <c r="D845" s="108">
        <f t="shared" ref="D845:S845" si="692">D59</f>
        <v>0</v>
      </c>
      <c r="E845" s="108">
        <f t="shared" si="692"/>
        <v>0</v>
      </c>
      <c r="F845" s="108">
        <f t="shared" si="692"/>
        <v>0</v>
      </c>
      <c r="G845" s="108">
        <f t="shared" si="692"/>
        <v>0</v>
      </c>
      <c r="H845" s="108">
        <f t="shared" si="692"/>
        <v>0</v>
      </c>
      <c r="I845" s="108">
        <f t="shared" si="692"/>
        <v>0</v>
      </c>
      <c r="J845" s="108">
        <f t="shared" si="692"/>
        <v>0</v>
      </c>
      <c r="K845" s="108">
        <f t="shared" si="692"/>
        <v>0</v>
      </c>
      <c r="L845" s="108">
        <f t="shared" si="692"/>
        <v>0</v>
      </c>
      <c r="M845" s="108">
        <f t="shared" si="692"/>
        <v>0</v>
      </c>
      <c r="N845" s="108">
        <f t="shared" si="692"/>
        <v>0</v>
      </c>
      <c r="O845" s="108">
        <f t="shared" si="692"/>
        <v>0</v>
      </c>
      <c r="P845" s="108">
        <f t="shared" si="692"/>
        <v>0</v>
      </c>
      <c r="Q845" s="108">
        <f t="shared" si="692"/>
        <v>0</v>
      </c>
      <c r="R845" s="108">
        <f t="shared" si="692"/>
        <v>0</v>
      </c>
      <c r="S845" s="108">
        <f t="shared" si="692"/>
        <v>0</v>
      </c>
      <c r="T845" s="28" t="s">
        <v>26</v>
      </c>
      <c r="V845" s="104" t="str">
        <f>$V$59</f>
        <v>Benjamin</v>
      </c>
      <c r="W845" s="108">
        <f t="shared" si="671"/>
        <v>-1</v>
      </c>
      <c r="X845" s="108">
        <f t="shared" si="672"/>
        <v>-1</v>
      </c>
      <c r="Y845" s="108">
        <f t="shared" si="673"/>
        <v>-1</v>
      </c>
      <c r="Z845" s="108">
        <f t="shared" si="674"/>
        <v>-1</v>
      </c>
      <c r="AA845" s="108">
        <f t="shared" si="675"/>
        <v>-1</v>
      </c>
      <c r="AB845" s="108">
        <f t="shared" si="676"/>
        <v>-1</v>
      </c>
      <c r="AC845" s="108">
        <f t="shared" si="677"/>
        <v>-1</v>
      </c>
      <c r="AD845" s="108">
        <f t="shared" si="678"/>
        <v>-1</v>
      </c>
      <c r="AE845" s="108">
        <f t="shared" si="679"/>
        <v>-1</v>
      </c>
      <c r="AF845" s="108">
        <f t="shared" si="680"/>
        <v>-1</v>
      </c>
      <c r="AG845" s="108">
        <f t="shared" si="681"/>
        <v>-1</v>
      </c>
      <c r="AH845" s="108">
        <f t="shared" si="682"/>
        <v>-1</v>
      </c>
      <c r="AI845" s="108">
        <f t="shared" si="683"/>
        <v>-1</v>
      </c>
      <c r="AJ845" s="108">
        <f t="shared" si="684"/>
        <v>-1</v>
      </c>
      <c r="AK845" s="108">
        <f t="shared" si="685"/>
        <v>-1</v>
      </c>
      <c r="AL845" s="108">
        <f t="shared" si="686"/>
        <v>-1</v>
      </c>
      <c r="AM845" s="108"/>
    </row>
    <row r="846" spans="3:39" x14ac:dyDescent="0.55000000000000004">
      <c r="C846" s="104" t="str">
        <f>$V$60</f>
        <v>Joelle</v>
      </c>
      <c r="D846" s="108">
        <f t="shared" ref="D846:S846" si="693">D60</f>
        <v>0</v>
      </c>
      <c r="E846" s="108">
        <f t="shared" si="693"/>
        <v>0</v>
      </c>
      <c r="F846" s="108">
        <f t="shared" si="693"/>
        <v>0</v>
      </c>
      <c r="G846" s="108">
        <f t="shared" si="693"/>
        <v>0</v>
      </c>
      <c r="H846" s="108">
        <f t="shared" si="693"/>
        <v>0</v>
      </c>
      <c r="I846" s="108">
        <f t="shared" si="693"/>
        <v>0</v>
      </c>
      <c r="J846" s="108">
        <f t="shared" si="693"/>
        <v>0</v>
      </c>
      <c r="K846" s="108">
        <f t="shared" si="693"/>
        <v>0</v>
      </c>
      <c r="L846" s="108">
        <f t="shared" si="693"/>
        <v>0</v>
      </c>
      <c r="M846" s="108">
        <f t="shared" si="693"/>
        <v>0</v>
      </c>
      <c r="N846" s="108">
        <f t="shared" si="693"/>
        <v>0</v>
      </c>
      <c r="O846" s="108">
        <f t="shared" si="693"/>
        <v>0</v>
      </c>
      <c r="P846" s="108">
        <f t="shared" si="693"/>
        <v>0</v>
      </c>
      <c r="Q846" s="108">
        <f t="shared" si="693"/>
        <v>0</v>
      </c>
      <c r="R846" s="108">
        <f t="shared" si="693"/>
        <v>0</v>
      </c>
      <c r="S846" s="108">
        <f t="shared" si="693"/>
        <v>0</v>
      </c>
      <c r="T846" s="28" t="s">
        <v>26</v>
      </c>
      <c r="V846" s="104" t="str">
        <f>$V$60</f>
        <v>Joelle</v>
      </c>
      <c r="W846" s="108">
        <f t="shared" si="671"/>
        <v>-1</v>
      </c>
      <c r="X846" s="108">
        <f t="shared" si="672"/>
        <v>-1</v>
      </c>
      <c r="Y846" s="108">
        <f t="shared" si="673"/>
        <v>-1</v>
      </c>
      <c r="Z846" s="108">
        <f t="shared" si="674"/>
        <v>-1</v>
      </c>
      <c r="AA846" s="108">
        <f t="shared" si="675"/>
        <v>-1</v>
      </c>
      <c r="AB846" s="108">
        <f t="shared" si="676"/>
        <v>-1</v>
      </c>
      <c r="AC846" s="108">
        <f t="shared" si="677"/>
        <v>-1</v>
      </c>
      <c r="AD846" s="108">
        <f t="shared" si="678"/>
        <v>-1</v>
      </c>
      <c r="AE846" s="108">
        <f t="shared" si="679"/>
        <v>-1</v>
      </c>
      <c r="AF846" s="108">
        <f t="shared" si="680"/>
        <v>-1</v>
      </c>
      <c r="AG846" s="108">
        <f t="shared" si="681"/>
        <v>-1</v>
      </c>
      <c r="AH846" s="108">
        <f t="shared" si="682"/>
        <v>-1</v>
      </c>
      <c r="AI846" s="108">
        <f t="shared" si="683"/>
        <v>-1</v>
      </c>
      <c r="AJ846" s="108">
        <f t="shared" si="684"/>
        <v>-1</v>
      </c>
      <c r="AK846" s="108">
        <f t="shared" si="685"/>
        <v>-1</v>
      </c>
      <c r="AL846" s="108">
        <f t="shared" si="686"/>
        <v>-1</v>
      </c>
      <c r="AM846" s="108"/>
    </row>
    <row r="847" spans="3:39" x14ac:dyDescent="0.55000000000000004">
      <c r="C847" s="104" t="str">
        <f>$V$61</f>
        <v>Alexia</v>
      </c>
      <c r="D847" s="108">
        <f t="shared" ref="D847:S847" si="694">D61</f>
        <v>0</v>
      </c>
      <c r="E847" s="108">
        <f t="shared" si="694"/>
        <v>0</v>
      </c>
      <c r="F847" s="108">
        <f t="shared" si="694"/>
        <v>0</v>
      </c>
      <c r="G847" s="108">
        <f t="shared" si="694"/>
        <v>0</v>
      </c>
      <c r="H847" s="108">
        <f t="shared" si="694"/>
        <v>0</v>
      </c>
      <c r="I847" s="108">
        <f t="shared" si="694"/>
        <v>0</v>
      </c>
      <c r="J847" s="108">
        <f t="shared" si="694"/>
        <v>0</v>
      </c>
      <c r="K847" s="108">
        <f t="shared" si="694"/>
        <v>0</v>
      </c>
      <c r="L847" s="108">
        <f t="shared" si="694"/>
        <v>0</v>
      </c>
      <c r="M847" s="108">
        <f t="shared" si="694"/>
        <v>0</v>
      </c>
      <c r="N847" s="108">
        <f t="shared" si="694"/>
        <v>0</v>
      </c>
      <c r="O847" s="108">
        <f t="shared" si="694"/>
        <v>0</v>
      </c>
      <c r="P847" s="108">
        <f t="shared" si="694"/>
        <v>0</v>
      </c>
      <c r="Q847" s="108">
        <f t="shared" si="694"/>
        <v>0</v>
      </c>
      <c r="R847" s="108">
        <f t="shared" si="694"/>
        <v>0</v>
      </c>
      <c r="S847" s="108">
        <f t="shared" si="694"/>
        <v>0</v>
      </c>
      <c r="T847" s="28" t="s">
        <v>26</v>
      </c>
      <c r="V847" s="104" t="str">
        <f>$V$61</f>
        <v>Alexia</v>
      </c>
      <c r="W847" s="108">
        <f t="shared" si="671"/>
        <v>-1</v>
      </c>
      <c r="X847" s="108">
        <f t="shared" si="672"/>
        <v>-1</v>
      </c>
      <c r="Y847" s="108">
        <f t="shared" si="673"/>
        <v>-1</v>
      </c>
      <c r="Z847" s="108">
        <f t="shared" si="674"/>
        <v>-1</v>
      </c>
      <c r="AA847" s="108">
        <f t="shared" si="675"/>
        <v>-1</v>
      </c>
      <c r="AB847" s="108">
        <f t="shared" si="676"/>
        <v>-1</v>
      </c>
      <c r="AC847" s="108">
        <f t="shared" si="677"/>
        <v>-1</v>
      </c>
      <c r="AD847" s="108">
        <f t="shared" si="678"/>
        <v>-1</v>
      </c>
      <c r="AE847" s="108">
        <f t="shared" si="679"/>
        <v>-1</v>
      </c>
      <c r="AF847" s="108">
        <f t="shared" si="680"/>
        <v>-1</v>
      </c>
      <c r="AG847" s="108">
        <f t="shared" si="681"/>
        <v>-1</v>
      </c>
      <c r="AH847" s="108">
        <f t="shared" si="682"/>
        <v>-1</v>
      </c>
      <c r="AI847" s="108">
        <f t="shared" si="683"/>
        <v>-1</v>
      </c>
      <c r="AJ847" s="108">
        <f t="shared" si="684"/>
        <v>-1</v>
      </c>
      <c r="AK847" s="108">
        <f t="shared" si="685"/>
        <v>-1</v>
      </c>
      <c r="AL847" s="108">
        <f t="shared" si="686"/>
        <v>-1</v>
      </c>
      <c r="AM847" s="108"/>
    </row>
    <row r="848" spans="3:39" x14ac:dyDescent="0.55000000000000004">
      <c r="C848" s="104" t="str">
        <f>$V$62</f>
        <v>Joao</v>
      </c>
      <c r="D848" s="108">
        <f t="shared" ref="D848:S848" si="695">D62</f>
        <v>0</v>
      </c>
      <c r="E848" s="108">
        <f t="shared" si="695"/>
        <v>0</v>
      </c>
      <c r="F848" s="108">
        <f t="shared" si="695"/>
        <v>0</v>
      </c>
      <c r="G848" s="108">
        <f t="shared" si="695"/>
        <v>0</v>
      </c>
      <c r="H848" s="108">
        <f t="shared" si="695"/>
        <v>0</v>
      </c>
      <c r="I848" s="108">
        <f t="shared" si="695"/>
        <v>0</v>
      </c>
      <c r="J848" s="108">
        <f t="shared" si="695"/>
        <v>0</v>
      </c>
      <c r="K848" s="108">
        <f t="shared" si="695"/>
        <v>0</v>
      </c>
      <c r="L848" s="108">
        <f t="shared" si="695"/>
        <v>0</v>
      </c>
      <c r="M848" s="108">
        <f t="shared" si="695"/>
        <v>0</v>
      </c>
      <c r="N848" s="108">
        <f t="shared" si="695"/>
        <v>0</v>
      </c>
      <c r="O848" s="108">
        <f t="shared" si="695"/>
        <v>0</v>
      </c>
      <c r="P848" s="108">
        <f t="shared" si="695"/>
        <v>0</v>
      </c>
      <c r="Q848" s="108">
        <f t="shared" si="695"/>
        <v>0</v>
      </c>
      <c r="R848" s="108">
        <f t="shared" si="695"/>
        <v>0</v>
      </c>
      <c r="S848" s="108">
        <f t="shared" si="695"/>
        <v>0</v>
      </c>
      <c r="T848" s="28" t="s">
        <v>26</v>
      </c>
      <c r="V848" s="104" t="str">
        <f>$V$62</f>
        <v>Joao</v>
      </c>
      <c r="W848" s="108">
        <f t="shared" si="671"/>
        <v>-1</v>
      </c>
      <c r="X848" s="108">
        <f t="shared" si="672"/>
        <v>-1</v>
      </c>
      <c r="Y848" s="108">
        <f t="shared" si="673"/>
        <v>-1</v>
      </c>
      <c r="Z848" s="108">
        <f t="shared" si="674"/>
        <v>-1</v>
      </c>
      <c r="AA848" s="108">
        <f t="shared" si="675"/>
        <v>-1</v>
      </c>
      <c r="AB848" s="108">
        <f t="shared" si="676"/>
        <v>-1</v>
      </c>
      <c r="AC848" s="108">
        <f t="shared" si="677"/>
        <v>-1</v>
      </c>
      <c r="AD848" s="108">
        <f t="shared" si="678"/>
        <v>-1</v>
      </c>
      <c r="AE848" s="108">
        <f t="shared" si="679"/>
        <v>-1</v>
      </c>
      <c r="AF848" s="108">
        <f t="shared" si="680"/>
        <v>-1</v>
      </c>
      <c r="AG848" s="108">
        <f t="shared" si="681"/>
        <v>-1</v>
      </c>
      <c r="AH848" s="108">
        <f t="shared" si="682"/>
        <v>-1</v>
      </c>
      <c r="AI848" s="108">
        <f t="shared" si="683"/>
        <v>-1</v>
      </c>
      <c r="AJ848" s="108">
        <f t="shared" si="684"/>
        <v>-1</v>
      </c>
      <c r="AK848" s="108">
        <f t="shared" si="685"/>
        <v>-1</v>
      </c>
      <c r="AL848" s="108">
        <f t="shared" si="686"/>
        <v>-1</v>
      </c>
      <c r="AM848" s="108"/>
    </row>
    <row r="849" spans="3:39" x14ac:dyDescent="0.55000000000000004">
      <c r="C849" s="104" t="str">
        <f>$V$63</f>
        <v>Maxime</v>
      </c>
      <c r="D849" s="108">
        <f t="shared" ref="D849:S849" si="696">D63</f>
        <v>0</v>
      </c>
      <c r="E849" s="108">
        <f t="shared" si="696"/>
        <v>0</v>
      </c>
      <c r="F849" s="108">
        <f t="shared" si="696"/>
        <v>0</v>
      </c>
      <c r="G849" s="108">
        <f t="shared" si="696"/>
        <v>0</v>
      </c>
      <c r="H849" s="108">
        <f t="shared" si="696"/>
        <v>0</v>
      </c>
      <c r="I849" s="108">
        <f t="shared" si="696"/>
        <v>0</v>
      </c>
      <c r="J849" s="108">
        <f t="shared" si="696"/>
        <v>0</v>
      </c>
      <c r="K849" s="108">
        <f t="shared" si="696"/>
        <v>0</v>
      </c>
      <c r="L849" s="108">
        <f t="shared" si="696"/>
        <v>0</v>
      </c>
      <c r="M849" s="108">
        <f t="shared" si="696"/>
        <v>0</v>
      </c>
      <c r="N849" s="108">
        <f t="shared" si="696"/>
        <v>0</v>
      </c>
      <c r="O849" s="108">
        <f t="shared" si="696"/>
        <v>0</v>
      </c>
      <c r="P849" s="108">
        <f t="shared" si="696"/>
        <v>0</v>
      </c>
      <c r="Q849" s="108">
        <f t="shared" si="696"/>
        <v>0</v>
      </c>
      <c r="R849" s="108">
        <f t="shared" si="696"/>
        <v>0</v>
      </c>
      <c r="S849" s="108">
        <f t="shared" si="696"/>
        <v>0</v>
      </c>
      <c r="T849" s="28" t="s">
        <v>26</v>
      </c>
      <c r="V849" s="104" t="str">
        <f>$V$63</f>
        <v>Maxime</v>
      </c>
      <c r="W849" s="108">
        <f t="shared" si="671"/>
        <v>-1</v>
      </c>
      <c r="X849" s="108">
        <f t="shared" si="672"/>
        <v>-1</v>
      </c>
      <c r="Y849" s="108">
        <f t="shared" si="673"/>
        <v>-1</v>
      </c>
      <c r="Z849" s="108">
        <f t="shared" si="674"/>
        <v>-1</v>
      </c>
      <c r="AA849" s="108">
        <f t="shared" si="675"/>
        <v>-1</v>
      </c>
      <c r="AB849" s="108">
        <f t="shared" si="676"/>
        <v>-1</v>
      </c>
      <c r="AC849" s="108">
        <f t="shared" si="677"/>
        <v>-1</v>
      </c>
      <c r="AD849" s="108">
        <f t="shared" si="678"/>
        <v>-1</v>
      </c>
      <c r="AE849" s="108">
        <f t="shared" si="679"/>
        <v>-1</v>
      </c>
      <c r="AF849" s="108">
        <f t="shared" si="680"/>
        <v>-1</v>
      </c>
      <c r="AG849" s="108">
        <f t="shared" si="681"/>
        <v>-1</v>
      </c>
      <c r="AH849" s="108">
        <f t="shared" si="682"/>
        <v>-1</v>
      </c>
      <c r="AI849" s="108">
        <f t="shared" si="683"/>
        <v>-1</v>
      </c>
      <c r="AJ849" s="108">
        <f t="shared" si="684"/>
        <v>-1</v>
      </c>
      <c r="AK849" s="108">
        <f t="shared" si="685"/>
        <v>-1</v>
      </c>
      <c r="AL849" s="108">
        <f t="shared" si="686"/>
        <v>-1</v>
      </c>
      <c r="AM849" s="108"/>
    </row>
    <row r="850" spans="3:39" x14ac:dyDescent="0.55000000000000004">
      <c r="C850" s="104" t="str">
        <f>$V$64</f>
        <v>Alex</v>
      </c>
      <c r="D850" s="108">
        <f t="shared" ref="D850:S850" si="697">D64</f>
        <v>0</v>
      </c>
      <c r="E850" s="108">
        <f t="shared" si="697"/>
        <v>0</v>
      </c>
      <c r="F850" s="108">
        <f t="shared" si="697"/>
        <v>0</v>
      </c>
      <c r="G850" s="108">
        <f t="shared" si="697"/>
        <v>0</v>
      </c>
      <c r="H850" s="108">
        <f t="shared" si="697"/>
        <v>0</v>
      </c>
      <c r="I850" s="108">
        <f t="shared" si="697"/>
        <v>0</v>
      </c>
      <c r="J850" s="108">
        <f t="shared" si="697"/>
        <v>0</v>
      </c>
      <c r="K850" s="108">
        <f t="shared" si="697"/>
        <v>0</v>
      </c>
      <c r="L850" s="108">
        <f t="shared" si="697"/>
        <v>0</v>
      </c>
      <c r="M850" s="108">
        <f t="shared" si="697"/>
        <v>0</v>
      </c>
      <c r="N850" s="108">
        <f t="shared" si="697"/>
        <v>0</v>
      </c>
      <c r="O850" s="108">
        <f t="shared" si="697"/>
        <v>0</v>
      </c>
      <c r="P850" s="108">
        <f t="shared" si="697"/>
        <v>0</v>
      </c>
      <c r="Q850" s="108">
        <f t="shared" si="697"/>
        <v>0</v>
      </c>
      <c r="R850" s="108">
        <f t="shared" si="697"/>
        <v>0</v>
      </c>
      <c r="S850" s="108">
        <f t="shared" si="697"/>
        <v>0</v>
      </c>
      <c r="T850" s="28" t="s">
        <v>26</v>
      </c>
      <c r="V850" s="104" t="str">
        <f>$V$64</f>
        <v>Alex</v>
      </c>
      <c r="W850" s="108">
        <f t="shared" si="671"/>
        <v>-1</v>
      </c>
      <c r="X850" s="108">
        <f t="shared" si="672"/>
        <v>-1</v>
      </c>
      <c r="Y850" s="108">
        <f t="shared" si="673"/>
        <v>-1</v>
      </c>
      <c r="Z850" s="108">
        <f t="shared" si="674"/>
        <v>-1</v>
      </c>
      <c r="AA850" s="108">
        <f t="shared" si="675"/>
        <v>-1</v>
      </c>
      <c r="AB850" s="108">
        <f t="shared" si="676"/>
        <v>-1</v>
      </c>
      <c r="AC850" s="108">
        <f t="shared" si="677"/>
        <v>-1</v>
      </c>
      <c r="AD850" s="108">
        <f t="shared" si="678"/>
        <v>-1</v>
      </c>
      <c r="AE850" s="108">
        <f t="shared" si="679"/>
        <v>-1</v>
      </c>
      <c r="AF850" s="108">
        <f t="shared" si="680"/>
        <v>-1</v>
      </c>
      <c r="AG850" s="108">
        <f t="shared" si="681"/>
        <v>-1</v>
      </c>
      <c r="AH850" s="108">
        <f t="shared" si="682"/>
        <v>-1</v>
      </c>
      <c r="AI850" s="108">
        <f t="shared" si="683"/>
        <v>-1</v>
      </c>
      <c r="AJ850" s="108">
        <f t="shared" si="684"/>
        <v>-1</v>
      </c>
      <c r="AK850" s="108">
        <f t="shared" si="685"/>
        <v>-1</v>
      </c>
      <c r="AL850" s="108">
        <f t="shared" si="686"/>
        <v>-1</v>
      </c>
      <c r="AM850" s="108"/>
    </row>
    <row r="851" spans="3:39" x14ac:dyDescent="0.55000000000000004">
      <c r="C851" s="104" t="str">
        <f>$V$65</f>
        <v>Alyssa</v>
      </c>
      <c r="D851" s="108">
        <f t="shared" ref="D851:S851" si="698">D65</f>
        <v>0</v>
      </c>
      <c r="E851" s="108">
        <f t="shared" si="698"/>
        <v>0</v>
      </c>
      <c r="F851" s="108">
        <f t="shared" si="698"/>
        <v>0</v>
      </c>
      <c r="G851" s="108">
        <f t="shared" si="698"/>
        <v>0</v>
      </c>
      <c r="H851" s="108">
        <f t="shared" si="698"/>
        <v>0</v>
      </c>
      <c r="I851" s="108">
        <f t="shared" si="698"/>
        <v>0</v>
      </c>
      <c r="J851" s="108">
        <f t="shared" si="698"/>
        <v>0</v>
      </c>
      <c r="K851" s="108">
        <f t="shared" si="698"/>
        <v>0</v>
      </c>
      <c r="L851" s="108">
        <f t="shared" si="698"/>
        <v>0</v>
      </c>
      <c r="M851" s="108">
        <f t="shared" si="698"/>
        <v>0</v>
      </c>
      <c r="N851" s="108">
        <f t="shared" si="698"/>
        <v>0</v>
      </c>
      <c r="O851" s="108">
        <f t="shared" si="698"/>
        <v>0</v>
      </c>
      <c r="P851" s="108">
        <f t="shared" si="698"/>
        <v>0</v>
      </c>
      <c r="Q851" s="108">
        <f t="shared" si="698"/>
        <v>0</v>
      </c>
      <c r="R851" s="108">
        <f t="shared" si="698"/>
        <v>0</v>
      </c>
      <c r="S851" s="108">
        <f t="shared" si="698"/>
        <v>0</v>
      </c>
      <c r="T851" s="28" t="s">
        <v>26</v>
      </c>
      <c r="V851" s="104" t="str">
        <f>$V$65</f>
        <v>Alyssa</v>
      </c>
      <c r="W851" s="108">
        <f t="shared" si="671"/>
        <v>-1</v>
      </c>
      <c r="X851" s="108">
        <f t="shared" si="672"/>
        <v>-1</v>
      </c>
      <c r="Y851" s="108">
        <f t="shared" si="673"/>
        <v>-1</v>
      </c>
      <c r="Z851" s="108">
        <f t="shared" si="674"/>
        <v>-1</v>
      </c>
      <c r="AA851" s="108">
        <f t="shared" si="675"/>
        <v>-1</v>
      </c>
      <c r="AB851" s="108">
        <f t="shared" si="676"/>
        <v>-1</v>
      </c>
      <c r="AC851" s="108">
        <f t="shared" si="677"/>
        <v>-1</v>
      </c>
      <c r="AD851" s="108">
        <f t="shared" si="678"/>
        <v>-1</v>
      </c>
      <c r="AE851" s="108">
        <f t="shared" si="679"/>
        <v>-1</v>
      </c>
      <c r="AF851" s="108">
        <f t="shared" si="680"/>
        <v>-1</v>
      </c>
      <c r="AG851" s="108">
        <f t="shared" si="681"/>
        <v>-1</v>
      </c>
      <c r="AH851" s="108">
        <f t="shared" si="682"/>
        <v>-1</v>
      </c>
      <c r="AI851" s="108">
        <f t="shared" si="683"/>
        <v>-1</v>
      </c>
      <c r="AJ851" s="108">
        <f t="shared" si="684"/>
        <v>-1</v>
      </c>
      <c r="AK851" s="108">
        <f t="shared" si="685"/>
        <v>-1</v>
      </c>
      <c r="AL851" s="108">
        <f t="shared" si="686"/>
        <v>-1</v>
      </c>
      <c r="AM851" s="108"/>
    </row>
    <row r="852" spans="3:39" x14ac:dyDescent="0.55000000000000004">
      <c r="C852" s="104" t="str">
        <f>$V$66</f>
        <v>Amanda</v>
      </c>
      <c r="D852" s="108">
        <f t="shared" ref="D852:S852" si="699">D66</f>
        <v>0</v>
      </c>
      <c r="E852" s="108">
        <f t="shared" si="699"/>
        <v>0</v>
      </c>
      <c r="F852" s="108">
        <f t="shared" si="699"/>
        <v>0</v>
      </c>
      <c r="G852" s="108">
        <f t="shared" si="699"/>
        <v>0</v>
      </c>
      <c r="H852" s="108">
        <f t="shared" si="699"/>
        <v>0</v>
      </c>
      <c r="I852" s="108">
        <f t="shared" si="699"/>
        <v>0</v>
      </c>
      <c r="J852" s="108">
        <f t="shared" si="699"/>
        <v>0</v>
      </c>
      <c r="K852" s="108">
        <f t="shared" si="699"/>
        <v>0</v>
      </c>
      <c r="L852" s="108">
        <f t="shared" si="699"/>
        <v>0</v>
      </c>
      <c r="M852" s="108">
        <f t="shared" si="699"/>
        <v>0</v>
      </c>
      <c r="N852" s="108">
        <f t="shared" si="699"/>
        <v>0</v>
      </c>
      <c r="O852" s="108">
        <f t="shared" si="699"/>
        <v>0</v>
      </c>
      <c r="P852" s="108">
        <f t="shared" si="699"/>
        <v>0</v>
      </c>
      <c r="Q852" s="108">
        <f t="shared" si="699"/>
        <v>0</v>
      </c>
      <c r="R852" s="108">
        <f t="shared" si="699"/>
        <v>0</v>
      </c>
      <c r="S852" s="108">
        <f t="shared" si="699"/>
        <v>0</v>
      </c>
      <c r="T852" s="28" t="s">
        <v>26</v>
      </c>
      <c r="V852" s="104" t="str">
        <f>$V$66</f>
        <v>Amanda</v>
      </c>
      <c r="W852" s="108">
        <f t="shared" si="671"/>
        <v>-1</v>
      </c>
      <c r="X852" s="108">
        <f t="shared" si="672"/>
        <v>-1</v>
      </c>
      <c r="Y852" s="108">
        <f t="shared" si="673"/>
        <v>-1</v>
      </c>
      <c r="Z852" s="108">
        <f t="shared" si="674"/>
        <v>-1</v>
      </c>
      <c r="AA852" s="108">
        <f t="shared" si="675"/>
        <v>-1</v>
      </c>
      <c r="AB852" s="108">
        <f t="shared" si="676"/>
        <v>-1</v>
      </c>
      <c r="AC852" s="108">
        <f t="shared" si="677"/>
        <v>-1</v>
      </c>
      <c r="AD852" s="108">
        <f t="shared" si="678"/>
        <v>-1</v>
      </c>
      <c r="AE852" s="108">
        <f t="shared" si="679"/>
        <v>-1</v>
      </c>
      <c r="AF852" s="108">
        <f t="shared" si="680"/>
        <v>-1</v>
      </c>
      <c r="AG852" s="108">
        <f t="shared" si="681"/>
        <v>-1</v>
      </c>
      <c r="AH852" s="108">
        <f t="shared" si="682"/>
        <v>-1</v>
      </c>
      <c r="AI852" s="108">
        <f t="shared" si="683"/>
        <v>-1</v>
      </c>
      <c r="AJ852" s="108">
        <f t="shared" si="684"/>
        <v>-1</v>
      </c>
      <c r="AK852" s="108">
        <f t="shared" si="685"/>
        <v>-1</v>
      </c>
      <c r="AL852" s="108">
        <f t="shared" si="686"/>
        <v>-1</v>
      </c>
      <c r="AM852" s="108"/>
    </row>
    <row r="853" spans="3:39" x14ac:dyDescent="0.55000000000000004">
      <c r="C853" s="104" t="str">
        <f>$V$67</f>
        <v>Antoine</v>
      </c>
      <c r="D853" s="108">
        <f t="shared" ref="D853:S853" si="700">D67</f>
        <v>0</v>
      </c>
      <c r="E853" s="108">
        <f t="shared" si="700"/>
        <v>0</v>
      </c>
      <c r="F853" s="108">
        <f t="shared" si="700"/>
        <v>0</v>
      </c>
      <c r="G853" s="108">
        <f t="shared" si="700"/>
        <v>0</v>
      </c>
      <c r="H853" s="108">
        <f t="shared" si="700"/>
        <v>0</v>
      </c>
      <c r="I853" s="108">
        <f t="shared" si="700"/>
        <v>0</v>
      </c>
      <c r="J853" s="108">
        <f t="shared" si="700"/>
        <v>0</v>
      </c>
      <c r="K853" s="108">
        <f t="shared" si="700"/>
        <v>0</v>
      </c>
      <c r="L853" s="108">
        <f t="shared" si="700"/>
        <v>0</v>
      </c>
      <c r="M853" s="108">
        <f t="shared" si="700"/>
        <v>0</v>
      </c>
      <c r="N853" s="108">
        <f t="shared" si="700"/>
        <v>0</v>
      </c>
      <c r="O853" s="108">
        <f t="shared" si="700"/>
        <v>0</v>
      </c>
      <c r="P853" s="108">
        <f t="shared" si="700"/>
        <v>0</v>
      </c>
      <c r="Q853" s="108">
        <f t="shared" si="700"/>
        <v>0</v>
      </c>
      <c r="R853" s="108">
        <f t="shared" si="700"/>
        <v>0</v>
      </c>
      <c r="S853" s="108">
        <f t="shared" si="700"/>
        <v>0</v>
      </c>
      <c r="T853" s="28" t="s">
        <v>26</v>
      </c>
      <c r="V853" s="104" t="str">
        <f>$V$67</f>
        <v>Antoine</v>
      </c>
      <c r="W853" s="108">
        <f t="shared" si="671"/>
        <v>-1</v>
      </c>
      <c r="X853" s="108">
        <f t="shared" si="672"/>
        <v>-1</v>
      </c>
      <c r="Y853" s="108">
        <f t="shared" si="673"/>
        <v>-1</v>
      </c>
      <c r="Z853" s="108">
        <f t="shared" si="674"/>
        <v>-1</v>
      </c>
      <c r="AA853" s="108">
        <f t="shared" si="675"/>
        <v>-1</v>
      </c>
      <c r="AB853" s="108">
        <f t="shared" si="676"/>
        <v>-1</v>
      </c>
      <c r="AC853" s="108">
        <f t="shared" si="677"/>
        <v>-1</v>
      </c>
      <c r="AD853" s="108">
        <f t="shared" si="678"/>
        <v>-1</v>
      </c>
      <c r="AE853" s="108">
        <f t="shared" si="679"/>
        <v>-1</v>
      </c>
      <c r="AF853" s="108">
        <f t="shared" si="680"/>
        <v>-1</v>
      </c>
      <c r="AG853" s="108">
        <f t="shared" si="681"/>
        <v>-1</v>
      </c>
      <c r="AH853" s="108">
        <f t="shared" si="682"/>
        <v>-1</v>
      </c>
      <c r="AI853" s="108">
        <f t="shared" si="683"/>
        <v>-1</v>
      </c>
      <c r="AJ853" s="108">
        <f t="shared" si="684"/>
        <v>-1</v>
      </c>
      <c r="AK853" s="108">
        <f t="shared" si="685"/>
        <v>-1</v>
      </c>
      <c r="AL853" s="108">
        <f t="shared" si="686"/>
        <v>-1</v>
      </c>
      <c r="AM853" s="108"/>
    </row>
    <row r="854" spans="3:39" x14ac:dyDescent="0.55000000000000004">
      <c r="C854" s="104" t="str">
        <f>$V$68</f>
        <v>Beatriz</v>
      </c>
      <c r="D854" s="108">
        <f t="shared" ref="D854:S854" si="701">D68</f>
        <v>0</v>
      </c>
      <c r="E854" s="108">
        <f t="shared" si="701"/>
        <v>0</v>
      </c>
      <c r="F854" s="108">
        <f t="shared" si="701"/>
        <v>0</v>
      </c>
      <c r="G854" s="108">
        <f t="shared" si="701"/>
        <v>0</v>
      </c>
      <c r="H854" s="108">
        <f t="shared" si="701"/>
        <v>0</v>
      </c>
      <c r="I854" s="108">
        <f t="shared" si="701"/>
        <v>0</v>
      </c>
      <c r="J854" s="108">
        <f t="shared" si="701"/>
        <v>0</v>
      </c>
      <c r="K854" s="108">
        <f t="shared" si="701"/>
        <v>0</v>
      </c>
      <c r="L854" s="108">
        <f t="shared" si="701"/>
        <v>0</v>
      </c>
      <c r="M854" s="108">
        <f t="shared" si="701"/>
        <v>0</v>
      </c>
      <c r="N854" s="108">
        <f t="shared" si="701"/>
        <v>0</v>
      </c>
      <c r="O854" s="108">
        <f t="shared" si="701"/>
        <v>0</v>
      </c>
      <c r="P854" s="108">
        <f t="shared" si="701"/>
        <v>0</v>
      </c>
      <c r="Q854" s="108">
        <f t="shared" si="701"/>
        <v>0</v>
      </c>
      <c r="R854" s="108">
        <f t="shared" si="701"/>
        <v>0</v>
      </c>
      <c r="S854" s="108">
        <f t="shared" si="701"/>
        <v>0</v>
      </c>
      <c r="T854" s="28" t="s">
        <v>26</v>
      </c>
      <c r="V854" s="104" t="str">
        <f>$V$68</f>
        <v>Beatriz</v>
      </c>
      <c r="W854" s="108">
        <f t="shared" si="671"/>
        <v>-1</v>
      </c>
      <c r="X854" s="108">
        <f t="shared" si="672"/>
        <v>-1</v>
      </c>
      <c r="Y854" s="108">
        <f t="shared" si="673"/>
        <v>-1</v>
      </c>
      <c r="Z854" s="108">
        <f t="shared" si="674"/>
        <v>-1</v>
      </c>
      <c r="AA854" s="108">
        <f t="shared" si="675"/>
        <v>-1</v>
      </c>
      <c r="AB854" s="108">
        <f t="shared" si="676"/>
        <v>-1</v>
      </c>
      <c r="AC854" s="108">
        <f t="shared" si="677"/>
        <v>-1</v>
      </c>
      <c r="AD854" s="108">
        <f t="shared" si="678"/>
        <v>-1</v>
      </c>
      <c r="AE854" s="108">
        <f t="shared" si="679"/>
        <v>-1</v>
      </c>
      <c r="AF854" s="108">
        <f t="shared" si="680"/>
        <v>-1</v>
      </c>
      <c r="AG854" s="108">
        <f t="shared" si="681"/>
        <v>-1</v>
      </c>
      <c r="AH854" s="108">
        <f t="shared" si="682"/>
        <v>-1</v>
      </c>
      <c r="AI854" s="108">
        <f t="shared" si="683"/>
        <v>-1</v>
      </c>
      <c r="AJ854" s="108">
        <f t="shared" si="684"/>
        <v>-1</v>
      </c>
      <c r="AK854" s="108">
        <f t="shared" si="685"/>
        <v>-1</v>
      </c>
      <c r="AL854" s="108">
        <f t="shared" si="686"/>
        <v>-1</v>
      </c>
      <c r="AM854" s="108"/>
    </row>
    <row r="855" spans="3:39" x14ac:dyDescent="0.55000000000000004">
      <c r="C855" s="104" t="str">
        <f>$V$69</f>
        <v>Charelle</v>
      </c>
      <c r="D855" s="108">
        <f t="shared" ref="D855:S855" si="702">D69</f>
        <v>0</v>
      </c>
      <c r="E855" s="108">
        <f t="shared" si="702"/>
        <v>0</v>
      </c>
      <c r="F855" s="108">
        <f t="shared" si="702"/>
        <v>0</v>
      </c>
      <c r="G855" s="108">
        <f t="shared" si="702"/>
        <v>0</v>
      </c>
      <c r="H855" s="108">
        <f t="shared" si="702"/>
        <v>0</v>
      </c>
      <c r="I855" s="108">
        <f t="shared" si="702"/>
        <v>0</v>
      </c>
      <c r="J855" s="108">
        <f t="shared" si="702"/>
        <v>0</v>
      </c>
      <c r="K855" s="108">
        <f t="shared" si="702"/>
        <v>0</v>
      </c>
      <c r="L855" s="108">
        <f t="shared" si="702"/>
        <v>0</v>
      </c>
      <c r="M855" s="108">
        <f t="shared" si="702"/>
        <v>0</v>
      </c>
      <c r="N855" s="108">
        <f t="shared" si="702"/>
        <v>0</v>
      </c>
      <c r="O855" s="108">
        <f t="shared" si="702"/>
        <v>0</v>
      </c>
      <c r="P855" s="108">
        <f t="shared" si="702"/>
        <v>0</v>
      </c>
      <c r="Q855" s="108">
        <f t="shared" si="702"/>
        <v>0</v>
      </c>
      <c r="R855" s="108">
        <f t="shared" si="702"/>
        <v>0</v>
      </c>
      <c r="S855" s="108">
        <f t="shared" si="702"/>
        <v>0</v>
      </c>
      <c r="T855" s="28" t="s">
        <v>26</v>
      </c>
      <c r="V855" s="104" t="str">
        <f>$V$69</f>
        <v>Charelle</v>
      </c>
      <c r="W855" s="108">
        <f t="shared" si="671"/>
        <v>-1</v>
      </c>
      <c r="X855" s="108">
        <f t="shared" si="672"/>
        <v>-1</v>
      </c>
      <c r="Y855" s="108">
        <f t="shared" si="673"/>
        <v>-1</v>
      </c>
      <c r="Z855" s="108">
        <f t="shared" si="674"/>
        <v>-1</v>
      </c>
      <c r="AA855" s="108">
        <f t="shared" si="675"/>
        <v>-1</v>
      </c>
      <c r="AB855" s="108">
        <f t="shared" si="676"/>
        <v>-1</v>
      </c>
      <c r="AC855" s="108">
        <f t="shared" si="677"/>
        <v>-1</v>
      </c>
      <c r="AD855" s="108">
        <f t="shared" si="678"/>
        <v>-1</v>
      </c>
      <c r="AE855" s="108">
        <f t="shared" si="679"/>
        <v>-1</v>
      </c>
      <c r="AF855" s="108">
        <f t="shared" si="680"/>
        <v>-1</v>
      </c>
      <c r="AG855" s="108">
        <f t="shared" si="681"/>
        <v>-1</v>
      </c>
      <c r="AH855" s="108">
        <f t="shared" si="682"/>
        <v>-1</v>
      </c>
      <c r="AI855" s="108">
        <f t="shared" si="683"/>
        <v>-1</v>
      </c>
      <c r="AJ855" s="108">
        <f t="shared" si="684"/>
        <v>-1</v>
      </c>
      <c r="AK855" s="108">
        <f t="shared" si="685"/>
        <v>-1</v>
      </c>
      <c r="AL855" s="108">
        <f t="shared" si="686"/>
        <v>-1</v>
      </c>
      <c r="AM855" s="108"/>
    </row>
    <row r="856" spans="3:39" x14ac:dyDescent="0.55000000000000004">
      <c r="C856" s="104" t="str">
        <f>$V$70</f>
        <v>Dimitri</v>
      </c>
      <c r="D856" s="108">
        <f t="shared" ref="D856:S856" si="703">D70</f>
        <v>0</v>
      </c>
      <c r="E856" s="108">
        <f t="shared" si="703"/>
        <v>0</v>
      </c>
      <c r="F856" s="108">
        <f t="shared" si="703"/>
        <v>0</v>
      </c>
      <c r="G856" s="108">
        <f t="shared" si="703"/>
        <v>0</v>
      </c>
      <c r="H856" s="108">
        <f t="shared" si="703"/>
        <v>0</v>
      </c>
      <c r="I856" s="108">
        <f t="shared" si="703"/>
        <v>0</v>
      </c>
      <c r="J856" s="108">
        <f t="shared" si="703"/>
        <v>0</v>
      </c>
      <c r="K856" s="108">
        <f t="shared" si="703"/>
        <v>0</v>
      </c>
      <c r="L856" s="108">
        <f t="shared" si="703"/>
        <v>0</v>
      </c>
      <c r="M856" s="108">
        <f t="shared" si="703"/>
        <v>0</v>
      </c>
      <c r="N856" s="108">
        <f t="shared" si="703"/>
        <v>0</v>
      </c>
      <c r="O856" s="108">
        <f t="shared" si="703"/>
        <v>0</v>
      </c>
      <c r="P856" s="108">
        <f t="shared" si="703"/>
        <v>0</v>
      </c>
      <c r="Q856" s="108">
        <f t="shared" si="703"/>
        <v>0</v>
      </c>
      <c r="R856" s="108">
        <f t="shared" si="703"/>
        <v>0</v>
      </c>
      <c r="S856" s="108">
        <f t="shared" si="703"/>
        <v>0</v>
      </c>
      <c r="T856" s="28" t="s">
        <v>26</v>
      </c>
      <c r="V856" s="104" t="str">
        <f>$V$70</f>
        <v>Dimitri</v>
      </c>
      <c r="W856" s="108">
        <f t="shared" si="671"/>
        <v>-1</v>
      </c>
      <c r="X856" s="108">
        <f t="shared" si="672"/>
        <v>-1</v>
      </c>
      <c r="Y856" s="108">
        <f t="shared" si="673"/>
        <v>-1</v>
      </c>
      <c r="Z856" s="108">
        <f t="shared" si="674"/>
        <v>-1</v>
      </c>
      <c r="AA856" s="108">
        <f t="shared" si="675"/>
        <v>-1</v>
      </c>
      <c r="AB856" s="108">
        <f t="shared" si="676"/>
        <v>-1</v>
      </c>
      <c r="AC856" s="108">
        <f t="shared" si="677"/>
        <v>-1</v>
      </c>
      <c r="AD856" s="108">
        <f t="shared" si="678"/>
        <v>-1</v>
      </c>
      <c r="AE856" s="108">
        <f t="shared" si="679"/>
        <v>-1</v>
      </c>
      <c r="AF856" s="108">
        <f t="shared" si="680"/>
        <v>-1</v>
      </c>
      <c r="AG856" s="108">
        <f t="shared" si="681"/>
        <v>-1</v>
      </c>
      <c r="AH856" s="108">
        <f t="shared" si="682"/>
        <v>-1</v>
      </c>
      <c r="AI856" s="108">
        <f t="shared" si="683"/>
        <v>-1</v>
      </c>
      <c r="AJ856" s="108">
        <f t="shared" si="684"/>
        <v>-1</v>
      </c>
      <c r="AK856" s="108">
        <f t="shared" si="685"/>
        <v>-1</v>
      </c>
      <c r="AL856" s="108">
        <f t="shared" si="686"/>
        <v>-1</v>
      </c>
      <c r="AM856" s="108"/>
    </row>
    <row r="857" spans="3:39" x14ac:dyDescent="0.55000000000000004">
      <c r="C857" s="104" t="str">
        <f>$V$71</f>
        <v>Marina</v>
      </c>
      <c r="D857" s="108">
        <f t="shared" ref="D857:S857" si="704">D71</f>
        <v>0</v>
      </c>
      <c r="E857" s="108">
        <f t="shared" si="704"/>
        <v>0</v>
      </c>
      <c r="F857" s="108">
        <f t="shared" si="704"/>
        <v>0</v>
      </c>
      <c r="G857" s="108">
        <f t="shared" si="704"/>
        <v>0</v>
      </c>
      <c r="H857" s="108">
        <f t="shared" si="704"/>
        <v>0</v>
      </c>
      <c r="I857" s="108">
        <f t="shared" si="704"/>
        <v>0</v>
      </c>
      <c r="J857" s="108">
        <f t="shared" si="704"/>
        <v>0</v>
      </c>
      <c r="K857" s="108">
        <f t="shared" si="704"/>
        <v>0</v>
      </c>
      <c r="L857" s="108">
        <f t="shared" si="704"/>
        <v>0</v>
      </c>
      <c r="M857" s="108">
        <f t="shared" si="704"/>
        <v>0</v>
      </c>
      <c r="N857" s="108">
        <f t="shared" si="704"/>
        <v>0</v>
      </c>
      <c r="O857" s="108">
        <f t="shared" si="704"/>
        <v>0</v>
      </c>
      <c r="P857" s="108">
        <f t="shared" si="704"/>
        <v>0</v>
      </c>
      <c r="Q857" s="108">
        <f t="shared" si="704"/>
        <v>0</v>
      </c>
      <c r="R857" s="108">
        <f t="shared" si="704"/>
        <v>0</v>
      </c>
      <c r="S857" s="108">
        <f t="shared" si="704"/>
        <v>0</v>
      </c>
      <c r="T857" s="28" t="s">
        <v>26</v>
      </c>
      <c r="V857" s="104" t="str">
        <f>$V$71</f>
        <v>Marina</v>
      </c>
      <c r="W857" s="108">
        <f t="shared" si="671"/>
        <v>-1</v>
      </c>
      <c r="X857" s="108">
        <f t="shared" si="672"/>
        <v>-1</v>
      </c>
      <c r="Y857" s="108">
        <f t="shared" si="673"/>
        <v>-1</v>
      </c>
      <c r="Z857" s="108">
        <f t="shared" si="674"/>
        <v>-1</v>
      </c>
      <c r="AA857" s="108">
        <f t="shared" si="675"/>
        <v>-1</v>
      </c>
      <c r="AB857" s="108">
        <f t="shared" si="676"/>
        <v>-1</v>
      </c>
      <c r="AC857" s="108">
        <f t="shared" si="677"/>
        <v>-1</v>
      </c>
      <c r="AD857" s="108">
        <f t="shared" si="678"/>
        <v>-1</v>
      </c>
      <c r="AE857" s="108">
        <f t="shared" si="679"/>
        <v>-1</v>
      </c>
      <c r="AF857" s="108">
        <f t="shared" si="680"/>
        <v>-1</v>
      </c>
      <c r="AG857" s="108">
        <f t="shared" si="681"/>
        <v>-1</v>
      </c>
      <c r="AH857" s="108">
        <f t="shared" si="682"/>
        <v>-1</v>
      </c>
      <c r="AI857" s="108">
        <f t="shared" si="683"/>
        <v>-1</v>
      </c>
      <c r="AJ857" s="108">
        <f t="shared" si="684"/>
        <v>-1</v>
      </c>
      <c r="AK857" s="108">
        <f t="shared" si="685"/>
        <v>-1</v>
      </c>
      <c r="AL857" s="108">
        <f t="shared" si="686"/>
        <v>-1</v>
      </c>
      <c r="AM857" s="108"/>
    </row>
    <row r="858" spans="3:39" x14ac:dyDescent="0.55000000000000004">
      <c r="C858" s="104" t="str">
        <f>$V$72</f>
        <v>Michel</v>
      </c>
      <c r="D858" s="108">
        <f t="shared" ref="D858:S858" si="705">D72</f>
        <v>0</v>
      </c>
      <c r="E858" s="108">
        <f t="shared" si="705"/>
        <v>0</v>
      </c>
      <c r="F858" s="108">
        <f t="shared" si="705"/>
        <v>0</v>
      </c>
      <c r="G858" s="108">
        <f t="shared" si="705"/>
        <v>0</v>
      </c>
      <c r="H858" s="108">
        <f t="shared" si="705"/>
        <v>0</v>
      </c>
      <c r="I858" s="108">
        <f t="shared" si="705"/>
        <v>0</v>
      </c>
      <c r="J858" s="108">
        <f t="shared" si="705"/>
        <v>0</v>
      </c>
      <c r="K858" s="108">
        <f t="shared" si="705"/>
        <v>0</v>
      </c>
      <c r="L858" s="108">
        <f t="shared" si="705"/>
        <v>0</v>
      </c>
      <c r="M858" s="108">
        <f t="shared" si="705"/>
        <v>0</v>
      </c>
      <c r="N858" s="108">
        <f t="shared" si="705"/>
        <v>0</v>
      </c>
      <c r="O858" s="108">
        <f t="shared" si="705"/>
        <v>0</v>
      </c>
      <c r="P858" s="108">
        <f t="shared" si="705"/>
        <v>0</v>
      </c>
      <c r="Q858" s="108">
        <f t="shared" si="705"/>
        <v>0</v>
      </c>
      <c r="R858" s="108">
        <f t="shared" si="705"/>
        <v>0</v>
      </c>
      <c r="S858" s="108">
        <f t="shared" si="705"/>
        <v>0</v>
      </c>
      <c r="T858" s="28" t="s">
        <v>26</v>
      </c>
      <c r="V858" s="104" t="str">
        <f>$V$72</f>
        <v>Michel</v>
      </c>
      <c r="W858" s="108">
        <f t="shared" si="671"/>
        <v>-1</v>
      </c>
      <c r="X858" s="108">
        <f t="shared" si="672"/>
        <v>-1</v>
      </c>
      <c r="Y858" s="108">
        <f t="shared" si="673"/>
        <v>-1</v>
      </c>
      <c r="Z858" s="108">
        <f t="shared" si="674"/>
        <v>-1</v>
      </c>
      <c r="AA858" s="108">
        <f t="shared" si="675"/>
        <v>-1</v>
      </c>
      <c r="AB858" s="108">
        <f t="shared" si="676"/>
        <v>-1</v>
      </c>
      <c r="AC858" s="108">
        <f t="shared" si="677"/>
        <v>-1</v>
      </c>
      <c r="AD858" s="108">
        <f t="shared" si="678"/>
        <v>-1</v>
      </c>
      <c r="AE858" s="108">
        <f t="shared" si="679"/>
        <v>-1</v>
      </c>
      <c r="AF858" s="108">
        <f t="shared" si="680"/>
        <v>-1</v>
      </c>
      <c r="AG858" s="108">
        <f t="shared" si="681"/>
        <v>-1</v>
      </c>
      <c r="AH858" s="108">
        <f t="shared" si="682"/>
        <v>-1</v>
      </c>
      <c r="AI858" s="108">
        <f t="shared" si="683"/>
        <v>-1</v>
      </c>
      <c r="AJ858" s="108">
        <f t="shared" si="684"/>
        <v>-1</v>
      </c>
      <c r="AK858" s="108">
        <f t="shared" si="685"/>
        <v>-1</v>
      </c>
      <c r="AL858" s="108">
        <f t="shared" si="686"/>
        <v>-1</v>
      </c>
      <c r="AM858" s="108"/>
    </row>
    <row r="859" spans="3:39" x14ac:dyDescent="0.55000000000000004">
      <c r="C859" s="104" t="str">
        <f>$V$73</f>
        <v>Nour</v>
      </c>
      <c r="D859" s="108">
        <f t="shared" ref="D859:S859" si="706">D73</f>
        <v>0</v>
      </c>
      <c r="E859" s="108">
        <f t="shared" si="706"/>
        <v>0</v>
      </c>
      <c r="F859" s="108">
        <f t="shared" si="706"/>
        <v>0</v>
      </c>
      <c r="G859" s="108">
        <f t="shared" si="706"/>
        <v>0</v>
      </c>
      <c r="H859" s="108">
        <f t="shared" si="706"/>
        <v>0</v>
      </c>
      <c r="I859" s="108">
        <f t="shared" si="706"/>
        <v>0</v>
      </c>
      <c r="J859" s="108">
        <f t="shared" si="706"/>
        <v>0</v>
      </c>
      <c r="K859" s="108">
        <f t="shared" si="706"/>
        <v>0</v>
      </c>
      <c r="L859" s="108">
        <f t="shared" si="706"/>
        <v>0</v>
      </c>
      <c r="M859" s="108">
        <f t="shared" si="706"/>
        <v>0</v>
      </c>
      <c r="N859" s="108">
        <f t="shared" si="706"/>
        <v>0</v>
      </c>
      <c r="O859" s="108">
        <f t="shared" si="706"/>
        <v>0</v>
      </c>
      <c r="P859" s="108">
        <f t="shared" si="706"/>
        <v>0</v>
      </c>
      <c r="Q859" s="108">
        <f t="shared" si="706"/>
        <v>0</v>
      </c>
      <c r="R859" s="108">
        <f t="shared" si="706"/>
        <v>0</v>
      </c>
      <c r="S859" s="108">
        <f t="shared" si="706"/>
        <v>0</v>
      </c>
      <c r="T859" s="28" t="s">
        <v>26</v>
      </c>
      <c r="V859" s="104" t="str">
        <f>$V$73</f>
        <v>Nour</v>
      </c>
      <c r="W859" s="108">
        <f t="shared" si="671"/>
        <v>-1</v>
      </c>
      <c r="X859" s="108">
        <f t="shared" si="672"/>
        <v>-1</v>
      </c>
      <c r="Y859" s="108">
        <f t="shared" si="673"/>
        <v>-1</v>
      </c>
      <c r="Z859" s="108">
        <f t="shared" si="674"/>
        <v>-1</v>
      </c>
      <c r="AA859" s="108">
        <f t="shared" si="675"/>
        <v>-1</v>
      </c>
      <c r="AB859" s="108">
        <f t="shared" si="676"/>
        <v>-1</v>
      </c>
      <c r="AC859" s="108">
        <f t="shared" si="677"/>
        <v>-1</v>
      </c>
      <c r="AD859" s="108">
        <f t="shared" si="678"/>
        <v>-1</v>
      </c>
      <c r="AE859" s="108">
        <f t="shared" si="679"/>
        <v>-1</v>
      </c>
      <c r="AF859" s="108">
        <f t="shared" si="680"/>
        <v>-1</v>
      </c>
      <c r="AG859" s="108">
        <f t="shared" si="681"/>
        <v>-1</v>
      </c>
      <c r="AH859" s="108">
        <f t="shared" si="682"/>
        <v>-1</v>
      </c>
      <c r="AI859" s="108">
        <f t="shared" si="683"/>
        <v>-1</v>
      </c>
      <c r="AJ859" s="108">
        <f t="shared" si="684"/>
        <v>-1</v>
      </c>
      <c r="AK859" s="108">
        <f t="shared" si="685"/>
        <v>-1</v>
      </c>
      <c r="AL859" s="108">
        <f t="shared" si="686"/>
        <v>-1</v>
      </c>
      <c r="AM859" s="108"/>
    </row>
    <row r="860" spans="3:39" x14ac:dyDescent="0.55000000000000004">
      <c r="C860" s="104" t="str">
        <f>$V$74</f>
        <v>Samuel</v>
      </c>
      <c r="D860" s="108">
        <f t="shared" ref="D860:S860" si="707">D74</f>
        <v>0</v>
      </c>
      <c r="E860" s="108">
        <f t="shared" si="707"/>
        <v>0</v>
      </c>
      <c r="F860" s="108">
        <f t="shared" si="707"/>
        <v>0</v>
      </c>
      <c r="G860" s="108">
        <f t="shared" si="707"/>
        <v>0</v>
      </c>
      <c r="H860" s="108">
        <f t="shared" si="707"/>
        <v>0</v>
      </c>
      <c r="I860" s="108">
        <f t="shared" si="707"/>
        <v>0</v>
      </c>
      <c r="J860" s="108">
        <f t="shared" si="707"/>
        <v>0</v>
      </c>
      <c r="K860" s="108">
        <f t="shared" si="707"/>
        <v>0</v>
      </c>
      <c r="L860" s="108">
        <f t="shared" si="707"/>
        <v>0</v>
      </c>
      <c r="M860" s="108">
        <f t="shared" si="707"/>
        <v>0</v>
      </c>
      <c r="N860" s="108">
        <f t="shared" si="707"/>
        <v>0</v>
      </c>
      <c r="O860" s="108">
        <f t="shared" si="707"/>
        <v>0</v>
      </c>
      <c r="P860" s="108">
        <f t="shared" si="707"/>
        <v>0</v>
      </c>
      <c r="Q860" s="108">
        <f t="shared" si="707"/>
        <v>0</v>
      </c>
      <c r="R860" s="108">
        <f t="shared" si="707"/>
        <v>0</v>
      </c>
      <c r="S860" s="108">
        <f t="shared" si="707"/>
        <v>0</v>
      </c>
      <c r="T860" s="28" t="s">
        <v>26</v>
      </c>
      <c r="V860" s="104" t="str">
        <f>$V$74</f>
        <v>Samuel</v>
      </c>
      <c r="W860" s="108">
        <f t="shared" si="671"/>
        <v>-1</v>
      </c>
      <c r="X860" s="108">
        <f t="shared" si="672"/>
        <v>-1</v>
      </c>
      <c r="Y860" s="108">
        <f t="shared" si="673"/>
        <v>-1</v>
      </c>
      <c r="Z860" s="108">
        <f t="shared" si="674"/>
        <v>-1</v>
      </c>
      <c r="AA860" s="108">
        <f t="shared" si="675"/>
        <v>-1</v>
      </c>
      <c r="AB860" s="108">
        <f t="shared" si="676"/>
        <v>-1</v>
      </c>
      <c r="AC860" s="108">
        <f t="shared" si="677"/>
        <v>-1</v>
      </c>
      <c r="AD860" s="108">
        <f t="shared" si="678"/>
        <v>-1</v>
      </c>
      <c r="AE860" s="108">
        <f t="shared" si="679"/>
        <v>-1</v>
      </c>
      <c r="AF860" s="108">
        <f t="shared" si="680"/>
        <v>-1</v>
      </c>
      <c r="AG860" s="108">
        <f t="shared" si="681"/>
        <v>-1</v>
      </c>
      <c r="AH860" s="108">
        <f t="shared" si="682"/>
        <v>-1</v>
      </c>
      <c r="AI860" s="108">
        <f t="shared" si="683"/>
        <v>-1</v>
      </c>
      <c r="AJ860" s="108">
        <f t="shared" si="684"/>
        <v>-1</v>
      </c>
      <c r="AK860" s="108">
        <f t="shared" si="685"/>
        <v>-1</v>
      </c>
      <c r="AL860" s="108">
        <f t="shared" si="686"/>
        <v>-1</v>
      </c>
      <c r="AM860" s="108"/>
    </row>
    <row r="861" spans="3:39" x14ac:dyDescent="0.55000000000000004">
      <c r="C861" s="104" t="str">
        <f>$V$75</f>
        <v>Yassin</v>
      </c>
      <c r="D861" s="108">
        <f t="shared" ref="D861:S861" si="708">D75</f>
        <v>0</v>
      </c>
      <c r="E861" s="108">
        <f t="shared" si="708"/>
        <v>0</v>
      </c>
      <c r="F861" s="108">
        <f t="shared" si="708"/>
        <v>0</v>
      </c>
      <c r="G861" s="108">
        <f t="shared" si="708"/>
        <v>0</v>
      </c>
      <c r="H861" s="108">
        <f t="shared" si="708"/>
        <v>0</v>
      </c>
      <c r="I861" s="108">
        <f t="shared" si="708"/>
        <v>0</v>
      </c>
      <c r="J861" s="108">
        <f t="shared" si="708"/>
        <v>0</v>
      </c>
      <c r="K861" s="108">
        <f t="shared" si="708"/>
        <v>0</v>
      </c>
      <c r="L861" s="108">
        <f t="shared" si="708"/>
        <v>0</v>
      </c>
      <c r="M861" s="108">
        <f t="shared" si="708"/>
        <v>0</v>
      </c>
      <c r="N861" s="108">
        <f t="shared" si="708"/>
        <v>0</v>
      </c>
      <c r="O861" s="108">
        <f t="shared" si="708"/>
        <v>0</v>
      </c>
      <c r="P861" s="108">
        <f t="shared" si="708"/>
        <v>0</v>
      </c>
      <c r="Q861" s="108">
        <f t="shared" si="708"/>
        <v>0</v>
      </c>
      <c r="R861" s="108">
        <f t="shared" si="708"/>
        <v>0</v>
      </c>
      <c r="S861" s="108">
        <f t="shared" si="708"/>
        <v>0</v>
      </c>
      <c r="T861" s="28" t="s">
        <v>26</v>
      </c>
      <c r="V861" s="104" t="str">
        <f>$V$75</f>
        <v>Yassin</v>
      </c>
      <c r="W861" s="108">
        <f t="shared" si="671"/>
        <v>-1</v>
      </c>
      <c r="X861" s="108">
        <f t="shared" si="672"/>
        <v>-1</v>
      </c>
      <c r="Y861" s="108">
        <f t="shared" si="673"/>
        <v>-1</v>
      </c>
      <c r="Z861" s="108">
        <f t="shared" si="674"/>
        <v>-1</v>
      </c>
      <c r="AA861" s="108">
        <f t="shared" si="675"/>
        <v>-1</v>
      </c>
      <c r="AB861" s="108">
        <f t="shared" si="676"/>
        <v>-1</v>
      </c>
      <c r="AC861" s="108">
        <f t="shared" si="677"/>
        <v>-1</v>
      </c>
      <c r="AD861" s="108">
        <f t="shared" si="678"/>
        <v>-1</v>
      </c>
      <c r="AE861" s="108">
        <f t="shared" si="679"/>
        <v>-1</v>
      </c>
      <c r="AF861" s="108">
        <f t="shared" si="680"/>
        <v>-1</v>
      </c>
      <c r="AG861" s="108">
        <f t="shared" si="681"/>
        <v>-1</v>
      </c>
      <c r="AH861" s="108">
        <f t="shared" si="682"/>
        <v>-1</v>
      </c>
      <c r="AI861" s="108">
        <f t="shared" si="683"/>
        <v>-1</v>
      </c>
      <c r="AJ861" s="108">
        <f t="shared" si="684"/>
        <v>-1</v>
      </c>
      <c r="AK861" s="108">
        <f t="shared" si="685"/>
        <v>-1</v>
      </c>
      <c r="AL861" s="108">
        <f t="shared" si="686"/>
        <v>-1</v>
      </c>
      <c r="AM861" s="108"/>
    </row>
    <row r="862" spans="3:39" x14ac:dyDescent="0.55000000000000004">
      <c r="C862" s="104" t="str">
        <f>$V$76</f>
        <v>Kamar</v>
      </c>
      <c r="D862" s="108">
        <f t="shared" ref="D862:S862" si="709">D76</f>
        <v>0</v>
      </c>
      <c r="E862" s="108">
        <f t="shared" si="709"/>
        <v>0</v>
      </c>
      <c r="F862" s="108">
        <f t="shared" si="709"/>
        <v>0</v>
      </c>
      <c r="G862" s="108">
        <f t="shared" si="709"/>
        <v>0</v>
      </c>
      <c r="H862" s="108">
        <f t="shared" si="709"/>
        <v>0</v>
      </c>
      <c r="I862" s="108">
        <f t="shared" si="709"/>
        <v>0</v>
      </c>
      <c r="J862" s="108">
        <f t="shared" si="709"/>
        <v>0</v>
      </c>
      <c r="K862" s="108">
        <f t="shared" si="709"/>
        <v>0</v>
      </c>
      <c r="L862" s="108">
        <f t="shared" si="709"/>
        <v>0</v>
      </c>
      <c r="M862" s="108">
        <f t="shared" si="709"/>
        <v>0</v>
      </c>
      <c r="N862" s="108">
        <f t="shared" si="709"/>
        <v>0</v>
      </c>
      <c r="O862" s="108">
        <f t="shared" si="709"/>
        <v>0</v>
      </c>
      <c r="P862" s="108">
        <f t="shared" si="709"/>
        <v>0</v>
      </c>
      <c r="Q862" s="108">
        <f t="shared" si="709"/>
        <v>0</v>
      </c>
      <c r="R862" s="108">
        <f t="shared" si="709"/>
        <v>0</v>
      </c>
      <c r="S862" s="108">
        <f t="shared" si="709"/>
        <v>0</v>
      </c>
      <c r="T862" s="28" t="s">
        <v>26</v>
      </c>
      <c r="V862" s="104" t="str">
        <f>$V$76</f>
        <v>Kamar</v>
      </c>
      <c r="W862" s="108">
        <f t="shared" si="671"/>
        <v>-1</v>
      </c>
      <c r="X862" s="108">
        <f t="shared" si="672"/>
        <v>-1</v>
      </c>
      <c r="Y862" s="108">
        <f t="shared" si="673"/>
        <v>-1</v>
      </c>
      <c r="Z862" s="108">
        <f t="shared" si="674"/>
        <v>-1</v>
      </c>
      <c r="AA862" s="108">
        <f t="shared" si="675"/>
        <v>-1</v>
      </c>
      <c r="AB862" s="108">
        <f t="shared" si="676"/>
        <v>-1</v>
      </c>
      <c r="AC862" s="108">
        <f t="shared" si="677"/>
        <v>-1</v>
      </c>
      <c r="AD862" s="108">
        <f t="shared" si="678"/>
        <v>-1</v>
      </c>
      <c r="AE862" s="108">
        <f t="shared" si="679"/>
        <v>-1</v>
      </c>
      <c r="AF862" s="108">
        <f t="shared" si="680"/>
        <v>-1</v>
      </c>
      <c r="AG862" s="108">
        <f t="shared" si="681"/>
        <v>-1</v>
      </c>
      <c r="AH862" s="108">
        <f t="shared" si="682"/>
        <v>-1</v>
      </c>
      <c r="AI862" s="108">
        <f t="shared" si="683"/>
        <v>-1</v>
      </c>
      <c r="AJ862" s="108">
        <f t="shared" si="684"/>
        <v>-1</v>
      </c>
      <c r="AK862" s="108">
        <f t="shared" si="685"/>
        <v>-1</v>
      </c>
      <c r="AL862" s="108">
        <f t="shared" si="686"/>
        <v>-1</v>
      </c>
      <c r="AM862" s="108"/>
    </row>
    <row r="863" spans="3:39" x14ac:dyDescent="0.55000000000000004">
      <c r="C863" s="104" t="str">
        <f>$V$77</f>
        <v>-</v>
      </c>
      <c r="D863" s="108">
        <f t="shared" ref="D863:S863" si="710">D77</f>
        <v>0</v>
      </c>
      <c r="E863" s="108">
        <f t="shared" si="710"/>
        <v>0</v>
      </c>
      <c r="F863" s="108">
        <f t="shared" si="710"/>
        <v>0</v>
      </c>
      <c r="G863" s="108">
        <f t="shared" si="710"/>
        <v>0</v>
      </c>
      <c r="H863" s="108">
        <f t="shared" si="710"/>
        <v>0</v>
      </c>
      <c r="I863" s="108">
        <f t="shared" si="710"/>
        <v>0</v>
      </c>
      <c r="J863" s="108">
        <f t="shared" si="710"/>
        <v>0</v>
      </c>
      <c r="K863" s="108">
        <f t="shared" si="710"/>
        <v>0</v>
      </c>
      <c r="L863" s="108">
        <f t="shared" si="710"/>
        <v>0</v>
      </c>
      <c r="M863" s="108">
        <f t="shared" si="710"/>
        <v>0</v>
      </c>
      <c r="N863" s="108">
        <f t="shared" si="710"/>
        <v>0</v>
      </c>
      <c r="O863" s="108">
        <f t="shared" si="710"/>
        <v>0</v>
      </c>
      <c r="P863" s="108">
        <f t="shared" si="710"/>
        <v>0</v>
      </c>
      <c r="Q863" s="108">
        <f t="shared" si="710"/>
        <v>0</v>
      </c>
      <c r="R863" s="108">
        <f t="shared" si="710"/>
        <v>0</v>
      </c>
      <c r="S863" s="108">
        <f t="shared" si="710"/>
        <v>0</v>
      </c>
      <c r="T863" s="28" t="s">
        <v>26</v>
      </c>
      <c r="V863" s="104" t="str">
        <f>$V$77</f>
        <v>-</v>
      </c>
      <c r="W863" s="108">
        <f t="shared" si="671"/>
        <v>-1</v>
      </c>
      <c r="X863" s="108">
        <f t="shared" si="672"/>
        <v>-1</v>
      </c>
      <c r="Y863" s="108">
        <f t="shared" si="673"/>
        <v>-1</v>
      </c>
      <c r="Z863" s="108">
        <f t="shared" si="674"/>
        <v>-1</v>
      </c>
      <c r="AA863" s="108">
        <f t="shared" si="675"/>
        <v>-1</v>
      </c>
      <c r="AB863" s="108">
        <f t="shared" si="676"/>
        <v>-1</v>
      </c>
      <c r="AC863" s="108">
        <f t="shared" si="677"/>
        <v>-1</v>
      </c>
      <c r="AD863" s="108">
        <f t="shared" si="678"/>
        <v>-1</v>
      </c>
      <c r="AE863" s="108">
        <f t="shared" si="679"/>
        <v>-1</v>
      </c>
      <c r="AF863" s="108">
        <f t="shared" si="680"/>
        <v>-1</v>
      </c>
      <c r="AG863" s="108">
        <f t="shared" si="681"/>
        <v>-1</v>
      </c>
      <c r="AH863" s="108">
        <f t="shared" si="682"/>
        <v>-1</v>
      </c>
      <c r="AI863" s="108">
        <f t="shared" si="683"/>
        <v>-1</v>
      </c>
      <c r="AJ863" s="108">
        <f t="shared" si="684"/>
        <v>-1</v>
      </c>
      <c r="AK863" s="108">
        <f t="shared" si="685"/>
        <v>-1</v>
      </c>
      <c r="AL863" s="108">
        <f t="shared" si="686"/>
        <v>-1</v>
      </c>
      <c r="AM863" s="108"/>
    </row>
    <row r="864" spans="3:39" x14ac:dyDescent="0.55000000000000004">
      <c r="C864" s="104" t="str">
        <f>$V$78</f>
        <v>-</v>
      </c>
      <c r="D864" s="108">
        <f t="shared" ref="D864:S864" si="711">D78</f>
        <v>0</v>
      </c>
      <c r="E864" s="108">
        <f t="shared" si="711"/>
        <v>0</v>
      </c>
      <c r="F864" s="108">
        <f t="shared" si="711"/>
        <v>0</v>
      </c>
      <c r="G864" s="108">
        <f t="shared" si="711"/>
        <v>0</v>
      </c>
      <c r="H864" s="108">
        <f t="shared" si="711"/>
        <v>0</v>
      </c>
      <c r="I864" s="108">
        <f t="shared" si="711"/>
        <v>0</v>
      </c>
      <c r="J864" s="108">
        <f t="shared" si="711"/>
        <v>0</v>
      </c>
      <c r="K864" s="108">
        <f t="shared" si="711"/>
        <v>0</v>
      </c>
      <c r="L864" s="108">
        <f t="shared" si="711"/>
        <v>0</v>
      </c>
      <c r="M864" s="108">
        <f t="shared" si="711"/>
        <v>0</v>
      </c>
      <c r="N864" s="108">
        <f t="shared" si="711"/>
        <v>0</v>
      </c>
      <c r="O864" s="108">
        <f t="shared" si="711"/>
        <v>0</v>
      </c>
      <c r="P864" s="108">
        <f t="shared" si="711"/>
        <v>0</v>
      </c>
      <c r="Q864" s="108">
        <f t="shared" si="711"/>
        <v>0</v>
      </c>
      <c r="R864" s="108">
        <f t="shared" si="711"/>
        <v>0</v>
      </c>
      <c r="S864" s="108">
        <f t="shared" si="711"/>
        <v>0</v>
      </c>
      <c r="T864" s="28" t="s">
        <v>26</v>
      </c>
      <c r="V864" s="104" t="str">
        <f>$V$78</f>
        <v>-</v>
      </c>
      <c r="W864" s="108">
        <f t="shared" si="671"/>
        <v>-1</v>
      </c>
      <c r="X864" s="108">
        <f t="shared" si="672"/>
        <v>-1</v>
      </c>
      <c r="Y864" s="108">
        <f t="shared" si="673"/>
        <v>-1</v>
      </c>
      <c r="Z864" s="108">
        <f t="shared" si="674"/>
        <v>-1</v>
      </c>
      <c r="AA864" s="108">
        <f t="shared" si="675"/>
        <v>-1</v>
      </c>
      <c r="AB864" s="108">
        <f t="shared" si="676"/>
        <v>-1</v>
      </c>
      <c r="AC864" s="108">
        <f t="shared" si="677"/>
        <v>-1</v>
      </c>
      <c r="AD864" s="108">
        <f t="shared" si="678"/>
        <v>-1</v>
      </c>
      <c r="AE864" s="108">
        <f t="shared" si="679"/>
        <v>-1</v>
      </c>
      <c r="AF864" s="108">
        <f t="shared" si="680"/>
        <v>-1</v>
      </c>
      <c r="AG864" s="108">
        <f t="shared" si="681"/>
        <v>-1</v>
      </c>
      <c r="AH864" s="108">
        <f t="shared" si="682"/>
        <v>-1</v>
      </c>
      <c r="AI864" s="108">
        <f t="shared" si="683"/>
        <v>-1</v>
      </c>
      <c r="AJ864" s="108">
        <f t="shared" si="684"/>
        <v>-1</v>
      </c>
      <c r="AK864" s="108">
        <f t="shared" si="685"/>
        <v>-1</v>
      </c>
      <c r="AL864" s="108">
        <f t="shared" si="686"/>
        <v>-1</v>
      </c>
    </row>
    <row r="865" spans="3:38" x14ac:dyDescent="0.55000000000000004">
      <c r="C865" s="104" t="str">
        <f>$V$79</f>
        <v>-</v>
      </c>
      <c r="D865" s="108">
        <f t="shared" ref="D865:S865" si="712">D79</f>
        <v>0</v>
      </c>
      <c r="E865" s="108">
        <f t="shared" si="712"/>
        <v>0</v>
      </c>
      <c r="F865" s="108">
        <f t="shared" si="712"/>
        <v>0</v>
      </c>
      <c r="G865" s="108">
        <f t="shared" si="712"/>
        <v>0</v>
      </c>
      <c r="H865" s="108">
        <f t="shared" si="712"/>
        <v>0</v>
      </c>
      <c r="I865" s="108">
        <f t="shared" si="712"/>
        <v>0</v>
      </c>
      <c r="J865" s="108">
        <f t="shared" si="712"/>
        <v>0</v>
      </c>
      <c r="K865" s="108">
        <f t="shared" si="712"/>
        <v>0</v>
      </c>
      <c r="L865" s="108">
        <f t="shared" si="712"/>
        <v>0</v>
      </c>
      <c r="M865" s="108">
        <f t="shared" si="712"/>
        <v>0</v>
      </c>
      <c r="N865" s="108">
        <f t="shared" si="712"/>
        <v>0</v>
      </c>
      <c r="O865" s="108">
        <f t="shared" si="712"/>
        <v>0</v>
      </c>
      <c r="P865" s="108">
        <f t="shared" si="712"/>
        <v>0</v>
      </c>
      <c r="Q865" s="108">
        <f t="shared" si="712"/>
        <v>0</v>
      </c>
      <c r="R865" s="108">
        <f t="shared" si="712"/>
        <v>0</v>
      </c>
      <c r="S865" s="108">
        <f t="shared" si="712"/>
        <v>0</v>
      </c>
      <c r="T865" s="28" t="s">
        <v>26</v>
      </c>
      <c r="V865" s="104" t="str">
        <f>$V$79</f>
        <v>-</v>
      </c>
      <c r="W865" s="108">
        <f t="shared" si="671"/>
        <v>-1</v>
      </c>
      <c r="X865" s="108">
        <f t="shared" si="672"/>
        <v>-1</v>
      </c>
      <c r="Y865" s="108">
        <f t="shared" si="673"/>
        <v>-1</v>
      </c>
      <c r="Z865" s="108">
        <f t="shared" si="674"/>
        <v>-1</v>
      </c>
      <c r="AA865" s="108">
        <f t="shared" si="675"/>
        <v>-1</v>
      </c>
      <c r="AB865" s="108">
        <f t="shared" si="676"/>
        <v>-1</v>
      </c>
      <c r="AC865" s="108">
        <f t="shared" si="677"/>
        <v>-1</v>
      </c>
      <c r="AD865" s="108">
        <f t="shared" si="678"/>
        <v>-1</v>
      </c>
      <c r="AE865" s="108">
        <f t="shared" si="679"/>
        <v>-1</v>
      </c>
      <c r="AF865" s="108">
        <f t="shared" si="680"/>
        <v>-1</v>
      </c>
      <c r="AG865" s="108">
        <f t="shared" si="681"/>
        <v>-1</v>
      </c>
      <c r="AH865" s="108">
        <f t="shared" si="682"/>
        <v>-1</v>
      </c>
      <c r="AI865" s="108">
        <f t="shared" si="683"/>
        <v>-1</v>
      </c>
      <c r="AJ865" s="108">
        <f t="shared" si="684"/>
        <v>-1</v>
      </c>
      <c r="AK865" s="108">
        <f t="shared" si="685"/>
        <v>-1</v>
      </c>
      <c r="AL865" s="108">
        <f t="shared" si="686"/>
        <v>-1</v>
      </c>
    </row>
    <row r="866" spans="3:38" x14ac:dyDescent="0.55000000000000004">
      <c r="C866" s="104" t="str">
        <f>$V$80</f>
        <v>-</v>
      </c>
      <c r="D866" s="108">
        <f t="shared" ref="D866:S866" si="713">D80</f>
        <v>0</v>
      </c>
      <c r="E866" s="108">
        <f t="shared" si="713"/>
        <v>0</v>
      </c>
      <c r="F866" s="108">
        <f t="shared" si="713"/>
        <v>0</v>
      </c>
      <c r="G866" s="108">
        <f t="shared" si="713"/>
        <v>0</v>
      </c>
      <c r="H866" s="108">
        <f t="shared" si="713"/>
        <v>0</v>
      </c>
      <c r="I866" s="108">
        <f t="shared" si="713"/>
        <v>0</v>
      </c>
      <c r="J866" s="108">
        <f t="shared" si="713"/>
        <v>0</v>
      </c>
      <c r="K866" s="108">
        <f t="shared" si="713"/>
        <v>0</v>
      </c>
      <c r="L866" s="108">
        <f t="shared" si="713"/>
        <v>0</v>
      </c>
      <c r="M866" s="108">
        <f t="shared" si="713"/>
        <v>0</v>
      </c>
      <c r="N866" s="108">
        <f t="shared" si="713"/>
        <v>0</v>
      </c>
      <c r="O866" s="108">
        <f t="shared" si="713"/>
        <v>0</v>
      </c>
      <c r="P866" s="108">
        <f t="shared" si="713"/>
        <v>0</v>
      </c>
      <c r="Q866" s="108">
        <f t="shared" si="713"/>
        <v>0</v>
      </c>
      <c r="R866" s="108">
        <f t="shared" si="713"/>
        <v>0</v>
      </c>
      <c r="S866" s="108">
        <f t="shared" si="713"/>
        <v>0</v>
      </c>
      <c r="T866" s="28" t="s">
        <v>26</v>
      </c>
      <c r="V866" s="104" t="str">
        <f>$V$80</f>
        <v>-</v>
      </c>
      <c r="W866" s="108">
        <f t="shared" si="671"/>
        <v>-1</v>
      </c>
      <c r="X866" s="108">
        <f t="shared" si="672"/>
        <v>-1</v>
      </c>
      <c r="Y866" s="108">
        <f t="shared" si="673"/>
        <v>-1</v>
      </c>
      <c r="Z866" s="108">
        <f t="shared" si="674"/>
        <v>-1</v>
      </c>
      <c r="AA866" s="108">
        <f t="shared" si="675"/>
        <v>-1</v>
      </c>
      <c r="AB866" s="108">
        <f t="shared" si="676"/>
        <v>-1</v>
      </c>
      <c r="AC866" s="108">
        <f t="shared" si="677"/>
        <v>-1</v>
      </c>
      <c r="AD866" s="108">
        <f t="shared" si="678"/>
        <v>-1</v>
      </c>
      <c r="AE866" s="108">
        <f t="shared" si="679"/>
        <v>-1</v>
      </c>
      <c r="AF866" s="108">
        <f t="shared" si="680"/>
        <v>-1</v>
      </c>
      <c r="AG866" s="108">
        <f t="shared" si="681"/>
        <v>-1</v>
      </c>
      <c r="AH866" s="108">
        <f t="shared" si="682"/>
        <v>-1</v>
      </c>
      <c r="AI866" s="108">
        <f t="shared" si="683"/>
        <v>-1</v>
      </c>
      <c r="AJ866" s="108">
        <f t="shared" si="684"/>
        <v>-1</v>
      </c>
      <c r="AK866" s="108">
        <f t="shared" si="685"/>
        <v>-1</v>
      </c>
      <c r="AL866" s="108">
        <f t="shared" si="686"/>
        <v>-1</v>
      </c>
    </row>
    <row r="867" spans="3:38" x14ac:dyDescent="0.55000000000000004">
      <c r="C867" s="104" t="str">
        <f>$V$81</f>
        <v>-</v>
      </c>
      <c r="D867" s="108">
        <f t="shared" ref="D867:S867" si="714">D81</f>
        <v>0</v>
      </c>
      <c r="E867" s="108">
        <f t="shared" si="714"/>
        <v>0</v>
      </c>
      <c r="F867" s="108">
        <f t="shared" si="714"/>
        <v>0</v>
      </c>
      <c r="G867" s="108">
        <f t="shared" si="714"/>
        <v>0</v>
      </c>
      <c r="H867" s="108">
        <f t="shared" si="714"/>
        <v>0</v>
      </c>
      <c r="I867" s="108">
        <f t="shared" si="714"/>
        <v>0</v>
      </c>
      <c r="J867" s="108">
        <f t="shared" si="714"/>
        <v>0</v>
      </c>
      <c r="K867" s="108">
        <f t="shared" si="714"/>
        <v>0</v>
      </c>
      <c r="L867" s="108">
        <f t="shared" si="714"/>
        <v>0</v>
      </c>
      <c r="M867" s="108">
        <f t="shared" si="714"/>
        <v>0</v>
      </c>
      <c r="N867" s="108">
        <f t="shared" si="714"/>
        <v>0</v>
      </c>
      <c r="O867" s="108">
        <f t="shared" si="714"/>
        <v>0</v>
      </c>
      <c r="P867" s="108">
        <f t="shared" si="714"/>
        <v>0</v>
      </c>
      <c r="Q867" s="108">
        <f t="shared" si="714"/>
        <v>0</v>
      </c>
      <c r="R867" s="108">
        <f t="shared" si="714"/>
        <v>0</v>
      </c>
      <c r="S867" s="108">
        <f t="shared" si="714"/>
        <v>0</v>
      </c>
      <c r="T867" s="28" t="s">
        <v>26</v>
      </c>
      <c r="V867" s="104" t="str">
        <f>$V$81</f>
        <v>-</v>
      </c>
      <c r="W867" s="108">
        <f t="shared" si="671"/>
        <v>-1</v>
      </c>
      <c r="X867" s="108">
        <f t="shared" si="672"/>
        <v>-1</v>
      </c>
      <c r="Y867" s="108">
        <f t="shared" si="673"/>
        <v>-1</v>
      </c>
      <c r="Z867" s="108">
        <f t="shared" si="674"/>
        <v>-1</v>
      </c>
      <c r="AA867" s="108">
        <f t="shared" si="675"/>
        <v>-1</v>
      </c>
      <c r="AB867" s="108">
        <f t="shared" si="676"/>
        <v>-1</v>
      </c>
      <c r="AC867" s="108">
        <f t="shared" si="677"/>
        <v>-1</v>
      </c>
      <c r="AD867" s="108">
        <f t="shared" si="678"/>
        <v>-1</v>
      </c>
      <c r="AE867" s="108">
        <f t="shared" si="679"/>
        <v>-1</v>
      </c>
      <c r="AF867" s="108">
        <f t="shared" si="680"/>
        <v>-1</v>
      </c>
      <c r="AG867" s="108">
        <f t="shared" si="681"/>
        <v>-1</v>
      </c>
      <c r="AH867" s="108">
        <f t="shared" si="682"/>
        <v>-1</v>
      </c>
      <c r="AI867" s="108">
        <f t="shared" si="683"/>
        <v>-1</v>
      </c>
      <c r="AJ867" s="108">
        <f t="shared" si="684"/>
        <v>-1</v>
      </c>
      <c r="AK867" s="108">
        <f t="shared" si="685"/>
        <v>-1</v>
      </c>
      <c r="AL867" s="108">
        <f t="shared" si="686"/>
        <v>-1</v>
      </c>
    </row>
    <row r="868" spans="3:38" x14ac:dyDescent="0.55000000000000004">
      <c r="C868" s="104" t="str">
        <f>$V$82</f>
        <v>-</v>
      </c>
      <c r="D868" s="108">
        <f t="shared" ref="D868:S868" si="715">D82</f>
        <v>0</v>
      </c>
      <c r="E868" s="108">
        <f t="shared" si="715"/>
        <v>0</v>
      </c>
      <c r="F868" s="108">
        <f t="shared" si="715"/>
        <v>0</v>
      </c>
      <c r="G868" s="108">
        <f t="shared" si="715"/>
        <v>0</v>
      </c>
      <c r="H868" s="108">
        <f t="shared" si="715"/>
        <v>0</v>
      </c>
      <c r="I868" s="108">
        <f t="shared" si="715"/>
        <v>0</v>
      </c>
      <c r="J868" s="108">
        <f t="shared" si="715"/>
        <v>0</v>
      </c>
      <c r="K868" s="108">
        <f t="shared" si="715"/>
        <v>0</v>
      </c>
      <c r="L868" s="108">
        <f t="shared" si="715"/>
        <v>0</v>
      </c>
      <c r="M868" s="108">
        <f t="shared" si="715"/>
        <v>0</v>
      </c>
      <c r="N868" s="108">
        <f t="shared" si="715"/>
        <v>0</v>
      </c>
      <c r="O868" s="108">
        <f t="shared" si="715"/>
        <v>0</v>
      </c>
      <c r="P868" s="108">
        <f t="shared" si="715"/>
        <v>0</v>
      </c>
      <c r="Q868" s="108">
        <f t="shared" si="715"/>
        <v>0</v>
      </c>
      <c r="R868" s="108">
        <f t="shared" si="715"/>
        <v>0</v>
      </c>
      <c r="S868" s="108">
        <f t="shared" si="715"/>
        <v>0</v>
      </c>
      <c r="T868" s="28" t="s">
        <v>26</v>
      </c>
      <c r="V868" s="104" t="str">
        <f>$V$82</f>
        <v>-</v>
      </c>
      <c r="W868" s="108">
        <f t="shared" si="671"/>
        <v>-1</v>
      </c>
      <c r="X868" s="108">
        <f t="shared" si="672"/>
        <v>-1</v>
      </c>
      <c r="Y868" s="108">
        <f t="shared" si="673"/>
        <v>-1</v>
      </c>
      <c r="Z868" s="108">
        <f t="shared" si="674"/>
        <v>-1</v>
      </c>
      <c r="AA868" s="108">
        <f t="shared" si="675"/>
        <v>-1</v>
      </c>
      <c r="AB868" s="108">
        <f t="shared" si="676"/>
        <v>-1</v>
      </c>
      <c r="AC868" s="108">
        <f t="shared" si="677"/>
        <v>-1</v>
      </c>
      <c r="AD868" s="108">
        <f t="shared" si="678"/>
        <v>-1</v>
      </c>
      <c r="AE868" s="108">
        <f t="shared" si="679"/>
        <v>-1</v>
      </c>
      <c r="AF868" s="108">
        <f t="shared" si="680"/>
        <v>-1</v>
      </c>
      <c r="AG868" s="108">
        <f t="shared" si="681"/>
        <v>-1</v>
      </c>
      <c r="AH868" s="108">
        <f t="shared" si="682"/>
        <v>-1</v>
      </c>
      <c r="AI868" s="108">
        <f t="shared" si="683"/>
        <v>-1</v>
      </c>
      <c r="AJ868" s="108">
        <f t="shared" si="684"/>
        <v>-1</v>
      </c>
      <c r="AK868" s="108">
        <f t="shared" si="685"/>
        <v>-1</v>
      </c>
      <c r="AL868" s="108">
        <f t="shared" si="686"/>
        <v>-1</v>
      </c>
    </row>
    <row r="869" spans="3:38" x14ac:dyDescent="0.55000000000000004">
      <c r="C869" s="104" t="str">
        <f>$V$83</f>
        <v>-</v>
      </c>
      <c r="D869" s="108">
        <f t="shared" ref="D869:S869" si="716">D83</f>
        <v>0</v>
      </c>
      <c r="E869" s="108">
        <f t="shared" si="716"/>
        <v>0</v>
      </c>
      <c r="F869" s="108">
        <f t="shared" si="716"/>
        <v>0</v>
      </c>
      <c r="G869" s="108">
        <f t="shared" si="716"/>
        <v>0</v>
      </c>
      <c r="H869" s="108">
        <f t="shared" si="716"/>
        <v>0</v>
      </c>
      <c r="I869" s="108">
        <f t="shared" si="716"/>
        <v>0</v>
      </c>
      <c r="J869" s="108">
        <f t="shared" si="716"/>
        <v>0</v>
      </c>
      <c r="K869" s="108">
        <f t="shared" si="716"/>
        <v>0</v>
      </c>
      <c r="L869" s="108">
        <f t="shared" si="716"/>
        <v>0</v>
      </c>
      <c r="M869" s="108">
        <f t="shared" si="716"/>
        <v>0</v>
      </c>
      <c r="N869" s="108">
        <f t="shared" si="716"/>
        <v>0</v>
      </c>
      <c r="O869" s="108">
        <f t="shared" si="716"/>
        <v>0</v>
      </c>
      <c r="P869" s="108">
        <f t="shared" si="716"/>
        <v>0</v>
      </c>
      <c r="Q869" s="108">
        <f t="shared" si="716"/>
        <v>0</v>
      </c>
      <c r="R869" s="108">
        <f t="shared" si="716"/>
        <v>0</v>
      </c>
      <c r="S869" s="108">
        <f t="shared" si="716"/>
        <v>0</v>
      </c>
      <c r="T869" s="28" t="s">
        <v>26</v>
      </c>
      <c r="V869" s="104" t="str">
        <f>$V$83</f>
        <v>-</v>
      </c>
      <c r="W869" s="108">
        <f t="shared" si="671"/>
        <v>-1</v>
      </c>
      <c r="X869" s="108">
        <f t="shared" si="672"/>
        <v>-1</v>
      </c>
      <c r="Y869" s="108">
        <f t="shared" si="673"/>
        <v>-1</v>
      </c>
      <c r="Z869" s="108">
        <f t="shared" si="674"/>
        <v>-1</v>
      </c>
      <c r="AA869" s="108">
        <f t="shared" si="675"/>
        <v>-1</v>
      </c>
      <c r="AB869" s="108">
        <f t="shared" si="676"/>
        <v>-1</v>
      </c>
      <c r="AC869" s="108">
        <f t="shared" si="677"/>
        <v>-1</v>
      </c>
      <c r="AD869" s="108">
        <f t="shared" si="678"/>
        <v>-1</v>
      </c>
      <c r="AE869" s="108">
        <f t="shared" si="679"/>
        <v>-1</v>
      </c>
      <c r="AF869" s="108">
        <f t="shared" si="680"/>
        <v>-1</v>
      </c>
      <c r="AG869" s="108">
        <f t="shared" si="681"/>
        <v>-1</v>
      </c>
      <c r="AH869" s="108">
        <f t="shared" si="682"/>
        <v>-1</v>
      </c>
      <c r="AI869" s="108">
        <f t="shared" si="683"/>
        <v>-1</v>
      </c>
      <c r="AJ869" s="108">
        <f t="shared" si="684"/>
        <v>-1</v>
      </c>
      <c r="AK869" s="108">
        <f t="shared" si="685"/>
        <v>-1</v>
      </c>
      <c r="AL869" s="108">
        <f t="shared" si="686"/>
        <v>-1</v>
      </c>
    </row>
    <row r="870" spans="3:38" x14ac:dyDescent="0.55000000000000004">
      <c r="C870" s="104" t="str">
        <f>$V$84</f>
        <v>-</v>
      </c>
      <c r="D870" s="108">
        <f t="shared" ref="D870:S870" si="717">D84</f>
        <v>0</v>
      </c>
      <c r="E870" s="108">
        <f t="shared" si="717"/>
        <v>0</v>
      </c>
      <c r="F870" s="108">
        <f t="shared" si="717"/>
        <v>0</v>
      </c>
      <c r="G870" s="108">
        <f t="shared" si="717"/>
        <v>0</v>
      </c>
      <c r="H870" s="108">
        <f t="shared" si="717"/>
        <v>0</v>
      </c>
      <c r="I870" s="108">
        <f t="shared" si="717"/>
        <v>0</v>
      </c>
      <c r="J870" s="108">
        <f t="shared" si="717"/>
        <v>0</v>
      </c>
      <c r="K870" s="108">
        <f t="shared" si="717"/>
        <v>0</v>
      </c>
      <c r="L870" s="108">
        <f t="shared" si="717"/>
        <v>0</v>
      </c>
      <c r="M870" s="108">
        <f t="shared" si="717"/>
        <v>0</v>
      </c>
      <c r="N870" s="108">
        <f t="shared" si="717"/>
        <v>0</v>
      </c>
      <c r="O870" s="108">
        <f t="shared" si="717"/>
        <v>0</v>
      </c>
      <c r="P870" s="108">
        <f t="shared" si="717"/>
        <v>0</v>
      </c>
      <c r="Q870" s="108">
        <f t="shared" si="717"/>
        <v>0</v>
      </c>
      <c r="R870" s="108">
        <f t="shared" si="717"/>
        <v>0</v>
      </c>
      <c r="S870" s="108">
        <f t="shared" si="717"/>
        <v>0</v>
      </c>
      <c r="T870" s="28" t="s">
        <v>26</v>
      </c>
      <c r="V870" s="104" t="str">
        <f>$V$84</f>
        <v>-</v>
      </c>
      <c r="W870" s="108">
        <f t="shared" si="671"/>
        <v>-1</v>
      </c>
      <c r="X870" s="108">
        <f t="shared" si="672"/>
        <v>-1</v>
      </c>
      <c r="Y870" s="108">
        <f t="shared" si="673"/>
        <v>-1</v>
      </c>
      <c r="Z870" s="108">
        <f t="shared" si="674"/>
        <v>-1</v>
      </c>
      <c r="AA870" s="108">
        <f t="shared" si="675"/>
        <v>-1</v>
      </c>
      <c r="AB870" s="108">
        <f t="shared" si="676"/>
        <v>-1</v>
      </c>
      <c r="AC870" s="108">
        <f t="shared" si="677"/>
        <v>-1</v>
      </c>
      <c r="AD870" s="108">
        <f t="shared" si="678"/>
        <v>-1</v>
      </c>
      <c r="AE870" s="108">
        <f t="shared" si="679"/>
        <v>-1</v>
      </c>
      <c r="AF870" s="108">
        <f t="shared" si="680"/>
        <v>-1</v>
      </c>
      <c r="AG870" s="108">
        <f t="shared" si="681"/>
        <v>-1</v>
      </c>
      <c r="AH870" s="108">
        <f t="shared" si="682"/>
        <v>-1</v>
      </c>
      <c r="AI870" s="108">
        <f t="shared" si="683"/>
        <v>-1</v>
      </c>
      <c r="AJ870" s="108">
        <f t="shared" si="684"/>
        <v>-1</v>
      </c>
      <c r="AK870" s="108">
        <f t="shared" si="685"/>
        <v>-1</v>
      </c>
      <c r="AL870" s="108">
        <f t="shared" si="686"/>
        <v>-1</v>
      </c>
    </row>
    <row r="871" spans="3:38" x14ac:dyDescent="0.55000000000000004">
      <c r="C871" s="104" t="str">
        <f>$V$85</f>
        <v>-</v>
      </c>
      <c r="D871" s="108">
        <f t="shared" ref="D871:S871" si="718">D85</f>
        <v>0</v>
      </c>
      <c r="E871" s="108">
        <f t="shared" si="718"/>
        <v>0</v>
      </c>
      <c r="F871" s="108">
        <f t="shared" si="718"/>
        <v>0</v>
      </c>
      <c r="G871" s="108">
        <f t="shared" si="718"/>
        <v>0</v>
      </c>
      <c r="H871" s="108">
        <f t="shared" si="718"/>
        <v>0</v>
      </c>
      <c r="I871" s="108">
        <f t="shared" si="718"/>
        <v>0</v>
      </c>
      <c r="J871" s="108">
        <f t="shared" si="718"/>
        <v>0</v>
      </c>
      <c r="K871" s="108">
        <f t="shared" si="718"/>
        <v>0</v>
      </c>
      <c r="L871" s="108">
        <f t="shared" si="718"/>
        <v>0</v>
      </c>
      <c r="M871" s="108">
        <f t="shared" si="718"/>
        <v>0</v>
      </c>
      <c r="N871" s="108">
        <f t="shared" si="718"/>
        <v>0</v>
      </c>
      <c r="O871" s="108">
        <f t="shared" si="718"/>
        <v>0</v>
      </c>
      <c r="P871" s="108">
        <f t="shared" si="718"/>
        <v>0</v>
      </c>
      <c r="Q871" s="108">
        <f t="shared" si="718"/>
        <v>0</v>
      </c>
      <c r="R871" s="108">
        <f t="shared" si="718"/>
        <v>0</v>
      </c>
      <c r="S871" s="108">
        <f t="shared" si="718"/>
        <v>0</v>
      </c>
      <c r="T871" s="28" t="s">
        <v>26</v>
      </c>
      <c r="V871" s="104" t="str">
        <f>$V$85</f>
        <v>-</v>
      </c>
      <c r="W871" s="108">
        <f t="shared" si="671"/>
        <v>-1</v>
      </c>
      <c r="X871" s="108">
        <f t="shared" si="672"/>
        <v>-1</v>
      </c>
      <c r="Y871" s="108">
        <f t="shared" si="673"/>
        <v>-1</v>
      </c>
      <c r="Z871" s="108">
        <f t="shared" si="674"/>
        <v>-1</v>
      </c>
      <c r="AA871" s="108">
        <f t="shared" si="675"/>
        <v>-1</v>
      </c>
      <c r="AB871" s="108">
        <f t="shared" si="676"/>
        <v>-1</v>
      </c>
      <c r="AC871" s="108">
        <f t="shared" si="677"/>
        <v>-1</v>
      </c>
      <c r="AD871" s="108">
        <f t="shared" si="678"/>
        <v>-1</v>
      </c>
      <c r="AE871" s="108">
        <f t="shared" si="679"/>
        <v>-1</v>
      </c>
      <c r="AF871" s="108">
        <f t="shared" si="680"/>
        <v>-1</v>
      </c>
      <c r="AG871" s="108">
        <f t="shared" si="681"/>
        <v>-1</v>
      </c>
      <c r="AH871" s="108">
        <f t="shared" si="682"/>
        <v>-1</v>
      </c>
      <c r="AI871" s="108">
        <f t="shared" si="683"/>
        <v>-1</v>
      </c>
      <c r="AJ871" s="108">
        <f t="shared" si="684"/>
        <v>-1</v>
      </c>
      <c r="AK871" s="108">
        <f t="shared" si="685"/>
        <v>-1</v>
      </c>
      <c r="AL871" s="108">
        <f t="shared" si="686"/>
        <v>-1</v>
      </c>
    </row>
    <row r="872" spans="3:38" x14ac:dyDescent="0.55000000000000004">
      <c r="C872" s="104" t="str">
        <f>$V$86</f>
        <v>-</v>
      </c>
      <c r="D872" s="108">
        <f t="shared" ref="D872:S872" si="719">D86</f>
        <v>0</v>
      </c>
      <c r="E872" s="108">
        <f t="shared" si="719"/>
        <v>0</v>
      </c>
      <c r="F872" s="108">
        <f t="shared" si="719"/>
        <v>0</v>
      </c>
      <c r="G872" s="108">
        <f t="shared" si="719"/>
        <v>0</v>
      </c>
      <c r="H872" s="108">
        <f t="shared" si="719"/>
        <v>0</v>
      </c>
      <c r="I872" s="108">
        <f t="shared" si="719"/>
        <v>0</v>
      </c>
      <c r="J872" s="108">
        <f t="shared" si="719"/>
        <v>0</v>
      </c>
      <c r="K872" s="108">
        <f t="shared" si="719"/>
        <v>0</v>
      </c>
      <c r="L872" s="108">
        <f t="shared" si="719"/>
        <v>0</v>
      </c>
      <c r="M872" s="108">
        <f t="shared" si="719"/>
        <v>0</v>
      </c>
      <c r="N872" s="108">
        <f t="shared" si="719"/>
        <v>0</v>
      </c>
      <c r="O872" s="108">
        <f t="shared" si="719"/>
        <v>0</v>
      </c>
      <c r="P872" s="108">
        <f t="shared" si="719"/>
        <v>0</v>
      </c>
      <c r="Q872" s="108">
        <f t="shared" si="719"/>
        <v>0</v>
      </c>
      <c r="R872" s="108">
        <f t="shared" si="719"/>
        <v>0</v>
      </c>
      <c r="S872" s="108">
        <f t="shared" si="719"/>
        <v>0</v>
      </c>
      <c r="T872" s="28" t="s">
        <v>26</v>
      </c>
      <c r="V872" s="104" t="str">
        <f>$V$86</f>
        <v>-</v>
      </c>
      <c r="W872" s="108">
        <f t="shared" si="671"/>
        <v>-1</v>
      </c>
      <c r="X872" s="108">
        <f t="shared" si="672"/>
        <v>-1</v>
      </c>
      <c r="Y872" s="108">
        <f t="shared" si="673"/>
        <v>-1</v>
      </c>
      <c r="Z872" s="108">
        <f t="shared" si="674"/>
        <v>-1</v>
      </c>
      <c r="AA872" s="108">
        <f t="shared" si="675"/>
        <v>-1</v>
      </c>
      <c r="AB872" s="108">
        <f t="shared" si="676"/>
        <v>-1</v>
      </c>
      <c r="AC872" s="108">
        <f t="shared" si="677"/>
        <v>-1</v>
      </c>
      <c r="AD872" s="108">
        <f t="shared" si="678"/>
        <v>-1</v>
      </c>
      <c r="AE872" s="108">
        <f t="shared" si="679"/>
        <v>-1</v>
      </c>
      <c r="AF872" s="108">
        <f t="shared" si="680"/>
        <v>-1</v>
      </c>
      <c r="AG872" s="108">
        <f t="shared" si="681"/>
        <v>-1</v>
      </c>
      <c r="AH872" s="108">
        <f t="shared" si="682"/>
        <v>-1</v>
      </c>
      <c r="AI872" s="108">
        <f t="shared" si="683"/>
        <v>-1</v>
      </c>
      <c r="AJ872" s="108">
        <f t="shared" si="684"/>
        <v>-1</v>
      </c>
      <c r="AK872" s="108">
        <f t="shared" si="685"/>
        <v>-1</v>
      </c>
      <c r="AL872" s="108">
        <f t="shared" si="686"/>
        <v>-1</v>
      </c>
    </row>
    <row r="873" spans="3:38" x14ac:dyDescent="0.55000000000000004">
      <c r="C873" s="104" t="str">
        <f>$V$87</f>
        <v>-</v>
      </c>
      <c r="D873" s="108">
        <f t="shared" ref="D873:S873" si="720">D87</f>
        <v>0</v>
      </c>
      <c r="E873" s="108">
        <f t="shared" si="720"/>
        <v>0</v>
      </c>
      <c r="F873" s="108">
        <f t="shared" si="720"/>
        <v>0</v>
      </c>
      <c r="G873" s="108">
        <f t="shared" si="720"/>
        <v>0</v>
      </c>
      <c r="H873" s="108">
        <f t="shared" si="720"/>
        <v>0</v>
      </c>
      <c r="I873" s="108">
        <f t="shared" si="720"/>
        <v>0</v>
      </c>
      <c r="J873" s="108">
        <f t="shared" si="720"/>
        <v>0</v>
      </c>
      <c r="K873" s="108">
        <f t="shared" si="720"/>
        <v>0</v>
      </c>
      <c r="L873" s="108">
        <f t="shared" si="720"/>
        <v>0</v>
      </c>
      <c r="M873" s="108">
        <f t="shared" si="720"/>
        <v>0</v>
      </c>
      <c r="N873" s="108">
        <f t="shared" si="720"/>
        <v>0</v>
      </c>
      <c r="O873" s="108">
        <f t="shared" si="720"/>
        <v>0</v>
      </c>
      <c r="P873" s="108">
        <f t="shared" si="720"/>
        <v>0</v>
      </c>
      <c r="Q873" s="108">
        <f t="shared" si="720"/>
        <v>0</v>
      </c>
      <c r="R873" s="108">
        <f t="shared" si="720"/>
        <v>0</v>
      </c>
      <c r="S873" s="108">
        <f t="shared" si="720"/>
        <v>0</v>
      </c>
      <c r="T873" s="28" t="s">
        <v>26</v>
      </c>
      <c r="V873" s="104" t="str">
        <f>$V$87</f>
        <v>-</v>
      </c>
      <c r="W873" s="108">
        <f t="shared" si="671"/>
        <v>-1</v>
      </c>
      <c r="X873" s="108">
        <f t="shared" si="672"/>
        <v>-1</v>
      </c>
      <c r="Y873" s="108">
        <f t="shared" si="673"/>
        <v>-1</v>
      </c>
      <c r="Z873" s="108">
        <f t="shared" si="674"/>
        <v>-1</v>
      </c>
      <c r="AA873" s="108">
        <f t="shared" si="675"/>
        <v>-1</v>
      </c>
      <c r="AB873" s="108">
        <f t="shared" si="676"/>
        <v>-1</v>
      </c>
      <c r="AC873" s="108">
        <f t="shared" si="677"/>
        <v>-1</v>
      </c>
      <c r="AD873" s="108">
        <f t="shared" si="678"/>
        <v>-1</v>
      </c>
      <c r="AE873" s="108">
        <f t="shared" si="679"/>
        <v>-1</v>
      </c>
      <c r="AF873" s="108">
        <f t="shared" si="680"/>
        <v>-1</v>
      </c>
      <c r="AG873" s="108">
        <f t="shared" si="681"/>
        <v>-1</v>
      </c>
      <c r="AH873" s="108">
        <f t="shared" si="682"/>
        <v>-1</v>
      </c>
      <c r="AI873" s="108">
        <f t="shared" si="683"/>
        <v>-1</v>
      </c>
      <c r="AJ873" s="108">
        <f t="shared" si="684"/>
        <v>-1</v>
      </c>
      <c r="AK873" s="108">
        <f t="shared" si="685"/>
        <v>-1</v>
      </c>
      <c r="AL873" s="108">
        <f t="shared" si="686"/>
        <v>-1</v>
      </c>
    </row>
    <row r="874" spans="3:38" x14ac:dyDescent="0.55000000000000004">
      <c r="C874" s="104" t="str">
        <f>$V$88</f>
        <v>-</v>
      </c>
      <c r="D874" s="108">
        <f t="shared" ref="D874:S874" si="721">D88</f>
        <v>0</v>
      </c>
      <c r="E874" s="108">
        <f t="shared" si="721"/>
        <v>0</v>
      </c>
      <c r="F874" s="108">
        <f t="shared" si="721"/>
        <v>0</v>
      </c>
      <c r="G874" s="108">
        <f t="shared" si="721"/>
        <v>0</v>
      </c>
      <c r="H874" s="108">
        <f t="shared" si="721"/>
        <v>0</v>
      </c>
      <c r="I874" s="108">
        <f t="shared" si="721"/>
        <v>0</v>
      </c>
      <c r="J874" s="108">
        <f t="shared" si="721"/>
        <v>0</v>
      </c>
      <c r="K874" s="108">
        <f t="shared" si="721"/>
        <v>0</v>
      </c>
      <c r="L874" s="108">
        <f t="shared" si="721"/>
        <v>0</v>
      </c>
      <c r="M874" s="108">
        <f t="shared" si="721"/>
        <v>0</v>
      </c>
      <c r="N874" s="108">
        <f t="shared" si="721"/>
        <v>0</v>
      </c>
      <c r="O874" s="108">
        <f t="shared" si="721"/>
        <v>0</v>
      </c>
      <c r="P874" s="108">
        <f t="shared" si="721"/>
        <v>0</v>
      </c>
      <c r="Q874" s="108">
        <f t="shared" si="721"/>
        <v>0</v>
      </c>
      <c r="R874" s="108">
        <f t="shared" si="721"/>
        <v>0</v>
      </c>
      <c r="S874" s="108">
        <f t="shared" si="721"/>
        <v>0</v>
      </c>
      <c r="T874" s="28" t="s">
        <v>26</v>
      </c>
      <c r="V874" s="104" t="str">
        <f>$V$88</f>
        <v>-</v>
      </c>
      <c r="W874" s="108">
        <f t="shared" si="671"/>
        <v>-1</v>
      </c>
      <c r="X874" s="108">
        <f t="shared" si="672"/>
        <v>-1</v>
      </c>
      <c r="Y874" s="108">
        <f t="shared" si="673"/>
        <v>-1</v>
      </c>
      <c r="Z874" s="108">
        <f t="shared" si="674"/>
        <v>-1</v>
      </c>
      <c r="AA874" s="108">
        <f t="shared" si="675"/>
        <v>-1</v>
      </c>
      <c r="AB874" s="108">
        <f t="shared" si="676"/>
        <v>-1</v>
      </c>
      <c r="AC874" s="108">
        <f t="shared" si="677"/>
        <v>-1</v>
      </c>
      <c r="AD874" s="108">
        <f t="shared" si="678"/>
        <v>-1</v>
      </c>
      <c r="AE874" s="108">
        <f t="shared" si="679"/>
        <v>-1</v>
      </c>
      <c r="AF874" s="108">
        <f t="shared" si="680"/>
        <v>-1</v>
      </c>
      <c r="AG874" s="108">
        <f t="shared" si="681"/>
        <v>-1</v>
      </c>
      <c r="AH874" s="108">
        <f t="shared" si="682"/>
        <v>-1</v>
      </c>
      <c r="AI874" s="108">
        <f t="shared" si="683"/>
        <v>-1</v>
      </c>
      <c r="AJ874" s="108">
        <f t="shared" si="684"/>
        <v>-1</v>
      </c>
      <c r="AK874" s="108">
        <f t="shared" si="685"/>
        <v>-1</v>
      </c>
      <c r="AL874" s="108">
        <f t="shared" si="686"/>
        <v>-1</v>
      </c>
    </row>
    <row r="875" spans="3:38" x14ac:dyDescent="0.55000000000000004">
      <c r="C875" s="104" t="str">
        <f>$V$89</f>
        <v>-</v>
      </c>
      <c r="D875" s="108">
        <f t="shared" ref="D875:S875" si="722">D89</f>
        <v>0</v>
      </c>
      <c r="E875" s="108">
        <f t="shared" si="722"/>
        <v>0</v>
      </c>
      <c r="F875" s="108">
        <f t="shared" si="722"/>
        <v>0</v>
      </c>
      <c r="G875" s="108">
        <f t="shared" si="722"/>
        <v>0</v>
      </c>
      <c r="H875" s="108">
        <f t="shared" si="722"/>
        <v>0</v>
      </c>
      <c r="I875" s="108">
        <f t="shared" si="722"/>
        <v>0</v>
      </c>
      <c r="J875" s="108">
        <f t="shared" si="722"/>
        <v>0</v>
      </c>
      <c r="K875" s="108">
        <f t="shared" si="722"/>
        <v>0</v>
      </c>
      <c r="L875" s="108">
        <f t="shared" si="722"/>
        <v>0</v>
      </c>
      <c r="M875" s="108">
        <f t="shared" si="722"/>
        <v>0</v>
      </c>
      <c r="N875" s="108">
        <f t="shared" si="722"/>
        <v>0</v>
      </c>
      <c r="O875" s="108">
        <f t="shared" si="722"/>
        <v>0</v>
      </c>
      <c r="P875" s="108">
        <f t="shared" si="722"/>
        <v>0</v>
      </c>
      <c r="Q875" s="108">
        <f t="shared" si="722"/>
        <v>0</v>
      </c>
      <c r="R875" s="108">
        <f t="shared" si="722"/>
        <v>0</v>
      </c>
      <c r="S875" s="108">
        <f t="shared" si="722"/>
        <v>0</v>
      </c>
      <c r="T875" s="28" t="s">
        <v>26</v>
      </c>
      <c r="V875" s="104" t="str">
        <f>$V$89</f>
        <v>-</v>
      </c>
      <c r="W875" s="108">
        <f t="shared" si="671"/>
        <v>-1</v>
      </c>
      <c r="X875" s="108">
        <f t="shared" si="672"/>
        <v>-1</v>
      </c>
      <c r="Y875" s="108">
        <f t="shared" si="673"/>
        <v>-1</v>
      </c>
      <c r="Z875" s="108">
        <f t="shared" si="674"/>
        <v>-1</v>
      </c>
      <c r="AA875" s="108">
        <f t="shared" si="675"/>
        <v>-1</v>
      </c>
      <c r="AB875" s="108">
        <f t="shared" si="676"/>
        <v>-1</v>
      </c>
      <c r="AC875" s="108">
        <f t="shared" si="677"/>
        <v>-1</v>
      </c>
      <c r="AD875" s="108">
        <f t="shared" si="678"/>
        <v>-1</v>
      </c>
      <c r="AE875" s="108">
        <f t="shared" si="679"/>
        <v>-1</v>
      </c>
      <c r="AF875" s="108">
        <f t="shared" si="680"/>
        <v>-1</v>
      </c>
      <c r="AG875" s="108">
        <f t="shared" si="681"/>
        <v>-1</v>
      </c>
      <c r="AH875" s="108">
        <f t="shared" si="682"/>
        <v>-1</v>
      </c>
      <c r="AI875" s="108">
        <f t="shared" si="683"/>
        <v>-1</v>
      </c>
      <c r="AJ875" s="108">
        <f t="shared" si="684"/>
        <v>-1</v>
      </c>
      <c r="AK875" s="108">
        <f t="shared" si="685"/>
        <v>-1</v>
      </c>
      <c r="AL875" s="108">
        <f t="shared" si="686"/>
        <v>-1</v>
      </c>
    </row>
    <row r="876" spans="3:38" x14ac:dyDescent="0.55000000000000004">
      <c r="C876" s="104" t="str">
        <f>$V$90</f>
        <v>-</v>
      </c>
      <c r="D876" s="108">
        <f t="shared" ref="D876:S876" si="723">D90</f>
        <v>0</v>
      </c>
      <c r="E876" s="108">
        <f t="shared" si="723"/>
        <v>0</v>
      </c>
      <c r="F876" s="108">
        <f t="shared" si="723"/>
        <v>0</v>
      </c>
      <c r="G876" s="108">
        <f t="shared" si="723"/>
        <v>0</v>
      </c>
      <c r="H876" s="108">
        <f t="shared" si="723"/>
        <v>0</v>
      </c>
      <c r="I876" s="108">
        <f t="shared" si="723"/>
        <v>0</v>
      </c>
      <c r="J876" s="108">
        <f t="shared" si="723"/>
        <v>0</v>
      </c>
      <c r="K876" s="108">
        <f t="shared" si="723"/>
        <v>0</v>
      </c>
      <c r="L876" s="108">
        <f t="shared" si="723"/>
        <v>0</v>
      </c>
      <c r="M876" s="108">
        <f t="shared" si="723"/>
        <v>0</v>
      </c>
      <c r="N876" s="108">
        <f t="shared" si="723"/>
        <v>0</v>
      </c>
      <c r="O876" s="108">
        <f t="shared" si="723"/>
        <v>0</v>
      </c>
      <c r="P876" s="108">
        <f t="shared" si="723"/>
        <v>0</v>
      </c>
      <c r="Q876" s="108">
        <f t="shared" si="723"/>
        <v>0</v>
      </c>
      <c r="R876" s="108">
        <f t="shared" si="723"/>
        <v>0</v>
      </c>
      <c r="S876" s="108">
        <f t="shared" si="723"/>
        <v>0</v>
      </c>
      <c r="T876" s="28" t="s">
        <v>26</v>
      </c>
      <c r="V876" s="104" t="str">
        <f>$V$90</f>
        <v>-</v>
      </c>
      <c r="W876" s="108">
        <f t="shared" si="671"/>
        <v>-1</v>
      </c>
      <c r="X876" s="108">
        <f t="shared" si="672"/>
        <v>-1</v>
      </c>
      <c r="Y876" s="108">
        <f t="shared" si="673"/>
        <v>-1</v>
      </c>
      <c r="Z876" s="108">
        <f t="shared" si="674"/>
        <v>-1</v>
      </c>
      <c r="AA876" s="108">
        <f t="shared" si="675"/>
        <v>-1</v>
      </c>
      <c r="AB876" s="108">
        <f t="shared" si="676"/>
        <v>-1</v>
      </c>
      <c r="AC876" s="108">
        <f t="shared" si="677"/>
        <v>-1</v>
      </c>
      <c r="AD876" s="108">
        <f t="shared" si="678"/>
        <v>-1</v>
      </c>
      <c r="AE876" s="108">
        <f t="shared" si="679"/>
        <v>-1</v>
      </c>
      <c r="AF876" s="108">
        <f t="shared" si="680"/>
        <v>-1</v>
      </c>
      <c r="AG876" s="108">
        <f t="shared" si="681"/>
        <v>-1</v>
      </c>
      <c r="AH876" s="108">
        <f t="shared" si="682"/>
        <v>-1</v>
      </c>
      <c r="AI876" s="108">
        <f t="shared" si="683"/>
        <v>-1</v>
      </c>
      <c r="AJ876" s="108">
        <f t="shared" si="684"/>
        <v>-1</v>
      </c>
      <c r="AK876" s="108">
        <f t="shared" si="685"/>
        <v>-1</v>
      </c>
      <c r="AL876" s="108">
        <f t="shared" si="686"/>
        <v>-1</v>
      </c>
    </row>
    <row r="877" spans="3:38" x14ac:dyDescent="0.55000000000000004">
      <c r="C877" s="104" t="str">
        <f>$V$91</f>
        <v>-</v>
      </c>
      <c r="D877" s="108">
        <f t="shared" ref="D877:S877" si="724">D91</f>
        <v>0</v>
      </c>
      <c r="E877" s="108">
        <f t="shared" si="724"/>
        <v>0</v>
      </c>
      <c r="F877" s="108">
        <f t="shared" si="724"/>
        <v>0</v>
      </c>
      <c r="G877" s="108">
        <f t="shared" si="724"/>
        <v>0</v>
      </c>
      <c r="H877" s="108">
        <f t="shared" si="724"/>
        <v>0</v>
      </c>
      <c r="I877" s="108">
        <f t="shared" si="724"/>
        <v>0</v>
      </c>
      <c r="J877" s="108">
        <f t="shared" si="724"/>
        <v>0</v>
      </c>
      <c r="K877" s="108">
        <f t="shared" si="724"/>
        <v>0</v>
      </c>
      <c r="L877" s="108">
        <f t="shared" si="724"/>
        <v>0</v>
      </c>
      <c r="M877" s="108">
        <f t="shared" si="724"/>
        <v>0</v>
      </c>
      <c r="N877" s="108">
        <f t="shared" si="724"/>
        <v>0</v>
      </c>
      <c r="O877" s="108">
        <f t="shared" si="724"/>
        <v>0</v>
      </c>
      <c r="P877" s="108">
        <f t="shared" si="724"/>
        <v>0</v>
      </c>
      <c r="Q877" s="108">
        <f t="shared" si="724"/>
        <v>0</v>
      </c>
      <c r="R877" s="108">
        <f t="shared" si="724"/>
        <v>0</v>
      </c>
      <c r="S877" s="108">
        <f t="shared" si="724"/>
        <v>0</v>
      </c>
      <c r="T877" s="28" t="s">
        <v>26</v>
      </c>
      <c r="V877" s="104" t="str">
        <f>$V$91</f>
        <v>-</v>
      </c>
      <c r="W877" s="108">
        <f t="shared" si="671"/>
        <v>-1</v>
      </c>
      <c r="X877" s="108">
        <f t="shared" si="672"/>
        <v>-1</v>
      </c>
      <c r="Y877" s="108">
        <f t="shared" si="673"/>
        <v>-1</v>
      </c>
      <c r="Z877" s="108">
        <f t="shared" si="674"/>
        <v>-1</v>
      </c>
      <c r="AA877" s="108">
        <f t="shared" si="675"/>
        <v>-1</v>
      </c>
      <c r="AB877" s="108">
        <f t="shared" si="676"/>
        <v>-1</v>
      </c>
      <c r="AC877" s="108">
        <f t="shared" si="677"/>
        <v>-1</v>
      </c>
      <c r="AD877" s="108">
        <f t="shared" si="678"/>
        <v>-1</v>
      </c>
      <c r="AE877" s="108">
        <f t="shared" si="679"/>
        <v>-1</v>
      </c>
      <c r="AF877" s="108">
        <f t="shared" si="680"/>
        <v>-1</v>
      </c>
      <c r="AG877" s="108">
        <f t="shared" si="681"/>
        <v>-1</v>
      </c>
      <c r="AH877" s="108">
        <f t="shared" si="682"/>
        <v>-1</v>
      </c>
      <c r="AI877" s="108">
        <f t="shared" si="683"/>
        <v>-1</v>
      </c>
      <c r="AJ877" s="108">
        <f t="shared" si="684"/>
        <v>-1</v>
      </c>
      <c r="AK877" s="108">
        <f t="shared" si="685"/>
        <v>-1</v>
      </c>
      <c r="AL877" s="108">
        <f t="shared" si="686"/>
        <v>-1</v>
      </c>
    </row>
    <row r="878" spans="3:38" x14ac:dyDescent="0.55000000000000004">
      <c r="C878" s="104" t="str">
        <f>$V$92</f>
        <v>-</v>
      </c>
      <c r="D878" s="108">
        <f t="shared" ref="D878:S878" si="725">D92</f>
        <v>0</v>
      </c>
      <c r="E878" s="108">
        <f t="shared" si="725"/>
        <v>0</v>
      </c>
      <c r="F878" s="108">
        <f t="shared" si="725"/>
        <v>0</v>
      </c>
      <c r="G878" s="108">
        <f t="shared" si="725"/>
        <v>0</v>
      </c>
      <c r="H878" s="108">
        <f t="shared" si="725"/>
        <v>0</v>
      </c>
      <c r="I878" s="108">
        <f t="shared" si="725"/>
        <v>0</v>
      </c>
      <c r="J878" s="108">
        <f t="shared" si="725"/>
        <v>0</v>
      </c>
      <c r="K878" s="108">
        <f t="shared" si="725"/>
        <v>0</v>
      </c>
      <c r="L878" s="108">
        <f t="shared" si="725"/>
        <v>0</v>
      </c>
      <c r="M878" s="108">
        <f t="shared" si="725"/>
        <v>0</v>
      </c>
      <c r="N878" s="108">
        <f t="shared" si="725"/>
        <v>0</v>
      </c>
      <c r="O878" s="108">
        <f t="shared" si="725"/>
        <v>0</v>
      </c>
      <c r="P878" s="108">
        <f t="shared" si="725"/>
        <v>0</v>
      </c>
      <c r="Q878" s="108">
        <f t="shared" si="725"/>
        <v>0</v>
      </c>
      <c r="R878" s="108">
        <f t="shared" si="725"/>
        <v>0</v>
      </c>
      <c r="S878" s="108">
        <f t="shared" si="725"/>
        <v>0</v>
      </c>
      <c r="T878" s="28" t="s">
        <v>26</v>
      </c>
      <c r="V878" s="104" t="str">
        <f>$V$92</f>
        <v>-</v>
      </c>
      <c r="W878" s="108">
        <f t="shared" si="671"/>
        <v>-1</v>
      </c>
      <c r="X878" s="108">
        <f t="shared" si="672"/>
        <v>-1</v>
      </c>
      <c r="Y878" s="108">
        <f t="shared" si="673"/>
        <v>-1</v>
      </c>
      <c r="Z878" s="108">
        <f t="shared" si="674"/>
        <v>-1</v>
      </c>
      <c r="AA878" s="108">
        <f t="shared" si="675"/>
        <v>-1</v>
      </c>
      <c r="AB878" s="108">
        <f t="shared" si="676"/>
        <v>-1</v>
      </c>
      <c r="AC878" s="108">
        <f t="shared" si="677"/>
        <v>-1</v>
      </c>
      <c r="AD878" s="108">
        <f t="shared" si="678"/>
        <v>-1</v>
      </c>
      <c r="AE878" s="108">
        <f t="shared" si="679"/>
        <v>-1</v>
      </c>
      <c r="AF878" s="108">
        <f t="shared" si="680"/>
        <v>-1</v>
      </c>
      <c r="AG878" s="108">
        <f t="shared" si="681"/>
        <v>-1</v>
      </c>
      <c r="AH878" s="108">
        <f t="shared" si="682"/>
        <v>-1</v>
      </c>
      <c r="AI878" s="108">
        <f t="shared" si="683"/>
        <v>-1</v>
      </c>
      <c r="AJ878" s="108">
        <f t="shared" si="684"/>
        <v>-1</v>
      </c>
      <c r="AK878" s="108">
        <f t="shared" si="685"/>
        <v>-1</v>
      </c>
      <c r="AL878" s="108">
        <f t="shared" si="686"/>
        <v>-1</v>
      </c>
    </row>
    <row r="882" spans="3:38" x14ac:dyDescent="0.55000000000000004">
      <c r="C882" s="104" t="str">
        <f>$BK$472</f>
        <v>Volante</v>
      </c>
      <c r="D882" s="104" t="str">
        <f>$W$33</f>
        <v>16h</v>
      </c>
      <c r="E882" s="104" t="str">
        <f>$X$33</f>
        <v>17h</v>
      </c>
      <c r="F882" s="104" t="str">
        <f>$Y$33</f>
        <v>18h</v>
      </c>
      <c r="G882" s="104" t="str">
        <f>$Z$33</f>
        <v>19h</v>
      </c>
      <c r="H882" s="104" t="str">
        <f>$AA$33</f>
        <v>20h</v>
      </c>
      <c r="I882" s="104" t="str">
        <f>$AB$33</f>
        <v>21h</v>
      </c>
      <c r="J882" s="104" t="str">
        <f>$AC$33</f>
        <v>22h</v>
      </c>
      <c r="K882" s="104" t="str">
        <f>$AD$33</f>
        <v>23h</v>
      </c>
      <c r="L882" s="104" t="str">
        <f>$AE$33</f>
        <v>00h</v>
      </c>
      <c r="M882" s="104" t="str">
        <f>$AF$33</f>
        <v>01h</v>
      </c>
      <c r="N882" s="104" t="str">
        <f>$AG$33</f>
        <v>02h</v>
      </c>
      <c r="O882" s="104" t="str">
        <f>$AH$33</f>
        <v>03h</v>
      </c>
      <c r="P882" s="104" t="str">
        <f>$AI$33</f>
        <v>04h</v>
      </c>
      <c r="Q882" s="104" t="str">
        <f>$AJ$33</f>
        <v>05h</v>
      </c>
      <c r="R882" s="104" t="str">
        <f>$AK$33</f>
        <v>06h</v>
      </c>
      <c r="S882" s="104" t="str">
        <f>$AL$33</f>
        <v>07h</v>
      </c>
      <c r="V882" s="104" t="str">
        <f>$BK$472</f>
        <v>Volante</v>
      </c>
      <c r="W882" s="104" t="str">
        <f>$W$33</f>
        <v>16h</v>
      </c>
      <c r="X882" s="104" t="str">
        <f>$X$33</f>
        <v>17h</v>
      </c>
      <c r="Y882" s="104" t="str">
        <f>$Y$33</f>
        <v>18h</v>
      </c>
      <c r="Z882" s="104" t="str">
        <f>$Z$33</f>
        <v>19h</v>
      </c>
      <c r="AA882" s="104" t="str">
        <f>$AA$33</f>
        <v>20h</v>
      </c>
      <c r="AB882" s="104" t="str">
        <f>$AB$33</f>
        <v>21h</v>
      </c>
      <c r="AC882" s="104" t="str">
        <f>$AC$33</f>
        <v>22h</v>
      </c>
      <c r="AD882" s="104" t="str">
        <f>$AD$33</f>
        <v>23h</v>
      </c>
      <c r="AE882" s="104" t="str">
        <f>$AE$33</f>
        <v>00h</v>
      </c>
      <c r="AF882" s="104" t="str">
        <f>$AF$33</f>
        <v>01h</v>
      </c>
      <c r="AG882" s="104" t="str">
        <f>$AG$33</f>
        <v>02h</v>
      </c>
      <c r="AH882" s="104" t="str">
        <f>$AH$33</f>
        <v>03h</v>
      </c>
      <c r="AI882" s="104" t="str">
        <f>$AI$33</f>
        <v>04h</v>
      </c>
      <c r="AJ882" s="104" t="str">
        <f>$AJ$33</f>
        <v>05h</v>
      </c>
      <c r="AK882" s="104" t="str">
        <f>$AK$33</f>
        <v>06h</v>
      </c>
      <c r="AL882" s="104" t="str">
        <f>$AL$33</f>
        <v>07h</v>
      </c>
    </row>
    <row r="883" spans="3:38" x14ac:dyDescent="0.55000000000000004">
      <c r="C883" s="104" t="str">
        <f>$V$53</f>
        <v>Jennifer</v>
      </c>
      <c r="D883" s="108">
        <f t="shared" ref="D883:S883" si="726">D53</f>
        <v>0</v>
      </c>
      <c r="E883" s="108">
        <f t="shared" si="726"/>
        <v>0</v>
      </c>
      <c r="F883" s="108">
        <f t="shared" si="726"/>
        <v>0</v>
      </c>
      <c r="G883" s="108">
        <f t="shared" si="726"/>
        <v>0</v>
      </c>
      <c r="H883" s="108">
        <f t="shared" si="726"/>
        <v>0</v>
      </c>
      <c r="I883" s="108">
        <f t="shared" si="726"/>
        <v>0</v>
      </c>
      <c r="J883" s="108">
        <f t="shared" si="726"/>
        <v>0</v>
      </c>
      <c r="K883" s="108">
        <f t="shared" si="726"/>
        <v>0</v>
      </c>
      <c r="L883" s="108">
        <f t="shared" si="726"/>
        <v>0</v>
      </c>
      <c r="M883" s="108">
        <f t="shared" si="726"/>
        <v>0</v>
      </c>
      <c r="N883" s="108">
        <f t="shared" si="726"/>
        <v>0</v>
      </c>
      <c r="O883" s="108">
        <f t="shared" si="726"/>
        <v>0</v>
      </c>
      <c r="P883" s="108">
        <f t="shared" si="726"/>
        <v>0</v>
      </c>
      <c r="Q883" s="108">
        <f t="shared" si="726"/>
        <v>0</v>
      </c>
      <c r="R883" s="108">
        <f t="shared" si="726"/>
        <v>0</v>
      </c>
      <c r="S883" s="108">
        <f t="shared" si="726"/>
        <v>0</v>
      </c>
      <c r="T883" s="28" t="s">
        <v>26</v>
      </c>
      <c r="V883" s="104" t="str">
        <f>$V$53</f>
        <v>Jennifer</v>
      </c>
      <c r="W883" s="108">
        <f t="shared" ref="W883:W922" si="727">AR434+AS434-1</f>
        <v>-1</v>
      </c>
      <c r="X883" s="108">
        <f t="shared" ref="X883:X922" si="728">AS434+AT434-1</f>
        <v>-1</v>
      </c>
      <c r="Y883" s="108">
        <f t="shared" ref="Y883:Y922" si="729">AT434+AU434-1</f>
        <v>-1</v>
      </c>
      <c r="Z883" s="108">
        <f t="shared" ref="Z883:Z922" si="730">AU434+AV434-1</f>
        <v>-1</v>
      </c>
      <c r="AA883" s="108">
        <f t="shared" ref="AA883:AA922" si="731">AV434+AW434-1</f>
        <v>-1</v>
      </c>
      <c r="AB883" s="108">
        <f t="shared" ref="AB883:AB922" si="732">AW434+AX434-1</f>
        <v>-1</v>
      </c>
      <c r="AC883" s="108">
        <f t="shared" ref="AC883:AC922" si="733">AX434+AY434-1</f>
        <v>-1</v>
      </c>
      <c r="AD883" s="108">
        <f t="shared" ref="AD883:AD922" si="734">AY434+AZ434-1</f>
        <v>-1</v>
      </c>
      <c r="AE883" s="108">
        <f t="shared" ref="AE883:AE922" si="735">AZ434+BA434-1</f>
        <v>-1</v>
      </c>
      <c r="AF883" s="108">
        <f t="shared" ref="AF883:AF922" si="736">BA434+BB434-1</f>
        <v>-1</v>
      </c>
      <c r="AG883" s="108">
        <f t="shared" ref="AG883:AG922" si="737">BB434+BC434-1</f>
        <v>-1</v>
      </c>
      <c r="AH883" s="108">
        <f t="shared" ref="AH883:AH922" si="738">BC434+BD434-1</f>
        <v>-1</v>
      </c>
      <c r="AI883" s="108">
        <f t="shared" ref="AI883:AI922" si="739">BD434+BE434-1</f>
        <v>-1</v>
      </c>
      <c r="AJ883" s="108">
        <f t="shared" ref="AJ883:AJ922" si="740">BE434+BF434-1</f>
        <v>-1</v>
      </c>
      <c r="AK883" s="108">
        <f t="shared" ref="AK883:AK922" si="741">BF434+BG434-1</f>
        <v>-1</v>
      </c>
      <c r="AL883" s="108">
        <f t="shared" ref="AL883:AL922" si="742">BG434+BH434-1</f>
        <v>-1</v>
      </c>
    </row>
    <row r="884" spans="3:38" x14ac:dyDescent="0.55000000000000004">
      <c r="C884" s="104" t="str">
        <f>$V$54</f>
        <v>Galileo</v>
      </c>
      <c r="D884" s="108">
        <f t="shared" ref="D884:S884" si="743">D54</f>
        <v>0</v>
      </c>
      <c r="E884" s="108">
        <f t="shared" si="743"/>
        <v>0</v>
      </c>
      <c r="F884" s="108">
        <f t="shared" si="743"/>
        <v>0</v>
      </c>
      <c r="G884" s="108">
        <f t="shared" si="743"/>
        <v>0</v>
      </c>
      <c r="H884" s="108">
        <f t="shared" si="743"/>
        <v>0</v>
      </c>
      <c r="I884" s="108">
        <f t="shared" si="743"/>
        <v>0</v>
      </c>
      <c r="J884" s="108">
        <f t="shared" si="743"/>
        <v>0</v>
      </c>
      <c r="K884" s="108">
        <f t="shared" si="743"/>
        <v>0</v>
      </c>
      <c r="L884" s="108">
        <f t="shared" si="743"/>
        <v>0</v>
      </c>
      <c r="M884" s="108">
        <f t="shared" si="743"/>
        <v>0</v>
      </c>
      <c r="N884" s="108">
        <f t="shared" si="743"/>
        <v>0</v>
      </c>
      <c r="O884" s="108">
        <f t="shared" si="743"/>
        <v>0</v>
      </c>
      <c r="P884" s="108">
        <f t="shared" si="743"/>
        <v>0</v>
      </c>
      <c r="Q884" s="108">
        <f t="shared" si="743"/>
        <v>0</v>
      </c>
      <c r="R884" s="108">
        <f t="shared" si="743"/>
        <v>0</v>
      </c>
      <c r="S884" s="108">
        <f t="shared" si="743"/>
        <v>0</v>
      </c>
      <c r="T884" s="28" t="s">
        <v>26</v>
      </c>
      <c r="V884" s="104" t="str">
        <f>$V$54</f>
        <v>Galileo</v>
      </c>
      <c r="W884" s="108">
        <f t="shared" si="727"/>
        <v>-1</v>
      </c>
      <c r="X884" s="108">
        <f t="shared" si="728"/>
        <v>-1</v>
      </c>
      <c r="Y884" s="108">
        <f t="shared" si="729"/>
        <v>-1</v>
      </c>
      <c r="Z884" s="108">
        <f t="shared" si="730"/>
        <v>-1</v>
      </c>
      <c r="AA884" s="108">
        <f t="shared" si="731"/>
        <v>-1</v>
      </c>
      <c r="AB884" s="108">
        <f t="shared" si="732"/>
        <v>-1</v>
      </c>
      <c r="AC884" s="108">
        <f t="shared" si="733"/>
        <v>-1</v>
      </c>
      <c r="AD884" s="108">
        <f t="shared" si="734"/>
        <v>-1</v>
      </c>
      <c r="AE884" s="108">
        <f t="shared" si="735"/>
        <v>-1</v>
      </c>
      <c r="AF884" s="108">
        <f t="shared" si="736"/>
        <v>-1</v>
      </c>
      <c r="AG884" s="108">
        <f t="shared" si="737"/>
        <v>-1</v>
      </c>
      <c r="AH884" s="108">
        <f t="shared" si="738"/>
        <v>-1</v>
      </c>
      <c r="AI884" s="108">
        <f t="shared" si="739"/>
        <v>-1</v>
      </c>
      <c r="AJ884" s="108">
        <f t="shared" si="740"/>
        <v>-1</v>
      </c>
      <c r="AK884" s="108">
        <f t="shared" si="741"/>
        <v>-1</v>
      </c>
      <c r="AL884" s="108">
        <f t="shared" si="742"/>
        <v>-1</v>
      </c>
    </row>
    <row r="885" spans="3:38" x14ac:dyDescent="0.55000000000000004">
      <c r="C885" s="104" t="str">
        <f>$V$55</f>
        <v>Óscar</v>
      </c>
      <c r="D885" s="108">
        <f t="shared" ref="D885:S885" si="744">D55</f>
        <v>0</v>
      </c>
      <c r="E885" s="108">
        <f t="shared" si="744"/>
        <v>0</v>
      </c>
      <c r="F885" s="108">
        <f t="shared" si="744"/>
        <v>0</v>
      </c>
      <c r="G885" s="108">
        <f t="shared" si="744"/>
        <v>0</v>
      </c>
      <c r="H885" s="108">
        <f t="shared" si="744"/>
        <v>0</v>
      </c>
      <c r="I885" s="108">
        <f t="shared" si="744"/>
        <v>0</v>
      </c>
      <c r="J885" s="108">
        <f t="shared" si="744"/>
        <v>0</v>
      </c>
      <c r="K885" s="108">
        <f t="shared" si="744"/>
        <v>0</v>
      </c>
      <c r="L885" s="108">
        <f t="shared" si="744"/>
        <v>0</v>
      </c>
      <c r="M885" s="108">
        <f t="shared" si="744"/>
        <v>0</v>
      </c>
      <c r="N885" s="108">
        <f t="shared" si="744"/>
        <v>0</v>
      </c>
      <c r="O885" s="108">
        <f t="shared" si="744"/>
        <v>0</v>
      </c>
      <c r="P885" s="108">
        <f t="shared" si="744"/>
        <v>0</v>
      </c>
      <c r="Q885" s="108">
        <f t="shared" si="744"/>
        <v>0</v>
      </c>
      <c r="R885" s="108">
        <f t="shared" si="744"/>
        <v>0</v>
      </c>
      <c r="S885" s="108">
        <f t="shared" si="744"/>
        <v>0</v>
      </c>
      <c r="T885" s="28" t="s">
        <v>26</v>
      </c>
      <c r="V885" s="104" t="str">
        <f>$V$55</f>
        <v>Óscar</v>
      </c>
      <c r="W885" s="108">
        <f t="shared" si="727"/>
        <v>-1</v>
      </c>
      <c r="X885" s="108">
        <f t="shared" si="728"/>
        <v>-1</v>
      </c>
      <c r="Y885" s="108">
        <f t="shared" si="729"/>
        <v>-1</v>
      </c>
      <c r="Z885" s="108">
        <f t="shared" si="730"/>
        <v>-1</v>
      </c>
      <c r="AA885" s="108">
        <f t="shared" si="731"/>
        <v>-1</v>
      </c>
      <c r="AB885" s="108">
        <f t="shared" si="732"/>
        <v>-1</v>
      </c>
      <c r="AC885" s="108">
        <f t="shared" si="733"/>
        <v>-1</v>
      </c>
      <c r="AD885" s="108">
        <f t="shared" si="734"/>
        <v>-1</v>
      </c>
      <c r="AE885" s="108">
        <f t="shared" si="735"/>
        <v>-1</v>
      </c>
      <c r="AF885" s="108">
        <f t="shared" si="736"/>
        <v>-1</v>
      </c>
      <c r="AG885" s="108">
        <f t="shared" si="737"/>
        <v>-1</v>
      </c>
      <c r="AH885" s="108">
        <f t="shared" si="738"/>
        <v>-1</v>
      </c>
      <c r="AI885" s="108">
        <f t="shared" si="739"/>
        <v>-1</v>
      </c>
      <c r="AJ885" s="108">
        <f t="shared" si="740"/>
        <v>-1</v>
      </c>
      <c r="AK885" s="108">
        <f t="shared" si="741"/>
        <v>-1</v>
      </c>
      <c r="AL885" s="108">
        <f t="shared" si="742"/>
        <v>-1</v>
      </c>
    </row>
    <row r="886" spans="3:38" x14ac:dyDescent="0.55000000000000004">
      <c r="C886" s="104" t="str">
        <f>$V$56</f>
        <v>Sebastián</v>
      </c>
      <c r="D886" s="108">
        <f t="shared" ref="D886:S886" si="745">D56</f>
        <v>0</v>
      </c>
      <c r="E886" s="108">
        <f t="shared" si="745"/>
        <v>0</v>
      </c>
      <c r="F886" s="108">
        <f t="shared" si="745"/>
        <v>0</v>
      </c>
      <c r="G886" s="108">
        <f t="shared" si="745"/>
        <v>0</v>
      </c>
      <c r="H886" s="108">
        <f t="shared" si="745"/>
        <v>0</v>
      </c>
      <c r="I886" s="108">
        <f t="shared" si="745"/>
        <v>0</v>
      </c>
      <c r="J886" s="108">
        <f t="shared" si="745"/>
        <v>0</v>
      </c>
      <c r="K886" s="108">
        <f t="shared" si="745"/>
        <v>0</v>
      </c>
      <c r="L886" s="108">
        <f t="shared" si="745"/>
        <v>0</v>
      </c>
      <c r="M886" s="108">
        <f t="shared" si="745"/>
        <v>0</v>
      </c>
      <c r="N886" s="108">
        <f t="shared" si="745"/>
        <v>0</v>
      </c>
      <c r="O886" s="108">
        <f t="shared" si="745"/>
        <v>0</v>
      </c>
      <c r="P886" s="108">
        <f t="shared" si="745"/>
        <v>0</v>
      </c>
      <c r="Q886" s="108">
        <f t="shared" si="745"/>
        <v>0</v>
      </c>
      <c r="R886" s="108">
        <f t="shared" si="745"/>
        <v>0</v>
      </c>
      <c r="S886" s="108">
        <f t="shared" si="745"/>
        <v>0</v>
      </c>
      <c r="T886" s="28" t="s">
        <v>26</v>
      </c>
      <c r="V886" s="104" t="str">
        <f>$V$56</f>
        <v>Sebastián</v>
      </c>
      <c r="W886" s="108">
        <f t="shared" si="727"/>
        <v>-1</v>
      </c>
      <c r="X886" s="108">
        <f t="shared" si="728"/>
        <v>-1</v>
      </c>
      <c r="Y886" s="108">
        <f t="shared" si="729"/>
        <v>-1</v>
      </c>
      <c r="Z886" s="108">
        <f t="shared" si="730"/>
        <v>-1</v>
      </c>
      <c r="AA886" s="108">
        <f t="shared" si="731"/>
        <v>-1</v>
      </c>
      <c r="AB886" s="108">
        <f t="shared" si="732"/>
        <v>-1</v>
      </c>
      <c r="AC886" s="108">
        <f t="shared" si="733"/>
        <v>-1</v>
      </c>
      <c r="AD886" s="108">
        <f t="shared" si="734"/>
        <v>-1</v>
      </c>
      <c r="AE886" s="108">
        <f t="shared" si="735"/>
        <v>-1</v>
      </c>
      <c r="AF886" s="108">
        <f t="shared" si="736"/>
        <v>-1</v>
      </c>
      <c r="AG886" s="108">
        <f t="shared" si="737"/>
        <v>-1</v>
      </c>
      <c r="AH886" s="108">
        <f t="shared" si="738"/>
        <v>-1</v>
      </c>
      <c r="AI886" s="108">
        <f t="shared" si="739"/>
        <v>-1</v>
      </c>
      <c r="AJ886" s="108">
        <f t="shared" si="740"/>
        <v>-1</v>
      </c>
      <c r="AK886" s="108">
        <f t="shared" si="741"/>
        <v>-1</v>
      </c>
      <c r="AL886" s="108">
        <f t="shared" si="742"/>
        <v>-1</v>
      </c>
    </row>
    <row r="887" spans="3:38" x14ac:dyDescent="0.55000000000000004">
      <c r="C887" s="104" t="str">
        <f>$V$57</f>
        <v>Marcos</v>
      </c>
      <c r="D887" s="108">
        <f t="shared" ref="D887:S887" si="746">D57</f>
        <v>0</v>
      </c>
      <c r="E887" s="108">
        <f t="shared" si="746"/>
        <v>0</v>
      </c>
      <c r="F887" s="108">
        <f t="shared" si="746"/>
        <v>0</v>
      </c>
      <c r="G887" s="108">
        <f t="shared" si="746"/>
        <v>0</v>
      </c>
      <c r="H887" s="108">
        <f t="shared" si="746"/>
        <v>0</v>
      </c>
      <c r="I887" s="108">
        <f t="shared" si="746"/>
        <v>0</v>
      </c>
      <c r="J887" s="108">
        <f t="shared" si="746"/>
        <v>0</v>
      </c>
      <c r="K887" s="108">
        <f t="shared" si="746"/>
        <v>0</v>
      </c>
      <c r="L887" s="108">
        <f t="shared" si="746"/>
        <v>0</v>
      </c>
      <c r="M887" s="108">
        <f t="shared" si="746"/>
        <v>0</v>
      </c>
      <c r="N887" s="108">
        <f t="shared" si="746"/>
        <v>0</v>
      </c>
      <c r="O887" s="108">
        <f t="shared" si="746"/>
        <v>0</v>
      </c>
      <c r="P887" s="108">
        <f t="shared" si="746"/>
        <v>0</v>
      </c>
      <c r="Q887" s="108">
        <f t="shared" si="746"/>
        <v>0</v>
      </c>
      <c r="R887" s="108">
        <f t="shared" si="746"/>
        <v>0</v>
      </c>
      <c r="S887" s="108">
        <f t="shared" si="746"/>
        <v>0</v>
      </c>
      <c r="T887" s="28" t="s">
        <v>26</v>
      </c>
      <c r="V887" s="104" t="str">
        <f>$V$57</f>
        <v>Marcos</v>
      </c>
      <c r="W887" s="108">
        <f t="shared" si="727"/>
        <v>-1</v>
      </c>
      <c r="X887" s="108">
        <f t="shared" si="728"/>
        <v>-1</v>
      </c>
      <c r="Y887" s="108">
        <f t="shared" si="729"/>
        <v>-1</v>
      </c>
      <c r="Z887" s="108">
        <f t="shared" si="730"/>
        <v>-1</v>
      </c>
      <c r="AA887" s="108">
        <f t="shared" si="731"/>
        <v>-1</v>
      </c>
      <c r="AB887" s="108">
        <f t="shared" si="732"/>
        <v>-1</v>
      </c>
      <c r="AC887" s="108">
        <f t="shared" si="733"/>
        <v>-1</v>
      </c>
      <c r="AD887" s="108">
        <f t="shared" si="734"/>
        <v>-1</v>
      </c>
      <c r="AE887" s="108">
        <f t="shared" si="735"/>
        <v>0</v>
      </c>
      <c r="AF887" s="108">
        <f t="shared" si="736"/>
        <v>0</v>
      </c>
      <c r="AG887" s="108">
        <f t="shared" si="737"/>
        <v>-1</v>
      </c>
      <c r="AH887" s="108">
        <f t="shared" si="738"/>
        <v>-1</v>
      </c>
      <c r="AI887" s="108">
        <f t="shared" si="739"/>
        <v>-1</v>
      </c>
      <c r="AJ887" s="108">
        <f t="shared" si="740"/>
        <v>-1</v>
      </c>
      <c r="AK887" s="108">
        <f t="shared" si="741"/>
        <v>-1</v>
      </c>
      <c r="AL887" s="108">
        <f t="shared" si="742"/>
        <v>-1</v>
      </c>
    </row>
    <row r="888" spans="3:38" x14ac:dyDescent="0.55000000000000004">
      <c r="C888" s="104" t="str">
        <f>$V$58</f>
        <v>Weixin</v>
      </c>
      <c r="D888" s="108">
        <f t="shared" ref="D888:S888" si="747">D58</f>
        <v>0</v>
      </c>
      <c r="E888" s="108">
        <f t="shared" si="747"/>
        <v>0</v>
      </c>
      <c r="F888" s="108">
        <f t="shared" si="747"/>
        <v>0</v>
      </c>
      <c r="G888" s="108">
        <f t="shared" si="747"/>
        <v>0</v>
      </c>
      <c r="H888" s="108">
        <f t="shared" si="747"/>
        <v>0</v>
      </c>
      <c r="I888" s="108">
        <f t="shared" si="747"/>
        <v>0</v>
      </c>
      <c r="J888" s="108">
        <f t="shared" si="747"/>
        <v>0</v>
      </c>
      <c r="K888" s="108">
        <f t="shared" si="747"/>
        <v>0</v>
      </c>
      <c r="L888" s="108">
        <f t="shared" si="747"/>
        <v>0</v>
      </c>
      <c r="M888" s="108">
        <f t="shared" si="747"/>
        <v>0</v>
      </c>
      <c r="N888" s="108">
        <f t="shared" si="747"/>
        <v>0</v>
      </c>
      <c r="O888" s="108">
        <f t="shared" si="747"/>
        <v>0</v>
      </c>
      <c r="P888" s="108">
        <f t="shared" si="747"/>
        <v>0</v>
      </c>
      <c r="Q888" s="108">
        <f t="shared" si="747"/>
        <v>0</v>
      </c>
      <c r="R888" s="108">
        <f t="shared" si="747"/>
        <v>0</v>
      </c>
      <c r="S888" s="108">
        <f t="shared" si="747"/>
        <v>0</v>
      </c>
      <c r="T888" s="28" t="s">
        <v>26</v>
      </c>
      <c r="V888" s="104" t="str">
        <f>$V$58</f>
        <v>Weixin</v>
      </c>
      <c r="W888" s="108">
        <f t="shared" si="727"/>
        <v>0</v>
      </c>
      <c r="X888" s="108">
        <f t="shared" si="728"/>
        <v>0</v>
      </c>
      <c r="Y888" s="108">
        <f t="shared" si="729"/>
        <v>-1</v>
      </c>
      <c r="Z888" s="108">
        <f t="shared" si="730"/>
        <v>-1</v>
      </c>
      <c r="AA888" s="108">
        <f t="shared" si="731"/>
        <v>-1</v>
      </c>
      <c r="AB888" s="108">
        <f t="shared" si="732"/>
        <v>-1</v>
      </c>
      <c r="AC888" s="108">
        <f t="shared" si="733"/>
        <v>-1</v>
      </c>
      <c r="AD888" s="108">
        <f t="shared" si="734"/>
        <v>-1</v>
      </c>
      <c r="AE888" s="108">
        <f t="shared" si="735"/>
        <v>-1</v>
      </c>
      <c r="AF888" s="108">
        <f t="shared" si="736"/>
        <v>-1</v>
      </c>
      <c r="AG888" s="108">
        <f t="shared" si="737"/>
        <v>-1</v>
      </c>
      <c r="AH888" s="108">
        <f t="shared" si="738"/>
        <v>-1</v>
      </c>
      <c r="AI888" s="108">
        <f t="shared" si="739"/>
        <v>-1</v>
      </c>
      <c r="AJ888" s="108">
        <f t="shared" si="740"/>
        <v>-1</v>
      </c>
      <c r="AK888" s="108">
        <f t="shared" si="741"/>
        <v>-1</v>
      </c>
      <c r="AL888" s="108">
        <f t="shared" si="742"/>
        <v>-1</v>
      </c>
    </row>
    <row r="889" spans="3:38" x14ac:dyDescent="0.55000000000000004">
      <c r="C889" s="104" t="str">
        <f>$V$59</f>
        <v>Benjamin</v>
      </c>
      <c r="D889" s="108">
        <f t="shared" ref="D889:S889" si="748">D59</f>
        <v>0</v>
      </c>
      <c r="E889" s="108">
        <f t="shared" si="748"/>
        <v>0</v>
      </c>
      <c r="F889" s="108">
        <f t="shared" si="748"/>
        <v>0</v>
      </c>
      <c r="G889" s="108">
        <f t="shared" si="748"/>
        <v>0</v>
      </c>
      <c r="H889" s="108">
        <f t="shared" si="748"/>
        <v>0</v>
      </c>
      <c r="I889" s="108">
        <f t="shared" si="748"/>
        <v>0</v>
      </c>
      <c r="J889" s="108">
        <f t="shared" si="748"/>
        <v>0</v>
      </c>
      <c r="K889" s="108">
        <f t="shared" si="748"/>
        <v>0</v>
      </c>
      <c r="L889" s="108">
        <f t="shared" si="748"/>
        <v>0</v>
      </c>
      <c r="M889" s="108">
        <f t="shared" si="748"/>
        <v>0</v>
      </c>
      <c r="N889" s="108">
        <f t="shared" si="748"/>
        <v>0</v>
      </c>
      <c r="O889" s="108">
        <f t="shared" si="748"/>
        <v>0</v>
      </c>
      <c r="P889" s="108">
        <f t="shared" si="748"/>
        <v>0</v>
      </c>
      <c r="Q889" s="108">
        <f t="shared" si="748"/>
        <v>0</v>
      </c>
      <c r="R889" s="108">
        <f t="shared" si="748"/>
        <v>0</v>
      </c>
      <c r="S889" s="108">
        <f t="shared" si="748"/>
        <v>0</v>
      </c>
      <c r="T889" s="28" t="s">
        <v>26</v>
      </c>
      <c r="V889" s="104" t="str">
        <f>$V$59</f>
        <v>Benjamin</v>
      </c>
      <c r="W889" s="108">
        <f t="shared" si="727"/>
        <v>0</v>
      </c>
      <c r="X889" s="108">
        <f t="shared" si="728"/>
        <v>0</v>
      </c>
      <c r="Y889" s="108">
        <f t="shared" si="729"/>
        <v>-1</v>
      </c>
      <c r="Z889" s="108">
        <f t="shared" si="730"/>
        <v>-1</v>
      </c>
      <c r="AA889" s="108">
        <f t="shared" si="731"/>
        <v>-1</v>
      </c>
      <c r="AB889" s="108">
        <f t="shared" si="732"/>
        <v>-1</v>
      </c>
      <c r="AC889" s="108">
        <f t="shared" si="733"/>
        <v>-1</v>
      </c>
      <c r="AD889" s="108">
        <f t="shared" si="734"/>
        <v>-1</v>
      </c>
      <c r="AE889" s="108">
        <f t="shared" si="735"/>
        <v>0</v>
      </c>
      <c r="AF889" s="108">
        <f t="shared" si="736"/>
        <v>0</v>
      </c>
      <c r="AG889" s="108">
        <f t="shared" si="737"/>
        <v>-1</v>
      </c>
      <c r="AH889" s="108">
        <f t="shared" si="738"/>
        <v>-1</v>
      </c>
      <c r="AI889" s="108">
        <f t="shared" si="739"/>
        <v>-1</v>
      </c>
      <c r="AJ889" s="108">
        <f t="shared" si="740"/>
        <v>-1</v>
      </c>
      <c r="AK889" s="108">
        <f t="shared" si="741"/>
        <v>-1</v>
      </c>
      <c r="AL889" s="108">
        <f t="shared" si="742"/>
        <v>-1</v>
      </c>
    </row>
    <row r="890" spans="3:38" x14ac:dyDescent="0.55000000000000004">
      <c r="C890" s="104" t="str">
        <f>$V$60</f>
        <v>Joelle</v>
      </c>
      <c r="D890" s="108">
        <f t="shared" ref="D890:S890" si="749">D60</f>
        <v>0</v>
      </c>
      <c r="E890" s="108">
        <f t="shared" si="749"/>
        <v>0</v>
      </c>
      <c r="F890" s="108">
        <f t="shared" si="749"/>
        <v>0</v>
      </c>
      <c r="G890" s="108">
        <f t="shared" si="749"/>
        <v>0</v>
      </c>
      <c r="H890" s="108">
        <f t="shared" si="749"/>
        <v>0</v>
      </c>
      <c r="I890" s="108">
        <f t="shared" si="749"/>
        <v>0</v>
      </c>
      <c r="J890" s="108">
        <f t="shared" si="749"/>
        <v>0</v>
      </c>
      <c r="K890" s="108">
        <f t="shared" si="749"/>
        <v>0</v>
      </c>
      <c r="L890" s="108">
        <f t="shared" si="749"/>
        <v>0</v>
      </c>
      <c r="M890" s="108">
        <f t="shared" si="749"/>
        <v>0</v>
      </c>
      <c r="N890" s="108">
        <f t="shared" si="749"/>
        <v>0</v>
      </c>
      <c r="O890" s="108">
        <f t="shared" si="749"/>
        <v>0</v>
      </c>
      <c r="P890" s="108">
        <f t="shared" si="749"/>
        <v>0</v>
      </c>
      <c r="Q890" s="108">
        <f t="shared" si="749"/>
        <v>0</v>
      </c>
      <c r="R890" s="108">
        <f t="shared" si="749"/>
        <v>0</v>
      </c>
      <c r="S890" s="108">
        <f t="shared" si="749"/>
        <v>0</v>
      </c>
      <c r="T890" s="28" t="s">
        <v>26</v>
      </c>
      <c r="V890" s="104" t="str">
        <f>$V$60</f>
        <v>Joelle</v>
      </c>
      <c r="W890" s="108">
        <f t="shared" si="727"/>
        <v>-1</v>
      </c>
      <c r="X890" s="108">
        <f t="shared" si="728"/>
        <v>-1</v>
      </c>
      <c r="Y890" s="108">
        <f t="shared" si="729"/>
        <v>-1</v>
      </c>
      <c r="Z890" s="108">
        <f t="shared" si="730"/>
        <v>-1</v>
      </c>
      <c r="AA890" s="108">
        <f t="shared" si="731"/>
        <v>-1</v>
      </c>
      <c r="AB890" s="108">
        <f t="shared" si="732"/>
        <v>-1</v>
      </c>
      <c r="AC890" s="108">
        <f t="shared" si="733"/>
        <v>-1</v>
      </c>
      <c r="AD890" s="108">
        <f t="shared" si="734"/>
        <v>-1</v>
      </c>
      <c r="AE890" s="108">
        <f t="shared" si="735"/>
        <v>-1</v>
      </c>
      <c r="AF890" s="108">
        <f t="shared" si="736"/>
        <v>-1</v>
      </c>
      <c r="AG890" s="108">
        <f t="shared" si="737"/>
        <v>-1</v>
      </c>
      <c r="AH890" s="108">
        <f t="shared" si="738"/>
        <v>-1</v>
      </c>
      <c r="AI890" s="108">
        <f t="shared" si="739"/>
        <v>-1</v>
      </c>
      <c r="AJ890" s="108">
        <f t="shared" si="740"/>
        <v>-1</v>
      </c>
      <c r="AK890" s="108">
        <f t="shared" si="741"/>
        <v>-1</v>
      </c>
      <c r="AL890" s="108">
        <f t="shared" si="742"/>
        <v>-1</v>
      </c>
    </row>
    <row r="891" spans="3:38" x14ac:dyDescent="0.55000000000000004">
      <c r="C891" s="104" t="str">
        <f>$V$61</f>
        <v>Alexia</v>
      </c>
      <c r="D891" s="108">
        <f t="shared" ref="D891:S891" si="750">D61</f>
        <v>0</v>
      </c>
      <c r="E891" s="108">
        <f t="shared" si="750"/>
        <v>0</v>
      </c>
      <c r="F891" s="108">
        <f t="shared" si="750"/>
        <v>0</v>
      </c>
      <c r="G891" s="108">
        <f t="shared" si="750"/>
        <v>0</v>
      </c>
      <c r="H891" s="108">
        <f t="shared" si="750"/>
        <v>0</v>
      </c>
      <c r="I891" s="108">
        <f t="shared" si="750"/>
        <v>0</v>
      </c>
      <c r="J891" s="108">
        <f t="shared" si="750"/>
        <v>0</v>
      </c>
      <c r="K891" s="108">
        <f t="shared" si="750"/>
        <v>0</v>
      </c>
      <c r="L891" s="108">
        <f t="shared" si="750"/>
        <v>0</v>
      </c>
      <c r="M891" s="108">
        <f t="shared" si="750"/>
        <v>0</v>
      </c>
      <c r="N891" s="108">
        <f t="shared" si="750"/>
        <v>0</v>
      </c>
      <c r="O891" s="108">
        <f t="shared" si="750"/>
        <v>0</v>
      </c>
      <c r="P891" s="108">
        <f t="shared" si="750"/>
        <v>0</v>
      </c>
      <c r="Q891" s="108">
        <f t="shared" si="750"/>
        <v>0</v>
      </c>
      <c r="R891" s="108">
        <f t="shared" si="750"/>
        <v>0</v>
      </c>
      <c r="S891" s="108">
        <f t="shared" si="750"/>
        <v>0</v>
      </c>
      <c r="T891" s="28" t="s">
        <v>26</v>
      </c>
      <c r="V891" s="104" t="str">
        <f>$V$61</f>
        <v>Alexia</v>
      </c>
      <c r="W891" s="108">
        <f t="shared" si="727"/>
        <v>-1</v>
      </c>
      <c r="X891" s="108">
        <f t="shared" si="728"/>
        <v>-1</v>
      </c>
      <c r="Y891" s="108">
        <f t="shared" si="729"/>
        <v>-1</v>
      </c>
      <c r="Z891" s="108">
        <f t="shared" si="730"/>
        <v>-1</v>
      </c>
      <c r="AA891" s="108">
        <f t="shared" si="731"/>
        <v>-1</v>
      </c>
      <c r="AB891" s="108">
        <f t="shared" si="732"/>
        <v>-1</v>
      </c>
      <c r="AC891" s="108">
        <f t="shared" si="733"/>
        <v>-1</v>
      </c>
      <c r="AD891" s="108">
        <f t="shared" si="734"/>
        <v>-1</v>
      </c>
      <c r="AE891" s="108">
        <f t="shared" si="735"/>
        <v>-1</v>
      </c>
      <c r="AF891" s="108">
        <f t="shared" si="736"/>
        <v>-1</v>
      </c>
      <c r="AG891" s="108">
        <f t="shared" si="737"/>
        <v>-1</v>
      </c>
      <c r="AH891" s="108">
        <f t="shared" si="738"/>
        <v>-1</v>
      </c>
      <c r="AI891" s="108">
        <f t="shared" si="739"/>
        <v>-1</v>
      </c>
      <c r="AJ891" s="108">
        <f t="shared" si="740"/>
        <v>-1</v>
      </c>
      <c r="AK891" s="108">
        <f t="shared" si="741"/>
        <v>-1</v>
      </c>
      <c r="AL891" s="108">
        <f t="shared" si="742"/>
        <v>-1</v>
      </c>
    </row>
    <row r="892" spans="3:38" x14ac:dyDescent="0.55000000000000004">
      <c r="C892" s="104" t="str">
        <f>$V$62</f>
        <v>Joao</v>
      </c>
      <c r="D892" s="108">
        <f t="shared" ref="D892:S892" si="751">D62</f>
        <v>0</v>
      </c>
      <c r="E892" s="108">
        <f t="shared" si="751"/>
        <v>0</v>
      </c>
      <c r="F892" s="108">
        <f t="shared" si="751"/>
        <v>0</v>
      </c>
      <c r="G892" s="108">
        <f t="shared" si="751"/>
        <v>0</v>
      </c>
      <c r="H892" s="108">
        <f t="shared" si="751"/>
        <v>0</v>
      </c>
      <c r="I892" s="108">
        <f t="shared" si="751"/>
        <v>0</v>
      </c>
      <c r="J892" s="108">
        <f t="shared" si="751"/>
        <v>0</v>
      </c>
      <c r="K892" s="108">
        <f t="shared" si="751"/>
        <v>0</v>
      </c>
      <c r="L892" s="108">
        <f t="shared" si="751"/>
        <v>0</v>
      </c>
      <c r="M892" s="108">
        <f t="shared" si="751"/>
        <v>0</v>
      </c>
      <c r="N892" s="108">
        <f t="shared" si="751"/>
        <v>0</v>
      </c>
      <c r="O892" s="108">
        <f t="shared" si="751"/>
        <v>0</v>
      </c>
      <c r="P892" s="108">
        <f t="shared" si="751"/>
        <v>0</v>
      </c>
      <c r="Q892" s="108">
        <f t="shared" si="751"/>
        <v>0</v>
      </c>
      <c r="R892" s="108">
        <f t="shared" si="751"/>
        <v>0</v>
      </c>
      <c r="S892" s="108">
        <f t="shared" si="751"/>
        <v>0</v>
      </c>
      <c r="T892" s="28" t="s">
        <v>26</v>
      </c>
      <c r="V892" s="104" t="str">
        <f>$V$62</f>
        <v>Joao</v>
      </c>
      <c r="W892" s="108">
        <f t="shared" si="727"/>
        <v>-1</v>
      </c>
      <c r="X892" s="108">
        <f t="shared" si="728"/>
        <v>-1</v>
      </c>
      <c r="Y892" s="108">
        <f t="shared" si="729"/>
        <v>-1</v>
      </c>
      <c r="Z892" s="108">
        <f t="shared" si="730"/>
        <v>-1</v>
      </c>
      <c r="AA892" s="108">
        <f t="shared" si="731"/>
        <v>-1</v>
      </c>
      <c r="AB892" s="108">
        <f t="shared" si="732"/>
        <v>-1</v>
      </c>
      <c r="AC892" s="108">
        <f t="shared" si="733"/>
        <v>-1</v>
      </c>
      <c r="AD892" s="108">
        <f t="shared" si="734"/>
        <v>-1</v>
      </c>
      <c r="AE892" s="108">
        <f t="shared" si="735"/>
        <v>-1</v>
      </c>
      <c r="AF892" s="108">
        <f t="shared" si="736"/>
        <v>-1</v>
      </c>
      <c r="AG892" s="108">
        <f t="shared" si="737"/>
        <v>-1</v>
      </c>
      <c r="AH892" s="108">
        <f t="shared" si="738"/>
        <v>-1</v>
      </c>
      <c r="AI892" s="108">
        <f t="shared" si="739"/>
        <v>-1</v>
      </c>
      <c r="AJ892" s="108">
        <f t="shared" si="740"/>
        <v>-1</v>
      </c>
      <c r="AK892" s="108">
        <f t="shared" si="741"/>
        <v>-1</v>
      </c>
      <c r="AL892" s="108">
        <f t="shared" si="742"/>
        <v>-1</v>
      </c>
    </row>
    <row r="893" spans="3:38" x14ac:dyDescent="0.55000000000000004">
      <c r="C893" s="104" t="str">
        <f>$V$63</f>
        <v>Maxime</v>
      </c>
      <c r="D893" s="108">
        <f t="shared" ref="D893:S893" si="752">D63</f>
        <v>0</v>
      </c>
      <c r="E893" s="108">
        <f t="shared" si="752"/>
        <v>0</v>
      </c>
      <c r="F893" s="108">
        <f t="shared" si="752"/>
        <v>0</v>
      </c>
      <c r="G893" s="108">
        <f t="shared" si="752"/>
        <v>0</v>
      </c>
      <c r="H893" s="108">
        <f t="shared" si="752"/>
        <v>0</v>
      </c>
      <c r="I893" s="108">
        <f t="shared" si="752"/>
        <v>0</v>
      </c>
      <c r="J893" s="108">
        <f t="shared" si="752"/>
        <v>0</v>
      </c>
      <c r="K893" s="108">
        <f t="shared" si="752"/>
        <v>0</v>
      </c>
      <c r="L893" s="108">
        <f t="shared" si="752"/>
        <v>0</v>
      </c>
      <c r="M893" s="108">
        <f t="shared" si="752"/>
        <v>0</v>
      </c>
      <c r="N893" s="108">
        <f t="shared" si="752"/>
        <v>0</v>
      </c>
      <c r="O893" s="108">
        <f t="shared" si="752"/>
        <v>0</v>
      </c>
      <c r="P893" s="108">
        <f t="shared" si="752"/>
        <v>0</v>
      </c>
      <c r="Q893" s="108">
        <f t="shared" si="752"/>
        <v>0</v>
      </c>
      <c r="R893" s="108">
        <f t="shared" si="752"/>
        <v>0</v>
      </c>
      <c r="S893" s="108">
        <f t="shared" si="752"/>
        <v>0</v>
      </c>
      <c r="T893" s="28" t="s">
        <v>26</v>
      </c>
      <c r="V893" s="104" t="str">
        <f>$V$63</f>
        <v>Maxime</v>
      </c>
      <c r="W893" s="108">
        <f t="shared" si="727"/>
        <v>-1</v>
      </c>
      <c r="X893" s="108">
        <f t="shared" si="728"/>
        <v>-1</v>
      </c>
      <c r="Y893" s="108">
        <f t="shared" si="729"/>
        <v>-1</v>
      </c>
      <c r="Z893" s="108">
        <f t="shared" si="730"/>
        <v>-1</v>
      </c>
      <c r="AA893" s="108">
        <f t="shared" si="731"/>
        <v>-1</v>
      </c>
      <c r="AB893" s="108">
        <f t="shared" si="732"/>
        <v>-1</v>
      </c>
      <c r="AC893" s="108">
        <f t="shared" si="733"/>
        <v>-1</v>
      </c>
      <c r="AD893" s="108">
        <f t="shared" si="734"/>
        <v>-1</v>
      </c>
      <c r="AE893" s="108">
        <f t="shared" si="735"/>
        <v>-1</v>
      </c>
      <c r="AF893" s="108">
        <f t="shared" si="736"/>
        <v>-1</v>
      </c>
      <c r="AG893" s="108">
        <f t="shared" si="737"/>
        <v>-1</v>
      </c>
      <c r="AH893" s="108">
        <f t="shared" si="738"/>
        <v>-1</v>
      </c>
      <c r="AI893" s="108">
        <f t="shared" si="739"/>
        <v>-1</v>
      </c>
      <c r="AJ893" s="108">
        <f t="shared" si="740"/>
        <v>-1</v>
      </c>
      <c r="AK893" s="108">
        <f t="shared" si="741"/>
        <v>-1</v>
      </c>
      <c r="AL893" s="108">
        <f t="shared" si="742"/>
        <v>-1</v>
      </c>
    </row>
    <row r="894" spans="3:38" x14ac:dyDescent="0.55000000000000004">
      <c r="C894" s="104" t="str">
        <f>$V$64</f>
        <v>Alex</v>
      </c>
      <c r="D894" s="108">
        <f t="shared" ref="D894:S894" si="753">D64</f>
        <v>0</v>
      </c>
      <c r="E894" s="108">
        <f t="shared" si="753"/>
        <v>0</v>
      </c>
      <c r="F894" s="108">
        <f t="shared" si="753"/>
        <v>0</v>
      </c>
      <c r="G894" s="108">
        <f t="shared" si="753"/>
        <v>0</v>
      </c>
      <c r="H894" s="108">
        <f t="shared" si="753"/>
        <v>0</v>
      </c>
      <c r="I894" s="108">
        <f t="shared" si="753"/>
        <v>0</v>
      </c>
      <c r="J894" s="108">
        <f t="shared" si="753"/>
        <v>0</v>
      </c>
      <c r="K894" s="108">
        <f t="shared" si="753"/>
        <v>0</v>
      </c>
      <c r="L894" s="108">
        <f t="shared" si="753"/>
        <v>0</v>
      </c>
      <c r="M894" s="108">
        <f t="shared" si="753"/>
        <v>0</v>
      </c>
      <c r="N894" s="108">
        <f t="shared" si="753"/>
        <v>0</v>
      </c>
      <c r="O894" s="108">
        <f t="shared" si="753"/>
        <v>0</v>
      </c>
      <c r="P894" s="108">
        <f t="shared" si="753"/>
        <v>0</v>
      </c>
      <c r="Q894" s="108">
        <f t="shared" si="753"/>
        <v>0</v>
      </c>
      <c r="R894" s="108">
        <f t="shared" si="753"/>
        <v>0</v>
      </c>
      <c r="S894" s="108">
        <f t="shared" si="753"/>
        <v>0</v>
      </c>
      <c r="T894" s="28" t="s">
        <v>26</v>
      </c>
      <c r="V894" s="104" t="str">
        <f>$V$64</f>
        <v>Alex</v>
      </c>
      <c r="W894" s="108">
        <f t="shared" si="727"/>
        <v>-1</v>
      </c>
      <c r="X894" s="108">
        <f t="shared" si="728"/>
        <v>-1</v>
      </c>
      <c r="Y894" s="108">
        <f t="shared" si="729"/>
        <v>-1</v>
      </c>
      <c r="Z894" s="108">
        <f t="shared" si="730"/>
        <v>-1</v>
      </c>
      <c r="AA894" s="108">
        <f t="shared" si="731"/>
        <v>-1</v>
      </c>
      <c r="AB894" s="108">
        <f t="shared" si="732"/>
        <v>-1</v>
      </c>
      <c r="AC894" s="108">
        <f t="shared" si="733"/>
        <v>-1</v>
      </c>
      <c r="AD894" s="108">
        <f t="shared" si="734"/>
        <v>-1</v>
      </c>
      <c r="AE894" s="108">
        <f t="shared" si="735"/>
        <v>-1</v>
      </c>
      <c r="AF894" s="108">
        <f t="shared" si="736"/>
        <v>-1</v>
      </c>
      <c r="AG894" s="108">
        <f t="shared" si="737"/>
        <v>-1</v>
      </c>
      <c r="AH894" s="108">
        <f t="shared" si="738"/>
        <v>-1</v>
      </c>
      <c r="AI894" s="108">
        <f t="shared" si="739"/>
        <v>-1</v>
      </c>
      <c r="AJ894" s="108">
        <f t="shared" si="740"/>
        <v>-1</v>
      </c>
      <c r="AK894" s="108">
        <f t="shared" si="741"/>
        <v>-1</v>
      </c>
      <c r="AL894" s="108">
        <f t="shared" si="742"/>
        <v>-1</v>
      </c>
    </row>
    <row r="895" spans="3:38" x14ac:dyDescent="0.55000000000000004">
      <c r="C895" s="104" t="str">
        <f>$V$65</f>
        <v>Alyssa</v>
      </c>
      <c r="D895" s="108">
        <f t="shared" ref="D895:S895" si="754">D65</f>
        <v>0</v>
      </c>
      <c r="E895" s="108">
        <f t="shared" si="754"/>
        <v>0</v>
      </c>
      <c r="F895" s="108">
        <f t="shared" si="754"/>
        <v>0</v>
      </c>
      <c r="G895" s="108">
        <f t="shared" si="754"/>
        <v>0</v>
      </c>
      <c r="H895" s="108">
        <f t="shared" si="754"/>
        <v>0</v>
      </c>
      <c r="I895" s="108">
        <f t="shared" si="754"/>
        <v>0</v>
      </c>
      <c r="J895" s="108">
        <f t="shared" si="754"/>
        <v>0</v>
      </c>
      <c r="K895" s="108">
        <f t="shared" si="754"/>
        <v>0</v>
      </c>
      <c r="L895" s="108">
        <f t="shared" si="754"/>
        <v>0</v>
      </c>
      <c r="M895" s="108">
        <f t="shared" si="754"/>
        <v>0</v>
      </c>
      <c r="N895" s="108">
        <f t="shared" si="754"/>
        <v>0</v>
      </c>
      <c r="O895" s="108">
        <f t="shared" si="754"/>
        <v>0</v>
      </c>
      <c r="P895" s="108">
        <f t="shared" si="754"/>
        <v>0</v>
      </c>
      <c r="Q895" s="108">
        <f t="shared" si="754"/>
        <v>0</v>
      </c>
      <c r="R895" s="108">
        <f t="shared" si="754"/>
        <v>0</v>
      </c>
      <c r="S895" s="108">
        <f t="shared" si="754"/>
        <v>0</v>
      </c>
      <c r="T895" s="28" t="s">
        <v>26</v>
      </c>
      <c r="V895" s="104" t="str">
        <f>$V$65</f>
        <v>Alyssa</v>
      </c>
      <c r="W895" s="108">
        <f t="shared" si="727"/>
        <v>-1</v>
      </c>
      <c r="X895" s="108">
        <f t="shared" si="728"/>
        <v>-1</v>
      </c>
      <c r="Y895" s="108">
        <f t="shared" si="729"/>
        <v>-1</v>
      </c>
      <c r="Z895" s="108">
        <f t="shared" si="730"/>
        <v>-1</v>
      </c>
      <c r="AA895" s="108">
        <f t="shared" si="731"/>
        <v>-1</v>
      </c>
      <c r="AB895" s="108">
        <f t="shared" si="732"/>
        <v>-1</v>
      </c>
      <c r="AC895" s="108">
        <f t="shared" si="733"/>
        <v>-1</v>
      </c>
      <c r="AD895" s="108">
        <f t="shared" si="734"/>
        <v>-1</v>
      </c>
      <c r="AE895" s="108">
        <f t="shared" si="735"/>
        <v>-1</v>
      </c>
      <c r="AF895" s="108">
        <f t="shared" si="736"/>
        <v>-1</v>
      </c>
      <c r="AG895" s="108">
        <f t="shared" si="737"/>
        <v>-1</v>
      </c>
      <c r="AH895" s="108">
        <f t="shared" si="738"/>
        <v>-1</v>
      </c>
      <c r="AI895" s="108">
        <f t="shared" si="739"/>
        <v>-1</v>
      </c>
      <c r="AJ895" s="108">
        <f t="shared" si="740"/>
        <v>-1</v>
      </c>
      <c r="AK895" s="108">
        <f t="shared" si="741"/>
        <v>-1</v>
      </c>
      <c r="AL895" s="108">
        <f t="shared" si="742"/>
        <v>-1</v>
      </c>
    </row>
    <row r="896" spans="3:38" x14ac:dyDescent="0.55000000000000004">
      <c r="C896" s="104" t="str">
        <f>$V$66</f>
        <v>Amanda</v>
      </c>
      <c r="D896" s="108">
        <f t="shared" ref="D896:S896" si="755">D66</f>
        <v>0</v>
      </c>
      <c r="E896" s="108">
        <f t="shared" si="755"/>
        <v>0</v>
      </c>
      <c r="F896" s="108">
        <f t="shared" si="755"/>
        <v>0</v>
      </c>
      <c r="G896" s="108">
        <f t="shared" si="755"/>
        <v>0</v>
      </c>
      <c r="H896" s="108">
        <f t="shared" si="755"/>
        <v>0</v>
      </c>
      <c r="I896" s="108">
        <f t="shared" si="755"/>
        <v>0</v>
      </c>
      <c r="J896" s="108">
        <f t="shared" si="755"/>
        <v>0</v>
      </c>
      <c r="K896" s="108">
        <f t="shared" si="755"/>
        <v>0</v>
      </c>
      <c r="L896" s="108">
        <f t="shared" si="755"/>
        <v>0</v>
      </c>
      <c r="M896" s="108">
        <f t="shared" si="755"/>
        <v>0</v>
      </c>
      <c r="N896" s="108">
        <f t="shared" si="755"/>
        <v>0</v>
      </c>
      <c r="O896" s="108">
        <f t="shared" si="755"/>
        <v>0</v>
      </c>
      <c r="P896" s="108">
        <f t="shared" si="755"/>
        <v>0</v>
      </c>
      <c r="Q896" s="108">
        <f t="shared" si="755"/>
        <v>0</v>
      </c>
      <c r="R896" s="108">
        <f t="shared" si="755"/>
        <v>0</v>
      </c>
      <c r="S896" s="108">
        <f t="shared" si="755"/>
        <v>0</v>
      </c>
      <c r="T896" s="28" t="s">
        <v>26</v>
      </c>
      <c r="V896" s="104" t="str">
        <f>$V$66</f>
        <v>Amanda</v>
      </c>
      <c r="W896" s="108">
        <f t="shared" si="727"/>
        <v>-1</v>
      </c>
      <c r="X896" s="108">
        <f t="shared" si="728"/>
        <v>-1</v>
      </c>
      <c r="Y896" s="108">
        <f t="shared" si="729"/>
        <v>-1</v>
      </c>
      <c r="Z896" s="108">
        <f t="shared" si="730"/>
        <v>-1</v>
      </c>
      <c r="AA896" s="108">
        <f t="shared" si="731"/>
        <v>-1</v>
      </c>
      <c r="AB896" s="108">
        <f t="shared" si="732"/>
        <v>-1</v>
      </c>
      <c r="AC896" s="108">
        <f t="shared" si="733"/>
        <v>-1</v>
      </c>
      <c r="AD896" s="108">
        <f t="shared" si="734"/>
        <v>-1</v>
      </c>
      <c r="AE896" s="108">
        <f t="shared" si="735"/>
        <v>-1</v>
      </c>
      <c r="AF896" s="108">
        <f t="shared" si="736"/>
        <v>-1</v>
      </c>
      <c r="AG896" s="108">
        <f t="shared" si="737"/>
        <v>-1</v>
      </c>
      <c r="AH896" s="108">
        <f t="shared" si="738"/>
        <v>-1</v>
      </c>
      <c r="AI896" s="108">
        <f t="shared" si="739"/>
        <v>-1</v>
      </c>
      <c r="AJ896" s="108">
        <f t="shared" si="740"/>
        <v>-1</v>
      </c>
      <c r="AK896" s="108">
        <f t="shared" si="741"/>
        <v>-1</v>
      </c>
      <c r="AL896" s="108">
        <f t="shared" si="742"/>
        <v>-1</v>
      </c>
    </row>
    <row r="897" spans="3:38" x14ac:dyDescent="0.55000000000000004">
      <c r="C897" s="104" t="str">
        <f>$V$67</f>
        <v>Antoine</v>
      </c>
      <c r="D897" s="108">
        <f t="shared" ref="D897:S897" si="756">D67</f>
        <v>0</v>
      </c>
      <c r="E897" s="108">
        <f t="shared" si="756"/>
        <v>0</v>
      </c>
      <c r="F897" s="108">
        <f t="shared" si="756"/>
        <v>0</v>
      </c>
      <c r="G897" s="108">
        <f t="shared" si="756"/>
        <v>0</v>
      </c>
      <c r="H897" s="108">
        <f t="shared" si="756"/>
        <v>0</v>
      </c>
      <c r="I897" s="108">
        <f t="shared" si="756"/>
        <v>0</v>
      </c>
      <c r="J897" s="108">
        <f t="shared" si="756"/>
        <v>0</v>
      </c>
      <c r="K897" s="108">
        <f t="shared" si="756"/>
        <v>0</v>
      </c>
      <c r="L897" s="108">
        <f t="shared" si="756"/>
        <v>0</v>
      </c>
      <c r="M897" s="108">
        <f t="shared" si="756"/>
        <v>0</v>
      </c>
      <c r="N897" s="108">
        <f t="shared" si="756"/>
        <v>0</v>
      </c>
      <c r="O897" s="108">
        <f t="shared" si="756"/>
        <v>0</v>
      </c>
      <c r="P897" s="108">
        <f t="shared" si="756"/>
        <v>0</v>
      </c>
      <c r="Q897" s="108">
        <f t="shared" si="756"/>
        <v>0</v>
      </c>
      <c r="R897" s="108">
        <f t="shared" si="756"/>
        <v>0</v>
      </c>
      <c r="S897" s="108">
        <f t="shared" si="756"/>
        <v>0</v>
      </c>
      <c r="T897" s="28" t="s">
        <v>26</v>
      </c>
      <c r="V897" s="104" t="str">
        <f>$V$67</f>
        <v>Antoine</v>
      </c>
      <c r="W897" s="108">
        <f t="shared" si="727"/>
        <v>-1</v>
      </c>
      <c r="X897" s="108">
        <f t="shared" si="728"/>
        <v>-1</v>
      </c>
      <c r="Y897" s="108">
        <f t="shared" si="729"/>
        <v>-1</v>
      </c>
      <c r="Z897" s="108">
        <f t="shared" si="730"/>
        <v>-1</v>
      </c>
      <c r="AA897" s="108">
        <f t="shared" si="731"/>
        <v>-1</v>
      </c>
      <c r="AB897" s="108">
        <f t="shared" si="732"/>
        <v>-1</v>
      </c>
      <c r="AC897" s="108">
        <f t="shared" si="733"/>
        <v>-1</v>
      </c>
      <c r="AD897" s="108">
        <f t="shared" si="734"/>
        <v>-1</v>
      </c>
      <c r="AE897" s="108">
        <f t="shared" si="735"/>
        <v>-1</v>
      </c>
      <c r="AF897" s="108">
        <f t="shared" si="736"/>
        <v>-1</v>
      </c>
      <c r="AG897" s="108">
        <f t="shared" si="737"/>
        <v>-1</v>
      </c>
      <c r="AH897" s="108">
        <f t="shared" si="738"/>
        <v>-1</v>
      </c>
      <c r="AI897" s="108">
        <f t="shared" si="739"/>
        <v>-1</v>
      </c>
      <c r="AJ897" s="108">
        <f t="shared" si="740"/>
        <v>-1</v>
      </c>
      <c r="AK897" s="108">
        <f t="shared" si="741"/>
        <v>-1</v>
      </c>
      <c r="AL897" s="108">
        <f t="shared" si="742"/>
        <v>-1</v>
      </c>
    </row>
    <row r="898" spans="3:38" x14ac:dyDescent="0.55000000000000004">
      <c r="C898" s="104" t="str">
        <f>$V$68</f>
        <v>Beatriz</v>
      </c>
      <c r="D898" s="108">
        <f t="shared" ref="D898:S898" si="757">D68</f>
        <v>0</v>
      </c>
      <c r="E898" s="108">
        <f t="shared" si="757"/>
        <v>0</v>
      </c>
      <c r="F898" s="108">
        <f t="shared" si="757"/>
        <v>0</v>
      </c>
      <c r="G898" s="108">
        <f t="shared" si="757"/>
        <v>0</v>
      </c>
      <c r="H898" s="108">
        <f t="shared" si="757"/>
        <v>0</v>
      </c>
      <c r="I898" s="108">
        <f t="shared" si="757"/>
        <v>0</v>
      </c>
      <c r="J898" s="108">
        <f t="shared" si="757"/>
        <v>0</v>
      </c>
      <c r="K898" s="108">
        <f t="shared" si="757"/>
        <v>0</v>
      </c>
      <c r="L898" s="108">
        <f t="shared" si="757"/>
        <v>0</v>
      </c>
      <c r="M898" s="108">
        <f t="shared" si="757"/>
        <v>0</v>
      </c>
      <c r="N898" s="108">
        <f t="shared" si="757"/>
        <v>0</v>
      </c>
      <c r="O898" s="108">
        <f t="shared" si="757"/>
        <v>0</v>
      </c>
      <c r="P898" s="108">
        <f t="shared" si="757"/>
        <v>0</v>
      </c>
      <c r="Q898" s="108">
        <f t="shared" si="757"/>
        <v>0</v>
      </c>
      <c r="R898" s="108">
        <f t="shared" si="757"/>
        <v>0</v>
      </c>
      <c r="S898" s="108">
        <f t="shared" si="757"/>
        <v>0</v>
      </c>
      <c r="T898" s="28" t="s">
        <v>26</v>
      </c>
      <c r="V898" s="104" t="str">
        <f>$V$68</f>
        <v>Beatriz</v>
      </c>
      <c r="W898" s="108">
        <f t="shared" si="727"/>
        <v>-1</v>
      </c>
      <c r="X898" s="108">
        <f t="shared" si="728"/>
        <v>-1</v>
      </c>
      <c r="Y898" s="108">
        <f t="shared" si="729"/>
        <v>-1</v>
      </c>
      <c r="Z898" s="108">
        <f t="shared" si="730"/>
        <v>-1</v>
      </c>
      <c r="AA898" s="108">
        <f t="shared" si="731"/>
        <v>-1</v>
      </c>
      <c r="AB898" s="108">
        <f t="shared" si="732"/>
        <v>-1</v>
      </c>
      <c r="AC898" s="108">
        <f t="shared" si="733"/>
        <v>-1</v>
      </c>
      <c r="AD898" s="108">
        <f t="shared" si="734"/>
        <v>-1</v>
      </c>
      <c r="AE898" s="108">
        <f t="shared" si="735"/>
        <v>-1</v>
      </c>
      <c r="AF898" s="108">
        <f t="shared" si="736"/>
        <v>-1</v>
      </c>
      <c r="AG898" s="108">
        <f t="shared" si="737"/>
        <v>-1</v>
      </c>
      <c r="AH898" s="108">
        <f t="shared" si="738"/>
        <v>-1</v>
      </c>
      <c r="AI898" s="108">
        <f t="shared" si="739"/>
        <v>-1</v>
      </c>
      <c r="AJ898" s="108">
        <f t="shared" si="740"/>
        <v>-1</v>
      </c>
      <c r="AK898" s="108">
        <f t="shared" si="741"/>
        <v>-1</v>
      </c>
      <c r="AL898" s="108">
        <f t="shared" si="742"/>
        <v>-1</v>
      </c>
    </row>
    <row r="899" spans="3:38" x14ac:dyDescent="0.55000000000000004">
      <c r="C899" s="104" t="str">
        <f>$V$69</f>
        <v>Charelle</v>
      </c>
      <c r="D899" s="108">
        <f t="shared" ref="D899:S899" si="758">D69</f>
        <v>0</v>
      </c>
      <c r="E899" s="108">
        <f t="shared" si="758"/>
        <v>0</v>
      </c>
      <c r="F899" s="108">
        <f t="shared" si="758"/>
        <v>0</v>
      </c>
      <c r="G899" s="108">
        <f t="shared" si="758"/>
        <v>0</v>
      </c>
      <c r="H899" s="108">
        <f t="shared" si="758"/>
        <v>0</v>
      </c>
      <c r="I899" s="108">
        <f t="shared" si="758"/>
        <v>0</v>
      </c>
      <c r="J899" s="108">
        <f t="shared" si="758"/>
        <v>0</v>
      </c>
      <c r="K899" s="108">
        <f t="shared" si="758"/>
        <v>0</v>
      </c>
      <c r="L899" s="108">
        <f t="shared" si="758"/>
        <v>0</v>
      </c>
      <c r="M899" s="108">
        <f t="shared" si="758"/>
        <v>0</v>
      </c>
      <c r="N899" s="108">
        <f t="shared" si="758"/>
        <v>0</v>
      </c>
      <c r="O899" s="108">
        <f t="shared" si="758"/>
        <v>0</v>
      </c>
      <c r="P899" s="108">
        <f t="shared" si="758"/>
        <v>0</v>
      </c>
      <c r="Q899" s="108">
        <f t="shared" si="758"/>
        <v>0</v>
      </c>
      <c r="R899" s="108">
        <f t="shared" si="758"/>
        <v>0</v>
      </c>
      <c r="S899" s="108">
        <f t="shared" si="758"/>
        <v>0</v>
      </c>
      <c r="T899" s="28" t="s">
        <v>26</v>
      </c>
      <c r="V899" s="104" t="str">
        <f>$V$69</f>
        <v>Charelle</v>
      </c>
      <c r="W899" s="108">
        <f t="shared" si="727"/>
        <v>-1</v>
      </c>
      <c r="X899" s="108">
        <f t="shared" si="728"/>
        <v>-1</v>
      </c>
      <c r="Y899" s="108">
        <f t="shared" si="729"/>
        <v>-1</v>
      </c>
      <c r="Z899" s="108">
        <f t="shared" si="730"/>
        <v>-1</v>
      </c>
      <c r="AA899" s="108">
        <f t="shared" si="731"/>
        <v>-1</v>
      </c>
      <c r="AB899" s="108">
        <f t="shared" si="732"/>
        <v>-1</v>
      </c>
      <c r="AC899" s="108">
        <f t="shared" si="733"/>
        <v>-1</v>
      </c>
      <c r="AD899" s="108">
        <f t="shared" si="734"/>
        <v>-1</v>
      </c>
      <c r="AE899" s="108">
        <f t="shared" si="735"/>
        <v>-1</v>
      </c>
      <c r="AF899" s="108">
        <f t="shared" si="736"/>
        <v>-1</v>
      </c>
      <c r="AG899" s="108">
        <f t="shared" si="737"/>
        <v>-1</v>
      </c>
      <c r="AH899" s="108">
        <f t="shared" si="738"/>
        <v>-1</v>
      </c>
      <c r="AI899" s="108">
        <f t="shared" si="739"/>
        <v>-1</v>
      </c>
      <c r="AJ899" s="108">
        <f t="shared" si="740"/>
        <v>-1</v>
      </c>
      <c r="AK899" s="108">
        <f t="shared" si="741"/>
        <v>-1</v>
      </c>
      <c r="AL899" s="108">
        <f t="shared" si="742"/>
        <v>-1</v>
      </c>
    </row>
    <row r="900" spans="3:38" x14ac:dyDescent="0.55000000000000004">
      <c r="C900" s="104" t="str">
        <f>$V$70</f>
        <v>Dimitri</v>
      </c>
      <c r="D900" s="108">
        <f t="shared" ref="D900:S900" si="759">D70</f>
        <v>0</v>
      </c>
      <c r="E900" s="108">
        <f t="shared" si="759"/>
        <v>0</v>
      </c>
      <c r="F900" s="108">
        <f t="shared" si="759"/>
        <v>0</v>
      </c>
      <c r="G900" s="108">
        <f t="shared" si="759"/>
        <v>0</v>
      </c>
      <c r="H900" s="108">
        <f t="shared" si="759"/>
        <v>0</v>
      </c>
      <c r="I900" s="108">
        <f t="shared" si="759"/>
        <v>0</v>
      </c>
      <c r="J900" s="108">
        <f t="shared" si="759"/>
        <v>0</v>
      </c>
      <c r="K900" s="108">
        <f t="shared" si="759"/>
        <v>0</v>
      </c>
      <c r="L900" s="108">
        <f t="shared" si="759"/>
        <v>0</v>
      </c>
      <c r="M900" s="108">
        <f t="shared" si="759"/>
        <v>0</v>
      </c>
      <c r="N900" s="108">
        <f t="shared" si="759"/>
        <v>0</v>
      </c>
      <c r="O900" s="108">
        <f t="shared" si="759"/>
        <v>0</v>
      </c>
      <c r="P900" s="108">
        <f t="shared" si="759"/>
        <v>0</v>
      </c>
      <c r="Q900" s="108">
        <f t="shared" si="759"/>
        <v>0</v>
      </c>
      <c r="R900" s="108">
        <f t="shared" si="759"/>
        <v>0</v>
      </c>
      <c r="S900" s="108">
        <f t="shared" si="759"/>
        <v>0</v>
      </c>
      <c r="T900" s="28" t="s">
        <v>26</v>
      </c>
      <c r="V900" s="104" t="str">
        <f>$V$70</f>
        <v>Dimitri</v>
      </c>
      <c r="W900" s="108">
        <f t="shared" si="727"/>
        <v>-1</v>
      </c>
      <c r="X900" s="108">
        <f t="shared" si="728"/>
        <v>-1</v>
      </c>
      <c r="Y900" s="108">
        <f t="shared" si="729"/>
        <v>-1</v>
      </c>
      <c r="Z900" s="108">
        <f t="shared" si="730"/>
        <v>-1</v>
      </c>
      <c r="AA900" s="108">
        <f t="shared" si="731"/>
        <v>-1</v>
      </c>
      <c r="AB900" s="108">
        <f t="shared" si="732"/>
        <v>-1</v>
      </c>
      <c r="AC900" s="108">
        <f t="shared" si="733"/>
        <v>-1</v>
      </c>
      <c r="AD900" s="108">
        <f t="shared" si="734"/>
        <v>-1</v>
      </c>
      <c r="AE900" s="108">
        <f t="shared" si="735"/>
        <v>-1</v>
      </c>
      <c r="AF900" s="108">
        <f t="shared" si="736"/>
        <v>-1</v>
      </c>
      <c r="AG900" s="108">
        <f t="shared" si="737"/>
        <v>-1</v>
      </c>
      <c r="AH900" s="108">
        <f t="shared" si="738"/>
        <v>-1</v>
      </c>
      <c r="AI900" s="108">
        <f t="shared" si="739"/>
        <v>-1</v>
      </c>
      <c r="AJ900" s="108">
        <f t="shared" si="740"/>
        <v>-1</v>
      </c>
      <c r="AK900" s="108">
        <f t="shared" si="741"/>
        <v>-1</v>
      </c>
      <c r="AL900" s="108">
        <f t="shared" si="742"/>
        <v>-1</v>
      </c>
    </row>
    <row r="901" spans="3:38" x14ac:dyDescent="0.55000000000000004">
      <c r="C901" s="104" t="str">
        <f>$V$71</f>
        <v>Marina</v>
      </c>
      <c r="D901" s="108">
        <f t="shared" ref="D901:S901" si="760">D71</f>
        <v>0</v>
      </c>
      <c r="E901" s="108">
        <f t="shared" si="760"/>
        <v>0</v>
      </c>
      <c r="F901" s="108">
        <f t="shared" si="760"/>
        <v>0</v>
      </c>
      <c r="G901" s="108">
        <f t="shared" si="760"/>
        <v>0</v>
      </c>
      <c r="H901" s="108">
        <f t="shared" si="760"/>
        <v>0</v>
      </c>
      <c r="I901" s="108">
        <f t="shared" si="760"/>
        <v>0</v>
      </c>
      <c r="J901" s="108">
        <f t="shared" si="760"/>
        <v>0</v>
      </c>
      <c r="K901" s="108">
        <f t="shared" si="760"/>
        <v>0</v>
      </c>
      <c r="L901" s="108">
        <f t="shared" si="760"/>
        <v>0</v>
      </c>
      <c r="M901" s="108">
        <f t="shared" si="760"/>
        <v>0</v>
      </c>
      <c r="N901" s="108">
        <f t="shared" si="760"/>
        <v>0</v>
      </c>
      <c r="O901" s="108">
        <f t="shared" si="760"/>
        <v>0</v>
      </c>
      <c r="P901" s="108">
        <f t="shared" si="760"/>
        <v>0</v>
      </c>
      <c r="Q901" s="108">
        <f t="shared" si="760"/>
        <v>0</v>
      </c>
      <c r="R901" s="108">
        <f t="shared" si="760"/>
        <v>0</v>
      </c>
      <c r="S901" s="108">
        <f t="shared" si="760"/>
        <v>0</v>
      </c>
      <c r="T901" s="28" t="s">
        <v>26</v>
      </c>
      <c r="V901" s="104" t="str">
        <f>$V$71</f>
        <v>Marina</v>
      </c>
      <c r="W901" s="108">
        <f t="shared" si="727"/>
        <v>-1</v>
      </c>
      <c r="X901" s="108">
        <f t="shared" si="728"/>
        <v>-1</v>
      </c>
      <c r="Y901" s="108">
        <f t="shared" si="729"/>
        <v>-1</v>
      </c>
      <c r="Z901" s="108">
        <f t="shared" si="730"/>
        <v>-1</v>
      </c>
      <c r="AA901" s="108">
        <f t="shared" si="731"/>
        <v>-1</v>
      </c>
      <c r="AB901" s="108">
        <f t="shared" si="732"/>
        <v>-1</v>
      </c>
      <c r="AC901" s="108">
        <f t="shared" si="733"/>
        <v>-1</v>
      </c>
      <c r="AD901" s="108">
        <f t="shared" si="734"/>
        <v>-1</v>
      </c>
      <c r="AE901" s="108">
        <f t="shared" si="735"/>
        <v>-1</v>
      </c>
      <c r="AF901" s="108">
        <f t="shared" si="736"/>
        <v>-1</v>
      </c>
      <c r="AG901" s="108">
        <f t="shared" si="737"/>
        <v>-1</v>
      </c>
      <c r="AH901" s="108">
        <f t="shared" si="738"/>
        <v>-1</v>
      </c>
      <c r="AI901" s="108">
        <f t="shared" si="739"/>
        <v>-1</v>
      </c>
      <c r="AJ901" s="108">
        <f t="shared" si="740"/>
        <v>-1</v>
      </c>
      <c r="AK901" s="108">
        <f t="shared" si="741"/>
        <v>-1</v>
      </c>
      <c r="AL901" s="108">
        <f t="shared" si="742"/>
        <v>-1</v>
      </c>
    </row>
    <row r="902" spans="3:38" x14ac:dyDescent="0.55000000000000004">
      <c r="C902" s="104" t="str">
        <f>$V$72</f>
        <v>Michel</v>
      </c>
      <c r="D902" s="108">
        <f t="shared" ref="D902:S902" si="761">D72</f>
        <v>0</v>
      </c>
      <c r="E902" s="108">
        <f t="shared" si="761"/>
        <v>0</v>
      </c>
      <c r="F902" s="108">
        <f t="shared" si="761"/>
        <v>0</v>
      </c>
      <c r="G902" s="108">
        <f t="shared" si="761"/>
        <v>0</v>
      </c>
      <c r="H902" s="108">
        <f t="shared" si="761"/>
        <v>0</v>
      </c>
      <c r="I902" s="108">
        <f t="shared" si="761"/>
        <v>0</v>
      </c>
      <c r="J902" s="108">
        <f t="shared" si="761"/>
        <v>0</v>
      </c>
      <c r="K902" s="108">
        <f t="shared" si="761"/>
        <v>0</v>
      </c>
      <c r="L902" s="108">
        <f t="shared" si="761"/>
        <v>0</v>
      </c>
      <c r="M902" s="108">
        <f t="shared" si="761"/>
        <v>0</v>
      </c>
      <c r="N902" s="108">
        <f t="shared" si="761"/>
        <v>0</v>
      </c>
      <c r="O902" s="108">
        <f t="shared" si="761"/>
        <v>0</v>
      </c>
      <c r="P902" s="108">
        <f t="shared" si="761"/>
        <v>0</v>
      </c>
      <c r="Q902" s="108">
        <f t="shared" si="761"/>
        <v>0</v>
      </c>
      <c r="R902" s="108">
        <f t="shared" si="761"/>
        <v>0</v>
      </c>
      <c r="S902" s="108">
        <f t="shared" si="761"/>
        <v>0</v>
      </c>
      <c r="T902" s="28" t="s">
        <v>26</v>
      </c>
      <c r="V902" s="104" t="str">
        <f>$V$72</f>
        <v>Michel</v>
      </c>
      <c r="W902" s="108">
        <f t="shared" si="727"/>
        <v>-1</v>
      </c>
      <c r="X902" s="108">
        <f t="shared" si="728"/>
        <v>-1</v>
      </c>
      <c r="Y902" s="108">
        <f t="shared" si="729"/>
        <v>-1</v>
      </c>
      <c r="Z902" s="108">
        <f t="shared" si="730"/>
        <v>-1</v>
      </c>
      <c r="AA902" s="108">
        <f t="shared" si="731"/>
        <v>-1</v>
      </c>
      <c r="AB902" s="108">
        <f t="shared" si="732"/>
        <v>-1</v>
      </c>
      <c r="AC902" s="108">
        <f t="shared" si="733"/>
        <v>-1</v>
      </c>
      <c r="AD902" s="108">
        <f t="shared" si="734"/>
        <v>-1</v>
      </c>
      <c r="AE902" s="108">
        <f t="shared" si="735"/>
        <v>-1</v>
      </c>
      <c r="AF902" s="108">
        <f t="shared" si="736"/>
        <v>-1</v>
      </c>
      <c r="AG902" s="108">
        <f t="shared" si="737"/>
        <v>-1</v>
      </c>
      <c r="AH902" s="108">
        <f t="shared" si="738"/>
        <v>-1</v>
      </c>
      <c r="AI902" s="108">
        <f t="shared" si="739"/>
        <v>-1</v>
      </c>
      <c r="AJ902" s="108">
        <f t="shared" si="740"/>
        <v>-1</v>
      </c>
      <c r="AK902" s="108">
        <f t="shared" si="741"/>
        <v>-1</v>
      </c>
      <c r="AL902" s="108">
        <f t="shared" si="742"/>
        <v>-1</v>
      </c>
    </row>
    <row r="903" spans="3:38" x14ac:dyDescent="0.55000000000000004">
      <c r="C903" s="104" t="str">
        <f>$V$73</f>
        <v>Nour</v>
      </c>
      <c r="D903" s="108">
        <f t="shared" ref="D903:S903" si="762">D73</f>
        <v>0</v>
      </c>
      <c r="E903" s="108">
        <f t="shared" si="762"/>
        <v>0</v>
      </c>
      <c r="F903" s="108">
        <f t="shared" si="762"/>
        <v>0</v>
      </c>
      <c r="G903" s="108">
        <f t="shared" si="762"/>
        <v>0</v>
      </c>
      <c r="H903" s="108">
        <f t="shared" si="762"/>
        <v>0</v>
      </c>
      <c r="I903" s="108">
        <f t="shared" si="762"/>
        <v>0</v>
      </c>
      <c r="J903" s="108">
        <f t="shared" si="762"/>
        <v>0</v>
      </c>
      <c r="K903" s="108">
        <f t="shared" si="762"/>
        <v>0</v>
      </c>
      <c r="L903" s="108">
        <f t="shared" si="762"/>
        <v>0</v>
      </c>
      <c r="M903" s="108">
        <f t="shared" si="762"/>
        <v>0</v>
      </c>
      <c r="N903" s="108">
        <f t="shared" si="762"/>
        <v>0</v>
      </c>
      <c r="O903" s="108">
        <f t="shared" si="762"/>
        <v>0</v>
      </c>
      <c r="P903" s="108">
        <f t="shared" si="762"/>
        <v>0</v>
      </c>
      <c r="Q903" s="108">
        <f t="shared" si="762"/>
        <v>0</v>
      </c>
      <c r="R903" s="108">
        <f t="shared" si="762"/>
        <v>0</v>
      </c>
      <c r="S903" s="108">
        <f t="shared" si="762"/>
        <v>0</v>
      </c>
      <c r="T903" s="28" t="s">
        <v>26</v>
      </c>
      <c r="V903" s="104" t="str">
        <f>$V$73</f>
        <v>Nour</v>
      </c>
      <c r="W903" s="108">
        <f t="shared" si="727"/>
        <v>-1</v>
      </c>
      <c r="X903" s="108">
        <f t="shared" si="728"/>
        <v>-1</v>
      </c>
      <c r="Y903" s="108">
        <f t="shared" si="729"/>
        <v>-1</v>
      </c>
      <c r="Z903" s="108">
        <f t="shared" si="730"/>
        <v>-1</v>
      </c>
      <c r="AA903" s="108">
        <f t="shared" si="731"/>
        <v>-1</v>
      </c>
      <c r="AB903" s="108">
        <f t="shared" si="732"/>
        <v>-1</v>
      </c>
      <c r="AC903" s="108">
        <f t="shared" si="733"/>
        <v>-1</v>
      </c>
      <c r="AD903" s="108">
        <f t="shared" si="734"/>
        <v>-1</v>
      </c>
      <c r="AE903" s="108">
        <f t="shared" si="735"/>
        <v>-1</v>
      </c>
      <c r="AF903" s="108">
        <f t="shared" si="736"/>
        <v>-1</v>
      </c>
      <c r="AG903" s="108">
        <f t="shared" si="737"/>
        <v>-1</v>
      </c>
      <c r="AH903" s="108">
        <f t="shared" si="738"/>
        <v>-1</v>
      </c>
      <c r="AI903" s="108">
        <f t="shared" si="739"/>
        <v>-1</v>
      </c>
      <c r="AJ903" s="108">
        <f t="shared" si="740"/>
        <v>-1</v>
      </c>
      <c r="AK903" s="108">
        <f t="shared" si="741"/>
        <v>-1</v>
      </c>
      <c r="AL903" s="108">
        <f t="shared" si="742"/>
        <v>-1</v>
      </c>
    </row>
    <row r="904" spans="3:38" x14ac:dyDescent="0.55000000000000004">
      <c r="C904" s="104" t="str">
        <f>$V$74</f>
        <v>Samuel</v>
      </c>
      <c r="D904" s="108">
        <f t="shared" ref="D904:S904" si="763">D74</f>
        <v>0</v>
      </c>
      <c r="E904" s="108">
        <f t="shared" si="763"/>
        <v>0</v>
      </c>
      <c r="F904" s="108">
        <f t="shared" si="763"/>
        <v>0</v>
      </c>
      <c r="G904" s="108">
        <f t="shared" si="763"/>
        <v>0</v>
      </c>
      <c r="H904" s="108">
        <f t="shared" si="763"/>
        <v>0</v>
      </c>
      <c r="I904" s="108">
        <f t="shared" si="763"/>
        <v>0</v>
      </c>
      <c r="J904" s="108">
        <f t="shared" si="763"/>
        <v>0</v>
      </c>
      <c r="K904" s="108">
        <f t="shared" si="763"/>
        <v>0</v>
      </c>
      <c r="L904" s="108">
        <f t="shared" si="763"/>
        <v>0</v>
      </c>
      <c r="M904" s="108">
        <f t="shared" si="763"/>
        <v>0</v>
      </c>
      <c r="N904" s="108">
        <f t="shared" si="763"/>
        <v>0</v>
      </c>
      <c r="O904" s="108">
        <f t="shared" si="763"/>
        <v>0</v>
      </c>
      <c r="P904" s="108">
        <f t="shared" si="763"/>
        <v>0</v>
      </c>
      <c r="Q904" s="108">
        <f t="shared" si="763"/>
        <v>0</v>
      </c>
      <c r="R904" s="108">
        <f t="shared" si="763"/>
        <v>0</v>
      </c>
      <c r="S904" s="108">
        <f t="shared" si="763"/>
        <v>0</v>
      </c>
      <c r="T904" s="28" t="s">
        <v>26</v>
      </c>
      <c r="V904" s="104" t="str">
        <f>$V$74</f>
        <v>Samuel</v>
      </c>
      <c r="W904" s="108">
        <f t="shared" si="727"/>
        <v>-1</v>
      </c>
      <c r="X904" s="108">
        <f t="shared" si="728"/>
        <v>-1</v>
      </c>
      <c r="Y904" s="108">
        <f t="shared" si="729"/>
        <v>-1</v>
      </c>
      <c r="Z904" s="108">
        <f t="shared" si="730"/>
        <v>-1</v>
      </c>
      <c r="AA904" s="108">
        <f t="shared" si="731"/>
        <v>-1</v>
      </c>
      <c r="AB904" s="108">
        <f t="shared" si="732"/>
        <v>-1</v>
      </c>
      <c r="AC904" s="108">
        <f t="shared" si="733"/>
        <v>-1</v>
      </c>
      <c r="AD904" s="108">
        <f t="shared" si="734"/>
        <v>-1</v>
      </c>
      <c r="AE904" s="108">
        <f t="shared" si="735"/>
        <v>-1</v>
      </c>
      <c r="AF904" s="108">
        <f t="shared" si="736"/>
        <v>-1</v>
      </c>
      <c r="AG904" s="108">
        <f t="shared" si="737"/>
        <v>-1</v>
      </c>
      <c r="AH904" s="108">
        <f t="shared" si="738"/>
        <v>-1</v>
      </c>
      <c r="AI904" s="108">
        <f t="shared" si="739"/>
        <v>-1</v>
      </c>
      <c r="AJ904" s="108">
        <f t="shared" si="740"/>
        <v>-1</v>
      </c>
      <c r="AK904" s="108">
        <f t="shared" si="741"/>
        <v>-1</v>
      </c>
      <c r="AL904" s="108">
        <f t="shared" si="742"/>
        <v>-1</v>
      </c>
    </row>
    <row r="905" spans="3:38" x14ac:dyDescent="0.55000000000000004">
      <c r="C905" s="104" t="str">
        <f>$V$75</f>
        <v>Yassin</v>
      </c>
      <c r="D905" s="108">
        <f t="shared" ref="D905:S905" si="764">D75</f>
        <v>0</v>
      </c>
      <c r="E905" s="108">
        <f t="shared" si="764"/>
        <v>0</v>
      </c>
      <c r="F905" s="108">
        <f t="shared" si="764"/>
        <v>0</v>
      </c>
      <c r="G905" s="108">
        <f t="shared" si="764"/>
        <v>0</v>
      </c>
      <c r="H905" s="108">
        <f t="shared" si="764"/>
        <v>0</v>
      </c>
      <c r="I905" s="108">
        <f t="shared" si="764"/>
        <v>0</v>
      </c>
      <c r="J905" s="108">
        <f t="shared" si="764"/>
        <v>0</v>
      </c>
      <c r="K905" s="108">
        <f t="shared" si="764"/>
        <v>0</v>
      </c>
      <c r="L905" s="108">
        <f t="shared" si="764"/>
        <v>0</v>
      </c>
      <c r="M905" s="108">
        <f t="shared" si="764"/>
        <v>0</v>
      </c>
      <c r="N905" s="108">
        <f t="shared" si="764"/>
        <v>0</v>
      </c>
      <c r="O905" s="108">
        <f t="shared" si="764"/>
        <v>0</v>
      </c>
      <c r="P905" s="108">
        <f t="shared" si="764"/>
        <v>0</v>
      </c>
      <c r="Q905" s="108">
        <f t="shared" si="764"/>
        <v>0</v>
      </c>
      <c r="R905" s="108">
        <f t="shared" si="764"/>
        <v>0</v>
      </c>
      <c r="S905" s="108">
        <f t="shared" si="764"/>
        <v>0</v>
      </c>
      <c r="T905" s="28" t="s">
        <v>26</v>
      </c>
      <c r="V905" s="104" t="str">
        <f>$V$75</f>
        <v>Yassin</v>
      </c>
      <c r="W905" s="108">
        <f t="shared" si="727"/>
        <v>-1</v>
      </c>
      <c r="X905" s="108">
        <f t="shared" si="728"/>
        <v>-1</v>
      </c>
      <c r="Y905" s="108">
        <f t="shared" si="729"/>
        <v>-1</v>
      </c>
      <c r="Z905" s="108">
        <f t="shared" si="730"/>
        <v>-1</v>
      </c>
      <c r="AA905" s="108">
        <f t="shared" si="731"/>
        <v>-1</v>
      </c>
      <c r="AB905" s="108">
        <f t="shared" si="732"/>
        <v>-1</v>
      </c>
      <c r="AC905" s="108">
        <f t="shared" si="733"/>
        <v>-1</v>
      </c>
      <c r="AD905" s="108">
        <f t="shared" si="734"/>
        <v>-1</v>
      </c>
      <c r="AE905" s="108">
        <f t="shared" si="735"/>
        <v>-1</v>
      </c>
      <c r="AF905" s="108">
        <f t="shared" si="736"/>
        <v>-1</v>
      </c>
      <c r="AG905" s="108">
        <f t="shared" si="737"/>
        <v>-1</v>
      </c>
      <c r="AH905" s="108">
        <f t="shared" si="738"/>
        <v>-1</v>
      </c>
      <c r="AI905" s="108">
        <f t="shared" si="739"/>
        <v>-1</v>
      </c>
      <c r="AJ905" s="108">
        <f t="shared" si="740"/>
        <v>-1</v>
      </c>
      <c r="AK905" s="108">
        <f t="shared" si="741"/>
        <v>-1</v>
      </c>
      <c r="AL905" s="108">
        <f t="shared" si="742"/>
        <v>-1</v>
      </c>
    </row>
    <row r="906" spans="3:38" x14ac:dyDescent="0.55000000000000004">
      <c r="C906" s="104" t="str">
        <f>$V$76</f>
        <v>Kamar</v>
      </c>
      <c r="D906" s="108">
        <f t="shared" ref="D906:S906" si="765">D76</f>
        <v>0</v>
      </c>
      <c r="E906" s="108">
        <f t="shared" si="765"/>
        <v>0</v>
      </c>
      <c r="F906" s="108">
        <f t="shared" si="765"/>
        <v>0</v>
      </c>
      <c r="G906" s="108">
        <f t="shared" si="765"/>
        <v>0</v>
      </c>
      <c r="H906" s="108">
        <f t="shared" si="765"/>
        <v>0</v>
      </c>
      <c r="I906" s="108">
        <f t="shared" si="765"/>
        <v>0</v>
      </c>
      <c r="J906" s="108">
        <f t="shared" si="765"/>
        <v>0</v>
      </c>
      <c r="K906" s="108">
        <f t="shared" si="765"/>
        <v>0</v>
      </c>
      <c r="L906" s="108">
        <f t="shared" si="765"/>
        <v>0</v>
      </c>
      <c r="M906" s="108">
        <f t="shared" si="765"/>
        <v>0</v>
      </c>
      <c r="N906" s="108">
        <f t="shared" si="765"/>
        <v>0</v>
      </c>
      <c r="O906" s="108">
        <f t="shared" si="765"/>
        <v>0</v>
      </c>
      <c r="P906" s="108">
        <f t="shared" si="765"/>
        <v>0</v>
      </c>
      <c r="Q906" s="108">
        <f t="shared" si="765"/>
        <v>0</v>
      </c>
      <c r="R906" s="108">
        <f t="shared" si="765"/>
        <v>0</v>
      </c>
      <c r="S906" s="108">
        <f t="shared" si="765"/>
        <v>0</v>
      </c>
      <c r="T906" s="28" t="s">
        <v>26</v>
      </c>
      <c r="V906" s="104" t="str">
        <f>$V$76</f>
        <v>Kamar</v>
      </c>
      <c r="W906" s="108">
        <f t="shared" si="727"/>
        <v>-1</v>
      </c>
      <c r="X906" s="108">
        <f t="shared" si="728"/>
        <v>-1</v>
      </c>
      <c r="Y906" s="108">
        <f t="shared" si="729"/>
        <v>-1</v>
      </c>
      <c r="Z906" s="108">
        <f t="shared" si="730"/>
        <v>-1</v>
      </c>
      <c r="AA906" s="108">
        <f t="shared" si="731"/>
        <v>-1</v>
      </c>
      <c r="AB906" s="108">
        <f t="shared" si="732"/>
        <v>-1</v>
      </c>
      <c r="AC906" s="108">
        <f t="shared" si="733"/>
        <v>-1</v>
      </c>
      <c r="AD906" s="108">
        <f t="shared" si="734"/>
        <v>-1</v>
      </c>
      <c r="AE906" s="108">
        <f t="shared" si="735"/>
        <v>-1</v>
      </c>
      <c r="AF906" s="108">
        <f t="shared" si="736"/>
        <v>-1</v>
      </c>
      <c r="AG906" s="108">
        <f t="shared" si="737"/>
        <v>-1</v>
      </c>
      <c r="AH906" s="108">
        <f t="shared" si="738"/>
        <v>-1</v>
      </c>
      <c r="AI906" s="108">
        <f t="shared" si="739"/>
        <v>-1</v>
      </c>
      <c r="AJ906" s="108">
        <f t="shared" si="740"/>
        <v>-1</v>
      </c>
      <c r="AK906" s="108">
        <f t="shared" si="741"/>
        <v>-1</v>
      </c>
      <c r="AL906" s="108">
        <f t="shared" si="742"/>
        <v>-1</v>
      </c>
    </row>
    <row r="907" spans="3:38" x14ac:dyDescent="0.55000000000000004">
      <c r="C907" s="104" t="str">
        <f>$V$77</f>
        <v>-</v>
      </c>
      <c r="D907" s="108">
        <f t="shared" ref="D907:S907" si="766">D77</f>
        <v>0</v>
      </c>
      <c r="E907" s="108">
        <f t="shared" si="766"/>
        <v>0</v>
      </c>
      <c r="F907" s="108">
        <f t="shared" si="766"/>
        <v>0</v>
      </c>
      <c r="G907" s="108">
        <f t="shared" si="766"/>
        <v>0</v>
      </c>
      <c r="H907" s="108">
        <f t="shared" si="766"/>
        <v>0</v>
      </c>
      <c r="I907" s="108">
        <f t="shared" si="766"/>
        <v>0</v>
      </c>
      <c r="J907" s="108">
        <f t="shared" si="766"/>
        <v>0</v>
      </c>
      <c r="K907" s="108">
        <f t="shared" si="766"/>
        <v>0</v>
      </c>
      <c r="L907" s="108">
        <f t="shared" si="766"/>
        <v>0</v>
      </c>
      <c r="M907" s="108">
        <f t="shared" si="766"/>
        <v>0</v>
      </c>
      <c r="N907" s="108">
        <f t="shared" si="766"/>
        <v>0</v>
      </c>
      <c r="O907" s="108">
        <f t="shared" si="766"/>
        <v>0</v>
      </c>
      <c r="P907" s="108">
        <f t="shared" si="766"/>
        <v>0</v>
      </c>
      <c r="Q907" s="108">
        <f t="shared" si="766"/>
        <v>0</v>
      </c>
      <c r="R907" s="108">
        <f t="shared" si="766"/>
        <v>0</v>
      </c>
      <c r="S907" s="108">
        <f t="shared" si="766"/>
        <v>0</v>
      </c>
      <c r="T907" s="28" t="s">
        <v>26</v>
      </c>
      <c r="V907" s="104" t="str">
        <f>$V$77</f>
        <v>-</v>
      </c>
      <c r="W907" s="108">
        <f t="shared" si="727"/>
        <v>-1</v>
      </c>
      <c r="X907" s="108">
        <f t="shared" si="728"/>
        <v>-1</v>
      </c>
      <c r="Y907" s="108">
        <f t="shared" si="729"/>
        <v>-1</v>
      </c>
      <c r="Z907" s="108">
        <f t="shared" si="730"/>
        <v>-1</v>
      </c>
      <c r="AA907" s="108">
        <f t="shared" si="731"/>
        <v>-1</v>
      </c>
      <c r="AB907" s="108">
        <f t="shared" si="732"/>
        <v>-1</v>
      </c>
      <c r="AC907" s="108">
        <f t="shared" si="733"/>
        <v>-1</v>
      </c>
      <c r="AD907" s="108">
        <f t="shared" si="734"/>
        <v>-1</v>
      </c>
      <c r="AE907" s="108">
        <f t="shared" si="735"/>
        <v>-1</v>
      </c>
      <c r="AF907" s="108">
        <f t="shared" si="736"/>
        <v>-1</v>
      </c>
      <c r="AG907" s="108">
        <f t="shared" si="737"/>
        <v>-1</v>
      </c>
      <c r="AH907" s="108">
        <f t="shared" si="738"/>
        <v>-1</v>
      </c>
      <c r="AI907" s="108">
        <f t="shared" si="739"/>
        <v>-1</v>
      </c>
      <c r="AJ907" s="108">
        <f t="shared" si="740"/>
        <v>-1</v>
      </c>
      <c r="AK907" s="108">
        <f t="shared" si="741"/>
        <v>-1</v>
      </c>
      <c r="AL907" s="108">
        <f t="shared" si="742"/>
        <v>-1</v>
      </c>
    </row>
    <row r="908" spans="3:38" x14ac:dyDescent="0.55000000000000004">
      <c r="C908" s="104" t="str">
        <f>$V$78</f>
        <v>-</v>
      </c>
      <c r="D908" s="108">
        <f t="shared" ref="D908:S908" si="767">D78</f>
        <v>0</v>
      </c>
      <c r="E908" s="108">
        <f t="shared" si="767"/>
        <v>0</v>
      </c>
      <c r="F908" s="108">
        <f t="shared" si="767"/>
        <v>0</v>
      </c>
      <c r="G908" s="108">
        <f t="shared" si="767"/>
        <v>0</v>
      </c>
      <c r="H908" s="108">
        <f t="shared" si="767"/>
        <v>0</v>
      </c>
      <c r="I908" s="108">
        <f t="shared" si="767"/>
        <v>0</v>
      </c>
      <c r="J908" s="108">
        <f t="shared" si="767"/>
        <v>0</v>
      </c>
      <c r="K908" s="108">
        <f t="shared" si="767"/>
        <v>0</v>
      </c>
      <c r="L908" s="108">
        <f t="shared" si="767"/>
        <v>0</v>
      </c>
      <c r="M908" s="108">
        <f t="shared" si="767"/>
        <v>0</v>
      </c>
      <c r="N908" s="108">
        <f t="shared" si="767"/>
        <v>0</v>
      </c>
      <c r="O908" s="108">
        <f t="shared" si="767"/>
        <v>0</v>
      </c>
      <c r="P908" s="108">
        <f t="shared" si="767"/>
        <v>0</v>
      </c>
      <c r="Q908" s="108">
        <f t="shared" si="767"/>
        <v>0</v>
      </c>
      <c r="R908" s="108">
        <f t="shared" si="767"/>
        <v>0</v>
      </c>
      <c r="S908" s="108">
        <f t="shared" si="767"/>
        <v>0</v>
      </c>
      <c r="T908" s="28" t="s">
        <v>26</v>
      </c>
      <c r="V908" s="104" t="str">
        <f>$V$78</f>
        <v>-</v>
      </c>
      <c r="W908" s="108">
        <f t="shared" si="727"/>
        <v>-1</v>
      </c>
      <c r="X908" s="108">
        <f t="shared" si="728"/>
        <v>-1</v>
      </c>
      <c r="Y908" s="108">
        <f t="shared" si="729"/>
        <v>-1</v>
      </c>
      <c r="Z908" s="108">
        <f t="shared" si="730"/>
        <v>-1</v>
      </c>
      <c r="AA908" s="108">
        <f t="shared" si="731"/>
        <v>-1</v>
      </c>
      <c r="AB908" s="108">
        <f t="shared" si="732"/>
        <v>-1</v>
      </c>
      <c r="AC908" s="108">
        <f t="shared" si="733"/>
        <v>-1</v>
      </c>
      <c r="AD908" s="108">
        <f t="shared" si="734"/>
        <v>-1</v>
      </c>
      <c r="AE908" s="108">
        <f t="shared" si="735"/>
        <v>-3</v>
      </c>
      <c r="AF908" s="108">
        <f t="shared" si="736"/>
        <v>-3</v>
      </c>
      <c r="AG908" s="108">
        <f t="shared" si="737"/>
        <v>-1</v>
      </c>
      <c r="AH908" s="108">
        <f t="shared" si="738"/>
        <v>-1</v>
      </c>
      <c r="AI908" s="108">
        <f t="shared" si="739"/>
        <v>-1</v>
      </c>
      <c r="AJ908" s="108">
        <f t="shared" si="740"/>
        <v>-1</v>
      </c>
      <c r="AK908" s="108">
        <f t="shared" si="741"/>
        <v>-1</v>
      </c>
      <c r="AL908" s="108">
        <f t="shared" si="742"/>
        <v>-1</v>
      </c>
    </row>
    <row r="909" spans="3:38" x14ac:dyDescent="0.55000000000000004">
      <c r="C909" s="104" t="str">
        <f>$V$79</f>
        <v>-</v>
      </c>
      <c r="D909" s="108">
        <f t="shared" ref="D909:S909" si="768">D79</f>
        <v>0</v>
      </c>
      <c r="E909" s="108">
        <f t="shared" si="768"/>
        <v>0</v>
      </c>
      <c r="F909" s="108">
        <f t="shared" si="768"/>
        <v>0</v>
      </c>
      <c r="G909" s="108">
        <f t="shared" si="768"/>
        <v>0</v>
      </c>
      <c r="H909" s="108">
        <f t="shared" si="768"/>
        <v>0</v>
      </c>
      <c r="I909" s="108">
        <f t="shared" si="768"/>
        <v>0</v>
      </c>
      <c r="J909" s="108">
        <f t="shared" si="768"/>
        <v>0</v>
      </c>
      <c r="K909" s="108">
        <f t="shared" si="768"/>
        <v>0</v>
      </c>
      <c r="L909" s="108">
        <f t="shared" si="768"/>
        <v>0</v>
      </c>
      <c r="M909" s="108">
        <f t="shared" si="768"/>
        <v>0</v>
      </c>
      <c r="N909" s="108">
        <f t="shared" si="768"/>
        <v>0</v>
      </c>
      <c r="O909" s="108">
        <f t="shared" si="768"/>
        <v>0</v>
      </c>
      <c r="P909" s="108">
        <f t="shared" si="768"/>
        <v>0</v>
      </c>
      <c r="Q909" s="108">
        <f t="shared" si="768"/>
        <v>0</v>
      </c>
      <c r="R909" s="108">
        <f t="shared" si="768"/>
        <v>0</v>
      </c>
      <c r="S909" s="108">
        <f t="shared" si="768"/>
        <v>0</v>
      </c>
      <c r="T909" s="28" t="s">
        <v>26</v>
      </c>
      <c r="V909" s="104" t="str">
        <f>$V$79</f>
        <v>-</v>
      </c>
      <c r="W909" s="108">
        <f t="shared" si="727"/>
        <v>-3</v>
      </c>
      <c r="X909" s="108">
        <f t="shared" si="728"/>
        <v>-3</v>
      </c>
      <c r="Y909" s="108">
        <f t="shared" si="729"/>
        <v>-1</v>
      </c>
      <c r="Z909" s="108">
        <f t="shared" si="730"/>
        <v>-1</v>
      </c>
      <c r="AA909" s="108">
        <f t="shared" si="731"/>
        <v>-1</v>
      </c>
      <c r="AB909" s="108">
        <f t="shared" si="732"/>
        <v>-1</v>
      </c>
      <c r="AC909" s="108">
        <f t="shared" si="733"/>
        <v>-1</v>
      </c>
      <c r="AD909" s="108">
        <f t="shared" si="734"/>
        <v>-1</v>
      </c>
      <c r="AE909" s="108">
        <f t="shared" si="735"/>
        <v>-1</v>
      </c>
      <c r="AF909" s="108">
        <f t="shared" si="736"/>
        <v>-1</v>
      </c>
      <c r="AG909" s="108">
        <f t="shared" si="737"/>
        <v>-1</v>
      </c>
      <c r="AH909" s="108">
        <f t="shared" si="738"/>
        <v>-1</v>
      </c>
      <c r="AI909" s="108">
        <f t="shared" si="739"/>
        <v>-1</v>
      </c>
      <c r="AJ909" s="108">
        <f t="shared" si="740"/>
        <v>-1</v>
      </c>
      <c r="AK909" s="108">
        <f t="shared" si="741"/>
        <v>-1</v>
      </c>
      <c r="AL909" s="108">
        <f t="shared" si="742"/>
        <v>-1</v>
      </c>
    </row>
    <row r="910" spans="3:38" x14ac:dyDescent="0.55000000000000004">
      <c r="C910" s="104" t="str">
        <f>$V$80</f>
        <v>-</v>
      </c>
      <c r="D910" s="108">
        <f t="shared" ref="D910:S910" si="769">D80</f>
        <v>0</v>
      </c>
      <c r="E910" s="108">
        <f t="shared" si="769"/>
        <v>0</v>
      </c>
      <c r="F910" s="108">
        <f t="shared" si="769"/>
        <v>0</v>
      </c>
      <c r="G910" s="108">
        <f t="shared" si="769"/>
        <v>0</v>
      </c>
      <c r="H910" s="108">
        <f t="shared" si="769"/>
        <v>0</v>
      </c>
      <c r="I910" s="108">
        <f t="shared" si="769"/>
        <v>0</v>
      </c>
      <c r="J910" s="108">
        <f t="shared" si="769"/>
        <v>0</v>
      </c>
      <c r="K910" s="108">
        <f t="shared" si="769"/>
        <v>0</v>
      </c>
      <c r="L910" s="108">
        <f t="shared" si="769"/>
        <v>0</v>
      </c>
      <c r="M910" s="108">
        <f t="shared" si="769"/>
        <v>0</v>
      </c>
      <c r="N910" s="108">
        <f t="shared" si="769"/>
        <v>0</v>
      </c>
      <c r="O910" s="108">
        <f t="shared" si="769"/>
        <v>0</v>
      </c>
      <c r="P910" s="108">
        <f t="shared" si="769"/>
        <v>0</v>
      </c>
      <c r="Q910" s="108">
        <f t="shared" si="769"/>
        <v>0</v>
      </c>
      <c r="R910" s="108">
        <f t="shared" si="769"/>
        <v>0</v>
      </c>
      <c r="S910" s="108">
        <f t="shared" si="769"/>
        <v>0</v>
      </c>
      <c r="T910" s="28" t="s">
        <v>26</v>
      </c>
      <c r="V910" s="104" t="str">
        <f>$V$80</f>
        <v>-</v>
      </c>
      <c r="W910" s="108">
        <f t="shared" si="727"/>
        <v>-1</v>
      </c>
      <c r="X910" s="108">
        <f t="shared" si="728"/>
        <v>-1</v>
      </c>
      <c r="Y910" s="108">
        <f t="shared" si="729"/>
        <v>-1</v>
      </c>
      <c r="Z910" s="108">
        <f t="shared" si="730"/>
        <v>-1</v>
      </c>
      <c r="AA910" s="108">
        <f t="shared" si="731"/>
        <v>-1</v>
      </c>
      <c r="AB910" s="108">
        <f t="shared" si="732"/>
        <v>-1</v>
      </c>
      <c r="AC910" s="108">
        <f t="shared" si="733"/>
        <v>-1</v>
      </c>
      <c r="AD910" s="108">
        <f t="shared" si="734"/>
        <v>-1</v>
      </c>
      <c r="AE910" s="108">
        <f t="shared" si="735"/>
        <v>-1</v>
      </c>
      <c r="AF910" s="108">
        <f t="shared" si="736"/>
        <v>-1</v>
      </c>
      <c r="AG910" s="108">
        <f t="shared" si="737"/>
        <v>-1</v>
      </c>
      <c r="AH910" s="108">
        <f t="shared" si="738"/>
        <v>-1</v>
      </c>
      <c r="AI910" s="108">
        <f t="shared" si="739"/>
        <v>-1</v>
      </c>
      <c r="AJ910" s="108">
        <f t="shared" si="740"/>
        <v>-1</v>
      </c>
      <c r="AK910" s="108">
        <f t="shared" si="741"/>
        <v>-1</v>
      </c>
      <c r="AL910" s="108">
        <f t="shared" si="742"/>
        <v>-1</v>
      </c>
    </row>
    <row r="911" spans="3:38" x14ac:dyDescent="0.55000000000000004">
      <c r="C911" s="104" t="str">
        <f>$V$81</f>
        <v>-</v>
      </c>
      <c r="D911" s="108">
        <f t="shared" ref="D911:S911" si="770">D81</f>
        <v>0</v>
      </c>
      <c r="E911" s="108">
        <f t="shared" si="770"/>
        <v>0</v>
      </c>
      <c r="F911" s="108">
        <f t="shared" si="770"/>
        <v>0</v>
      </c>
      <c r="G911" s="108">
        <f t="shared" si="770"/>
        <v>0</v>
      </c>
      <c r="H911" s="108">
        <f t="shared" si="770"/>
        <v>0</v>
      </c>
      <c r="I911" s="108">
        <f t="shared" si="770"/>
        <v>0</v>
      </c>
      <c r="J911" s="108">
        <f t="shared" si="770"/>
        <v>0</v>
      </c>
      <c r="K911" s="108">
        <f t="shared" si="770"/>
        <v>0</v>
      </c>
      <c r="L911" s="108">
        <f t="shared" si="770"/>
        <v>0</v>
      </c>
      <c r="M911" s="108">
        <f t="shared" si="770"/>
        <v>0</v>
      </c>
      <c r="N911" s="108">
        <f t="shared" si="770"/>
        <v>0</v>
      </c>
      <c r="O911" s="108">
        <f t="shared" si="770"/>
        <v>0</v>
      </c>
      <c r="P911" s="108">
        <f t="shared" si="770"/>
        <v>0</v>
      </c>
      <c r="Q911" s="108">
        <f t="shared" si="770"/>
        <v>0</v>
      </c>
      <c r="R911" s="108">
        <f t="shared" si="770"/>
        <v>0</v>
      </c>
      <c r="S911" s="108">
        <f t="shared" si="770"/>
        <v>0</v>
      </c>
      <c r="T911" s="28" t="s">
        <v>26</v>
      </c>
      <c r="V911" s="104" t="str">
        <f>$V$81</f>
        <v>-</v>
      </c>
      <c r="W911" s="108">
        <f t="shared" si="727"/>
        <v>-1</v>
      </c>
      <c r="X911" s="108">
        <f t="shared" si="728"/>
        <v>-1</v>
      </c>
      <c r="Y911" s="108">
        <f t="shared" si="729"/>
        <v>-1</v>
      </c>
      <c r="Z911" s="108">
        <f t="shared" si="730"/>
        <v>-1</v>
      </c>
      <c r="AA911" s="108">
        <f t="shared" si="731"/>
        <v>-1</v>
      </c>
      <c r="AB911" s="108">
        <f t="shared" si="732"/>
        <v>-1</v>
      </c>
      <c r="AC911" s="108">
        <f t="shared" si="733"/>
        <v>-1</v>
      </c>
      <c r="AD911" s="108">
        <f t="shared" si="734"/>
        <v>-1</v>
      </c>
      <c r="AE911" s="108">
        <f t="shared" si="735"/>
        <v>-1</v>
      </c>
      <c r="AF911" s="108">
        <f t="shared" si="736"/>
        <v>-1</v>
      </c>
      <c r="AG911" s="108">
        <f t="shared" si="737"/>
        <v>-1</v>
      </c>
      <c r="AH911" s="108">
        <f t="shared" si="738"/>
        <v>-1</v>
      </c>
      <c r="AI911" s="108">
        <f t="shared" si="739"/>
        <v>-1</v>
      </c>
      <c r="AJ911" s="108">
        <f t="shared" si="740"/>
        <v>-1</v>
      </c>
      <c r="AK911" s="108">
        <f t="shared" si="741"/>
        <v>-1</v>
      </c>
      <c r="AL911" s="108">
        <f t="shared" si="742"/>
        <v>-1</v>
      </c>
    </row>
    <row r="912" spans="3:38" x14ac:dyDescent="0.55000000000000004">
      <c r="C912" s="104" t="str">
        <f>$V$82</f>
        <v>-</v>
      </c>
      <c r="D912" s="108">
        <f t="shared" ref="D912:S912" si="771">D82</f>
        <v>0</v>
      </c>
      <c r="E912" s="108">
        <f t="shared" si="771"/>
        <v>0</v>
      </c>
      <c r="F912" s="108">
        <f t="shared" si="771"/>
        <v>0</v>
      </c>
      <c r="G912" s="108">
        <f t="shared" si="771"/>
        <v>0</v>
      </c>
      <c r="H912" s="108">
        <f t="shared" si="771"/>
        <v>0</v>
      </c>
      <c r="I912" s="108">
        <f t="shared" si="771"/>
        <v>0</v>
      </c>
      <c r="J912" s="108">
        <f t="shared" si="771"/>
        <v>0</v>
      </c>
      <c r="K912" s="108">
        <f t="shared" si="771"/>
        <v>0</v>
      </c>
      <c r="L912" s="108">
        <f t="shared" si="771"/>
        <v>0</v>
      </c>
      <c r="M912" s="108">
        <f t="shared" si="771"/>
        <v>0</v>
      </c>
      <c r="N912" s="108">
        <f t="shared" si="771"/>
        <v>0</v>
      </c>
      <c r="O912" s="108">
        <f t="shared" si="771"/>
        <v>0</v>
      </c>
      <c r="P912" s="108">
        <f t="shared" si="771"/>
        <v>0</v>
      </c>
      <c r="Q912" s="108">
        <f t="shared" si="771"/>
        <v>0</v>
      </c>
      <c r="R912" s="108">
        <f t="shared" si="771"/>
        <v>0</v>
      </c>
      <c r="S912" s="108">
        <f t="shared" si="771"/>
        <v>0</v>
      </c>
      <c r="T912" s="28" t="s">
        <v>26</v>
      </c>
      <c r="V912" s="104" t="str">
        <f>$V$82</f>
        <v>-</v>
      </c>
      <c r="W912" s="108">
        <f t="shared" si="727"/>
        <v>-1</v>
      </c>
      <c r="X912" s="108">
        <f t="shared" si="728"/>
        <v>-1</v>
      </c>
      <c r="Y912" s="108">
        <f t="shared" si="729"/>
        <v>-1</v>
      </c>
      <c r="Z912" s="108">
        <f t="shared" si="730"/>
        <v>-1</v>
      </c>
      <c r="AA912" s="108">
        <f t="shared" si="731"/>
        <v>-1</v>
      </c>
      <c r="AB912" s="108">
        <f t="shared" si="732"/>
        <v>-1</v>
      </c>
      <c r="AC912" s="108">
        <f t="shared" si="733"/>
        <v>-1</v>
      </c>
      <c r="AD912" s="108">
        <f t="shared" si="734"/>
        <v>-1</v>
      </c>
      <c r="AE912" s="108">
        <f t="shared" si="735"/>
        <v>-1</v>
      </c>
      <c r="AF912" s="108">
        <f t="shared" si="736"/>
        <v>-1</v>
      </c>
      <c r="AG912" s="108">
        <f t="shared" si="737"/>
        <v>-1</v>
      </c>
      <c r="AH912" s="108">
        <f t="shared" si="738"/>
        <v>-1</v>
      </c>
      <c r="AI912" s="108">
        <f t="shared" si="739"/>
        <v>-1</v>
      </c>
      <c r="AJ912" s="108">
        <f t="shared" si="740"/>
        <v>-1</v>
      </c>
      <c r="AK912" s="108">
        <f t="shared" si="741"/>
        <v>-1</v>
      </c>
      <c r="AL912" s="108">
        <f t="shared" si="742"/>
        <v>-1</v>
      </c>
    </row>
    <row r="913" spans="3:38" x14ac:dyDescent="0.55000000000000004">
      <c r="C913" s="104" t="str">
        <f>$V$83</f>
        <v>-</v>
      </c>
      <c r="D913" s="108">
        <f t="shared" ref="D913:S913" si="772">D83</f>
        <v>0</v>
      </c>
      <c r="E913" s="108">
        <f t="shared" si="772"/>
        <v>0</v>
      </c>
      <c r="F913" s="108">
        <f t="shared" si="772"/>
        <v>0</v>
      </c>
      <c r="G913" s="108">
        <f t="shared" si="772"/>
        <v>0</v>
      </c>
      <c r="H913" s="108">
        <f t="shared" si="772"/>
        <v>0</v>
      </c>
      <c r="I913" s="108">
        <f t="shared" si="772"/>
        <v>0</v>
      </c>
      <c r="J913" s="108">
        <f t="shared" si="772"/>
        <v>0</v>
      </c>
      <c r="K913" s="108">
        <f t="shared" si="772"/>
        <v>0</v>
      </c>
      <c r="L913" s="108">
        <f t="shared" si="772"/>
        <v>0</v>
      </c>
      <c r="M913" s="108">
        <f t="shared" si="772"/>
        <v>0</v>
      </c>
      <c r="N913" s="108">
        <f t="shared" si="772"/>
        <v>0</v>
      </c>
      <c r="O913" s="108">
        <f t="shared" si="772"/>
        <v>0</v>
      </c>
      <c r="P913" s="108">
        <f t="shared" si="772"/>
        <v>0</v>
      </c>
      <c r="Q913" s="108">
        <f t="shared" si="772"/>
        <v>0</v>
      </c>
      <c r="R913" s="108">
        <f t="shared" si="772"/>
        <v>0</v>
      </c>
      <c r="S913" s="108">
        <f t="shared" si="772"/>
        <v>0</v>
      </c>
      <c r="T913" s="28" t="s">
        <v>26</v>
      </c>
      <c r="V913" s="104" t="str">
        <f>$V$83</f>
        <v>-</v>
      </c>
      <c r="W913" s="108">
        <f t="shared" si="727"/>
        <v>-1</v>
      </c>
      <c r="X913" s="108">
        <f t="shared" si="728"/>
        <v>-1</v>
      </c>
      <c r="Y913" s="108">
        <f t="shared" si="729"/>
        <v>-1</v>
      </c>
      <c r="Z913" s="108">
        <f t="shared" si="730"/>
        <v>-1</v>
      </c>
      <c r="AA913" s="108">
        <f t="shared" si="731"/>
        <v>-1</v>
      </c>
      <c r="AB913" s="108">
        <f t="shared" si="732"/>
        <v>-1</v>
      </c>
      <c r="AC913" s="108">
        <f t="shared" si="733"/>
        <v>-1</v>
      </c>
      <c r="AD913" s="108">
        <f t="shared" si="734"/>
        <v>-1</v>
      </c>
      <c r="AE913" s="108">
        <f t="shared" si="735"/>
        <v>-1</v>
      </c>
      <c r="AF913" s="108">
        <f t="shared" si="736"/>
        <v>-1</v>
      </c>
      <c r="AG913" s="108">
        <f t="shared" si="737"/>
        <v>-1</v>
      </c>
      <c r="AH913" s="108">
        <f t="shared" si="738"/>
        <v>-1</v>
      </c>
      <c r="AI913" s="108">
        <f t="shared" si="739"/>
        <v>-1</v>
      </c>
      <c r="AJ913" s="108">
        <f t="shared" si="740"/>
        <v>-1</v>
      </c>
      <c r="AK913" s="108">
        <f t="shared" si="741"/>
        <v>-1</v>
      </c>
      <c r="AL913" s="108">
        <f t="shared" si="742"/>
        <v>-1</v>
      </c>
    </row>
    <row r="914" spans="3:38" x14ac:dyDescent="0.55000000000000004">
      <c r="C914" s="104" t="str">
        <f>$V$84</f>
        <v>-</v>
      </c>
      <c r="D914" s="108">
        <f t="shared" ref="D914:S914" si="773">D84</f>
        <v>0</v>
      </c>
      <c r="E914" s="108">
        <f t="shared" si="773"/>
        <v>0</v>
      </c>
      <c r="F914" s="108">
        <f t="shared" si="773"/>
        <v>0</v>
      </c>
      <c r="G914" s="108">
        <f t="shared" si="773"/>
        <v>0</v>
      </c>
      <c r="H914" s="108">
        <f t="shared" si="773"/>
        <v>0</v>
      </c>
      <c r="I914" s="108">
        <f t="shared" si="773"/>
        <v>0</v>
      </c>
      <c r="J914" s="108">
        <f t="shared" si="773"/>
        <v>0</v>
      </c>
      <c r="K914" s="108">
        <f t="shared" si="773"/>
        <v>0</v>
      </c>
      <c r="L914" s="108">
        <f t="shared" si="773"/>
        <v>0</v>
      </c>
      <c r="M914" s="108">
        <f t="shared" si="773"/>
        <v>0</v>
      </c>
      <c r="N914" s="108">
        <f t="shared" si="773"/>
        <v>0</v>
      </c>
      <c r="O914" s="108">
        <f t="shared" si="773"/>
        <v>0</v>
      </c>
      <c r="P914" s="108">
        <f t="shared" si="773"/>
        <v>0</v>
      </c>
      <c r="Q914" s="108">
        <f t="shared" si="773"/>
        <v>0</v>
      </c>
      <c r="R914" s="108">
        <f t="shared" si="773"/>
        <v>0</v>
      </c>
      <c r="S914" s="108">
        <f t="shared" si="773"/>
        <v>0</v>
      </c>
      <c r="T914" s="28" t="s">
        <v>26</v>
      </c>
      <c r="V914" s="104" t="str">
        <f>$V$84</f>
        <v>-</v>
      </c>
      <c r="W914" s="108">
        <f t="shared" si="727"/>
        <v>-1</v>
      </c>
      <c r="X914" s="108">
        <f t="shared" si="728"/>
        <v>-1</v>
      </c>
      <c r="Y914" s="108">
        <f t="shared" si="729"/>
        <v>-1</v>
      </c>
      <c r="Z914" s="108">
        <f t="shared" si="730"/>
        <v>-1</v>
      </c>
      <c r="AA914" s="108">
        <f t="shared" si="731"/>
        <v>-1</v>
      </c>
      <c r="AB914" s="108">
        <f t="shared" si="732"/>
        <v>-1</v>
      </c>
      <c r="AC914" s="108">
        <f t="shared" si="733"/>
        <v>-1</v>
      </c>
      <c r="AD914" s="108">
        <f t="shared" si="734"/>
        <v>-1</v>
      </c>
      <c r="AE914" s="108">
        <f t="shared" si="735"/>
        <v>-1</v>
      </c>
      <c r="AF914" s="108">
        <f t="shared" si="736"/>
        <v>-1</v>
      </c>
      <c r="AG914" s="108">
        <f t="shared" si="737"/>
        <v>-1</v>
      </c>
      <c r="AH914" s="108">
        <f t="shared" si="738"/>
        <v>-1</v>
      </c>
      <c r="AI914" s="108">
        <f t="shared" si="739"/>
        <v>-1</v>
      </c>
      <c r="AJ914" s="108">
        <f t="shared" si="740"/>
        <v>-1</v>
      </c>
      <c r="AK914" s="108">
        <f t="shared" si="741"/>
        <v>-1</v>
      </c>
      <c r="AL914" s="108">
        <f t="shared" si="742"/>
        <v>-1</v>
      </c>
    </row>
    <row r="915" spans="3:38" x14ac:dyDescent="0.55000000000000004">
      <c r="C915" s="104" t="str">
        <f>$V$85</f>
        <v>-</v>
      </c>
      <c r="D915" s="108">
        <f t="shared" ref="D915:S915" si="774">D85</f>
        <v>0</v>
      </c>
      <c r="E915" s="108">
        <f t="shared" si="774"/>
        <v>0</v>
      </c>
      <c r="F915" s="108">
        <f t="shared" si="774"/>
        <v>0</v>
      </c>
      <c r="G915" s="108">
        <f t="shared" si="774"/>
        <v>0</v>
      </c>
      <c r="H915" s="108">
        <f t="shared" si="774"/>
        <v>0</v>
      </c>
      <c r="I915" s="108">
        <f t="shared" si="774"/>
        <v>0</v>
      </c>
      <c r="J915" s="108">
        <f t="shared" si="774"/>
        <v>0</v>
      </c>
      <c r="K915" s="108">
        <f t="shared" si="774"/>
        <v>0</v>
      </c>
      <c r="L915" s="108">
        <f t="shared" si="774"/>
        <v>0</v>
      </c>
      <c r="M915" s="108">
        <f t="shared" si="774"/>
        <v>0</v>
      </c>
      <c r="N915" s="108">
        <f t="shared" si="774"/>
        <v>0</v>
      </c>
      <c r="O915" s="108">
        <f t="shared" si="774"/>
        <v>0</v>
      </c>
      <c r="P915" s="108">
        <f t="shared" si="774"/>
        <v>0</v>
      </c>
      <c r="Q915" s="108">
        <f t="shared" si="774"/>
        <v>0</v>
      </c>
      <c r="R915" s="108">
        <f t="shared" si="774"/>
        <v>0</v>
      </c>
      <c r="S915" s="108">
        <f t="shared" si="774"/>
        <v>0</v>
      </c>
      <c r="T915" s="28" t="s">
        <v>26</v>
      </c>
      <c r="V915" s="104" t="str">
        <f>$V$85</f>
        <v>-</v>
      </c>
      <c r="W915" s="108">
        <f t="shared" si="727"/>
        <v>-1</v>
      </c>
      <c r="X915" s="108">
        <f t="shared" si="728"/>
        <v>-1</v>
      </c>
      <c r="Y915" s="108">
        <f t="shared" si="729"/>
        <v>-1</v>
      </c>
      <c r="Z915" s="108">
        <f t="shared" si="730"/>
        <v>-1</v>
      </c>
      <c r="AA915" s="108">
        <f t="shared" si="731"/>
        <v>-1</v>
      </c>
      <c r="AB915" s="108">
        <f t="shared" si="732"/>
        <v>-1</v>
      </c>
      <c r="AC915" s="108">
        <f t="shared" si="733"/>
        <v>-1</v>
      </c>
      <c r="AD915" s="108">
        <f t="shared" si="734"/>
        <v>-1</v>
      </c>
      <c r="AE915" s="108">
        <f t="shared" si="735"/>
        <v>-1</v>
      </c>
      <c r="AF915" s="108">
        <f t="shared" si="736"/>
        <v>-1</v>
      </c>
      <c r="AG915" s="108">
        <f t="shared" si="737"/>
        <v>-1</v>
      </c>
      <c r="AH915" s="108">
        <f t="shared" si="738"/>
        <v>-1</v>
      </c>
      <c r="AI915" s="108">
        <f t="shared" si="739"/>
        <v>-1</v>
      </c>
      <c r="AJ915" s="108">
        <f t="shared" si="740"/>
        <v>-1</v>
      </c>
      <c r="AK915" s="108">
        <f t="shared" si="741"/>
        <v>-1</v>
      </c>
      <c r="AL915" s="108">
        <f t="shared" si="742"/>
        <v>-1</v>
      </c>
    </row>
    <row r="916" spans="3:38" x14ac:dyDescent="0.55000000000000004">
      <c r="C916" s="104" t="str">
        <f>$V$86</f>
        <v>-</v>
      </c>
      <c r="D916" s="108">
        <f t="shared" ref="D916:S916" si="775">D86</f>
        <v>0</v>
      </c>
      <c r="E916" s="108">
        <f t="shared" si="775"/>
        <v>0</v>
      </c>
      <c r="F916" s="108">
        <f t="shared" si="775"/>
        <v>0</v>
      </c>
      <c r="G916" s="108">
        <f t="shared" si="775"/>
        <v>0</v>
      </c>
      <c r="H916" s="108">
        <f t="shared" si="775"/>
        <v>0</v>
      </c>
      <c r="I916" s="108">
        <f t="shared" si="775"/>
        <v>0</v>
      </c>
      <c r="J916" s="108">
        <f t="shared" si="775"/>
        <v>0</v>
      </c>
      <c r="K916" s="108">
        <f t="shared" si="775"/>
        <v>0</v>
      </c>
      <c r="L916" s="108">
        <f t="shared" si="775"/>
        <v>0</v>
      </c>
      <c r="M916" s="108">
        <f t="shared" si="775"/>
        <v>0</v>
      </c>
      <c r="N916" s="108">
        <f t="shared" si="775"/>
        <v>0</v>
      </c>
      <c r="O916" s="108">
        <f t="shared" si="775"/>
        <v>0</v>
      </c>
      <c r="P916" s="108">
        <f t="shared" si="775"/>
        <v>0</v>
      </c>
      <c r="Q916" s="108">
        <f t="shared" si="775"/>
        <v>0</v>
      </c>
      <c r="R916" s="108">
        <f t="shared" si="775"/>
        <v>0</v>
      </c>
      <c r="S916" s="108">
        <f t="shared" si="775"/>
        <v>0</v>
      </c>
      <c r="T916" s="28" t="s">
        <v>26</v>
      </c>
      <c r="V916" s="104" t="str">
        <f>$V$86</f>
        <v>-</v>
      </c>
      <c r="W916" s="108">
        <f t="shared" si="727"/>
        <v>-1</v>
      </c>
      <c r="X916" s="108">
        <f t="shared" si="728"/>
        <v>-1</v>
      </c>
      <c r="Y916" s="108">
        <f t="shared" si="729"/>
        <v>-1</v>
      </c>
      <c r="Z916" s="108">
        <f t="shared" si="730"/>
        <v>-1</v>
      </c>
      <c r="AA916" s="108">
        <f t="shared" si="731"/>
        <v>-1</v>
      </c>
      <c r="AB916" s="108">
        <f t="shared" si="732"/>
        <v>-1</v>
      </c>
      <c r="AC916" s="108">
        <f t="shared" si="733"/>
        <v>-1</v>
      </c>
      <c r="AD916" s="108">
        <f t="shared" si="734"/>
        <v>-1</v>
      </c>
      <c r="AE916" s="108">
        <f t="shared" si="735"/>
        <v>-1</v>
      </c>
      <c r="AF916" s="108">
        <f t="shared" si="736"/>
        <v>-1</v>
      </c>
      <c r="AG916" s="108">
        <f t="shared" si="737"/>
        <v>-1</v>
      </c>
      <c r="AH916" s="108">
        <f t="shared" si="738"/>
        <v>-1</v>
      </c>
      <c r="AI916" s="108">
        <f t="shared" si="739"/>
        <v>-1</v>
      </c>
      <c r="AJ916" s="108">
        <f t="shared" si="740"/>
        <v>-1</v>
      </c>
      <c r="AK916" s="108">
        <f t="shared" si="741"/>
        <v>-1</v>
      </c>
      <c r="AL916" s="108">
        <f t="shared" si="742"/>
        <v>-1</v>
      </c>
    </row>
    <row r="917" spans="3:38" x14ac:dyDescent="0.55000000000000004">
      <c r="C917" s="104" t="str">
        <f>$V$87</f>
        <v>-</v>
      </c>
      <c r="D917" s="108">
        <f t="shared" ref="D917:S917" si="776">D87</f>
        <v>0</v>
      </c>
      <c r="E917" s="108">
        <f t="shared" si="776"/>
        <v>0</v>
      </c>
      <c r="F917" s="108">
        <f t="shared" si="776"/>
        <v>0</v>
      </c>
      <c r="G917" s="108">
        <f t="shared" si="776"/>
        <v>0</v>
      </c>
      <c r="H917" s="108">
        <f t="shared" si="776"/>
        <v>0</v>
      </c>
      <c r="I917" s="108">
        <f t="shared" si="776"/>
        <v>0</v>
      </c>
      <c r="J917" s="108">
        <f t="shared" si="776"/>
        <v>0</v>
      </c>
      <c r="K917" s="108">
        <f t="shared" si="776"/>
        <v>0</v>
      </c>
      <c r="L917" s="108">
        <f t="shared" si="776"/>
        <v>0</v>
      </c>
      <c r="M917" s="108">
        <f t="shared" si="776"/>
        <v>0</v>
      </c>
      <c r="N917" s="108">
        <f t="shared" si="776"/>
        <v>0</v>
      </c>
      <c r="O917" s="108">
        <f t="shared" si="776"/>
        <v>0</v>
      </c>
      <c r="P917" s="108">
        <f t="shared" si="776"/>
        <v>0</v>
      </c>
      <c r="Q917" s="108">
        <f t="shared" si="776"/>
        <v>0</v>
      </c>
      <c r="R917" s="108">
        <f t="shared" si="776"/>
        <v>0</v>
      </c>
      <c r="S917" s="108">
        <f t="shared" si="776"/>
        <v>0</v>
      </c>
      <c r="T917" s="28" t="s">
        <v>26</v>
      </c>
      <c r="V917" s="104" t="str">
        <f>$V$87</f>
        <v>-</v>
      </c>
      <c r="W917" s="108">
        <f t="shared" si="727"/>
        <v>-1</v>
      </c>
      <c r="X917" s="108">
        <f t="shared" si="728"/>
        <v>-1</v>
      </c>
      <c r="Y917" s="108">
        <f t="shared" si="729"/>
        <v>-1</v>
      </c>
      <c r="Z917" s="108">
        <f t="shared" si="730"/>
        <v>-1</v>
      </c>
      <c r="AA917" s="108">
        <f t="shared" si="731"/>
        <v>-1</v>
      </c>
      <c r="AB917" s="108">
        <f t="shared" si="732"/>
        <v>-1</v>
      </c>
      <c r="AC917" s="108">
        <f t="shared" si="733"/>
        <v>-1</v>
      </c>
      <c r="AD917" s="108">
        <f t="shared" si="734"/>
        <v>-1</v>
      </c>
      <c r="AE917" s="108">
        <f t="shared" si="735"/>
        <v>-1</v>
      </c>
      <c r="AF917" s="108">
        <f t="shared" si="736"/>
        <v>-1</v>
      </c>
      <c r="AG917" s="108">
        <f t="shared" si="737"/>
        <v>-1</v>
      </c>
      <c r="AH917" s="108">
        <f t="shared" si="738"/>
        <v>-1</v>
      </c>
      <c r="AI917" s="108">
        <f t="shared" si="739"/>
        <v>-1</v>
      </c>
      <c r="AJ917" s="108">
        <f t="shared" si="740"/>
        <v>-1</v>
      </c>
      <c r="AK917" s="108">
        <f t="shared" si="741"/>
        <v>-1</v>
      </c>
      <c r="AL917" s="108">
        <f t="shared" si="742"/>
        <v>-1</v>
      </c>
    </row>
    <row r="918" spans="3:38" x14ac:dyDescent="0.55000000000000004">
      <c r="C918" s="104" t="str">
        <f>$V$88</f>
        <v>-</v>
      </c>
      <c r="D918" s="108">
        <f t="shared" ref="D918:S918" si="777">D88</f>
        <v>0</v>
      </c>
      <c r="E918" s="108">
        <f t="shared" si="777"/>
        <v>0</v>
      </c>
      <c r="F918" s="108">
        <f t="shared" si="777"/>
        <v>0</v>
      </c>
      <c r="G918" s="108">
        <f t="shared" si="777"/>
        <v>0</v>
      </c>
      <c r="H918" s="108">
        <f t="shared" si="777"/>
        <v>0</v>
      </c>
      <c r="I918" s="108">
        <f t="shared" si="777"/>
        <v>0</v>
      </c>
      <c r="J918" s="108">
        <f t="shared" si="777"/>
        <v>0</v>
      </c>
      <c r="K918" s="108">
        <f t="shared" si="777"/>
        <v>0</v>
      </c>
      <c r="L918" s="108">
        <f t="shared" si="777"/>
        <v>0</v>
      </c>
      <c r="M918" s="108">
        <f t="shared" si="777"/>
        <v>0</v>
      </c>
      <c r="N918" s="108">
        <f t="shared" si="777"/>
        <v>0</v>
      </c>
      <c r="O918" s="108">
        <f t="shared" si="777"/>
        <v>0</v>
      </c>
      <c r="P918" s="108">
        <f t="shared" si="777"/>
        <v>0</v>
      </c>
      <c r="Q918" s="108">
        <f t="shared" si="777"/>
        <v>0</v>
      </c>
      <c r="R918" s="108">
        <f t="shared" si="777"/>
        <v>0</v>
      </c>
      <c r="S918" s="108">
        <f t="shared" si="777"/>
        <v>0</v>
      </c>
      <c r="T918" s="28" t="s">
        <v>26</v>
      </c>
      <c r="V918" s="104" t="str">
        <f>$V$88</f>
        <v>-</v>
      </c>
      <c r="W918" s="108">
        <f t="shared" si="727"/>
        <v>-1</v>
      </c>
      <c r="X918" s="108">
        <f t="shared" si="728"/>
        <v>-1</v>
      </c>
      <c r="Y918" s="108">
        <f t="shared" si="729"/>
        <v>-1</v>
      </c>
      <c r="Z918" s="108">
        <f t="shared" si="730"/>
        <v>-1</v>
      </c>
      <c r="AA918" s="108">
        <f t="shared" si="731"/>
        <v>-1</v>
      </c>
      <c r="AB918" s="108">
        <f t="shared" si="732"/>
        <v>-1</v>
      </c>
      <c r="AC918" s="108">
        <f t="shared" si="733"/>
        <v>-1</v>
      </c>
      <c r="AD918" s="108">
        <f t="shared" si="734"/>
        <v>-1</v>
      </c>
      <c r="AE918" s="108">
        <f t="shared" si="735"/>
        <v>-1</v>
      </c>
      <c r="AF918" s="108">
        <f t="shared" si="736"/>
        <v>-1</v>
      </c>
      <c r="AG918" s="108">
        <f t="shared" si="737"/>
        <v>-1</v>
      </c>
      <c r="AH918" s="108">
        <f t="shared" si="738"/>
        <v>-1</v>
      </c>
      <c r="AI918" s="108">
        <f t="shared" si="739"/>
        <v>-1</v>
      </c>
      <c r="AJ918" s="108">
        <f t="shared" si="740"/>
        <v>-1</v>
      </c>
      <c r="AK918" s="108">
        <f t="shared" si="741"/>
        <v>-1</v>
      </c>
      <c r="AL918" s="108">
        <f t="shared" si="742"/>
        <v>-1</v>
      </c>
    </row>
    <row r="919" spans="3:38" x14ac:dyDescent="0.55000000000000004">
      <c r="C919" s="104" t="str">
        <f>$V$89</f>
        <v>-</v>
      </c>
      <c r="D919" s="108">
        <f t="shared" ref="D919:S919" si="778">D89</f>
        <v>0</v>
      </c>
      <c r="E919" s="108">
        <f t="shared" si="778"/>
        <v>0</v>
      </c>
      <c r="F919" s="108">
        <f t="shared" si="778"/>
        <v>0</v>
      </c>
      <c r="G919" s="108">
        <f t="shared" si="778"/>
        <v>0</v>
      </c>
      <c r="H919" s="108">
        <f t="shared" si="778"/>
        <v>0</v>
      </c>
      <c r="I919" s="108">
        <f t="shared" si="778"/>
        <v>0</v>
      </c>
      <c r="J919" s="108">
        <f t="shared" si="778"/>
        <v>0</v>
      </c>
      <c r="K919" s="108">
        <f t="shared" si="778"/>
        <v>0</v>
      </c>
      <c r="L919" s="108">
        <f t="shared" si="778"/>
        <v>0</v>
      </c>
      <c r="M919" s="108">
        <f t="shared" si="778"/>
        <v>0</v>
      </c>
      <c r="N919" s="108">
        <f t="shared" si="778"/>
        <v>0</v>
      </c>
      <c r="O919" s="108">
        <f t="shared" si="778"/>
        <v>0</v>
      </c>
      <c r="P919" s="108">
        <f t="shared" si="778"/>
        <v>0</v>
      </c>
      <c r="Q919" s="108">
        <f t="shared" si="778"/>
        <v>0</v>
      </c>
      <c r="R919" s="108">
        <f t="shared" si="778"/>
        <v>0</v>
      </c>
      <c r="S919" s="108">
        <f t="shared" si="778"/>
        <v>0</v>
      </c>
      <c r="T919" s="28" t="s">
        <v>26</v>
      </c>
      <c r="V919" s="104" t="str">
        <f>$V$89</f>
        <v>-</v>
      </c>
      <c r="W919" s="108">
        <f t="shared" si="727"/>
        <v>-1</v>
      </c>
      <c r="X919" s="108">
        <f t="shared" si="728"/>
        <v>-1</v>
      </c>
      <c r="Y919" s="108">
        <f t="shared" si="729"/>
        <v>-1</v>
      </c>
      <c r="Z919" s="108">
        <f t="shared" si="730"/>
        <v>-1</v>
      </c>
      <c r="AA919" s="108">
        <f t="shared" si="731"/>
        <v>-1</v>
      </c>
      <c r="AB919" s="108">
        <f t="shared" si="732"/>
        <v>-1</v>
      </c>
      <c r="AC919" s="108">
        <f t="shared" si="733"/>
        <v>-1</v>
      </c>
      <c r="AD919" s="108">
        <f t="shared" si="734"/>
        <v>-1</v>
      </c>
      <c r="AE919" s="108">
        <f t="shared" si="735"/>
        <v>-1</v>
      </c>
      <c r="AF919" s="108">
        <f t="shared" si="736"/>
        <v>-1</v>
      </c>
      <c r="AG919" s="108">
        <f t="shared" si="737"/>
        <v>-1</v>
      </c>
      <c r="AH919" s="108">
        <f t="shared" si="738"/>
        <v>-1</v>
      </c>
      <c r="AI919" s="108">
        <f t="shared" si="739"/>
        <v>-1</v>
      </c>
      <c r="AJ919" s="108">
        <f t="shared" si="740"/>
        <v>-1</v>
      </c>
      <c r="AK919" s="108">
        <f t="shared" si="741"/>
        <v>-1</v>
      </c>
      <c r="AL919" s="108">
        <f t="shared" si="742"/>
        <v>-1</v>
      </c>
    </row>
    <row r="920" spans="3:38" x14ac:dyDescent="0.55000000000000004">
      <c r="C920" s="104" t="str">
        <f>$V$90</f>
        <v>-</v>
      </c>
      <c r="D920" s="108">
        <f t="shared" ref="D920:S920" si="779">D90</f>
        <v>0</v>
      </c>
      <c r="E920" s="108">
        <f t="shared" si="779"/>
        <v>0</v>
      </c>
      <c r="F920" s="108">
        <f t="shared" si="779"/>
        <v>0</v>
      </c>
      <c r="G920" s="108">
        <f t="shared" si="779"/>
        <v>0</v>
      </c>
      <c r="H920" s="108">
        <f t="shared" si="779"/>
        <v>0</v>
      </c>
      <c r="I920" s="108">
        <f t="shared" si="779"/>
        <v>0</v>
      </c>
      <c r="J920" s="108">
        <f t="shared" si="779"/>
        <v>0</v>
      </c>
      <c r="K920" s="108">
        <f t="shared" si="779"/>
        <v>0</v>
      </c>
      <c r="L920" s="108">
        <f t="shared" si="779"/>
        <v>0</v>
      </c>
      <c r="M920" s="108">
        <f t="shared" si="779"/>
        <v>0</v>
      </c>
      <c r="N920" s="108">
        <f t="shared" si="779"/>
        <v>0</v>
      </c>
      <c r="O920" s="108">
        <f t="shared" si="779"/>
        <v>0</v>
      </c>
      <c r="P920" s="108">
        <f t="shared" si="779"/>
        <v>0</v>
      </c>
      <c r="Q920" s="108">
        <f t="shared" si="779"/>
        <v>0</v>
      </c>
      <c r="R920" s="108">
        <f t="shared" si="779"/>
        <v>0</v>
      </c>
      <c r="S920" s="108">
        <f t="shared" si="779"/>
        <v>0</v>
      </c>
      <c r="T920" s="28" t="s">
        <v>26</v>
      </c>
      <c r="V920" s="104" t="str">
        <f>$V$90</f>
        <v>-</v>
      </c>
      <c r="W920" s="108">
        <f t="shared" si="727"/>
        <v>-1</v>
      </c>
      <c r="X920" s="108">
        <f t="shared" si="728"/>
        <v>-1</v>
      </c>
      <c r="Y920" s="108">
        <f t="shared" si="729"/>
        <v>-1</v>
      </c>
      <c r="Z920" s="108">
        <f t="shared" si="730"/>
        <v>-1</v>
      </c>
      <c r="AA920" s="108">
        <f t="shared" si="731"/>
        <v>-1</v>
      </c>
      <c r="AB920" s="108">
        <f t="shared" si="732"/>
        <v>-1</v>
      </c>
      <c r="AC920" s="108">
        <f t="shared" si="733"/>
        <v>-1</v>
      </c>
      <c r="AD920" s="108">
        <f t="shared" si="734"/>
        <v>-1</v>
      </c>
      <c r="AE920" s="108">
        <f t="shared" si="735"/>
        <v>-1</v>
      </c>
      <c r="AF920" s="108">
        <f t="shared" si="736"/>
        <v>-1</v>
      </c>
      <c r="AG920" s="108">
        <f t="shared" si="737"/>
        <v>-1</v>
      </c>
      <c r="AH920" s="108">
        <f t="shared" si="738"/>
        <v>-1</v>
      </c>
      <c r="AI920" s="108">
        <f t="shared" si="739"/>
        <v>-1</v>
      </c>
      <c r="AJ920" s="108">
        <f t="shared" si="740"/>
        <v>-1</v>
      </c>
      <c r="AK920" s="108">
        <f t="shared" si="741"/>
        <v>-1</v>
      </c>
      <c r="AL920" s="108">
        <f t="shared" si="742"/>
        <v>-1</v>
      </c>
    </row>
    <row r="921" spans="3:38" x14ac:dyDescent="0.55000000000000004">
      <c r="C921" s="104" t="str">
        <f>$V$91</f>
        <v>-</v>
      </c>
      <c r="D921" s="108">
        <f t="shared" ref="D921:S921" si="780">D91</f>
        <v>0</v>
      </c>
      <c r="E921" s="108">
        <f t="shared" si="780"/>
        <v>0</v>
      </c>
      <c r="F921" s="108">
        <f t="shared" si="780"/>
        <v>0</v>
      </c>
      <c r="G921" s="108">
        <f t="shared" si="780"/>
        <v>0</v>
      </c>
      <c r="H921" s="108">
        <f t="shared" si="780"/>
        <v>0</v>
      </c>
      <c r="I921" s="108">
        <f t="shared" si="780"/>
        <v>0</v>
      </c>
      <c r="J921" s="108">
        <f t="shared" si="780"/>
        <v>0</v>
      </c>
      <c r="K921" s="108">
        <f t="shared" si="780"/>
        <v>0</v>
      </c>
      <c r="L921" s="108">
        <f t="shared" si="780"/>
        <v>0</v>
      </c>
      <c r="M921" s="108">
        <f t="shared" si="780"/>
        <v>0</v>
      </c>
      <c r="N921" s="108">
        <f t="shared" si="780"/>
        <v>0</v>
      </c>
      <c r="O921" s="108">
        <f t="shared" si="780"/>
        <v>0</v>
      </c>
      <c r="P921" s="108">
        <f t="shared" si="780"/>
        <v>0</v>
      </c>
      <c r="Q921" s="108">
        <f t="shared" si="780"/>
        <v>0</v>
      </c>
      <c r="R921" s="108">
        <f t="shared" si="780"/>
        <v>0</v>
      </c>
      <c r="S921" s="108">
        <f t="shared" si="780"/>
        <v>0</v>
      </c>
      <c r="T921" s="28" t="s">
        <v>26</v>
      </c>
      <c r="V921" s="104" t="str">
        <f>$V$91</f>
        <v>-</v>
      </c>
      <c r="W921" s="108">
        <f t="shared" si="727"/>
        <v>-1</v>
      </c>
      <c r="X921" s="108">
        <f t="shared" si="728"/>
        <v>-1</v>
      </c>
      <c r="Y921" s="108">
        <f t="shared" si="729"/>
        <v>-1</v>
      </c>
      <c r="Z921" s="108">
        <f t="shared" si="730"/>
        <v>-1</v>
      </c>
      <c r="AA921" s="108">
        <f t="shared" si="731"/>
        <v>-1</v>
      </c>
      <c r="AB921" s="108">
        <f t="shared" si="732"/>
        <v>-1</v>
      </c>
      <c r="AC921" s="108">
        <f t="shared" si="733"/>
        <v>-1</v>
      </c>
      <c r="AD921" s="108">
        <f t="shared" si="734"/>
        <v>-1</v>
      </c>
      <c r="AE921" s="108">
        <f t="shared" si="735"/>
        <v>-1</v>
      </c>
      <c r="AF921" s="108">
        <f t="shared" si="736"/>
        <v>-1</v>
      </c>
      <c r="AG921" s="108">
        <f t="shared" si="737"/>
        <v>-1</v>
      </c>
      <c r="AH921" s="108">
        <f t="shared" si="738"/>
        <v>-1</v>
      </c>
      <c r="AI921" s="108">
        <f t="shared" si="739"/>
        <v>-1</v>
      </c>
      <c r="AJ921" s="108">
        <f t="shared" si="740"/>
        <v>-1</v>
      </c>
      <c r="AK921" s="108">
        <f t="shared" si="741"/>
        <v>-1</v>
      </c>
      <c r="AL921" s="108">
        <f t="shared" si="742"/>
        <v>-1</v>
      </c>
    </row>
    <row r="922" spans="3:38" x14ac:dyDescent="0.55000000000000004">
      <c r="C922" s="104" t="str">
        <f>$V$92</f>
        <v>-</v>
      </c>
      <c r="D922" s="108">
        <f t="shared" ref="D922:S922" si="781">D92</f>
        <v>0</v>
      </c>
      <c r="E922" s="108">
        <f t="shared" si="781"/>
        <v>0</v>
      </c>
      <c r="F922" s="108">
        <f t="shared" si="781"/>
        <v>0</v>
      </c>
      <c r="G922" s="108">
        <f t="shared" si="781"/>
        <v>0</v>
      </c>
      <c r="H922" s="108">
        <f t="shared" si="781"/>
        <v>0</v>
      </c>
      <c r="I922" s="108">
        <f t="shared" si="781"/>
        <v>0</v>
      </c>
      <c r="J922" s="108">
        <f t="shared" si="781"/>
        <v>0</v>
      </c>
      <c r="K922" s="108">
        <f t="shared" si="781"/>
        <v>0</v>
      </c>
      <c r="L922" s="108">
        <f t="shared" si="781"/>
        <v>0</v>
      </c>
      <c r="M922" s="108">
        <f t="shared" si="781"/>
        <v>0</v>
      </c>
      <c r="N922" s="108">
        <f t="shared" si="781"/>
        <v>0</v>
      </c>
      <c r="O922" s="108">
        <f t="shared" si="781"/>
        <v>0</v>
      </c>
      <c r="P922" s="108">
        <f t="shared" si="781"/>
        <v>0</v>
      </c>
      <c r="Q922" s="108">
        <f t="shared" si="781"/>
        <v>0</v>
      </c>
      <c r="R922" s="108">
        <f t="shared" si="781"/>
        <v>0</v>
      </c>
      <c r="S922" s="108">
        <f t="shared" si="781"/>
        <v>0</v>
      </c>
      <c r="T922" s="28" t="s">
        <v>26</v>
      </c>
      <c r="V922" s="104" t="str">
        <f>$V$92</f>
        <v>-</v>
      </c>
      <c r="W922" s="108">
        <f t="shared" si="727"/>
        <v>-1</v>
      </c>
      <c r="X922" s="108">
        <f t="shared" si="728"/>
        <v>-1</v>
      </c>
      <c r="Y922" s="108">
        <f t="shared" si="729"/>
        <v>-1</v>
      </c>
      <c r="Z922" s="108">
        <f t="shared" si="730"/>
        <v>-1</v>
      </c>
      <c r="AA922" s="108">
        <f t="shared" si="731"/>
        <v>-1</v>
      </c>
      <c r="AB922" s="108">
        <f t="shared" si="732"/>
        <v>-1</v>
      </c>
      <c r="AC922" s="108">
        <f t="shared" si="733"/>
        <v>-1</v>
      </c>
      <c r="AD922" s="108">
        <f t="shared" si="734"/>
        <v>-1</v>
      </c>
      <c r="AE922" s="108">
        <f t="shared" si="735"/>
        <v>-1</v>
      </c>
      <c r="AF922" s="108">
        <f t="shared" si="736"/>
        <v>-1</v>
      </c>
      <c r="AG922" s="108">
        <f t="shared" si="737"/>
        <v>-1</v>
      </c>
      <c r="AH922" s="108">
        <f t="shared" si="738"/>
        <v>-1</v>
      </c>
      <c r="AI922" s="108">
        <f t="shared" si="739"/>
        <v>-1</v>
      </c>
      <c r="AJ922" s="108">
        <f t="shared" si="740"/>
        <v>-1</v>
      </c>
      <c r="AK922" s="108">
        <f t="shared" si="741"/>
        <v>-1</v>
      </c>
      <c r="AL922" s="108">
        <f t="shared" si="742"/>
        <v>-1</v>
      </c>
    </row>
    <row r="926" spans="3:38" x14ac:dyDescent="0.55000000000000004">
      <c r="C926" s="104" t="str">
        <f>$BK$516</f>
        <v>Dummy 1</v>
      </c>
      <c r="D926" s="104" t="str">
        <f>$W$33</f>
        <v>16h</v>
      </c>
      <c r="E926" s="104" t="str">
        <f>$X$33</f>
        <v>17h</v>
      </c>
      <c r="F926" s="104" t="str">
        <f>$Y$33</f>
        <v>18h</v>
      </c>
      <c r="G926" s="104" t="str">
        <f>$Z$33</f>
        <v>19h</v>
      </c>
      <c r="H926" s="104" t="str">
        <f>$AA$33</f>
        <v>20h</v>
      </c>
      <c r="I926" s="104" t="str">
        <f>$AB$33</f>
        <v>21h</v>
      </c>
      <c r="J926" s="104" t="str">
        <f>$AC$33</f>
        <v>22h</v>
      </c>
      <c r="K926" s="104" t="str">
        <f>$AD$33</f>
        <v>23h</v>
      </c>
      <c r="L926" s="104" t="str">
        <f>$AE$33</f>
        <v>00h</v>
      </c>
      <c r="M926" s="104" t="str">
        <f>$AF$33</f>
        <v>01h</v>
      </c>
      <c r="N926" s="104" t="str">
        <f>$AG$33</f>
        <v>02h</v>
      </c>
      <c r="O926" s="104" t="str">
        <f>$AH$33</f>
        <v>03h</v>
      </c>
      <c r="P926" s="104" t="str">
        <f>$AI$33</f>
        <v>04h</v>
      </c>
      <c r="Q926" s="104" t="str">
        <f>$AJ$33</f>
        <v>05h</v>
      </c>
      <c r="R926" s="104" t="str">
        <f>$AK$33</f>
        <v>06h</v>
      </c>
      <c r="S926" s="104" t="str">
        <f>$AL$33</f>
        <v>07h</v>
      </c>
      <c r="V926" s="104" t="str">
        <f>$BK$516</f>
        <v>Dummy 1</v>
      </c>
      <c r="W926" s="104" t="str">
        <f>$W$33</f>
        <v>16h</v>
      </c>
      <c r="X926" s="104" t="str">
        <f>$X$33</f>
        <v>17h</v>
      </c>
      <c r="Y926" s="104" t="str">
        <f>$Y$33</f>
        <v>18h</v>
      </c>
      <c r="Z926" s="104" t="str">
        <f>$Z$33</f>
        <v>19h</v>
      </c>
      <c r="AA926" s="104" t="str">
        <f>$AA$33</f>
        <v>20h</v>
      </c>
      <c r="AB926" s="104" t="str">
        <f>$AB$33</f>
        <v>21h</v>
      </c>
      <c r="AC926" s="104" t="str">
        <f>$AC$33</f>
        <v>22h</v>
      </c>
      <c r="AD926" s="104" t="str">
        <f>$AD$33</f>
        <v>23h</v>
      </c>
      <c r="AE926" s="104" t="str">
        <f>$AE$33</f>
        <v>00h</v>
      </c>
      <c r="AF926" s="104" t="str">
        <f>$AF$33</f>
        <v>01h</v>
      </c>
      <c r="AG926" s="104" t="str">
        <f>$AG$33</f>
        <v>02h</v>
      </c>
      <c r="AH926" s="104" t="str">
        <f>$AH$33</f>
        <v>03h</v>
      </c>
      <c r="AI926" s="104" t="str">
        <f>$AI$33</f>
        <v>04h</v>
      </c>
      <c r="AJ926" s="104" t="str">
        <f>$AJ$33</f>
        <v>05h</v>
      </c>
      <c r="AK926" s="104" t="str">
        <f>$AK$33</f>
        <v>06h</v>
      </c>
      <c r="AL926" s="104" t="str">
        <f>$AL$33</f>
        <v>07h</v>
      </c>
    </row>
    <row r="927" spans="3:38" x14ac:dyDescent="0.55000000000000004">
      <c r="C927" s="104" t="str">
        <f>$V$53</f>
        <v>Jennifer</v>
      </c>
      <c r="D927" s="108">
        <f t="shared" ref="D927:S927" si="782">D53</f>
        <v>0</v>
      </c>
      <c r="E927" s="108">
        <f t="shared" si="782"/>
        <v>0</v>
      </c>
      <c r="F927" s="108">
        <f t="shared" si="782"/>
        <v>0</v>
      </c>
      <c r="G927" s="108">
        <f t="shared" si="782"/>
        <v>0</v>
      </c>
      <c r="H927" s="108">
        <f t="shared" si="782"/>
        <v>0</v>
      </c>
      <c r="I927" s="108">
        <f t="shared" si="782"/>
        <v>0</v>
      </c>
      <c r="J927" s="108">
        <f t="shared" si="782"/>
        <v>0</v>
      </c>
      <c r="K927" s="108">
        <f t="shared" si="782"/>
        <v>0</v>
      </c>
      <c r="L927" s="108">
        <f t="shared" si="782"/>
        <v>0</v>
      </c>
      <c r="M927" s="108">
        <f t="shared" si="782"/>
        <v>0</v>
      </c>
      <c r="N927" s="108">
        <f t="shared" si="782"/>
        <v>0</v>
      </c>
      <c r="O927" s="108">
        <f t="shared" si="782"/>
        <v>0</v>
      </c>
      <c r="P927" s="108">
        <f t="shared" si="782"/>
        <v>0</v>
      </c>
      <c r="Q927" s="108">
        <f t="shared" si="782"/>
        <v>0</v>
      </c>
      <c r="R927" s="108">
        <f t="shared" si="782"/>
        <v>0</v>
      </c>
      <c r="S927" s="108">
        <f t="shared" si="782"/>
        <v>0</v>
      </c>
      <c r="T927" s="28" t="s">
        <v>26</v>
      </c>
      <c r="V927" s="104" t="str">
        <f>$V$53</f>
        <v>Jennifer</v>
      </c>
      <c r="W927" s="108">
        <f t="shared" ref="W927:W966" si="783">AR474+AS474-1</f>
        <v>-1</v>
      </c>
      <c r="X927" s="108">
        <f t="shared" ref="X927:X966" si="784">AS474+AT474-1</f>
        <v>-1</v>
      </c>
      <c r="Y927" s="108">
        <f t="shared" ref="Y927:Y966" si="785">AT474+AU474-1</f>
        <v>-1</v>
      </c>
      <c r="Z927" s="108">
        <f t="shared" ref="Z927:Z966" si="786">AU474+AV474-1</f>
        <v>-1</v>
      </c>
      <c r="AA927" s="108">
        <f t="shared" ref="AA927:AA966" si="787">AV474+AW474-1</f>
        <v>-1</v>
      </c>
      <c r="AB927" s="108">
        <f t="shared" ref="AB927:AB966" si="788">AW474+AX474-1</f>
        <v>-1</v>
      </c>
      <c r="AC927" s="108">
        <f t="shared" ref="AC927:AC966" si="789">AX474+AY474-1</f>
        <v>-1</v>
      </c>
      <c r="AD927" s="108">
        <f t="shared" ref="AD927:AD966" si="790">AY474+AZ474-1</f>
        <v>-1</v>
      </c>
      <c r="AE927" s="108">
        <f t="shared" ref="AE927:AE966" si="791">AZ474+BA474-1</f>
        <v>-1</v>
      </c>
      <c r="AF927" s="108">
        <f t="shared" ref="AF927:AF966" si="792">BA474+BB474-1</f>
        <v>-1</v>
      </c>
      <c r="AG927" s="108">
        <f t="shared" ref="AG927:AG966" si="793">BB474+BC474-1</f>
        <v>-1</v>
      </c>
      <c r="AH927" s="108">
        <f t="shared" ref="AH927:AH966" si="794">BC474+BD474-1</f>
        <v>-1</v>
      </c>
      <c r="AI927" s="108">
        <f t="shared" ref="AI927:AI966" si="795">BD474+BE474-1</f>
        <v>-1</v>
      </c>
      <c r="AJ927" s="108">
        <f t="shared" ref="AJ927:AJ966" si="796">BE474+BF474-1</f>
        <v>-1</v>
      </c>
      <c r="AK927" s="108">
        <f t="shared" ref="AK927:AK966" si="797">BF474+BG474-1</f>
        <v>-1</v>
      </c>
      <c r="AL927" s="108">
        <f t="shared" ref="AL927:AL966" si="798">BG474+BH474-1</f>
        <v>-1</v>
      </c>
    </row>
    <row r="928" spans="3:38" x14ac:dyDescent="0.55000000000000004">
      <c r="C928" s="104" t="str">
        <f>$V$54</f>
        <v>Galileo</v>
      </c>
      <c r="D928" s="108">
        <f t="shared" ref="D928:S928" si="799">D54</f>
        <v>0</v>
      </c>
      <c r="E928" s="108">
        <f t="shared" si="799"/>
        <v>0</v>
      </c>
      <c r="F928" s="108">
        <f t="shared" si="799"/>
        <v>0</v>
      </c>
      <c r="G928" s="108">
        <f t="shared" si="799"/>
        <v>0</v>
      </c>
      <c r="H928" s="108">
        <f t="shared" si="799"/>
        <v>0</v>
      </c>
      <c r="I928" s="108">
        <f t="shared" si="799"/>
        <v>0</v>
      </c>
      <c r="J928" s="108">
        <f t="shared" si="799"/>
        <v>0</v>
      </c>
      <c r="K928" s="108">
        <f t="shared" si="799"/>
        <v>0</v>
      </c>
      <c r="L928" s="108">
        <f t="shared" si="799"/>
        <v>0</v>
      </c>
      <c r="M928" s="108">
        <f t="shared" si="799"/>
        <v>0</v>
      </c>
      <c r="N928" s="108">
        <f t="shared" si="799"/>
        <v>0</v>
      </c>
      <c r="O928" s="108">
        <f t="shared" si="799"/>
        <v>0</v>
      </c>
      <c r="P928" s="108">
        <f t="shared" si="799"/>
        <v>0</v>
      </c>
      <c r="Q928" s="108">
        <f t="shared" si="799"/>
        <v>0</v>
      </c>
      <c r="R928" s="108">
        <f t="shared" si="799"/>
        <v>0</v>
      </c>
      <c r="S928" s="108">
        <f t="shared" si="799"/>
        <v>0</v>
      </c>
      <c r="T928" s="28" t="s">
        <v>26</v>
      </c>
      <c r="V928" s="104" t="str">
        <f>$V$54</f>
        <v>Galileo</v>
      </c>
      <c r="W928" s="108">
        <f t="shared" si="783"/>
        <v>-1</v>
      </c>
      <c r="X928" s="108">
        <f t="shared" si="784"/>
        <v>-1</v>
      </c>
      <c r="Y928" s="108">
        <f t="shared" si="785"/>
        <v>-1</v>
      </c>
      <c r="Z928" s="108">
        <f t="shared" si="786"/>
        <v>-1</v>
      </c>
      <c r="AA928" s="108">
        <f t="shared" si="787"/>
        <v>-1</v>
      </c>
      <c r="AB928" s="108">
        <f t="shared" si="788"/>
        <v>-1</v>
      </c>
      <c r="AC928" s="108">
        <f t="shared" si="789"/>
        <v>-1</v>
      </c>
      <c r="AD928" s="108">
        <f t="shared" si="790"/>
        <v>-1</v>
      </c>
      <c r="AE928" s="108">
        <f t="shared" si="791"/>
        <v>-1</v>
      </c>
      <c r="AF928" s="108">
        <f t="shared" si="792"/>
        <v>-1</v>
      </c>
      <c r="AG928" s="108">
        <f t="shared" si="793"/>
        <v>-1</v>
      </c>
      <c r="AH928" s="108">
        <f t="shared" si="794"/>
        <v>-1</v>
      </c>
      <c r="AI928" s="108">
        <f t="shared" si="795"/>
        <v>-1</v>
      </c>
      <c r="AJ928" s="108">
        <f t="shared" si="796"/>
        <v>-1</v>
      </c>
      <c r="AK928" s="108">
        <f t="shared" si="797"/>
        <v>-1</v>
      </c>
      <c r="AL928" s="108">
        <f t="shared" si="798"/>
        <v>-1</v>
      </c>
    </row>
    <row r="929" spans="3:38" x14ac:dyDescent="0.55000000000000004">
      <c r="C929" s="104" t="str">
        <f>$V$55</f>
        <v>Óscar</v>
      </c>
      <c r="D929" s="108">
        <f t="shared" ref="D929:S929" si="800">D55</f>
        <v>0</v>
      </c>
      <c r="E929" s="108">
        <f t="shared" si="800"/>
        <v>0</v>
      </c>
      <c r="F929" s="108">
        <f t="shared" si="800"/>
        <v>0</v>
      </c>
      <c r="G929" s="108">
        <f t="shared" si="800"/>
        <v>0</v>
      </c>
      <c r="H929" s="108">
        <f t="shared" si="800"/>
        <v>0</v>
      </c>
      <c r="I929" s="108">
        <f t="shared" si="800"/>
        <v>0</v>
      </c>
      <c r="J929" s="108">
        <f t="shared" si="800"/>
        <v>0</v>
      </c>
      <c r="K929" s="108">
        <f t="shared" si="800"/>
        <v>0</v>
      </c>
      <c r="L929" s="108">
        <f t="shared" si="800"/>
        <v>0</v>
      </c>
      <c r="M929" s="108">
        <f t="shared" si="800"/>
        <v>0</v>
      </c>
      <c r="N929" s="108">
        <f t="shared" si="800"/>
        <v>0</v>
      </c>
      <c r="O929" s="108">
        <f t="shared" si="800"/>
        <v>0</v>
      </c>
      <c r="P929" s="108">
        <f t="shared" si="800"/>
        <v>0</v>
      </c>
      <c r="Q929" s="108">
        <f t="shared" si="800"/>
        <v>0</v>
      </c>
      <c r="R929" s="108">
        <f t="shared" si="800"/>
        <v>0</v>
      </c>
      <c r="S929" s="108">
        <f t="shared" si="800"/>
        <v>0</v>
      </c>
      <c r="T929" s="28" t="s">
        <v>26</v>
      </c>
      <c r="V929" s="104" t="str">
        <f>$V$55</f>
        <v>Óscar</v>
      </c>
      <c r="W929" s="108">
        <f t="shared" si="783"/>
        <v>-1</v>
      </c>
      <c r="X929" s="108">
        <f t="shared" si="784"/>
        <v>-1</v>
      </c>
      <c r="Y929" s="108">
        <f t="shared" si="785"/>
        <v>-1</v>
      </c>
      <c r="Z929" s="108">
        <f t="shared" si="786"/>
        <v>-1</v>
      </c>
      <c r="AA929" s="108">
        <f t="shared" si="787"/>
        <v>-1</v>
      </c>
      <c r="AB929" s="108">
        <f t="shared" si="788"/>
        <v>-1</v>
      </c>
      <c r="AC929" s="108">
        <f t="shared" si="789"/>
        <v>-1</v>
      </c>
      <c r="AD929" s="108">
        <f t="shared" si="790"/>
        <v>-1</v>
      </c>
      <c r="AE929" s="108">
        <f t="shared" si="791"/>
        <v>-1</v>
      </c>
      <c r="AF929" s="108">
        <f t="shared" si="792"/>
        <v>-1</v>
      </c>
      <c r="AG929" s="108">
        <f t="shared" si="793"/>
        <v>0</v>
      </c>
      <c r="AH929" s="108">
        <f t="shared" si="794"/>
        <v>0</v>
      </c>
      <c r="AI929" s="108">
        <f t="shared" si="795"/>
        <v>-1</v>
      </c>
      <c r="AJ929" s="108">
        <f t="shared" si="796"/>
        <v>-1</v>
      </c>
      <c r="AK929" s="108">
        <f t="shared" si="797"/>
        <v>-1</v>
      </c>
      <c r="AL929" s="108">
        <f t="shared" si="798"/>
        <v>-1</v>
      </c>
    </row>
    <row r="930" spans="3:38" x14ac:dyDescent="0.55000000000000004">
      <c r="C930" s="104" t="str">
        <f>$V$56</f>
        <v>Sebastián</v>
      </c>
      <c r="D930" s="108">
        <f t="shared" ref="D930:S930" si="801">D56</f>
        <v>0</v>
      </c>
      <c r="E930" s="108">
        <f t="shared" si="801"/>
        <v>0</v>
      </c>
      <c r="F930" s="108">
        <f t="shared" si="801"/>
        <v>0</v>
      </c>
      <c r="G930" s="108">
        <f t="shared" si="801"/>
        <v>0</v>
      </c>
      <c r="H930" s="108">
        <f t="shared" si="801"/>
        <v>0</v>
      </c>
      <c r="I930" s="108">
        <f t="shared" si="801"/>
        <v>0</v>
      </c>
      <c r="J930" s="108">
        <f t="shared" si="801"/>
        <v>0</v>
      </c>
      <c r="K930" s="108">
        <f t="shared" si="801"/>
        <v>0</v>
      </c>
      <c r="L930" s="108">
        <f t="shared" si="801"/>
        <v>0</v>
      </c>
      <c r="M930" s="108">
        <f t="shared" si="801"/>
        <v>0</v>
      </c>
      <c r="N930" s="108">
        <f t="shared" si="801"/>
        <v>0</v>
      </c>
      <c r="O930" s="108">
        <f t="shared" si="801"/>
        <v>0</v>
      </c>
      <c r="P930" s="108">
        <f t="shared" si="801"/>
        <v>0</v>
      </c>
      <c r="Q930" s="108">
        <f t="shared" si="801"/>
        <v>0</v>
      </c>
      <c r="R930" s="108">
        <f t="shared" si="801"/>
        <v>0</v>
      </c>
      <c r="S930" s="108">
        <f t="shared" si="801"/>
        <v>0</v>
      </c>
      <c r="T930" s="28" t="s">
        <v>26</v>
      </c>
      <c r="V930" s="104" t="str">
        <f>$V$56</f>
        <v>Sebastián</v>
      </c>
      <c r="W930" s="108">
        <f t="shared" si="783"/>
        <v>-1</v>
      </c>
      <c r="X930" s="108">
        <f t="shared" si="784"/>
        <v>-1</v>
      </c>
      <c r="Y930" s="108">
        <f t="shared" si="785"/>
        <v>0</v>
      </c>
      <c r="Z930" s="108">
        <f t="shared" si="786"/>
        <v>0</v>
      </c>
      <c r="AA930" s="108">
        <f t="shared" si="787"/>
        <v>-1</v>
      </c>
      <c r="AB930" s="108">
        <f t="shared" si="788"/>
        <v>-1</v>
      </c>
      <c r="AC930" s="108">
        <f t="shared" si="789"/>
        <v>-1</v>
      </c>
      <c r="AD930" s="108">
        <f t="shared" si="790"/>
        <v>-1</v>
      </c>
      <c r="AE930" s="108">
        <f t="shared" si="791"/>
        <v>-1</v>
      </c>
      <c r="AF930" s="108">
        <f t="shared" si="792"/>
        <v>-1</v>
      </c>
      <c r="AG930" s="108">
        <f t="shared" si="793"/>
        <v>-1</v>
      </c>
      <c r="AH930" s="108">
        <f t="shared" si="794"/>
        <v>-1</v>
      </c>
      <c r="AI930" s="108">
        <f t="shared" si="795"/>
        <v>-1</v>
      </c>
      <c r="AJ930" s="108">
        <f t="shared" si="796"/>
        <v>-1</v>
      </c>
      <c r="AK930" s="108">
        <f t="shared" si="797"/>
        <v>-1</v>
      </c>
      <c r="AL930" s="108">
        <f t="shared" si="798"/>
        <v>-1</v>
      </c>
    </row>
    <row r="931" spans="3:38" x14ac:dyDescent="0.55000000000000004">
      <c r="C931" s="104" t="str">
        <f>$V$57</f>
        <v>Marcos</v>
      </c>
      <c r="D931" s="108">
        <f t="shared" ref="D931:S931" si="802">D57</f>
        <v>0</v>
      </c>
      <c r="E931" s="108">
        <f t="shared" si="802"/>
        <v>0</v>
      </c>
      <c r="F931" s="108">
        <f t="shared" si="802"/>
        <v>0</v>
      </c>
      <c r="G931" s="108">
        <f t="shared" si="802"/>
        <v>0</v>
      </c>
      <c r="H931" s="108">
        <f t="shared" si="802"/>
        <v>0</v>
      </c>
      <c r="I931" s="108">
        <f t="shared" si="802"/>
        <v>0</v>
      </c>
      <c r="J931" s="108">
        <f t="shared" si="802"/>
        <v>0</v>
      </c>
      <c r="K931" s="108">
        <f t="shared" si="802"/>
        <v>0</v>
      </c>
      <c r="L931" s="108">
        <f t="shared" si="802"/>
        <v>0</v>
      </c>
      <c r="M931" s="108">
        <f t="shared" si="802"/>
        <v>0</v>
      </c>
      <c r="N931" s="108">
        <f t="shared" si="802"/>
        <v>0</v>
      </c>
      <c r="O931" s="108">
        <f t="shared" si="802"/>
        <v>0</v>
      </c>
      <c r="P931" s="108">
        <f t="shared" si="802"/>
        <v>0</v>
      </c>
      <c r="Q931" s="108">
        <f t="shared" si="802"/>
        <v>0</v>
      </c>
      <c r="R931" s="108">
        <f t="shared" si="802"/>
        <v>0</v>
      </c>
      <c r="S931" s="108">
        <f t="shared" si="802"/>
        <v>0</v>
      </c>
      <c r="T931" s="28" t="s">
        <v>26</v>
      </c>
      <c r="V931" s="104" t="str">
        <f>$V$57</f>
        <v>Marcos</v>
      </c>
      <c r="W931" s="108">
        <f t="shared" si="783"/>
        <v>-1</v>
      </c>
      <c r="X931" s="108">
        <f t="shared" si="784"/>
        <v>-1</v>
      </c>
      <c r="Y931" s="108">
        <f t="shared" si="785"/>
        <v>0</v>
      </c>
      <c r="Z931" s="108">
        <f t="shared" si="786"/>
        <v>0</v>
      </c>
      <c r="AA931" s="108">
        <f t="shared" si="787"/>
        <v>-1</v>
      </c>
      <c r="AB931" s="108">
        <f t="shared" si="788"/>
        <v>-1</v>
      </c>
      <c r="AC931" s="108">
        <f t="shared" si="789"/>
        <v>-1</v>
      </c>
      <c r="AD931" s="108">
        <f t="shared" si="790"/>
        <v>-1</v>
      </c>
      <c r="AE931" s="108">
        <f t="shared" si="791"/>
        <v>-1</v>
      </c>
      <c r="AF931" s="108">
        <f t="shared" si="792"/>
        <v>-1</v>
      </c>
      <c r="AG931" s="108">
        <f t="shared" si="793"/>
        <v>0</v>
      </c>
      <c r="AH931" s="108">
        <f t="shared" si="794"/>
        <v>0</v>
      </c>
      <c r="AI931" s="108">
        <f t="shared" si="795"/>
        <v>-1</v>
      </c>
      <c r="AJ931" s="108">
        <f t="shared" si="796"/>
        <v>-1</v>
      </c>
      <c r="AK931" s="108">
        <f t="shared" si="797"/>
        <v>-1</v>
      </c>
      <c r="AL931" s="108">
        <f t="shared" si="798"/>
        <v>-1</v>
      </c>
    </row>
    <row r="932" spans="3:38" x14ac:dyDescent="0.55000000000000004">
      <c r="C932" s="104" t="str">
        <f>$V$58</f>
        <v>Weixin</v>
      </c>
      <c r="D932" s="108">
        <f t="shared" ref="D932:S932" si="803">D58</f>
        <v>0</v>
      </c>
      <c r="E932" s="108">
        <f t="shared" si="803"/>
        <v>0</v>
      </c>
      <c r="F932" s="108">
        <f t="shared" si="803"/>
        <v>0</v>
      </c>
      <c r="G932" s="108">
        <f t="shared" si="803"/>
        <v>0</v>
      </c>
      <c r="H932" s="108">
        <f t="shared" si="803"/>
        <v>0</v>
      </c>
      <c r="I932" s="108">
        <f t="shared" si="803"/>
        <v>0</v>
      </c>
      <c r="J932" s="108">
        <f t="shared" si="803"/>
        <v>0</v>
      </c>
      <c r="K932" s="108">
        <f t="shared" si="803"/>
        <v>0</v>
      </c>
      <c r="L932" s="108">
        <f t="shared" si="803"/>
        <v>0</v>
      </c>
      <c r="M932" s="108">
        <f t="shared" si="803"/>
        <v>0</v>
      </c>
      <c r="N932" s="108">
        <f t="shared" si="803"/>
        <v>0</v>
      </c>
      <c r="O932" s="108">
        <f t="shared" si="803"/>
        <v>0</v>
      </c>
      <c r="P932" s="108">
        <f t="shared" si="803"/>
        <v>0</v>
      </c>
      <c r="Q932" s="108">
        <f t="shared" si="803"/>
        <v>0</v>
      </c>
      <c r="R932" s="108">
        <f t="shared" si="803"/>
        <v>0</v>
      </c>
      <c r="S932" s="108">
        <f t="shared" si="803"/>
        <v>0</v>
      </c>
      <c r="T932" s="28" t="s">
        <v>26</v>
      </c>
      <c r="V932" s="104" t="str">
        <f>$V$58</f>
        <v>Weixin</v>
      </c>
      <c r="W932" s="108">
        <f t="shared" si="783"/>
        <v>-1</v>
      </c>
      <c r="X932" s="108">
        <f t="shared" si="784"/>
        <v>-1</v>
      </c>
      <c r="Y932" s="108">
        <f t="shared" si="785"/>
        <v>-1</v>
      </c>
      <c r="Z932" s="108">
        <f t="shared" si="786"/>
        <v>-1</v>
      </c>
      <c r="AA932" s="108">
        <f t="shared" si="787"/>
        <v>-1</v>
      </c>
      <c r="AB932" s="108">
        <f t="shared" si="788"/>
        <v>-1</v>
      </c>
      <c r="AC932" s="108">
        <f t="shared" si="789"/>
        <v>-1</v>
      </c>
      <c r="AD932" s="108">
        <f t="shared" si="790"/>
        <v>-1</v>
      </c>
      <c r="AE932" s="108">
        <f t="shared" si="791"/>
        <v>-1</v>
      </c>
      <c r="AF932" s="108">
        <f t="shared" si="792"/>
        <v>-1</v>
      </c>
      <c r="AG932" s="108">
        <f t="shared" si="793"/>
        <v>-1</v>
      </c>
      <c r="AH932" s="108">
        <f t="shared" si="794"/>
        <v>-1</v>
      </c>
      <c r="AI932" s="108">
        <f t="shared" si="795"/>
        <v>-1</v>
      </c>
      <c r="AJ932" s="108">
        <f t="shared" si="796"/>
        <v>-1</v>
      </c>
      <c r="AK932" s="108">
        <f t="shared" si="797"/>
        <v>-1</v>
      </c>
      <c r="AL932" s="108">
        <f t="shared" si="798"/>
        <v>-1</v>
      </c>
    </row>
    <row r="933" spans="3:38" x14ac:dyDescent="0.55000000000000004">
      <c r="C933" s="104" t="str">
        <f>$V$59</f>
        <v>Benjamin</v>
      </c>
      <c r="D933" s="108">
        <f t="shared" ref="D933:S933" si="804">D59</f>
        <v>0</v>
      </c>
      <c r="E933" s="108">
        <f t="shared" si="804"/>
        <v>0</v>
      </c>
      <c r="F933" s="108">
        <f t="shared" si="804"/>
        <v>0</v>
      </c>
      <c r="G933" s="108">
        <f t="shared" si="804"/>
        <v>0</v>
      </c>
      <c r="H933" s="108">
        <f t="shared" si="804"/>
        <v>0</v>
      </c>
      <c r="I933" s="108">
        <f t="shared" si="804"/>
        <v>0</v>
      </c>
      <c r="J933" s="108">
        <f t="shared" si="804"/>
        <v>0</v>
      </c>
      <c r="K933" s="108">
        <f t="shared" si="804"/>
        <v>0</v>
      </c>
      <c r="L933" s="108">
        <f t="shared" si="804"/>
        <v>0</v>
      </c>
      <c r="M933" s="108">
        <f t="shared" si="804"/>
        <v>0</v>
      </c>
      <c r="N933" s="108">
        <f t="shared" si="804"/>
        <v>0</v>
      </c>
      <c r="O933" s="108">
        <f t="shared" si="804"/>
        <v>0</v>
      </c>
      <c r="P933" s="108">
        <f t="shared" si="804"/>
        <v>0</v>
      </c>
      <c r="Q933" s="108">
        <f t="shared" si="804"/>
        <v>0</v>
      </c>
      <c r="R933" s="108">
        <f t="shared" si="804"/>
        <v>0</v>
      </c>
      <c r="S933" s="108">
        <f t="shared" si="804"/>
        <v>0</v>
      </c>
      <c r="T933" s="28" t="s">
        <v>26</v>
      </c>
      <c r="V933" s="104" t="str">
        <f>$V$59</f>
        <v>Benjamin</v>
      </c>
      <c r="W933" s="108">
        <f t="shared" si="783"/>
        <v>-1</v>
      </c>
      <c r="X933" s="108">
        <f t="shared" si="784"/>
        <v>-1</v>
      </c>
      <c r="Y933" s="108">
        <f t="shared" si="785"/>
        <v>-1</v>
      </c>
      <c r="Z933" s="108">
        <f t="shared" si="786"/>
        <v>-1</v>
      </c>
      <c r="AA933" s="108">
        <f t="shared" si="787"/>
        <v>-1</v>
      </c>
      <c r="AB933" s="108">
        <f t="shared" si="788"/>
        <v>-1</v>
      </c>
      <c r="AC933" s="108">
        <f t="shared" si="789"/>
        <v>-1</v>
      </c>
      <c r="AD933" s="108">
        <f t="shared" si="790"/>
        <v>-1</v>
      </c>
      <c r="AE933" s="108">
        <f t="shared" si="791"/>
        <v>-1</v>
      </c>
      <c r="AF933" s="108">
        <f t="shared" si="792"/>
        <v>-1</v>
      </c>
      <c r="AG933" s="108">
        <f t="shared" si="793"/>
        <v>-1</v>
      </c>
      <c r="AH933" s="108">
        <f t="shared" si="794"/>
        <v>-1</v>
      </c>
      <c r="AI933" s="108">
        <f t="shared" si="795"/>
        <v>-1</v>
      </c>
      <c r="AJ933" s="108">
        <f t="shared" si="796"/>
        <v>-1</v>
      </c>
      <c r="AK933" s="108">
        <f t="shared" si="797"/>
        <v>-1</v>
      </c>
      <c r="AL933" s="108">
        <f t="shared" si="798"/>
        <v>-1</v>
      </c>
    </row>
    <row r="934" spans="3:38" x14ac:dyDescent="0.55000000000000004">
      <c r="C934" s="104" t="str">
        <f>$V$60</f>
        <v>Joelle</v>
      </c>
      <c r="D934" s="108">
        <f t="shared" ref="D934:S934" si="805">D60</f>
        <v>0</v>
      </c>
      <c r="E934" s="108">
        <f t="shared" si="805"/>
        <v>0</v>
      </c>
      <c r="F934" s="108">
        <f t="shared" si="805"/>
        <v>0</v>
      </c>
      <c r="G934" s="108">
        <f t="shared" si="805"/>
        <v>0</v>
      </c>
      <c r="H934" s="108">
        <f t="shared" si="805"/>
        <v>0</v>
      </c>
      <c r="I934" s="108">
        <f t="shared" si="805"/>
        <v>0</v>
      </c>
      <c r="J934" s="108">
        <f t="shared" si="805"/>
        <v>0</v>
      </c>
      <c r="K934" s="108">
        <f t="shared" si="805"/>
        <v>0</v>
      </c>
      <c r="L934" s="108">
        <f t="shared" si="805"/>
        <v>0</v>
      </c>
      <c r="M934" s="108">
        <f t="shared" si="805"/>
        <v>0</v>
      </c>
      <c r="N934" s="108">
        <f t="shared" si="805"/>
        <v>0</v>
      </c>
      <c r="O934" s="108">
        <f t="shared" si="805"/>
        <v>0</v>
      </c>
      <c r="P934" s="108">
        <f t="shared" si="805"/>
        <v>0</v>
      </c>
      <c r="Q934" s="108">
        <f t="shared" si="805"/>
        <v>0</v>
      </c>
      <c r="R934" s="108">
        <f t="shared" si="805"/>
        <v>0</v>
      </c>
      <c r="S934" s="108">
        <f t="shared" si="805"/>
        <v>0</v>
      </c>
      <c r="T934" s="28" t="s">
        <v>26</v>
      </c>
      <c r="V934" s="104" t="str">
        <f>$V$60</f>
        <v>Joelle</v>
      </c>
      <c r="W934" s="108">
        <f t="shared" si="783"/>
        <v>-1</v>
      </c>
      <c r="X934" s="108">
        <f t="shared" si="784"/>
        <v>-1</v>
      </c>
      <c r="Y934" s="108">
        <f t="shared" si="785"/>
        <v>-1</v>
      </c>
      <c r="Z934" s="108">
        <f t="shared" si="786"/>
        <v>-1</v>
      </c>
      <c r="AA934" s="108">
        <f t="shared" si="787"/>
        <v>-1</v>
      </c>
      <c r="AB934" s="108">
        <f t="shared" si="788"/>
        <v>-1</v>
      </c>
      <c r="AC934" s="108">
        <f t="shared" si="789"/>
        <v>-1</v>
      </c>
      <c r="AD934" s="108">
        <f t="shared" si="790"/>
        <v>-1</v>
      </c>
      <c r="AE934" s="108">
        <f t="shared" si="791"/>
        <v>-1</v>
      </c>
      <c r="AF934" s="108">
        <f t="shared" si="792"/>
        <v>-1</v>
      </c>
      <c r="AG934" s="108">
        <f t="shared" si="793"/>
        <v>-1</v>
      </c>
      <c r="AH934" s="108">
        <f t="shared" si="794"/>
        <v>-1</v>
      </c>
      <c r="AI934" s="108">
        <f t="shared" si="795"/>
        <v>-1</v>
      </c>
      <c r="AJ934" s="108">
        <f t="shared" si="796"/>
        <v>-1</v>
      </c>
      <c r="AK934" s="108">
        <f t="shared" si="797"/>
        <v>-1</v>
      </c>
      <c r="AL934" s="108">
        <f t="shared" si="798"/>
        <v>-1</v>
      </c>
    </row>
    <row r="935" spans="3:38" x14ac:dyDescent="0.55000000000000004">
      <c r="C935" s="104" t="str">
        <f>$V$61</f>
        <v>Alexia</v>
      </c>
      <c r="D935" s="108">
        <f t="shared" ref="D935:S935" si="806">D61</f>
        <v>0</v>
      </c>
      <c r="E935" s="108">
        <f t="shared" si="806"/>
        <v>0</v>
      </c>
      <c r="F935" s="108">
        <f t="shared" si="806"/>
        <v>0</v>
      </c>
      <c r="G935" s="108">
        <f t="shared" si="806"/>
        <v>0</v>
      </c>
      <c r="H935" s="108">
        <f t="shared" si="806"/>
        <v>0</v>
      </c>
      <c r="I935" s="108">
        <f t="shared" si="806"/>
        <v>0</v>
      </c>
      <c r="J935" s="108">
        <f t="shared" si="806"/>
        <v>0</v>
      </c>
      <c r="K935" s="108">
        <f t="shared" si="806"/>
        <v>0</v>
      </c>
      <c r="L935" s="108">
        <f t="shared" si="806"/>
        <v>0</v>
      </c>
      <c r="M935" s="108">
        <f t="shared" si="806"/>
        <v>0</v>
      </c>
      <c r="N935" s="108">
        <f t="shared" si="806"/>
        <v>0</v>
      </c>
      <c r="O935" s="108">
        <f t="shared" si="806"/>
        <v>0</v>
      </c>
      <c r="P935" s="108">
        <f t="shared" si="806"/>
        <v>0</v>
      </c>
      <c r="Q935" s="108">
        <f t="shared" si="806"/>
        <v>0</v>
      </c>
      <c r="R935" s="108">
        <f t="shared" si="806"/>
        <v>0</v>
      </c>
      <c r="S935" s="108">
        <f t="shared" si="806"/>
        <v>0</v>
      </c>
      <c r="T935" s="28" t="s">
        <v>26</v>
      </c>
      <c r="V935" s="104" t="str">
        <f>$V$61</f>
        <v>Alexia</v>
      </c>
      <c r="W935" s="108">
        <f t="shared" si="783"/>
        <v>-1</v>
      </c>
      <c r="X935" s="108">
        <f t="shared" si="784"/>
        <v>-1</v>
      </c>
      <c r="Y935" s="108">
        <f t="shared" si="785"/>
        <v>-1</v>
      </c>
      <c r="Z935" s="108">
        <f t="shared" si="786"/>
        <v>-1</v>
      </c>
      <c r="AA935" s="108">
        <f t="shared" si="787"/>
        <v>-1</v>
      </c>
      <c r="AB935" s="108">
        <f t="shared" si="788"/>
        <v>-1</v>
      </c>
      <c r="AC935" s="108">
        <f t="shared" si="789"/>
        <v>-1</v>
      </c>
      <c r="AD935" s="108">
        <f t="shared" si="790"/>
        <v>-1</v>
      </c>
      <c r="AE935" s="108">
        <f t="shared" si="791"/>
        <v>-1</v>
      </c>
      <c r="AF935" s="108">
        <f t="shared" si="792"/>
        <v>-1</v>
      </c>
      <c r="AG935" s="108">
        <f t="shared" si="793"/>
        <v>-1</v>
      </c>
      <c r="AH935" s="108">
        <f t="shared" si="794"/>
        <v>-1</v>
      </c>
      <c r="AI935" s="108">
        <f t="shared" si="795"/>
        <v>-1</v>
      </c>
      <c r="AJ935" s="108">
        <f t="shared" si="796"/>
        <v>-1</v>
      </c>
      <c r="AK935" s="108">
        <f t="shared" si="797"/>
        <v>-1</v>
      </c>
      <c r="AL935" s="108">
        <f t="shared" si="798"/>
        <v>-1</v>
      </c>
    </row>
    <row r="936" spans="3:38" x14ac:dyDescent="0.55000000000000004">
      <c r="C936" s="104" t="str">
        <f>$V$62</f>
        <v>Joao</v>
      </c>
      <c r="D936" s="108">
        <f t="shared" ref="D936:S936" si="807">D62</f>
        <v>0</v>
      </c>
      <c r="E936" s="108">
        <f t="shared" si="807"/>
        <v>0</v>
      </c>
      <c r="F936" s="108">
        <f t="shared" si="807"/>
        <v>0</v>
      </c>
      <c r="G936" s="108">
        <f t="shared" si="807"/>
        <v>0</v>
      </c>
      <c r="H936" s="108">
        <f t="shared" si="807"/>
        <v>0</v>
      </c>
      <c r="I936" s="108">
        <f t="shared" si="807"/>
        <v>0</v>
      </c>
      <c r="J936" s="108">
        <f t="shared" si="807"/>
        <v>0</v>
      </c>
      <c r="K936" s="108">
        <f t="shared" si="807"/>
        <v>0</v>
      </c>
      <c r="L936" s="108">
        <f t="shared" si="807"/>
        <v>0</v>
      </c>
      <c r="M936" s="108">
        <f t="shared" si="807"/>
        <v>0</v>
      </c>
      <c r="N936" s="108">
        <f t="shared" si="807"/>
        <v>0</v>
      </c>
      <c r="O936" s="108">
        <f t="shared" si="807"/>
        <v>0</v>
      </c>
      <c r="P936" s="108">
        <f t="shared" si="807"/>
        <v>0</v>
      </c>
      <c r="Q936" s="108">
        <f t="shared" si="807"/>
        <v>0</v>
      </c>
      <c r="R936" s="108">
        <f t="shared" si="807"/>
        <v>0</v>
      </c>
      <c r="S936" s="108">
        <f t="shared" si="807"/>
        <v>0</v>
      </c>
      <c r="T936" s="28" t="s">
        <v>26</v>
      </c>
      <c r="V936" s="104" t="str">
        <f>$V$62</f>
        <v>Joao</v>
      </c>
      <c r="W936" s="108">
        <f t="shared" si="783"/>
        <v>-1</v>
      </c>
      <c r="X936" s="108">
        <f t="shared" si="784"/>
        <v>-1</v>
      </c>
      <c r="Y936" s="108">
        <f t="shared" si="785"/>
        <v>-1</v>
      </c>
      <c r="Z936" s="108">
        <f t="shared" si="786"/>
        <v>-1</v>
      </c>
      <c r="AA936" s="108">
        <f t="shared" si="787"/>
        <v>-1</v>
      </c>
      <c r="AB936" s="108">
        <f t="shared" si="788"/>
        <v>-1</v>
      </c>
      <c r="AC936" s="108">
        <f t="shared" si="789"/>
        <v>-1</v>
      </c>
      <c r="AD936" s="108">
        <f t="shared" si="790"/>
        <v>-1</v>
      </c>
      <c r="AE936" s="108">
        <f t="shared" si="791"/>
        <v>-1</v>
      </c>
      <c r="AF936" s="108">
        <f t="shared" si="792"/>
        <v>-1</v>
      </c>
      <c r="AG936" s="108">
        <f t="shared" si="793"/>
        <v>-1</v>
      </c>
      <c r="AH936" s="108">
        <f t="shared" si="794"/>
        <v>-1</v>
      </c>
      <c r="AI936" s="108">
        <f t="shared" si="795"/>
        <v>-1</v>
      </c>
      <c r="AJ936" s="108">
        <f t="shared" si="796"/>
        <v>-1</v>
      </c>
      <c r="AK936" s="108">
        <f t="shared" si="797"/>
        <v>-1</v>
      </c>
      <c r="AL936" s="108">
        <f t="shared" si="798"/>
        <v>-1</v>
      </c>
    </row>
    <row r="937" spans="3:38" x14ac:dyDescent="0.55000000000000004">
      <c r="C937" s="104" t="str">
        <f>$V$63</f>
        <v>Maxime</v>
      </c>
      <c r="D937" s="108">
        <f t="shared" ref="D937:S937" si="808">D63</f>
        <v>0</v>
      </c>
      <c r="E937" s="108">
        <f t="shared" si="808"/>
        <v>0</v>
      </c>
      <c r="F937" s="108">
        <f t="shared" si="808"/>
        <v>0</v>
      </c>
      <c r="G937" s="108">
        <f t="shared" si="808"/>
        <v>0</v>
      </c>
      <c r="H937" s="108">
        <f t="shared" si="808"/>
        <v>0</v>
      </c>
      <c r="I937" s="108">
        <f t="shared" si="808"/>
        <v>0</v>
      </c>
      <c r="J937" s="108">
        <f t="shared" si="808"/>
        <v>0</v>
      </c>
      <c r="K937" s="108">
        <f t="shared" si="808"/>
        <v>0</v>
      </c>
      <c r="L937" s="108">
        <f t="shared" si="808"/>
        <v>0</v>
      </c>
      <c r="M937" s="108">
        <f t="shared" si="808"/>
        <v>0</v>
      </c>
      <c r="N937" s="108">
        <f t="shared" si="808"/>
        <v>0</v>
      </c>
      <c r="O937" s="108">
        <f t="shared" si="808"/>
        <v>0</v>
      </c>
      <c r="P937" s="108">
        <f t="shared" si="808"/>
        <v>0</v>
      </c>
      <c r="Q937" s="108">
        <f t="shared" si="808"/>
        <v>0</v>
      </c>
      <c r="R937" s="108">
        <f t="shared" si="808"/>
        <v>0</v>
      </c>
      <c r="S937" s="108">
        <f t="shared" si="808"/>
        <v>0</v>
      </c>
      <c r="T937" s="28" t="s">
        <v>26</v>
      </c>
      <c r="V937" s="104" t="str">
        <f>$V$63</f>
        <v>Maxime</v>
      </c>
      <c r="W937" s="108">
        <f t="shared" si="783"/>
        <v>-1</v>
      </c>
      <c r="X937" s="108">
        <f t="shared" si="784"/>
        <v>-1</v>
      </c>
      <c r="Y937" s="108">
        <f t="shared" si="785"/>
        <v>-1</v>
      </c>
      <c r="Z937" s="108">
        <f t="shared" si="786"/>
        <v>-1</v>
      </c>
      <c r="AA937" s="108">
        <f t="shared" si="787"/>
        <v>-1</v>
      </c>
      <c r="AB937" s="108">
        <f t="shared" si="788"/>
        <v>-1</v>
      </c>
      <c r="AC937" s="108">
        <f t="shared" si="789"/>
        <v>-1</v>
      </c>
      <c r="AD937" s="108">
        <f t="shared" si="790"/>
        <v>-1</v>
      </c>
      <c r="AE937" s="108">
        <f t="shared" si="791"/>
        <v>-1</v>
      </c>
      <c r="AF937" s="108">
        <f t="shared" si="792"/>
        <v>-1</v>
      </c>
      <c r="AG937" s="108">
        <f t="shared" si="793"/>
        <v>-1</v>
      </c>
      <c r="AH937" s="108">
        <f t="shared" si="794"/>
        <v>-1</v>
      </c>
      <c r="AI937" s="108">
        <f t="shared" si="795"/>
        <v>-1</v>
      </c>
      <c r="AJ937" s="108">
        <f t="shared" si="796"/>
        <v>-1</v>
      </c>
      <c r="AK937" s="108">
        <f t="shared" si="797"/>
        <v>-1</v>
      </c>
      <c r="AL937" s="108">
        <f t="shared" si="798"/>
        <v>-1</v>
      </c>
    </row>
    <row r="938" spans="3:38" x14ac:dyDescent="0.55000000000000004">
      <c r="C938" s="104" t="str">
        <f>$V$64</f>
        <v>Alex</v>
      </c>
      <c r="D938" s="108">
        <f t="shared" ref="D938:S938" si="809">D64</f>
        <v>0</v>
      </c>
      <c r="E938" s="108">
        <f t="shared" si="809"/>
        <v>0</v>
      </c>
      <c r="F938" s="108">
        <f t="shared" si="809"/>
        <v>0</v>
      </c>
      <c r="G938" s="108">
        <f t="shared" si="809"/>
        <v>0</v>
      </c>
      <c r="H938" s="108">
        <f t="shared" si="809"/>
        <v>0</v>
      </c>
      <c r="I938" s="108">
        <f t="shared" si="809"/>
        <v>0</v>
      </c>
      <c r="J938" s="108">
        <f t="shared" si="809"/>
        <v>0</v>
      </c>
      <c r="K938" s="108">
        <f t="shared" si="809"/>
        <v>0</v>
      </c>
      <c r="L938" s="108">
        <f t="shared" si="809"/>
        <v>0</v>
      </c>
      <c r="M938" s="108">
        <f t="shared" si="809"/>
        <v>0</v>
      </c>
      <c r="N938" s="108">
        <f t="shared" si="809"/>
        <v>0</v>
      </c>
      <c r="O938" s="108">
        <f t="shared" si="809"/>
        <v>0</v>
      </c>
      <c r="P938" s="108">
        <f t="shared" si="809"/>
        <v>0</v>
      </c>
      <c r="Q938" s="108">
        <f t="shared" si="809"/>
        <v>0</v>
      </c>
      <c r="R938" s="108">
        <f t="shared" si="809"/>
        <v>0</v>
      </c>
      <c r="S938" s="108">
        <f t="shared" si="809"/>
        <v>0</v>
      </c>
      <c r="T938" s="28" t="s">
        <v>26</v>
      </c>
      <c r="V938" s="104" t="str">
        <f>$V$64</f>
        <v>Alex</v>
      </c>
      <c r="W938" s="108">
        <f t="shared" si="783"/>
        <v>-1</v>
      </c>
      <c r="X938" s="108">
        <f t="shared" si="784"/>
        <v>-1</v>
      </c>
      <c r="Y938" s="108">
        <f t="shared" si="785"/>
        <v>-1</v>
      </c>
      <c r="Z938" s="108">
        <f t="shared" si="786"/>
        <v>-1</v>
      </c>
      <c r="AA938" s="108">
        <f t="shared" si="787"/>
        <v>-1</v>
      </c>
      <c r="AB938" s="108">
        <f t="shared" si="788"/>
        <v>-1</v>
      </c>
      <c r="AC938" s="108">
        <f t="shared" si="789"/>
        <v>-1</v>
      </c>
      <c r="AD938" s="108">
        <f t="shared" si="790"/>
        <v>-1</v>
      </c>
      <c r="AE938" s="108">
        <f t="shared" si="791"/>
        <v>-1</v>
      </c>
      <c r="AF938" s="108">
        <f t="shared" si="792"/>
        <v>-1</v>
      </c>
      <c r="AG938" s="108">
        <f t="shared" si="793"/>
        <v>-1</v>
      </c>
      <c r="AH938" s="108">
        <f t="shared" si="794"/>
        <v>-1</v>
      </c>
      <c r="AI938" s="108">
        <f t="shared" si="795"/>
        <v>-1</v>
      </c>
      <c r="AJ938" s="108">
        <f t="shared" si="796"/>
        <v>-1</v>
      </c>
      <c r="AK938" s="108">
        <f t="shared" si="797"/>
        <v>-1</v>
      </c>
      <c r="AL938" s="108">
        <f t="shared" si="798"/>
        <v>-1</v>
      </c>
    </row>
    <row r="939" spans="3:38" x14ac:dyDescent="0.55000000000000004">
      <c r="C939" s="104" t="str">
        <f>$V$65</f>
        <v>Alyssa</v>
      </c>
      <c r="D939" s="108">
        <f t="shared" ref="D939:S939" si="810">D65</f>
        <v>0</v>
      </c>
      <c r="E939" s="108">
        <f t="shared" si="810"/>
        <v>0</v>
      </c>
      <c r="F939" s="108">
        <f t="shared" si="810"/>
        <v>0</v>
      </c>
      <c r="G939" s="108">
        <f t="shared" si="810"/>
        <v>0</v>
      </c>
      <c r="H939" s="108">
        <f t="shared" si="810"/>
        <v>0</v>
      </c>
      <c r="I939" s="108">
        <f t="shared" si="810"/>
        <v>0</v>
      </c>
      <c r="J939" s="108">
        <f t="shared" si="810"/>
        <v>0</v>
      </c>
      <c r="K939" s="108">
        <f t="shared" si="810"/>
        <v>0</v>
      </c>
      <c r="L939" s="108">
        <f t="shared" si="810"/>
        <v>0</v>
      </c>
      <c r="M939" s="108">
        <f t="shared" si="810"/>
        <v>0</v>
      </c>
      <c r="N939" s="108">
        <f t="shared" si="810"/>
        <v>0</v>
      </c>
      <c r="O939" s="108">
        <f t="shared" si="810"/>
        <v>0</v>
      </c>
      <c r="P939" s="108">
        <f t="shared" si="810"/>
        <v>0</v>
      </c>
      <c r="Q939" s="108">
        <f t="shared" si="810"/>
        <v>0</v>
      </c>
      <c r="R939" s="108">
        <f t="shared" si="810"/>
        <v>0</v>
      </c>
      <c r="S939" s="108">
        <f t="shared" si="810"/>
        <v>0</v>
      </c>
      <c r="T939" s="28" t="s">
        <v>26</v>
      </c>
      <c r="V939" s="104" t="str">
        <f>$V$65</f>
        <v>Alyssa</v>
      </c>
      <c r="W939" s="108">
        <f t="shared" si="783"/>
        <v>-1</v>
      </c>
      <c r="X939" s="108">
        <f t="shared" si="784"/>
        <v>-1</v>
      </c>
      <c r="Y939" s="108">
        <f t="shared" si="785"/>
        <v>-1</v>
      </c>
      <c r="Z939" s="108">
        <f t="shared" si="786"/>
        <v>-1</v>
      </c>
      <c r="AA939" s="108">
        <f t="shared" si="787"/>
        <v>-1</v>
      </c>
      <c r="AB939" s="108">
        <f t="shared" si="788"/>
        <v>-1</v>
      </c>
      <c r="AC939" s="108">
        <f t="shared" si="789"/>
        <v>-1</v>
      </c>
      <c r="AD939" s="108">
        <f t="shared" si="790"/>
        <v>-1</v>
      </c>
      <c r="AE939" s="108">
        <f t="shared" si="791"/>
        <v>-1</v>
      </c>
      <c r="AF939" s="108">
        <f t="shared" si="792"/>
        <v>-1</v>
      </c>
      <c r="AG939" s="108">
        <f t="shared" si="793"/>
        <v>-1</v>
      </c>
      <c r="AH939" s="108">
        <f t="shared" si="794"/>
        <v>-1</v>
      </c>
      <c r="AI939" s="108">
        <f t="shared" si="795"/>
        <v>-1</v>
      </c>
      <c r="AJ939" s="108">
        <f t="shared" si="796"/>
        <v>-1</v>
      </c>
      <c r="AK939" s="108">
        <f t="shared" si="797"/>
        <v>-1</v>
      </c>
      <c r="AL939" s="108">
        <f t="shared" si="798"/>
        <v>-1</v>
      </c>
    </row>
    <row r="940" spans="3:38" x14ac:dyDescent="0.55000000000000004">
      <c r="C940" s="104" t="str">
        <f>$V$66</f>
        <v>Amanda</v>
      </c>
      <c r="D940" s="108">
        <f t="shared" ref="D940:S940" si="811">D66</f>
        <v>0</v>
      </c>
      <c r="E940" s="108">
        <f t="shared" si="811"/>
        <v>0</v>
      </c>
      <c r="F940" s="108">
        <f t="shared" si="811"/>
        <v>0</v>
      </c>
      <c r="G940" s="108">
        <f t="shared" si="811"/>
        <v>0</v>
      </c>
      <c r="H940" s="108">
        <f t="shared" si="811"/>
        <v>0</v>
      </c>
      <c r="I940" s="108">
        <f t="shared" si="811"/>
        <v>0</v>
      </c>
      <c r="J940" s="108">
        <f t="shared" si="811"/>
        <v>0</v>
      </c>
      <c r="K940" s="108">
        <f t="shared" si="811"/>
        <v>0</v>
      </c>
      <c r="L940" s="108">
        <f t="shared" si="811"/>
        <v>0</v>
      </c>
      <c r="M940" s="108">
        <f t="shared" si="811"/>
        <v>0</v>
      </c>
      <c r="N940" s="108">
        <f t="shared" si="811"/>
        <v>0</v>
      </c>
      <c r="O940" s="108">
        <f t="shared" si="811"/>
        <v>0</v>
      </c>
      <c r="P940" s="108">
        <f t="shared" si="811"/>
        <v>0</v>
      </c>
      <c r="Q940" s="108">
        <f t="shared" si="811"/>
        <v>0</v>
      </c>
      <c r="R940" s="108">
        <f t="shared" si="811"/>
        <v>0</v>
      </c>
      <c r="S940" s="108">
        <f t="shared" si="811"/>
        <v>0</v>
      </c>
      <c r="T940" s="28" t="s">
        <v>26</v>
      </c>
      <c r="V940" s="104" t="str">
        <f>$V$66</f>
        <v>Amanda</v>
      </c>
      <c r="W940" s="108">
        <f t="shared" si="783"/>
        <v>-1</v>
      </c>
      <c r="X940" s="108">
        <f t="shared" si="784"/>
        <v>-1</v>
      </c>
      <c r="Y940" s="108">
        <f t="shared" si="785"/>
        <v>-1</v>
      </c>
      <c r="Z940" s="108">
        <f t="shared" si="786"/>
        <v>-1</v>
      </c>
      <c r="AA940" s="108">
        <f t="shared" si="787"/>
        <v>-1</v>
      </c>
      <c r="AB940" s="108">
        <f t="shared" si="788"/>
        <v>-1</v>
      </c>
      <c r="AC940" s="108">
        <f t="shared" si="789"/>
        <v>-1</v>
      </c>
      <c r="AD940" s="108">
        <f t="shared" si="790"/>
        <v>-1</v>
      </c>
      <c r="AE940" s="108">
        <f t="shared" si="791"/>
        <v>-1</v>
      </c>
      <c r="AF940" s="108">
        <f t="shared" si="792"/>
        <v>-1</v>
      </c>
      <c r="AG940" s="108">
        <f t="shared" si="793"/>
        <v>-1</v>
      </c>
      <c r="AH940" s="108">
        <f t="shared" si="794"/>
        <v>-1</v>
      </c>
      <c r="AI940" s="108">
        <f t="shared" si="795"/>
        <v>-1</v>
      </c>
      <c r="AJ940" s="108">
        <f t="shared" si="796"/>
        <v>-1</v>
      </c>
      <c r="AK940" s="108">
        <f t="shared" si="797"/>
        <v>-1</v>
      </c>
      <c r="AL940" s="108">
        <f t="shared" si="798"/>
        <v>-1</v>
      </c>
    </row>
    <row r="941" spans="3:38" x14ac:dyDescent="0.55000000000000004">
      <c r="C941" s="104" t="str">
        <f>$V$67</f>
        <v>Antoine</v>
      </c>
      <c r="D941" s="108">
        <f t="shared" ref="D941:S941" si="812">D67</f>
        <v>0</v>
      </c>
      <c r="E941" s="108">
        <f t="shared" si="812"/>
        <v>0</v>
      </c>
      <c r="F941" s="108">
        <f t="shared" si="812"/>
        <v>0</v>
      </c>
      <c r="G941" s="108">
        <f t="shared" si="812"/>
        <v>0</v>
      </c>
      <c r="H941" s="108">
        <f t="shared" si="812"/>
        <v>0</v>
      </c>
      <c r="I941" s="108">
        <f t="shared" si="812"/>
        <v>0</v>
      </c>
      <c r="J941" s="108">
        <f t="shared" si="812"/>
        <v>0</v>
      </c>
      <c r="K941" s="108">
        <f t="shared" si="812"/>
        <v>0</v>
      </c>
      <c r="L941" s="108">
        <f t="shared" si="812"/>
        <v>0</v>
      </c>
      <c r="M941" s="108">
        <f t="shared" si="812"/>
        <v>0</v>
      </c>
      <c r="N941" s="108">
        <f t="shared" si="812"/>
        <v>0</v>
      </c>
      <c r="O941" s="108">
        <f t="shared" si="812"/>
        <v>0</v>
      </c>
      <c r="P941" s="108">
        <f t="shared" si="812"/>
        <v>0</v>
      </c>
      <c r="Q941" s="108">
        <f t="shared" si="812"/>
        <v>0</v>
      </c>
      <c r="R941" s="108">
        <f t="shared" si="812"/>
        <v>0</v>
      </c>
      <c r="S941" s="108">
        <f t="shared" si="812"/>
        <v>0</v>
      </c>
      <c r="T941" s="28" t="s">
        <v>26</v>
      </c>
      <c r="V941" s="104" t="str">
        <f>$V$67</f>
        <v>Antoine</v>
      </c>
      <c r="W941" s="108">
        <f t="shared" si="783"/>
        <v>-1</v>
      </c>
      <c r="X941" s="108">
        <f t="shared" si="784"/>
        <v>-1</v>
      </c>
      <c r="Y941" s="108">
        <f t="shared" si="785"/>
        <v>-1</v>
      </c>
      <c r="Z941" s="108">
        <f t="shared" si="786"/>
        <v>-1</v>
      </c>
      <c r="AA941" s="108">
        <f t="shared" si="787"/>
        <v>-1</v>
      </c>
      <c r="AB941" s="108">
        <f t="shared" si="788"/>
        <v>-1</v>
      </c>
      <c r="AC941" s="108">
        <f t="shared" si="789"/>
        <v>-1</v>
      </c>
      <c r="AD941" s="108">
        <f t="shared" si="790"/>
        <v>-1</v>
      </c>
      <c r="AE941" s="108">
        <f t="shared" si="791"/>
        <v>-1</v>
      </c>
      <c r="AF941" s="108">
        <f t="shared" si="792"/>
        <v>-1</v>
      </c>
      <c r="AG941" s="108">
        <f t="shared" si="793"/>
        <v>-1</v>
      </c>
      <c r="AH941" s="108">
        <f t="shared" si="794"/>
        <v>-1</v>
      </c>
      <c r="AI941" s="108">
        <f t="shared" si="795"/>
        <v>-1</v>
      </c>
      <c r="AJ941" s="108">
        <f t="shared" si="796"/>
        <v>-1</v>
      </c>
      <c r="AK941" s="108">
        <f t="shared" si="797"/>
        <v>-1</v>
      </c>
      <c r="AL941" s="108">
        <f t="shared" si="798"/>
        <v>-1</v>
      </c>
    </row>
    <row r="942" spans="3:38" x14ac:dyDescent="0.55000000000000004">
      <c r="C942" s="104" t="str">
        <f>$V$68</f>
        <v>Beatriz</v>
      </c>
      <c r="D942" s="108">
        <f t="shared" ref="D942:S942" si="813">D68</f>
        <v>0</v>
      </c>
      <c r="E942" s="108">
        <f t="shared" si="813"/>
        <v>0</v>
      </c>
      <c r="F942" s="108">
        <f t="shared" si="813"/>
        <v>0</v>
      </c>
      <c r="G942" s="108">
        <f t="shared" si="813"/>
        <v>0</v>
      </c>
      <c r="H942" s="108">
        <f t="shared" si="813"/>
        <v>0</v>
      </c>
      <c r="I942" s="108">
        <f t="shared" si="813"/>
        <v>0</v>
      </c>
      <c r="J942" s="108">
        <f t="shared" si="813"/>
        <v>0</v>
      </c>
      <c r="K942" s="108">
        <f t="shared" si="813"/>
        <v>0</v>
      </c>
      <c r="L942" s="108">
        <f t="shared" si="813"/>
        <v>0</v>
      </c>
      <c r="M942" s="108">
        <f t="shared" si="813"/>
        <v>0</v>
      </c>
      <c r="N942" s="108">
        <f t="shared" si="813"/>
        <v>0</v>
      </c>
      <c r="O942" s="108">
        <f t="shared" si="813"/>
        <v>0</v>
      </c>
      <c r="P942" s="108">
        <f t="shared" si="813"/>
        <v>0</v>
      </c>
      <c r="Q942" s="108">
        <f t="shared" si="813"/>
        <v>0</v>
      </c>
      <c r="R942" s="108">
        <f t="shared" si="813"/>
        <v>0</v>
      </c>
      <c r="S942" s="108">
        <f t="shared" si="813"/>
        <v>0</v>
      </c>
      <c r="T942" s="28" t="s">
        <v>26</v>
      </c>
      <c r="V942" s="104" t="str">
        <f>$V$68</f>
        <v>Beatriz</v>
      </c>
      <c r="W942" s="108">
        <f t="shared" si="783"/>
        <v>-1</v>
      </c>
      <c r="X942" s="108">
        <f t="shared" si="784"/>
        <v>-1</v>
      </c>
      <c r="Y942" s="108">
        <f t="shared" si="785"/>
        <v>-1</v>
      </c>
      <c r="Z942" s="108">
        <f t="shared" si="786"/>
        <v>-1</v>
      </c>
      <c r="AA942" s="108">
        <f t="shared" si="787"/>
        <v>-1</v>
      </c>
      <c r="AB942" s="108">
        <f t="shared" si="788"/>
        <v>-1</v>
      </c>
      <c r="AC942" s="108">
        <f t="shared" si="789"/>
        <v>-1</v>
      </c>
      <c r="AD942" s="108">
        <f t="shared" si="790"/>
        <v>-1</v>
      </c>
      <c r="AE942" s="108">
        <f t="shared" si="791"/>
        <v>-1</v>
      </c>
      <c r="AF942" s="108">
        <f t="shared" si="792"/>
        <v>-1</v>
      </c>
      <c r="AG942" s="108">
        <f t="shared" si="793"/>
        <v>-1</v>
      </c>
      <c r="AH942" s="108">
        <f t="shared" si="794"/>
        <v>-1</v>
      </c>
      <c r="AI942" s="108">
        <f t="shared" si="795"/>
        <v>-1</v>
      </c>
      <c r="AJ942" s="108">
        <f t="shared" si="796"/>
        <v>-1</v>
      </c>
      <c r="AK942" s="108">
        <f t="shared" si="797"/>
        <v>-1</v>
      </c>
      <c r="AL942" s="108">
        <f t="shared" si="798"/>
        <v>-1</v>
      </c>
    </row>
    <row r="943" spans="3:38" x14ac:dyDescent="0.55000000000000004">
      <c r="C943" s="104" t="str">
        <f>$V$69</f>
        <v>Charelle</v>
      </c>
      <c r="D943" s="108">
        <f t="shared" ref="D943:S943" si="814">D69</f>
        <v>0</v>
      </c>
      <c r="E943" s="108">
        <f t="shared" si="814"/>
        <v>0</v>
      </c>
      <c r="F943" s="108">
        <f t="shared" si="814"/>
        <v>0</v>
      </c>
      <c r="G943" s="108">
        <f t="shared" si="814"/>
        <v>0</v>
      </c>
      <c r="H943" s="108">
        <f t="shared" si="814"/>
        <v>0</v>
      </c>
      <c r="I943" s="108">
        <f t="shared" si="814"/>
        <v>0</v>
      </c>
      <c r="J943" s="108">
        <f t="shared" si="814"/>
        <v>0</v>
      </c>
      <c r="K943" s="108">
        <f t="shared" si="814"/>
        <v>0</v>
      </c>
      <c r="L943" s="108">
        <f t="shared" si="814"/>
        <v>0</v>
      </c>
      <c r="M943" s="108">
        <f t="shared" si="814"/>
        <v>0</v>
      </c>
      <c r="N943" s="108">
        <f t="shared" si="814"/>
        <v>0</v>
      </c>
      <c r="O943" s="108">
        <f t="shared" si="814"/>
        <v>0</v>
      </c>
      <c r="P943" s="108">
        <f t="shared" si="814"/>
        <v>0</v>
      </c>
      <c r="Q943" s="108">
        <f t="shared" si="814"/>
        <v>0</v>
      </c>
      <c r="R943" s="108">
        <f t="shared" si="814"/>
        <v>0</v>
      </c>
      <c r="S943" s="108">
        <f t="shared" si="814"/>
        <v>0</v>
      </c>
      <c r="T943" s="28" t="s">
        <v>26</v>
      </c>
      <c r="V943" s="104" t="str">
        <f>$V$69</f>
        <v>Charelle</v>
      </c>
      <c r="W943" s="108">
        <f t="shared" si="783"/>
        <v>-1</v>
      </c>
      <c r="X943" s="108">
        <f t="shared" si="784"/>
        <v>-1</v>
      </c>
      <c r="Y943" s="108">
        <f t="shared" si="785"/>
        <v>-1</v>
      </c>
      <c r="Z943" s="108">
        <f t="shared" si="786"/>
        <v>-1</v>
      </c>
      <c r="AA943" s="108">
        <f t="shared" si="787"/>
        <v>-1</v>
      </c>
      <c r="AB943" s="108">
        <f t="shared" si="788"/>
        <v>-1</v>
      </c>
      <c r="AC943" s="108">
        <f t="shared" si="789"/>
        <v>-1</v>
      </c>
      <c r="AD943" s="108">
        <f t="shared" si="790"/>
        <v>-1</v>
      </c>
      <c r="AE943" s="108">
        <f t="shared" si="791"/>
        <v>-1</v>
      </c>
      <c r="AF943" s="108">
        <f t="shared" si="792"/>
        <v>-1</v>
      </c>
      <c r="AG943" s="108">
        <f t="shared" si="793"/>
        <v>-1</v>
      </c>
      <c r="AH943" s="108">
        <f t="shared" si="794"/>
        <v>-1</v>
      </c>
      <c r="AI943" s="108">
        <f t="shared" si="795"/>
        <v>-1</v>
      </c>
      <c r="AJ943" s="108">
        <f t="shared" si="796"/>
        <v>-1</v>
      </c>
      <c r="AK943" s="108">
        <f t="shared" si="797"/>
        <v>-1</v>
      </c>
      <c r="AL943" s="108">
        <f t="shared" si="798"/>
        <v>-1</v>
      </c>
    </row>
    <row r="944" spans="3:38" x14ac:dyDescent="0.55000000000000004">
      <c r="C944" s="104" t="str">
        <f>$V$70</f>
        <v>Dimitri</v>
      </c>
      <c r="D944" s="108">
        <f t="shared" ref="D944:S944" si="815">D70</f>
        <v>0</v>
      </c>
      <c r="E944" s="108">
        <f t="shared" si="815"/>
        <v>0</v>
      </c>
      <c r="F944" s="108">
        <f t="shared" si="815"/>
        <v>0</v>
      </c>
      <c r="G944" s="108">
        <f t="shared" si="815"/>
        <v>0</v>
      </c>
      <c r="H944" s="108">
        <f t="shared" si="815"/>
        <v>0</v>
      </c>
      <c r="I944" s="108">
        <f t="shared" si="815"/>
        <v>0</v>
      </c>
      <c r="J944" s="108">
        <f t="shared" si="815"/>
        <v>0</v>
      </c>
      <c r="K944" s="108">
        <f t="shared" si="815"/>
        <v>0</v>
      </c>
      <c r="L944" s="108">
        <f t="shared" si="815"/>
        <v>0</v>
      </c>
      <c r="M944" s="108">
        <f t="shared" si="815"/>
        <v>0</v>
      </c>
      <c r="N944" s="108">
        <f t="shared" si="815"/>
        <v>0</v>
      </c>
      <c r="O944" s="108">
        <f t="shared" si="815"/>
        <v>0</v>
      </c>
      <c r="P944" s="108">
        <f t="shared" si="815"/>
        <v>0</v>
      </c>
      <c r="Q944" s="108">
        <f t="shared" si="815"/>
        <v>0</v>
      </c>
      <c r="R944" s="108">
        <f t="shared" si="815"/>
        <v>0</v>
      </c>
      <c r="S944" s="108">
        <f t="shared" si="815"/>
        <v>0</v>
      </c>
      <c r="T944" s="28" t="s">
        <v>26</v>
      </c>
      <c r="V944" s="104" t="str">
        <f>$V$70</f>
        <v>Dimitri</v>
      </c>
      <c r="W944" s="108">
        <f t="shared" si="783"/>
        <v>-1</v>
      </c>
      <c r="X944" s="108">
        <f t="shared" si="784"/>
        <v>-1</v>
      </c>
      <c r="Y944" s="108">
        <f t="shared" si="785"/>
        <v>-1</v>
      </c>
      <c r="Z944" s="108">
        <f t="shared" si="786"/>
        <v>-1</v>
      </c>
      <c r="AA944" s="108">
        <f t="shared" si="787"/>
        <v>-1</v>
      </c>
      <c r="AB944" s="108">
        <f t="shared" si="788"/>
        <v>-1</v>
      </c>
      <c r="AC944" s="108">
        <f t="shared" si="789"/>
        <v>-1</v>
      </c>
      <c r="AD944" s="108">
        <f t="shared" si="790"/>
        <v>-1</v>
      </c>
      <c r="AE944" s="108">
        <f t="shared" si="791"/>
        <v>-1</v>
      </c>
      <c r="AF944" s="108">
        <f t="shared" si="792"/>
        <v>-1</v>
      </c>
      <c r="AG944" s="108">
        <f t="shared" si="793"/>
        <v>-1</v>
      </c>
      <c r="AH944" s="108">
        <f t="shared" si="794"/>
        <v>-1</v>
      </c>
      <c r="AI944" s="108">
        <f t="shared" si="795"/>
        <v>-1</v>
      </c>
      <c r="AJ944" s="108">
        <f t="shared" si="796"/>
        <v>-1</v>
      </c>
      <c r="AK944" s="108">
        <f t="shared" si="797"/>
        <v>-1</v>
      </c>
      <c r="AL944" s="108">
        <f t="shared" si="798"/>
        <v>-1</v>
      </c>
    </row>
    <row r="945" spans="3:38" x14ac:dyDescent="0.55000000000000004">
      <c r="C945" s="104" t="str">
        <f>$V$71</f>
        <v>Marina</v>
      </c>
      <c r="D945" s="108">
        <f t="shared" ref="D945:S945" si="816">D71</f>
        <v>0</v>
      </c>
      <c r="E945" s="108">
        <f t="shared" si="816"/>
        <v>0</v>
      </c>
      <c r="F945" s="108">
        <f t="shared" si="816"/>
        <v>0</v>
      </c>
      <c r="G945" s="108">
        <f t="shared" si="816"/>
        <v>0</v>
      </c>
      <c r="H945" s="108">
        <f t="shared" si="816"/>
        <v>0</v>
      </c>
      <c r="I945" s="108">
        <f t="shared" si="816"/>
        <v>0</v>
      </c>
      <c r="J945" s="108">
        <f t="shared" si="816"/>
        <v>0</v>
      </c>
      <c r="K945" s="108">
        <f t="shared" si="816"/>
        <v>0</v>
      </c>
      <c r="L945" s="108">
        <f t="shared" si="816"/>
        <v>0</v>
      </c>
      <c r="M945" s="108">
        <f t="shared" si="816"/>
        <v>0</v>
      </c>
      <c r="N945" s="108">
        <f t="shared" si="816"/>
        <v>0</v>
      </c>
      <c r="O945" s="108">
        <f t="shared" si="816"/>
        <v>0</v>
      </c>
      <c r="P945" s="108">
        <f t="shared" si="816"/>
        <v>0</v>
      </c>
      <c r="Q945" s="108">
        <f t="shared" si="816"/>
        <v>0</v>
      </c>
      <c r="R945" s="108">
        <f t="shared" si="816"/>
        <v>0</v>
      </c>
      <c r="S945" s="108">
        <f t="shared" si="816"/>
        <v>0</v>
      </c>
      <c r="T945" s="28" t="s">
        <v>26</v>
      </c>
      <c r="V945" s="104" t="str">
        <f>$V$71</f>
        <v>Marina</v>
      </c>
      <c r="W945" s="108">
        <f t="shared" si="783"/>
        <v>-1</v>
      </c>
      <c r="X945" s="108">
        <f t="shared" si="784"/>
        <v>-1</v>
      </c>
      <c r="Y945" s="108">
        <f t="shared" si="785"/>
        <v>-1</v>
      </c>
      <c r="Z945" s="108">
        <f t="shared" si="786"/>
        <v>-1</v>
      </c>
      <c r="AA945" s="108">
        <f t="shared" si="787"/>
        <v>-1</v>
      </c>
      <c r="AB945" s="108">
        <f t="shared" si="788"/>
        <v>-1</v>
      </c>
      <c r="AC945" s="108">
        <f t="shared" si="789"/>
        <v>-1</v>
      </c>
      <c r="AD945" s="108">
        <f t="shared" si="790"/>
        <v>-1</v>
      </c>
      <c r="AE945" s="108">
        <f t="shared" si="791"/>
        <v>-1</v>
      </c>
      <c r="AF945" s="108">
        <f t="shared" si="792"/>
        <v>-1</v>
      </c>
      <c r="AG945" s="108">
        <f t="shared" si="793"/>
        <v>-1</v>
      </c>
      <c r="AH945" s="108">
        <f t="shared" si="794"/>
        <v>-1</v>
      </c>
      <c r="AI945" s="108">
        <f t="shared" si="795"/>
        <v>-1</v>
      </c>
      <c r="AJ945" s="108">
        <f t="shared" si="796"/>
        <v>-1</v>
      </c>
      <c r="AK945" s="108">
        <f t="shared" si="797"/>
        <v>-1</v>
      </c>
      <c r="AL945" s="108">
        <f t="shared" si="798"/>
        <v>-1</v>
      </c>
    </row>
    <row r="946" spans="3:38" x14ac:dyDescent="0.55000000000000004">
      <c r="C946" s="104" t="str">
        <f>$V$72</f>
        <v>Michel</v>
      </c>
      <c r="D946" s="108">
        <f t="shared" ref="D946:S946" si="817">D72</f>
        <v>0</v>
      </c>
      <c r="E946" s="108">
        <f t="shared" si="817"/>
        <v>0</v>
      </c>
      <c r="F946" s="108">
        <f t="shared" si="817"/>
        <v>0</v>
      </c>
      <c r="G946" s="108">
        <f t="shared" si="817"/>
        <v>0</v>
      </c>
      <c r="H946" s="108">
        <f t="shared" si="817"/>
        <v>0</v>
      </c>
      <c r="I946" s="108">
        <f t="shared" si="817"/>
        <v>0</v>
      </c>
      <c r="J946" s="108">
        <f t="shared" si="817"/>
        <v>0</v>
      </c>
      <c r="K946" s="108">
        <f t="shared" si="817"/>
        <v>0</v>
      </c>
      <c r="L946" s="108">
        <f t="shared" si="817"/>
        <v>0</v>
      </c>
      <c r="M946" s="108">
        <f t="shared" si="817"/>
        <v>0</v>
      </c>
      <c r="N946" s="108">
        <f t="shared" si="817"/>
        <v>0</v>
      </c>
      <c r="O946" s="108">
        <f t="shared" si="817"/>
        <v>0</v>
      </c>
      <c r="P946" s="108">
        <f t="shared" si="817"/>
        <v>0</v>
      </c>
      <c r="Q946" s="108">
        <f t="shared" si="817"/>
        <v>0</v>
      </c>
      <c r="R946" s="108">
        <f t="shared" si="817"/>
        <v>0</v>
      </c>
      <c r="S946" s="108">
        <f t="shared" si="817"/>
        <v>0</v>
      </c>
      <c r="T946" s="28" t="s">
        <v>26</v>
      </c>
      <c r="V946" s="104" t="str">
        <f>$V$72</f>
        <v>Michel</v>
      </c>
      <c r="W946" s="108">
        <f t="shared" si="783"/>
        <v>-1</v>
      </c>
      <c r="X946" s="108">
        <f t="shared" si="784"/>
        <v>-1</v>
      </c>
      <c r="Y946" s="108">
        <f t="shared" si="785"/>
        <v>-1</v>
      </c>
      <c r="Z946" s="108">
        <f t="shared" si="786"/>
        <v>-1</v>
      </c>
      <c r="AA946" s="108">
        <f t="shared" si="787"/>
        <v>-1</v>
      </c>
      <c r="AB946" s="108">
        <f t="shared" si="788"/>
        <v>-1</v>
      </c>
      <c r="AC946" s="108">
        <f t="shared" si="789"/>
        <v>-1</v>
      </c>
      <c r="AD946" s="108">
        <f t="shared" si="790"/>
        <v>-1</v>
      </c>
      <c r="AE946" s="108">
        <f t="shared" si="791"/>
        <v>-1</v>
      </c>
      <c r="AF946" s="108">
        <f t="shared" si="792"/>
        <v>-1</v>
      </c>
      <c r="AG946" s="108">
        <f t="shared" si="793"/>
        <v>-1</v>
      </c>
      <c r="AH946" s="108">
        <f t="shared" si="794"/>
        <v>-1</v>
      </c>
      <c r="AI946" s="108">
        <f t="shared" si="795"/>
        <v>-1</v>
      </c>
      <c r="AJ946" s="108">
        <f t="shared" si="796"/>
        <v>-1</v>
      </c>
      <c r="AK946" s="108">
        <f t="shared" si="797"/>
        <v>-1</v>
      </c>
      <c r="AL946" s="108">
        <f t="shared" si="798"/>
        <v>-1</v>
      </c>
    </row>
    <row r="947" spans="3:38" x14ac:dyDescent="0.55000000000000004">
      <c r="C947" s="104" t="str">
        <f>$V$73</f>
        <v>Nour</v>
      </c>
      <c r="D947" s="108">
        <f t="shared" ref="D947:S947" si="818">D73</f>
        <v>0</v>
      </c>
      <c r="E947" s="108">
        <f t="shared" si="818"/>
        <v>0</v>
      </c>
      <c r="F947" s="108">
        <f t="shared" si="818"/>
        <v>0</v>
      </c>
      <c r="G947" s="108">
        <f t="shared" si="818"/>
        <v>0</v>
      </c>
      <c r="H947" s="108">
        <f t="shared" si="818"/>
        <v>0</v>
      </c>
      <c r="I947" s="108">
        <f t="shared" si="818"/>
        <v>0</v>
      </c>
      <c r="J947" s="108">
        <f t="shared" si="818"/>
        <v>0</v>
      </c>
      <c r="K947" s="108">
        <f t="shared" si="818"/>
        <v>0</v>
      </c>
      <c r="L947" s="108">
        <f t="shared" si="818"/>
        <v>0</v>
      </c>
      <c r="M947" s="108">
        <f t="shared" si="818"/>
        <v>0</v>
      </c>
      <c r="N947" s="108">
        <f t="shared" si="818"/>
        <v>0</v>
      </c>
      <c r="O947" s="108">
        <f t="shared" si="818"/>
        <v>0</v>
      </c>
      <c r="P947" s="108">
        <f t="shared" si="818"/>
        <v>0</v>
      </c>
      <c r="Q947" s="108">
        <f t="shared" si="818"/>
        <v>0</v>
      </c>
      <c r="R947" s="108">
        <f t="shared" si="818"/>
        <v>0</v>
      </c>
      <c r="S947" s="108">
        <f t="shared" si="818"/>
        <v>0</v>
      </c>
      <c r="T947" s="28" t="s">
        <v>26</v>
      </c>
      <c r="V947" s="104" t="str">
        <f>$V$73</f>
        <v>Nour</v>
      </c>
      <c r="W947" s="108">
        <f t="shared" si="783"/>
        <v>-1</v>
      </c>
      <c r="X947" s="108">
        <f t="shared" si="784"/>
        <v>-1</v>
      </c>
      <c r="Y947" s="108">
        <f t="shared" si="785"/>
        <v>-1</v>
      </c>
      <c r="Z947" s="108">
        <f t="shared" si="786"/>
        <v>-1</v>
      </c>
      <c r="AA947" s="108">
        <f t="shared" si="787"/>
        <v>-1</v>
      </c>
      <c r="AB947" s="108">
        <f t="shared" si="788"/>
        <v>-1</v>
      </c>
      <c r="AC947" s="108">
        <f t="shared" si="789"/>
        <v>-1</v>
      </c>
      <c r="AD947" s="108">
        <f t="shared" si="790"/>
        <v>-1</v>
      </c>
      <c r="AE947" s="108">
        <f t="shared" si="791"/>
        <v>-1</v>
      </c>
      <c r="AF947" s="108">
        <f t="shared" si="792"/>
        <v>-1</v>
      </c>
      <c r="AG947" s="108">
        <f t="shared" si="793"/>
        <v>-1</v>
      </c>
      <c r="AH947" s="108">
        <f t="shared" si="794"/>
        <v>-1</v>
      </c>
      <c r="AI947" s="108">
        <f t="shared" si="795"/>
        <v>-1</v>
      </c>
      <c r="AJ947" s="108">
        <f t="shared" si="796"/>
        <v>-1</v>
      </c>
      <c r="AK947" s="108">
        <f t="shared" si="797"/>
        <v>-1</v>
      </c>
      <c r="AL947" s="108">
        <f t="shared" si="798"/>
        <v>-1</v>
      </c>
    </row>
    <row r="948" spans="3:38" x14ac:dyDescent="0.55000000000000004">
      <c r="C948" s="104" t="str">
        <f>$V$74</f>
        <v>Samuel</v>
      </c>
      <c r="D948" s="108">
        <f t="shared" ref="D948:S948" si="819">D74</f>
        <v>0</v>
      </c>
      <c r="E948" s="108">
        <f t="shared" si="819"/>
        <v>0</v>
      </c>
      <c r="F948" s="108">
        <f t="shared" si="819"/>
        <v>0</v>
      </c>
      <c r="G948" s="108">
        <f t="shared" si="819"/>
        <v>0</v>
      </c>
      <c r="H948" s="108">
        <f t="shared" si="819"/>
        <v>0</v>
      </c>
      <c r="I948" s="108">
        <f t="shared" si="819"/>
        <v>0</v>
      </c>
      <c r="J948" s="108">
        <f t="shared" si="819"/>
        <v>0</v>
      </c>
      <c r="K948" s="108">
        <f t="shared" si="819"/>
        <v>0</v>
      </c>
      <c r="L948" s="108">
        <f t="shared" si="819"/>
        <v>0</v>
      </c>
      <c r="M948" s="108">
        <f t="shared" si="819"/>
        <v>0</v>
      </c>
      <c r="N948" s="108">
        <f t="shared" si="819"/>
        <v>0</v>
      </c>
      <c r="O948" s="108">
        <f t="shared" si="819"/>
        <v>0</v>
      </c>
      <c r="P948" s="108">
        <f t="shared" si="819"/>
        <v>0</v>
      </c>
      <c r="Q948" s="108">
        <f t="shared" si="819"/>
        <v>0</v>
      </c>
      <c r="R948" s="108">
        <f t="shared" si="819"/>
        <v>0</v>
      </c>
      <c r="S948" s="108">
        <f t="shared" si="819"/>
        <v>0</v>
      </c>
      <c r="T948" s="28" t="s">
        <v>26</v>
      </c>
      <c r="V948" s="104" t="str">
        <f>$V$74</f>
        <v>Samuel</v>
      </c>
      <c r="W948" s="108">
        <f t="shared" si="783"/>
        <v>-1</v>
      </c>
      <c r="X948" s="108">
        <f t="shared" si="784"/>
        <v>-1</v>
      </c>
      <c r="Y948" s="108">
        <f t="shared" si="785"/>
        <v>-1</v>
      </c>
      <c r="Z948" s="108">
        <f t="shared" si="786"/>
        <v>-1</v>
      </c>
      <c r="AA948" s="108">
        <f t="shared" si="787"/>
        <v>-1</v>
      </c>
      <c r="AB948" s="108">
        <f t="shared" si="788"/>
        <v>-1</v>
      </c>
      <c r="AC948" s="108">
        <f t="shared" si="789"/>
        <v>-1</v>
      </c>
      <c r="AD948" s="108">
        <f t="shared" si="790"/>
        <v>-1</v>
      </c>
      <c r="AE948" s="108">
        <f t="shared" si="791"/>
        <v>-1</v>
      </c>
      <c r="AF948" s="108">
        <f t="shared" si="792"/>
        <v>-1</v>
      </c>
      <c r="AG948" s="108">
        <f t="shared" si="793"/>
        <v>-1</v>
      </c>
      <c r="AH948" s="108">
        <f t="shared" si="794"/>
        <v>-1</v>
      </c>
      <c r="AI948" s="108">
        <f t="shared" si="795"/>
        <v>-1</v>
      </c>
      <c r="AJ948" s="108">
        <f t="shared" si="796"/>
        <v>-1</v>
      </c>
      <c r="AK948" s="108">
        <f t="shared" si="797"/>
        <v>-1</v>
      </c>
      <c r="AL948" s="108">
        <f t="shared" si="798"/>
        <v>-1</v>
      </c>
    </row>
    <row r="949" spans="3:38" x14ac:dyDescent="0.55000000000000004">
      <c r="C949" s="104" t="str">
        <f>$V$75</f>
        <v>Yassin</v>
      </c>
      <c r="D949" s="108">
        <f t="shared" ref="D949:S949" si="820">D75</f>
        <v>0</v>
      </c>
      <c r="E949" s="108">
        <f t="shared" si="820"/>
        <v>0</v>
      </c>
      <c r="F949" s="108">
        <f t="shared" si="820"/>
        <v>0</v>
      </c>
      <c r="G949" s="108">
        <f t="shared" si="820"/>
        <v>0</v>
      </c>
      <c r="H949" s="108">
        <f t="shared" si="820"/>
        <v>0</v>
      </c>
      <c r="I949" s="108">
        <f t="shared" si="820"/>
        <v>0</v>
      </c>
      <c r="J949" s="108">
        <f t="shared" si="820"/>
        <v>0</v>
      </c>
      <c r="K949" s="108">
        <f t="shared" si="820"/>
        <v>0</v>
      </c>
      <c r="L949" s="108">
        <f t="shared" si="820"/>
        <v>0</v>
      </c>
      <c r="M949" s="108">
        <f t="shared" si="820"/>
        <v>0</v>
      </c>
      <c r="N949" s="108">
        <f t="shared" si="820"/>
        <v>0</v>
      </c>
      <c r="O949" s="108">
        <f t="shared" si="820"/>
        <v>0</v>
      </c>
      <c r="P949" s="108">
        <f t="shared" si="820"/>
        <v>0</v>
      </c>
      <c r="Q949" s="108">
        <f t="shared" si="820"/>
        <v>0</v>
      </c>
      <c r="R949" s="108">
        <f t="shared" si="820"/>
        <v>0</v>
      </c>
      <c r="S949" s="108">
        <f t="shared" si="820"/>
        <v>0</v>
      </c>
      <c r="T949" s="28" t="s">
        <v>26</v>
      </c>
      <c r="V949" s="104" t="str">
        <f>$V$75</f>
        <v>Yassin</v>
      </c>
      <c r="W949" s="108">
        <f t="shared" si="783"/>
        <v>-1</v>
      </c>
      <c r="X949" s="108">
        <f t="shared" si="784"/>
        <v>-1</v>
      </c>
      <c r="Y949" s="108">
        <f t="shared" si="785"/>
        <v>-1</v>
      </c>
      <c r="Z949" s="108">
        <f t="shared" si="786"/>
        <v>-1</v>
      </c>
      <c r="AA949" s="108">
        <f t="shared" si="787"/>
        <v>-1</v>
      </c>
      <c r="AB949" s="108">
        <f t="shared" si="788"/>
        <v>-1</v>
      </c>
      <c r="AC949" s="108">
        <f t="shared" si="789"/>
        <v>-1</v>
      </c>
      <c r="AD949" s="108">
        <f t="shared" si="790"/>
        <v>-1</v>
      </c>
      <c r="AE949" s="108">
        <f t="shared" si="791"/>
        <v>-1</v>
      </c>
      <c r="AF949" s="108">
        <f t="shared" si="792"/>
        <v>-1</v>
      </c>
      <c r="AG949" s="108">
        <f t="shared" si="793"/>
        <v>-1</v>
      </c>
      <c r="AH949" s="108">
        <f t="shared" si="794"/>
        <v>-1</v>
      </c>
      <c r="AI949" s="108">
        <f t="shared" si="795"/>
        <v>-1</v>
      </c>
      <c r="AJ949" s="108">
        <f t="shared" si="796"/>
        <v>-1</v>
      </c>
      <c r="AK949" s="108">
        <f t="shared" si="797"/>
        <v>-1</v>
      </c>
      <c r="AL949" s="108">
        <f t="shared" si="798"/>
        <v>-1</v>
      </c>
    </row>
    <row r="950" spans="3:38" x14ac:dyDescent="0.55000000000000004">
      <c r="C950" s="104" t="str">
        <f>$V$76</f>
        <v>Kamar</v>
      </c>
      <c r="D950" s="108">
        <f t="shared" ref="D950:S950" si="821">D76</f>
        <v>0</v>
      </c>
      <c r="E950" s="108">
        <f t="shared" si="821"/>
        <v>0</v>
      </c>
      <c r="F950" s="108">
        <f t="shared" si="821"/>
        <v>0</v>
      </c>
      <c r="G950" s="108">
        <f t="shared" si="821"/>
        <v>0</v>
      </c>
      <c r="H950" s="108">
        <f t="shared" si="821"/>
        <v>0</v>
      </c>
      <c r="I950" s="108">
        <f t="shared" si="821"/>
        <v>0</v>
      </c>
      <c r="J950" s="108">
        <f t="shared" si="821"/>
        <v>0</v>
      </c>
      <c r="K950" s="108">
        <f t="shared" si="821"/>
        <v>0</v>
      </c>
      <c r="L950" s="108">
        <f t="shared" si="821"/>
        <v>0</v>
      </c>
      <c r="M950" s="108">
        <f t="shared" si="821"/>
        <v>0</v>
      </c>
      <c r="N950" s="108">
        <f t="shared" si="821"/>
        <v>0</v>
      </c>
      <c r="O950" s="108">
        <f t="shared" si="821"/>
        <v>0</v>
      </c>
      <c r="P950" s="108">
        <f t="shared" si="821"/>
        <v>0</v>
      </c>
      <c r="Q950" s="108">
        <f t="shared" si="821"/>
        <v>0</v>
      </c>
      <c r="R950" s="108">
        <f t="shared" si="821"/>
        <v>0</v>
      </c>
      <c r="S950" s="108">
        <f t="shared" si="821"/>
        <v>0</v>
      </c>
      <c r="T950" s="28" t="s">
        <v>26</v>
      </c>
      <c r="V950" s="104" t="str">
        <f>$V$76</f>
        <v>Kamar</v>
      </c>
      <c r="W950" s="108">
        <f t="shared" si="783"/>
        <v>-1</v>
      </c>
      <c r="X950" s="108">
        <f t="shared" si="784"/>
        <v>-1</v>
      </c>
      <c r="Y950" s="108">
        <f t="shared" si="785"/>
        <v>-1</v>
      </c>
      <c r="Z950" s="108">
        <f t="shared" si="786"/>
        <v>-1</v>
      </c>
      <c r="AA950" s="108">
        <f t="shared" si="787"/>
        <v>-1</v>
      </c>
      <c r="AB950" s="108">
        <f t="shared" si="788"/>
        <v>-1</v>
      </c>
      <c r="AC950" s="108">
        <f t="shared" si="789"/>
        <v>-1</v>
      </c>
      <c r="AD950" s="108">
        <f t="shared" si="790"/>
        <v>-1</v>
      </c>
      <c r="AE950" s="108">
        <f t="shared" si="791"/>
        <v>-1</v>
      </c>
      <c r="AF950" s="108">
        <f t="shared" si="792"/>
        <v>-1</v>
      </c>
      <c r="AG950" s="108">
        <f t="shared" si="793"/>
        <v>-1</v>
      </c>
      <c r="AH950" s="108">
        <f t="shared" si="794"/>
        <v>-1</v>
      </c>
      <c r="AI950" s="108">
        <f t="shared" si="795"/>
        <v>-1</v>
      </c>
      <c r="AJ950" s="108">
        <f t="shared" si="796"/>
        <v>-1</v>
      </c>
      <c r="AK950" s="108">
        <f t="shared" si="797"/>
        <v>-1</v>
      </c>
      <c r="AL950" s="108">
        <f t="shared" si="798"/>
        <v>-1</v>
      </c>
    </row>
    <row r="951" spans="3:38" x14ac:dyDescent="0.55000000000000004">
      <c r="C951" s="104" t="str">
        <f>$V$77</f>
        <v>-</v>
      </c>
      <c r="D951" s="108">
        <f t="shared" ref="D951:S951" si="822">D77</f>
        <v>0</v>
      </c>
      <c r="E951" s="108">
        <f t="shared" si="822"/>
        <v>0</v>
      </c>
      <c r="F951" s="108">
        <f t="shared" si="822"/>
        <v>0</v>
      </c>
      <c r="G951" s="108">
        <f t="shared" si="822"/>
        <v>0</v>
      </c>
      <c r="H951" s="108">
        <f t="shared" si="822"/>
        <v>0</v>
      </c>
      <c r="I951" s="108">
        <f t="shared" si="822"/>
        <v>0</v>
      </c>
      <c r="J951" s="108">
        <f t="shared" si="822"/>
        <v>0</v>
      </c>
      <c r="K951" s="108">
        <f t="shared" si="822"/>
        <v>0</v>
      </c>
      <c r="L951" s="108">
        <f t="shared" si="822"/>
        <v>0</v>
      </c>
      <c r="M951" s="108">
        <f t="shared" si="822"/>
        <v>0</v>
      </c>
      <c r="N951" s="108">
        <f t="shared" si="822"/>
        <v>0</v>
      </c>
      <c r="O951" s="108">
        <f t="shared" si="822"/>
        <v>0</v>
      </c>
      <c r="P951" s="108">
        <f t="shared" si="822"/>
        <v>0</v>
      </c>
      <c r="Q951" s="108">
        <f t="shared" si="822"/>
        <v>0</v>
      </c>
      <c r="R951" s="108">
        <f t="shared" si="822"/>
        <v>0</v>
      </c>
      <c r="S951" s="108">
        <f t="shared" si="822"/>
        <v>0</v>
      </c>
      <c r="T951" s="28" t="s">
        <v>26</v>
      </c>
      <c r="V951" s="104" t="str">
        <f>$V$77</f>
        <v>-</v>
      </c>
      <c r="W951" s="108">
        <f t="shared" si="783"/>
        <v>-1</v>
      </c>
      <c r="X951" s="108">
        <f t="shared" si="784"/>
        <v>-1</v>
      </c>
      <c r="Y951" s="108">
        <f t="shared" si="785"/>
        <v>-1</v>
      </c>
      <c r="Z951" s="108">
        <f t="shared" si="786"/>
        <v>-1</v>
      </c>
      <c r="AA951" s="108">
        <f t="shared" si="787"/>
        <v>-1</v>
      </c>
      <c r="AB951" s="108">
        <f t="shared" si="788"/>
        <v>-1</v>
      </c>
      <c r="AC951" s="108">
        <f t="shared" si="789"/>
        <v>-1</v>
      </c>
      <c r="AD951" s="108">
        <f t="shared" si="790"/>
        <v>-1</v>
      </c>
      <c r="AE951" s="108">
        <f t="shared" si="791"/>
        <v>-1</v>
      </c>
      <c r="AF951" s="108">
        <f t="shared" si="792"/>
        <v>-1</v>
      </c>
      <c r="AG951" s="108">
        <f t="shared" si="793"/>
        <v>-1</v>
      </c>
      <c r="AH951" s="108">
        <f t="shared" si="794"/>
        <v>-1</v>
      </c>
      <c r="AI951" s="108">
        <f t="shared" si="795"/>
        <v>-1</v>
      </c>
      <c r="AJ951" s="108">
        <f t="shared" si="796"/>
        <v>-1</v>
      </c>
      <c r="AK951" s="108">
        <f t="shared" si="797"/>
        <v>-1</v>
      </c>
      <c r="AL951" s="108">
        <f t="shared" si="798"/>
        <v>-1</v>
      </c>
    </row>
    <row r="952" spans="3:38" x14ac:dyDescent="0.55000000000000004">
      <c r="C952" s="104" t="str">
        <f>$V$78</f>
        <v>-</v>
      </c>
      <c r="D952" s="108">
        <f t="shared" ref="D952:S952" si="823">D78</f>
        <v>0</v>
      </c>
      <c r="E952" s="108">
        <f t="shared" si="823"/>
        <v>0</v>
      </c>
      <c r="F952" s="108">
        <f t="shared" si="823"/>
        <v>0</v>
      </c>
      <c r="G952" s="108">
        <f t="shared" si="823"/>
        <v>0</v>
      </c>
      <c r="H952" s="108">
        <f t="shared" si="823"/>
        <v>0</v>
      </c>
      <c r="I952" s="108">
        <f t="shared" si="823"/>
        <v>0</v>
      </c>
      <c r="J952" s="108">
        <f t="shared" si="823"/>
        <v>0</v>
      </c>
      <c r="K952" s="108">
        <f t="shared" si="823"/>
        <v>0</v>
      </c>
      <c r="L952" s="108">
        <f t="shared" si="823"/>
        <v>0</v>
      </c>
      <c r="M952" s="108">
        <f t="shared" si="823"/>
        <v>0</v>
      </c>
      <c r="N952" s="108">
        <f t="shared" si="823"/>
        <v>0</v>
      </c>
      <c r="O952" s="108">
        <f t="shared" si="823"/>
        <v>0</v>
      </c>
      <c r="P952" s="108">
        <f t="shared" si="823"/>
        <v>0</v>
      </c>
      <c r="Q952" s="108">
        <f t="shared" si="823"/>
        <v>0</v>
      </c>
      <c r="R952" s="108">
        <f t="shared" si="823"/>
        <v>0</v>
      </c>
      <c r="S952" s="108">
        <f t="shared" si="823"/>
        <v>0</v>
      </c>
      <c r="T952" s="28" t="s">
        <v>26</v>
      </c>
      <c r="V952" s="104" t="str">
        <f>$V$78</f>
        <v>-</v>
      </c>
      <c r="W952" s="108">
        <f t="shared" si="783"/>
        <v>-1</v>
      </c>
      <c r="X952" s="108">
        <f t="shared" si="784"/>
        <v>-1</v>
      </c>
      <c r="Y952" s="108">
        <f t="shared" si="785"/>
        <v>-1</v>
      </c>
      <c r="Z952" s="108">
        <f t="shared" si="786"/>
        <v>-1</v>
      </c>
      <c r="AA952" s="108">
        <f t="shared" si="787"/>
        <v>-1</v>
      </c>
      <c r="AB952" s="108">
        <f t="shared" si="788"/>
        <v>-1</v>
      </c>
      <c r="AC952" s="108">
        <f t="shared" si="789"/>
        <v>-1</v>
      </c>
      <c r="AD952" s="108">
        <f t="shared" si="790"/>
        <v>-1</v>
      </c>
      <c r="AE952" s="108">
        <f t="shared" si="791"/>
        <v>-1</v>
      </c>
      <c r="AF952" s="108">
        <f t="shared" si="792"/>
        <v>-1</v>
      </c>
      <c r="AG952" s="108">
        <f t="shared" si="793"/>
        <v>-1</v>
      </c>
      <c r="AH952" s="108">
        <f t="shared" si="794"/>
        <v>-1</v>
      </c>
      <c r="AI952" s="108">
        <f t="shared" si="795"/>
        <v>-1</v>
      </c>
      <c r="AJ952" s="108">
        <f t="shared" si="796"/>
        <v>-1</v>
      </c>
      <c r="AK952" s="108">
        <f t="shared" si="797"/>
        <v>-1</v>
      </c>
      <c r="AL952" s="108">
        <f t="shared" si="798"/>
        <v>-1</v>
      </c>
    </row>
    <row r="953" spans="3:38" x14ac:dyDescent="0.55000000000000004">
      <c r="C953" s="104" t="str">
        <f>$V$79</f>
        <v>-</v>
      </c>
      <c r="D953" s="108">
        <f t="shared" ref="D953:S953" si="824">D79</f>
        <v>0</v>
      </c>
      <c r="E953" s="108">
        <f t="shared" si="824"/>
        <v>0</v>
      </c>
      <c r="F953" s="108">
        <f t="shared" si="824"/>
        <v>0</v>
      </c>
      <c r="G953" s="108">
        <f t="shared" si="824"/>
        <v>0</v>
      </c>
      <c r="H953" s="108">
        <f t="shared" si="824"/>
        <v>0</v>
      </c>
      <c r="I953" s="108">
        <f t="shared" si="824"/>
        <v>0</v>
      </c>
      <c r="J953" s="108">
        <f t="shared" si="824"/>
        <v>0</v>
      </c>
      <c r="K953" s="108">
        <f t="shared" si="824"/>
        <v>0</v>
      </c>
      <c r="L953" s="108">
        <f t="shared" si="824"/>
        <v>0</v>
      </c>
      <c r="M953" s="108">
        <f t="shared" si="824"/>
        <v>0</v>
      </c>
      <c r="N953" s="108">
        <f t="shared" si="824"/>
        <v>0</v>
      </c>
      <c r="O953" s="108">
        <f t="shared" si="824"/>
        <v>0</v>
      </c>
      <c r="P953" s="108">
        <f t="shared" si="824"/>
        <v>0</v>
      </c>
      <c r="Q953" s="108">
        <f t="shared" si="824"/>
        <v>0</v>
      </c>
      <c r="R953" s="108">
        <f t="shared" si="824"/>
        <v>0</v>
      </c>
      <c r="S953" s="108">
        <f t="shared" si="824"/>
        <v>0</v>
      </c>
      <c r="T953" s="28" t="s">
        <v>26</v>
      </c>
      <c r="V953" s="104" t="str">
        <f>$V$79</f>
        <v>-</v>
      </c>
      <c r="W953" s="108">
        <f t="shared" si="783"/>
        <v>-1</v>
      </c>
      <c r="X953" s="108">
        <f t="shared" si="784"/>
        <v>-1</v>
      </c>
      <c r="Y953" s="108">
        <f t="shared" si="785"/>
        <v>-1</v>
      </c>
      <c r="Z953" s="108">
        <f t="shared" si="786"/>
        <v>-1</v>
      </c>
      <c r="AA953" s="108">
        <f t="shared" si="787"/>
        <v>-1</v>
      </c>
      <c r="AB953" s="108">
        <f t="shared" si="788"/>
        <v>-1</v>
      </c>
      <c r="AC953" s="108">
        <f t="shared" si="789"/>
        <v>-1</v>
      </c>
      <c r="AD953" s="108">
        <f t="shared" si="790"/>
        <v>-1</v>
      </c>
      <c r="AE953" s="108">
        <f t="shared" si="791"/>
        <v>-1</v>
      </c>
      <c r="AF953" s="108">
        <f t="shared" si="792"/>
        <v>-1</v>
      </c>
      <c r="AG953" s="108">
        <f t="shared" si="793"/>
        <v>-1</v>
      </c>
      <c r="AH953" s="108">
        <f t="shared" si="794"/>
        <v>-1</v>
      </c>
      <c r="AI953" s="108">
        <f t="shared" si="795"/>
        <v>-1</v>
      </c>
      <c r="AJ953" s="108">
        <f t="shared" si="796"/>
        <v>-1</v>
      </c>
      <c r="AK953" s="108">
        <f t="shared" si="797"/>
        <v>-1</v>
      </c>
      <c r="AL953" s="108">
        <f t="shared" si="798"/>
        <v>-1</v>
      </c>
    </row>
    <row r="954" spans="3:38" x14ac:dyDescent="0.55000000000000004">
      <c r="C954" s="104" t="str">
        <f>$V$80</f>
        <v>-</v>
      </c>
      <c r="D954" s="108">
        <f t="shared" ref="D954:S954" si="825">D80</f>
        <v>0</v>
      </c>
      <c r="E954" s="108">
        <f t="shared" si="825"/>
        <v>0</v>
      </c>
      <c r="F954" s="108">
        <f t="shared" si="825"/>
        <v>0</v>
      </c>
      <c r="G954" s="108">
        <f t="shared" si="825"/>
        <v>0</v>
      </c>
      <c r="H954" s="108">
        <f t="shared" si="825"/>
        <v>0</v>
      </c>
      <c r="I954" s="108">
        <f t="shared" si="825"/>
        <v>0</v>
      </c>
      <c r="J954" s="108">
        <f t="shared" si="825"/>
        <v>0</v>
      </c>
      <c r="K954" s="108">
        <f t="shared" si="825"/>
        <v>0</v>
      </c>
      <c r="L954" s="108">
        <f t="shared" si="825"/>
        <v>0</v>
      </c>
      <c r="M954" s="108">
        <f t="shared" si="825"/>
        <v>0</v>
      </c>
      <c r="N954" s="108">
        <f t="shared" si="825"/>
        <v>0</v>
      </c>
      <c r="O954" s="108">
        <f t="shared" si="825"/>
        <v>0</v>
      </c>
      <c r="P954" s="108">
        <f t="shared" si="825"/>
        <v>0</v>
      </c>
      <c r="Q954" s="108">
        <f t="shared" si="825"/>
        <v>0</v>
      </c>
      <c r="R954" s="108">
        <f t="shared" si="825"/>
        <v>0</v>
      </c>
      <c r="S954" s="108">
        <f t="shared" si="825"/>
        <v>0</v>
      </c>
      <c r="T954" s="28" t="s">
        <v>26</v>
      </c>
      <c r="V954" s="104" t="str">
        <f>$V$80</f>
        <v>-</v>
      </c>
      <c r="W954" s="108">
        <f t="shared" si="783"/>
        <v>-1</v>
      </c>
      <c r="X954" s="108">
        <f t="shared" si="784"/>
        <v>-1</v>
      </c>
      <c r="Y954" s="108">
        <f t="shared" si="785"/>
        <v>-1</v>
      </c>
      <c r="Z954" s="108">
        <f t="shared" si="786"/>
        <v>-1</v>
      </c>
      <c r="AA954" s="108">
        <f t="shared" si="787"/>
        <v>-1</v>
      </c>
      <c r="AB954" s="108">
        <f t="shared" si="788"/>
        <v>-1</v>
      </c>
      <c r="AC954" s="108">
        <f t="shared" si="789"/>
        <v>-1</v>
      </c>
      <c r="AD954" s="108">
        <f t="shared" si="790"/>
        <v>-1</v>
      </c>
      <c r="AE954" s="108">
        <f t="shared" si="791"/>
        <v>-1</v>
      </c>
      <c r="AF954" s="108">
        <f t="shared" si="792"/>
        <v>-1</v>
      </c>
      <c r="AG954" s="108">
        <f t="shared" si="793"/>
        <v>-1</v>
      </c>
      <c r="AH954" s="108">
        <f t="shared" si="794"/>
        <v>-1</v>
      </c>
      <c r="AI954" s="108">
        <f t="shared" si="795"/>
        <v>-1</v>
      </c>
      <c r="AJ954" s="108">
        <f t="shared" si="796"/>
        <v>-1</v>
      </c>
      <c r="AK954" s="108">
        <f t="shared" si="797"/>
        <v>-1</v>
      </c>
      <c r="AL954" s="108">
        <f t="shared" si="798"/>
        <v>-1</v>
      </c>
    </row>
    <row r="955" spans="3:38" x14ac:dyDescent="0.55000000000000004">
      <c r="C955" s="104" t="str">
        <f>$V$81</f>
        <v>-</v>
      </c>
      <c r="D955" s="108">
        <f t="shared" ref="D955:S955" si="826">D81</f>
        <v>0</v>
      </c>
      <c r="E955" s="108">
        <f t="shared" si="826"/>
        <v>0</v>
      </c>
      <c r="F955" s="108">
        <f t="shared" si="826"/>
        <v>0</v>
      </c>
      <c r="G955" s="108">
        <f t="shared" si="826"/>
        <v>0</v>
      </c>
      <c r="H955" s="108">
        <f t="shared" si="826"/>
        <v>0</v>
      </c>
      <c r="I955" s="108">
        <f t="shared" si="826"/>
        <v>0</v>
      </c>
      <c r="J955" s="108">
        <f t="shared" si="826"/>
        <v>0</v>
      </c>
      <c r="K955" s="108">
        <f t="shared" si="826"/>
        <v>0</v>
      </c>
      <c r="L955" s="108">
        <f t="shared" si="826"/>
        <v>0</v>
      </c>
      <c r="M955" s="108">
        <f t="shared" si="826"/>
        <v>0</v>
      </c>
      <c r="N955" s="108">
        <f t="shared" si="826"/>
        <v>0</v>
      </c>
      <c r="O955" s="108">
        <f t="shared" si="826"/>
        <v>0</v>
      </c>
      <c r="P955" s="108">
        <f t="shared" si="826"/>
        <v>0</v>
      </c>
      <c r="Q955" s="108">
        <f t="shared" si="826"/>
        <v>0</v>
      </c>
      <c r="R955" s="108">
        <f t="shared" si="826"/>
        <v>0</v>
      </c>
      <c r="S955" s="108">
        <f t="shared" si="826"/>
        <v>0</v>
      </c>
      <c r="T955" s="28" t="s">
        <v>26</v>
      </c>
      <c r="V955" s="104" t="str">
        <f>$V$81</f>
        <v>-</v>
      </c>
      <c r="W955" s="108">
        <f t="shared" si="783"/>
        <v>-1</v>
      </c>
      <c r="X955" s="108">
        <f t="shared" si="784"/>
        <v>-1</v>
      </c>
      <c r="Y955" s="108">
        <f t="shared" si="785"/>
        <v>-1</v>
      </c>
      <c r="Z955" s="108">
        <f t="shared" si="786"/>
        <v>-1</v>
      </c>
      <c r="AA955" s="108">
        <f t="shared" si="787"/>
        <v>-1</v>
      </c>
      <c r="AB955" s="108">
        <f t="shared" si="788"/>
        <v>-1</v>
      </c>
      <c r="AC955" s="108">
        <f t="shared" si="789"/>
        <v>-1</v>
      </c>
      <c r="AD955" s="108">
        <f t="shared" si="790"/>
        <v>-1</v>
      </c>
      <c r="AE955" s="108">
        <f t="shared" si="791"/>
        <v>-1</v>
      </c>
      <c r="AF955" s="108">
        <f t="shared" si="792"/>
        <v>-1</v>
      </c>
      <c r="AG955" s="108">
        <f t="shared" si="793"/>
        <v>-1</v>
      </c>
      <c r="AH955" s="108">
        <f t="shared" si="794"/>
        <v>-1</v>
      </c>
      <c r="AI955" s="108">
        <f t="shared" si="795"/>
        <v>-1</v>
      </c>
      <c r="AJ955" s="108">
        <f t="shared" si="796"/>
        <v>-1</v>
      </c>
      <c r="AK955" s="108">
        <f t="shared" si="797"/>
        <v>-1</v>
      </c>
      <c r="AL955" s="108">
        <f t="shared" si="798"/>
        <v>-1</v>
      </c>
    </row>
    <row r="956" spans="3:38" x14ac:dyDescent="0.55000000000000004">
      <c r="C956" s="104" t="str">
        <f>$V$82</f>
        <v>-</v>
      </c>
      <c r="D956" s="108">
        <f t="shared" ref="D956:S956" si="827">D82</f>
        <v>0</v>
      </c>
      <c r="E956" s="108">
        <f t="shared" si="827"/>
        <v>0</v>
      </c>
      <c r="F956" s="108">
        <f t="shared" si="827"/>
        <v>0</v>
      </c>
      <c r="G956" s="108">
        <f t="shared" si="827"/>
        <v>0</v>
      </c>
      <c r="H956" s="108">
        <f t="shared" si="827"/>
        <v>0</v>
      </c>
      <c r="I956" s="108">
        <f t="shared" si="827"/>
        <v>0</v>
      </c>
      <c r="J956" s="108">
        <f t="shared" si="827"/>
        <v>0</v>
      </c>
      <c r="K956" s="108">
        <f t="shared" si="827"/>
        <v>0</v>
      </c>
      <c r="L956" s="108">
        <f t="shared" si="827"/>
        <v>0</v>
      </c>
      <c r="M956" s="108">
        <f t="shared" si="827"/>
        <v>0</v>
      </c>
      <c r="N956" s="108">
        <f t="shared" si="827"/>
        <v>0</v>
      </c>
      <c r="O956" s="108">
        <f t="shared" si="827"/>
        <v>0</v>
      </c>
      <c r="P956" s="108">
        <f t="shared" si="827"/>
        <v>0</v>
      </c>
      <c r="Q956" s="108">
        <f t="shared" si="827"/>
        <v>0</v>
      </c>
      <c r="R956" s="108">
        <f t="shared" si="827"/>
        <v>0</v>
      </c>
      <c r="S956" s="108">
        <f t="shared" si="827"/>
        <v>0</v>
      </c>
      <c r="T956" s="28" t="s">
        <v>26</v>
      </c>
      <c r="V956" s="104" t="str">
        <f>$V$82</f>
        <v>-</v>
      </c>
      <c r="W956" s="108">
        <f t="shared" si="783"/>
        <v>-1</v>
      </c>
      <c r="X956" s="108">
        <f t="shared" si="784"/>
        <v>-1</v>
      </c>
      <c r="Y956" s="108">
        <f t="shared" si="785"/>
        <v>-1</v>
      </c>
      <c r="Z956" s="108">
        <f t="shared" si="786"/>
        <v>-1</v>
      </c>
      <c r="AA956" s="108">
        <f t="shared" si="787"/>
        <v>-1</v>
      </c>
      <c r="AB956" s="108">
        <f t="shared" si="788"/>
        <v>-1</v>
      </c>
      <c r="AC956" s="108">
        <f t="shared" si="789"/>
        <v>-1</v>
      </c>
      <c r="AD956" s="108">
        <f t="shared" si="790"/>
        <v>-1</v>
      </c>
      <c r="AE956" s="108">
        <f t="shared" si="791"/>
        <v>-1</v>
      </c>
      <c r="AF956" s="108">
        <f t="shared" si="792"/>
        <v>-1</v>
      </c>
      <c r="AG956" s="108">
        <f t="shared" si="793"/>
        <v>-1</v>
      </c>
      <c r="AH956" s="108">
        <f t="shared" si="794"/>
        <v>-1</v>
      </c>
      <c r="AI956" s="108">
        <f t="shared" si="795"/>
        <v>-1</v>
      </c>
      <c r="AJ956" s="108">
        <f t="shared" si="796"/>
        <v>-1</v>
      </c>
      <c r="AK956" s="108">
        <f t="shared" si="797"/>
        <v>-1</v>
      </c>
      <c r="AL956" s="108">
        <f t="shared" si="798"/>
        <v>-1</v>
      </c>
    </row>
    <row r="957" spans="3:38" x14ac:dyDescent="0.55000000000000004">
      <c r="C957" s="104" t="str">
        <f>$V$83</f>
        <v>-</v>
      </c>
      <c r="D957" s="108">
        <f t="shared" ref="D957:S957" si="828">D83</f>
        <v>0</v>
      </c>
      <c r="E957" s="108">
        <f t="shared" si="828"/>
        <v>0</v>
      </c>
      <c r="F957" s="108">
        <f t="shared" si="828"/>
        <v>0</v>
      </c>
      <c r="G957" s="108">
        <f t="shared" si="828"/>
        <v>0</v>
      </c>
      <c r="H957" s="108">
        <f t="shared" si="828"/>
        <v>0</v>
      </c>
      <c r="I957" s="108">
        <f t="shared" si="828"/>
        <v>0</v>
      </c>
      <c r="J957" s="108">
        <f t="shared" si="828"/>
        <v>0</v>
      </c>
      <c r="K957" s="108">
        <f t="shared" si="828"/>
        <v>0</v>
      </c>
      <c r="L957" s="108">
        <f t="shared" si="828"/>
        <v>0</v>
      </c>
      <c r="M957" s="108">
        <f t="shared" si="828"/>
        <v>0</v>
      </c>
      <c r="N957" s="108">
        <f t="shared" si="828"/>
        <v>0</v>
      </c>
      <c r="O957" s="108">
        <f t="shared" si="828"/>
        <v>0</v>
      </c>
      <c r="P957" s="108">
        <f t="shared" si="828"/>
        <v>0</v>
      </c>
      <c r="Q957" s="108">
        <f t="shared" si="828"/>
        <v>0</v>
      </c>
      <c r="R957" s="108">
        <f t="shared" si="828"/>
        <v>0</v>
      </c>
      <c r="S957" s="108">
        <f t="shared" si="828"/>
        <v>0</v>
      </c>
      <c r="T957" s="28" t="s">
        <v>26</v>
      </c>
      <c r="V957" s="104" t="str">
        <f>$V$83</f>
        <v>-</v>
      </c>
      <c r="W957" s="108">
        <f t="shared" si="783"/>
        <v>-1</v>
      </c>
      <c r="X957" s="108">
        <f t="shared" si="784"/>
        <v>-1</v>
      </c>
      <c r="Y957" s="108">
        <f t="shared" si="785"/>
        <v>-1</v>
      </c>
      <c r="Z957" s="108">
        <f t="shared" si="786"/>
        <v>-1</v>
      </c>
      <c r="AA957" s="108">
        <f t="shared" si="787"/>
        <v>-1</v>
      </c>
      <c r="AB957" s="108">
        <f t="shared" si="788"/>
        <v>-1</v>
      </c>
      <c r="AC957" s="108">
        <f t="shared" si="789"/>
        <v>-1</v>
      </c>
      <c r="AD957" s="108">
        <f t="shared" si="790"/>
        <v>-1</v>
      </c>
      <c r="AE957" s="108">
        <f t="shared" si="791"/>
        <v>-1</v>
      </c>
      <c r="AF957" s="108">
        <f t="shared" si="792"/>
        <v>-1</v>
      </c>
      <c r="AG957" s="108">
        <f t="shared" si="793"/>
        <v>-3</v>
      </c>
      <c r="AH957" s="108">
        <f t="shared" si="794"/>
        <v>-3</v>
      </c>
      <c r="AI957" s="108">
        <f t="shared" si="795"/>
        <v>-1</v>
      </c>
      <c r="AJ957" s="108">
        <f t="shared" si="796"/>
        <v>-1</v>
      </c>
      <c r="AK957" s="108">
        <f t="shared" si="797"/>
        <v>-1</v>
      </c>
      <c r="AL957" s="108">
        <f t="shared" si="798"/>
        <v>-1</v>
      </c>
    </row>
    <row r="958" spans="3:38" x14ac:dyDescent="0.55000000000000004">
      <c r="C958" s="104" t="str">
        <f>$V$84</f>
        <v>-</v>
      </c>
      <c r="D958" s="108">
        <f t="shared" ref="D958:S958" si="829">D84</f>
        <v>0</v>
      </c>
      <c r="E958" s="108">
        <f t="shared" si="829"/>
        <v>0</v>
      </c>
      <c r="F958" s="108">
        <f t="shared" si="829"/>
        <v>0</v>
      </c>
      <c r="G958" s="108">
        <f t="shared" si="829"/>
        <v>0</v>
      </c>
      <c r="H958" s="108">
        <f t="shared" si="829"/>
        <v>0</v>
      </c>
      <c r="I958" s="108">
        <f t="shared" si="829"/>
        <v>0</v>
      </c>
      <c r="J958" s="108">
        <f t="shared" si="829"/>
        <v>0</v>
      </c>
      <c r="K958" s="108">
        <f t="shared" si="829"/>
        <v>0</v>
      </c>
      <c r="L958" s="108">
        <f t="shared" si="829"/>
        <v>0</v>
      </c>
      <c r="M958" s="108">
        <f t="shared" si="829"/>
        <v>0</v>
      </c>
      <c r="N958" s="108">
        <f t="shared" si="829"/>
        <v>0</v>
      </c>
      <c r="O958" s="108">
        <f t="shared" si="829"/>
        <v>0</v>
      </c>
      <c r="P958" s="108">
        <f t="shared" si="829"/>
        <v>0</v>
      </c>
      <c r="Q958" s="108">
        <f t="shared" si="829"/>
        <v>0</v>
      </c>
      <c r="R958" s="108">
        <f t="shared" si="829"/>
        <v>0</v>
      </c>
      <c r="S958" s="108">
        <f t="shared" si="829"/>
        <v>0</v>
      </c>
      <c r="T958" s="28" t="s">
        <v>26</v>
      </c>
      <c r="V958" s="104" t="str">
        <f>$V$84</f>
        <v>-</v>
      </c>
      <c r="W958" s="108">
        <f t="shared" si="783"/>
        <v>-1</v>
      </c>
      <c r="X958" s="108">
        <f t="shared" si="784"/>
        <v>-1</v>
      </c>
      <c r="Y958" s="108">
        <f t="shared" si="785"/>
        <v>-1</v>
      </c>
      <c r="Z958" s="108">
        <f t="shared" si="786"/>
        <v>-1</v>
      </c>
      <c r="AA958" s="108">
        <f t="shared" si="787"/>
        <v>-1</v>
      </c>
      <c r="AB958" s="108">
        <f t="shared" si="788"/>
        <v>-1</v>
      </c>
      <c r="AC958" s="108">
        <f t="shared" si="789"/>
        <v>-1</v>
      </c>
      <c r="AD958" s="108">
        <f t="shared" si="790"/>
        <v>-1</v>
      </c>
      <c r="AE958" s="108">
        <f t="shared" si="791"/>
        <v>-1</v>
      </c>
      <c r="AF958" s="108">
        <f t="shared" si="792"/>
        <v>-1</v>
      </c>
      <c r="AG958" s="108">
        <f t="shared" si="793"/>
        <v>-1</v>
      </c>
      <c r="AH958" s="108">
        <f t="shared" si="794"/>
        <v>-1</v>
      </c>
      <c r="AI958" s="108">
        <f t="shared" si="795"/>
        <v>-1</v>
      </c>
      <c r="AJ958" s="108">
        <f t="shared" si="796"/>
        <v>-1</v>
      </c>
      <c r="AK958" s="108">
        <f t="shared" si="797"/>
        <v>-1</v>
      </c>
      <c r="AL958" s="108">
        <f t="shared" si="798"/>
        <v>-1</v>
      </c>
    </row>
    <row r="959" spans="3:38" x14ac:dyDescent="0.55000000000000004">
      <c r="C959" s="104" t="str">
        <f>$V$85</f>
        <v>-</v>
      </c>
      <c r="D959" s="108">
        <f t="shared" ref="D959:S959" si="830">D85</f>
        <v>0</v>
      </c>
      <c r="E959" s="108">
        <f t="shared" si="830"/>
        <v>0</v>
      </c>
      <c r="F959" s="108">
        <f t="shared" si="830"/>
        <v>0</v>
      </c>
      <c r="G959" s="108">
        <f t="shared" si="830"/>
        <v>0</v>
      </c>
      <c r="H959" s="108">
        <f t="shared" si="830"/>
        <v>0</v>
      </c>
      <c r="I959" s="108">
        <f t="shared" si="830"/>
        <v>0</v>
      </c>
      <c r="J959" s="108">
        <f t="shared" si="830"/>
        <v>0</v>
      </c>
      <c r="K959" s="108">
        <f t="shared" si="830"/>
        <v>0</v>
      </c>
      <c r="L959" s="108">
        <f t="shared" si="830"/>
        <v>0</v>
      </c>
      <c r="M959" s="108">
        <f t="shared" si="830"/>
        <v>0</v>
      </c>
      <c r="N959" s="108">
        <f t="shared" si="830"/>
        <v>0</v>
      </c>
      <c r="O959" s="108">
        <f t="shared" si="830"/>
        <v>0</v>
      </c>
      <c r="P959" s="108">
        <f t="shared" si="830"/>
        <v>0</v>
      </c>
      <c r="Q959" s="108">
        <f t="shared" si="830"/>
        <v>0</v>
      </c>
      <c r="R959" s="108">
        <f t="shared" si="830"/>
        <v>0</v>
      </c>
      <c r="S959" s="108">
        <f t="shared" si="830"/>
        <v>0</v>
      </c>
      <c r="T959" s="28" t="s">
        <v>26</v>
      </c>
      <c r="V959" s="104" t="str">
        <f>$V$85</f>
        <v>-</v>
      </c>
      <c r="W959" s="108">
        <f t="shared" si="783"/>
        <v>-1</v>
      </c>
      <c r="X959" s="108">
        <f t="shared" si="784"/>
        <v>-1</v>
      </c>
      <c r="Y959" s="108">
        <f t="shared" si="785"/>
        <v>-1</v>
      </c>
      <c r="Z959" s="108">
        <f t="shared" si="786"/>
        <v>-1</v>
      </c>
      <c r="AA959" s="108">
        <f t="shared" si="787"/>
        <v>-1</v>
      </c>
      <c r="AB959" s="108">
        <f t="shared" si="788"/>
        <v>-1</v>
      </c>
      <c r="AC959" s="108">
        <f t="shared" si="789"/>
        <v>-1</v>
      </c>
      <c r="AD959" s="108">
        <f t="shared" si="790"/>
        <v>-1</v>
      </c>
      <c r="AE959" s="108">
        <f t="shared" si="791"/>
        <v>-1</v>
      </c>
      <c r="AF959" s="108">
        <f t="shared" si="792"/>
        <v>-1</v>
      </c>
      <c r="AG959" s="108">
        <f t="shared" si="793"/>
        <v>-1</v>
      </c>
      <c r="AH959" s="108">
        <f t="shared" si="794"/>
        <v>-1</v>
      </c>
      <c r="AI959" s="108">
        <f t="shared" si="795"/>
        <v>-1</v>
      </c>
      <c r="AJ959" s="108">
        <f t="shared" si="796"/>
        <v>-1</v>
      </c>
      <c r="AK959" s="108">
        <f t="shared" si="797"/>
        <v>-1</v>
      </c>
      <c r="AL959" s="108">
        <f t="shared" si="798"/>
        <v>-1</v>
      </c>
    </row>
    <row r="960" spans="3:38" x14ac:dyDescent="0.55000000000000004">
      <c r="C960" s="104" t="str">
        <f>$V$86</f>
        <v>-</v>
      </c>
      <c r="D960" s="108">
        <f t="shared" ref="D960:S960" si="831">D86</f>
        <v>0</v>
      </c>
      <c r="E960" s="108">
        <f t="shared" si="831"/>
        <v>0</v>
      </c>
      <c r="F960" s="108">
        <f t="shared" si="831"/>
        <v>0</v>
      </c>
      <c r="G960" s="108">
        <f t="shared" si="831"/>
        <v>0</v>
      </c>
      <c r="H960" s="108">
        <f t="shared" si="831"/>
        <v>0</v>
      </c>
      <c r="I960" s="108">
        <f t="shared" si="831"/>
        <v>0</v>
      </c>
      <c r="J960" s="108">
        <f t="shared" si="831"/>
        <v>0</v>
      </c>
      <c r="K960" s="108">
        <f t="shared" si="831"/>
        <v>0</v>
      </c>
      <c r="L960" s="108">
        <f t="shared" si="831"/>
        <v>0</v>
      </c>
      <c r="M960" s="108">
        <f t="shared" si="831"/>
        <v>0</v>
      </c>
      <c r="N960" s="108">
        <f t="shared" si="831"/>
        <v>0</v>
      </c>
      <c r="O960" s="108">
        <f t="shared" si="831"/>
        <v>0</v>
      </c>
      <c r="P960" s="108">
        <f t="shared" si="831"/>
        <v>0</v>
      </c>
      <c r="Q960" s="108">
        <f t="shared" si="831"/>
        <v>0</v>
      </c>
      <c r="R960" s="108">
        <f t="shared" si="831"/>
        <v>0</v>
      </c>
      <c r="S960" s="108">
        <f t="shared" si="831"/>
        <v>0</v>
      </c>
      <c r="T960" s="28" t="s">
        <v>26</v>
      </c>
      <c r="V960" s="104" t="str">
        <f>$V$86</f>
        <v>-</v>
      </c>
      <c r="W960" s="108">
        <f t="shared" si="783"/>
        <v>-1</v>
      </c>
      <c r="X960" s="108">
        <f t="shared" si="784"/>
        <v>-1</v>
      </c>
      <c r="Y960" s="108">
        <f t="shared" si="785"/>
        <v>-1</v>
      </c>
      <c r="Z960" s="108">
        <f t="shared" si="786"/>
        <v>-1</v>
      </c>
      <c r="AA960" s="108">
        <f t="shared" si="787"/>
        <v>-1</v>
      </c>
      <c r="AB960" s="108">
        <f t="shared" si="788"/>
        <v>-1</v>
      </c>
      <c r="AC960" s="108">
        <f t="shared" si="789"/>
        <v>-1</v>
      </c>
      <c r="AD960" s="108">
        <f t="shared" si="790"/>
        <v>-1</v>
      </c>
      <c r="AE960" s="108">
        <f t="shared" si="791"/>
        <v>-1</v>
      </c>
      <c r="AF960" s="108">
        <f t="shared" si="792"/>
        <v>-1</v>
      </c>
      <c r="AG960" s="108">
        <f t="shared" si="793"/>
        <v>-1</v>
      </c>
      <c r="AH960" s="108">
        <f t="shared" si="794"/>
        <v>-1</v>
      </c>
      <c r="AI960" s="108">
        <f t="shared" si="795"/>
        <v>-1</v>
      </c>
      <c r="AJ960" s="108">
        <f t="shared" si="796"/>
        <v>-1</v>
      </c>
      <c r="AK960" s="108">
        <f t="shared" si="797"/>
        <v>-1</v>
      </c>
      <c r="AL960" s="108">
        <f t="shared" si="798"/>
        <v>-1</v>
      </c>
    </row>
    <row r="961" spans="3:38" x14ac:dyDescent="0.55000000000000004">
      <c r="C961" s="104" t="str">
        <f>$V$87</f>
        <v>-</v>
      </c>
      <c r="D961" s="108">
        <f t="shared" ref="D961:S961" si="832">D87</f>
        <v>0</v>
      </c>
      <c r="E961" s="108">
        <f t="shared" si="832"/>
        <v>0</v>
      </c>
      <c r="F961" s="108">
        <f t="shared" si="832"/>
        <v>0</v>
      </c>
      <c r="G961" s="108">
        <f t="shared" si="832"/>
        <v>0</v>
      </c>
      <c r="H961" s="108">
        <f t="shared" si="832"/>
        <v>0</v>
      </c>
      <c r="I961" s="108">
        <f t="shared" si="832"/>
        <v>0</v>
      </c>
      <c r="J961" s="108">
        <f t="shared" si="832"/>
        <v>0</v>
      </c>
      <c r="K961" s="108">
        <f t="shared" si="832"/>
        <v>0</v>
      </c>
      <c r="L961" s="108">
        <f t="shared" si="832"/>
        <v>0</v>
      </c>
      <c r="M961" s="108">
        <f t="shared" si="832"/>
        <v>0</v>
      </c>
      <c r="N961" s="108">
        <f t="shared" si="832"/>
        <v>0</v>
      </c>
      <c r="O961" s="108">
        <f t="shared" si="832"/>
        <v>0</v>
      </c>
      <c r="P961" s="108">
        <f t="shared" si="832"/>
        <v>0</v>
      </c>
      <c r="Q961" s="108">
        <f t="shared" si="832"/>
        <v>0</v>
      </c>
      <c r="R961" s="108">
        <f t="shared" si="832"/>
        <v>0</v>
      </c>
      <c r="S961" s="108">
        <f t="shared" si="832"/>
        <v>0</v>
      </c>
      <c r="T961" s="28" t="s">
        <v>26</v>
      </c>
      <c r="V961" s="104" t="str">
        <f>$V$87</f>
        <v>-</v>
      </c>
      <c r="W961" s="108">
        <f t="shared" si="783"/>
        <v>-1</v>
      </c>
      <c r="X961" s="108">
        <f t="shared" si="784"/>
        <v>-1</v>
      </c>
      <c r="Y961" s="108">
        <f t="shared" si="785"/>
        <v>-3</v>
      </c>
      <c r="Z961" s="108">
        <f t="shared" si="786"/>
        <v>-3</v>
      </c>
      <c r="AA961" s="108">
        <f t="shared" si="787"/>
        <v>-1</v>
      </c>
      <c r="AB961" s="108">
        <f t="shared" si="788"/>
        <v>-1</v>
      </c>
      <c r="AC961" s="108">
        <f t="shared" si="789"/>
        <v>-1</v>
      </c>
      <c r="AD961" s="108">
        <f t="shared" si="790"/>
        <v>-1</v>
      </c>
      <c r="AE961" s="108">
        <f t="shared" si="791"/>
        <v>-1</v>
      </c>
      <c r="AF961" s="108">
        <f t="shared" si="792"/>
        <v>-1</v>
      </c>
      <c r="AG961" s="108">
        <f t="shared" si="793"/>
        <v>-1</v>
      </c>
      <c r="AH961" s="108">
        <f t="shared" si="794"/>
        <v>-1</v>
      </c>
      <c r="AI961" s="108">
        <f t="shared" si="795"/>
        <v>-1</v>
      </c>
      <c r="AJ961" s="108">
        <f t="shared" si="796"/>
        <v>-1</v>
      </c>
      <c r="AK961" s="108">
        <f t="shared" si="797"/>
        <v>-1</v>
      </c>
      <c r="AL961" s="108">
        <f t="shared" si="798"/>
        <v>-1</v>
      </c>
    </row>
    <row r="962" spans="3:38" x14ac:dyDescent="0.55000000000000004">
      <c r="C962" s="104" t="str">
        <f>$V$88</f>
        <v>-</v>
      </c>
      <c r="D962" s="108">
        <f t="shared" ref="D962:S962" si="833">D88</f>
        <v>0</v>
      </c>
      <c r="E962" s="108">
        <f t="shared" si="833"/>
        <v>0</v>
      </c>
      <c r="F962" s="108">
        <f t="shared" si="833"/>
        <v>0</v>
      </c>
      <c r="G962" s="108">
        <f t="shared" si="833"/>
        <v>0</v>
      </c>
      <c r="H962" s="108">
        <f t="shared" si="833"/>
        <v>0</v>
      </c>
      <c r="I962" s="108">
        <f t="shared" si="833"/>
        <v>0</v>
      </c>
      <c r="J962" s="108">
        <f t="shared" si="833"/>
        <v>0</v>
      </c>
      <c r="K962" s="108">
        <f t="shared" si="833"/>
        <v>0</v>
      </c>
      <c r="L962" s="108">
        <f t="shared" si="833"/>
        <v>0</v>
      </c>
      <c r="M962" s="108">
        <f t="shared" si="833"/>
        <v>0</v>
      </c>
      <c r="N962" s="108">
        <f t="shared" si="833"/>
        <v>0</v>
      </c>
      <c r="O962" s="108">
        <f t="shared" si="833"/>
        <v>0</v>
      </c>
      <c r="P962" s="108">
        <f t="shared" si="833"/>
        <v>0</v>
      </c>
      <c r="Q962" s="108">
        <f t="shared" si="833"/>
        <v>0</v>
      </c>
      <c r="R962" s="108">
        <f t="shared" si="833"/>
        <v>0</v>
      </c>
      <c r="S962" s="108">
        <f t="shared" si="833"/>
        <v>0</v>
      </c>
      <c r="T962" s="28" t="s">
        <v>26</v>
      </c>
      <c r="V962" s="104" t="str">
        <f>$V$88</f>
        <v>-</v>
      </c>
      <c r="W962" s="108">
        <f t="shared" si="783"/>
        <v>-1</v>
      </c>
      <c r="X962" s="108">
        <f t="shared" si="784"/>
        <v>-1</v>
      </c>
      <c r="Y962" s="108">
        <f t="shared" si="785"/>
        <v>-1</v>
      </c>
      <c r="Z962" s="108">
        <f t="shared" si="786"/>
        <v>-1</v>
      </c>
      <c r="AA962" s="108">
        <f t="shared" si="787"/>
        <v>-1</v>
      </c>
      <c r="AB962" s="108">
        <f t="shared" si="788"/>
        <v>-1</v>
      </c>
      <c r="AC962" s="108">
        <f t="shared" si="789"/>
        <v>-1</v>
      </c>
      <c r="AD962" s="108">
        <f t="shared" si="790"/>
        <v>-1</v>
      </c>
      <c r="AE962" s="108">
        <f t="shared" si="791"/>
        <v>-1</v>
      </c>
      <c r="AF962" s="108">
        <f t="shared" si="792"/>
        <v>-1</v>
      </c>
      <c r="AG962" s="108">
        <f t="shared" si="793"/>
        <v>-1</v>
      </c>
      <c r="AH962" s="108">
        <f t="shared" si="794"/>
        <v>-1</v>
      </c>
      <c r="AI962" s="108">
        <f t="shared" si="795"/>
        <v>-1</v>
      </c>
      <c r="AJ962" s="108">
        <f t="shared" si="796"/>
        <v>-1</v>
      </c>
      <c r="AK962" s="108">
        <f t="shared" si="797"/>
        <v>-1</v>
      </c>
      <c r="AL962" s="108">
        <f t="shared" si="798"/>
        <v>-1</v>
      </c>
    </row>
    <row r="963" spans="3:38" x14ac:dyDescent="0.55000000000000004">
      <c r="C963" s="104" t="str">
        <f>$V$89</f>
        <v>-</v>
      </c>
      <c r="D963" s="108">
        <f t="shared" ref="D963:S963" si="834">D89</f>
        <v>0</v>
      </c>
      <c r="E963" s="108">
        <f t="shared" si="834"/>
        <v>0</v>
      </c>
      <c r="F963" s="108">
        <f t="shared" si="834"/>
        <v>0</v>
      </c>
      <c r="G963" s="108">
        <f t="shared" si="834"/>
        <v>0</v>
      </c>
      <c r="H963" s="108">
        <f t="shared" si="834"/>
        <v>0</v>
      </c>
      <c r="I963" s="108">
        <f t="shared" si="834"/>
        <v>0</v>
      </c>
      <c r="J963" s="108">
        <f t="shared" si="834"/>
        <v>0</v>
      </c>
      <c r="K963" s="108">
        <f t="shared" si="834"/>
        <v>0</v>
      </c>
      <c r="L963" s="108">
        <f t="shared" si="834"/>
        <v>0</v>
      </c>
      <c r="M963" s="108">
        <f t="shared" si="834"/>
        <v>0</v>
      </c>
      <c r="N963" s="108">
        <f t="shared" si="834"/>
        <v>0</v>
      </c>
      <c r="O963" s="108">
        <f t="shared" si="834"/>
        <v>0</v>
      </c>
      <c r="P963" s="108">
        <f t="shared" si="834"/>
        <v>0</v>
      </c>
      <c r="Q963" s="108">
        <f t="shared" si="834"/>
        <v>0</v>
      </c>
      <c r="R963" s="108">
        <f t="shared" si="834"/>
        <v>0</v>
      </c>
      <c r="S963" s="108">
        <f t="shared" si="834"/>
        <v>0</v>
      </c>
      <c r="T963" s="28" t="s">
        <v>26</v>
      </c>
      <c r="V963" s="104" t="str">
        <f>$V$89</f>
        <v>-</v>
      </c>
      <c r="W963" s="108">
        <f t="shared" si="783"/>
        <v>-1</v>
      </c>
      <c r="X963" s="108">
        <f t="shared" si="784"/>
        <v>-1</v>
      </c>
      <c r="Y963" s="108">
        <f t="shared" si="785"/>
        <v>-1</v>
      </c>
      <c r="Z963" s="108">
        <f t="shared" si="786"/>
        <v>-1</v>
      </c>
      <c r="AA963" s="108">
        <f t="shared" si="787"/>
        <v>-1</v>
      </c>
      <c r="AB963" s="108">
        <f t="shared" si="788"/>
        <v>-1</v>
      </c>
      <c r="AC963" s="108">
        <f t="shared" si="789"/>
        <v>-1</v>
      </c>
      <c r="AD963" s="108">
        <f t="shared" si="790"/>
        <v>-1</v>
      </c>
      <c r="AE963" s="108">
        <f t="shared" si="791"/>
        <v>-1</v>
      </c>
      <c r="AF963" s="108">
        <f t="shared" si="792"/>
        <v>-1</v>
      </c>
      <c r="AG963" s="108">
        <f t="shared" si="793"/>
        <v>-1</v>
      </c>
      <c r="AH963" s="108">
        <f t="shared" si="794"/>
        <v>-1</v>
      </c>
      <c r="AI963" s="108">
        <f t="shared" si="795"/>
        <v>-1</v>
      </c>
      <c r="AJ963" s="108">
        <f t="shared" si="796"/>
        <v>-1</v>
      </c>
      <c r="AK963" s="108">
        <f t="shared" si="797"/>
        <v>-1</v>
      </c>
      <c r="AL963" s="108">
        <f t="shared" si="798"/>
        <v>-1</v>
      </c>
    </row>
    <row r="964" spans="3:38" x14ac:dyDescent="0.55000000000000004">
      <c r="C964" s="104" t="str">
        <f>$V$90</f>
        <v>-</v>
      </c>
      <c r="D964" s="108">
        <f t="shared" ref="D964:S964" si="835">D90</f>
        <v>0</v>
      </c>
      <c r="E964" s="108">
        <f t="shared" si="835"/>
        <v>0</v>
      </c>
      <c r="F964" s="108">
        <f t="shared" si="835"/>
        <v>0</v>
      </c>
      <c r="G964" s="108">
        <f t="shared" si="835"/>
        <v>0</v>
      </c>
      <c r="H964" s="108">
        <f t="shared" si="835"/>
        <v>0</v>
      </c>
      <c r="I964" s="108">
        <f t="shared" si="835"/>
        <v>0</v>
      </c>
      <c r="J964" s="108">
        <f t="shared" si="835"/>
        <v>0</v>
      </c>
      <c r="K964" s="108">
        <f t="shared" si="835"/>
        <v>0</v>
      </c>
      <c r="L964" s="108">
        <f t="shared" si="835"/>
        <v>0</v>
      </c>
      <c r="M964" s="108">
        <f t="shared" si="835"/>
        <v>0</v>
      </c>
      <c r="N964" s="108">
        <f t="shared" si="835"/>
        <v>0</v>
      </c>
      <c r="O964" s="108">
        <f t="shared" si="835"/>
        <v>0</v>
      </c>
      <c r="P964" s="108">
        <f t="shared" si="835"/>
        <v>0</v>
      </c>
      <c r="Q964" s="108">
        <f t="shared" si="835"/>
        <v>0</v>
      </c>
      <c r="R964" s="108">
        <f t="shared" si="835"/>
        <v>0</v>
      </c>
      <c r="S964" s="108">
        <f t="shared" si="835"/>
        <v>0</v>
      </c>
      <c r="T964" s="28" t="s">
        <v>26</v>
      </c>
      <c r="V964" s="104" t="str">
        <f>$V$90</f>
        <v>-</v>
      </c>
      <c r="W964" s="108">
        <f t="shared" si="783"/>
        <v>-1</v>
      </c>
      <c r="X964" s="108">
        <f t="shared" si="784"/>
        <v>-1</v>
      </c>
      <c r="Y964" s="108">
        <f t="shared" si="785"/>
        <v>-1</v>
      </c>
      <c r="Z964" s="108">
        <f t="shared" si="786"/>
        <v>-1</v>
      </c>
      <c r="AA964" s="108">
        <f t="shared" si="787"/>
        <v>-1</v>
      </c>
      <c r="AB964" s="108">
        <f t="shared" si="788"/>
        <v>-1</v>
      </c>
      <c r="AC964" s="108">
        <f t="shared" si="789"/>
        <v>-1</v>
      </c>
      <c r="AD964" s="108">
        <f t="shared" si="790"/>
        <v>-1</v>
      </c>
      <c r="AE964" s="108">
        <f t="shared" si="791"/>
        <v>-1</v>
      </c>
      <c r="AF964" s="108">
        <f t="shared" si="792"/>
        <v>-1</v>
      </c>
      <c r="AG964" s="108">
        <f t="shared" si="793"/>
        <v>-1</v>
      </c>
      <c r="AH964" s="108">
        <f t="shared" si="794"/>
        <v>-1</v>
      </c>
      <c r="AI964" s="108">
        <f t="shared" si="795"/>
        <v>-1</v>
      </c>
      <c r="AJ964" s="108">
        <f t="shared" si="796"/>
        <v>-1</v>
      </c>
      <c r="AK964" s="108">
        <f t="shared" si="797"/>
        <v>-1</v>
      </c>
      <c r="AL964" s="108">
        <f t="shared" si="798"/>
        <v>-1</v>
      </c>
    </row>
    <row r="965" spans="3:38" x14ac:dyDescent="0.55000000000000004">
      <c r="C965" s="104" t="str">
        <f>$V$91</f>
        <v>-</v>
      </c>
      <c r="D965" s="108">
        <f t="shared" ref="D965:S965" si="836">D91</f>
        <v>0</v>
      </c>
      <c r="E965" s="108">
        <f t="shared" si="836"/>
        <v>0</v>
      </c>
      <c r="F965" s="108">
        <f t="shared" si="836"/>
        <v>0</v>
      </c>
      <c r="G965" s="108">
        <f t="shared" si="836"/>
        <v>0</v>
      </c>
      <c r="H965" s="108">
        <f t="shared" si="836"/>
        <v>0</v>
      </c>
      <c r="I965" s="108">
        <f t="shared" si="836"/>
        <v>0</v>
      </c>
      <c r="J965" s="108">
        <f t="shared" si="836"/>
        <v>0</v>
      </c>
      <c r="K965" s="108">
        <f t="shared" si="836"/>
        <v>0</v>
      </c>
      <c r="L965" s="108">
        <f t="shared" si="836"/>
        <v>0</v>
      </c>
      <c r="M965" s="108">
        <f t="shared" si="836"/>
        <v>0</v>
      </c>
      <c r="N965" s="108">
        <f t="shared" si="836"/>
        <v>0</v>
      </c>
      <c r="O965" s="108">
        <f t="shared" si="836"/>
        <v>0</v>
      </c>
      <c r="P965" s="108">
        <f t="shared" si="836"/>
        <v>0</v>
      </c>
      <c r="Q965" s="108">
        <f t="shared" si="836"/>
        <v>0</v>
      </c>
      <c r="R965" s="108">
        <f t="shared" si="836"/>
        <v>0</v>
      </c>
      <c r="S965" s="108">
        <f t="shared" si="836"/>
        <v>0</v>
      </c>
      <c r="T965" s="28" t="s">
        <v>26</v>
      </c>
      <c r="V965" s="104" t="str">
        <f>$V$91</f>
        <v>-</v>
      </c>
      <c r="W965" s="108">
        <f t="shared" si="783"/>
        <v>-1</v>
      </c>
      <c r="X965" s="108">
        <f t="shared" si="784"/>
        <v>-1</v>
      </c>
      <c r="Y965" s="108">
        <f t="shared" si="785"/>
        <v>-1</v>
      </c>
      <c r="Z965" s="108">
        <f t="shared" si="786"/>
        <v>-1</v>
      </c>
      <c r="AA965" s="108">
        <f t="shared" si="787"/>
        <v>-1</v>
      </c>
      <c r="AB965" s="108">
        <f t="shared" si="788"/>
        <v>-1</v>
      </c>
      <c r="AC965" s="108">
        <f t="shared" si="789"/>
        <v>-1</v>
      </c>
      <c r="AD965" s="108">
        <f t="shared" si="790"/>
        <v>-1</v>
      </c>
      <c r="AE965" s="108">
        <f t="shared" si="791"/>
        <v>-1</v>
      </c>
      <c r="AF965" s="108">
        <f t="shared" si="792"/>
        <v>-1</v>
      </c>
      <c r="AG965" s="108">
        <f t="shared" si="793"/>
        <v>-1</v>
      </c>
      <c r="AH965" s="108">
        <f t="shared" si="794"/>
        <v>-1</v>
      </c>
      <c r="AI965" s="108">
        <f t="shared" si="795"/>
        <v>-1</v>
      </c>
      <c r="AJ965" s="108">
        <f t="shared" si="796"/>
        <v>-1</v>
      </c>
      <c r="AK965" s="108">
        <f t="shared" si="797"/>
        <v>-1</v>
      </c>
      <c r="AL965" s="108">
        <f t="shared" si="798"/>
        <v>-1</v>
      </c>
    </row>
    <row r="966" spans="3:38" x14ac:dyDescent="0.55000000000000004">
      <c r="C966" s="104" t="str">
        <f>$V$92</f>
        <v>-</v>
      </c>
      <c r="D966" s="108">
        <f t="shared" ref="D966:S966" si="837">D92</f>
        <v>0</v>
      </c>
      <c r="E966" s="108">
        <f t="shared" si="837"/>
        <v>0</v>
      </c>
      <c r="F966" s="108">
        <f t="shared" si="837"/>
        <v>0</v>
      </c>
      <c r="G966" s="108">
        <f t="shared" si="837"/>
        <v>0</v>
      </c>
      <c r="H966" s="108">
        <f t="shared" si="837"/>
        <v>0</v>
      </c>
      <c r="I966" s="108">
        <f t="shared" si="837"/>
        <v>0</v>
      </c>
      <c r="J966" s="108">
        <f t="shared" si="837"/>
        <v>0</v>
      </c>
      <c r="K966" s="108">
        <f t="shared" si="837"/>
        <v>0</v>
      </c>
      <c r="L966" s="108">
        <f t="shared" si="837"/>
        <v>0</v>
      </c>
      <c r="M966" s="108">
        <f t="shared" si="837"/>
        <v>0</v>
      </c>
      <c r="N966" s="108">
        <f t="shared" si="837"/>
        <v>0</v>
      </c>
      <c r="O966" s="108">
        <f t="shared" si="837"/>
        <v>0</v>
      </c>
      <c r="P966" s="108">
        <f t="shared" si="837"/>
        <v>0</v>
      </c>
      <c r="Q966" s="108">
        <f t="shared" si="837"/>
        <v>0</v>
      </c>
      <c r="R966" s="108">
        <f t="shared" si="837"/>
        <v>0</v>
      </c>
      <c r="S966" s="108">
        <f t="shared" si="837"/>
        <v>0</v>
      </c>
      <c r="T966" s="28" t="s">
        <v>26</v>
      </c>
      <c r="V966" s="104" t="str">
        <f>$V$92</f>
        <v>-</v>
      </c>
      <c r="W966" s="108">
        <f t="shared" si="783"/>
        <v>-1</v>
      </c>
      <c r="X966" s="108">
        <f t="shared" si="784"/>
        <v>-1</v>
      </c>
      <c r="Y966" s="108">
        <f t="shared" si="785"/>
        <v>-1</v>
      </c>
      <c r="Z966" s="108">
        <f t="shared" si="786"/>
        <v>-1</v>
      </c>
      <c r="AA966" s="108">
        <f t="shared" si="787"/>
        <v>-1</v>
      </c>
      <c r="AB966" s="108">
        <f t="shared" si="788"/>
        <v>-1</v>
      </c>
      <c r="AC966" s="108">
        <f t="shared" si="789"/>
        <v>-1</v>
      </c>
      <c r="AD966" s="108">
        <f t="shared" si="790"/>
        <v>-1</v>
      </c>
      <c r="AE966" s="108">
        <f t="shared" si="791"/>
        <v>-1</v>
      </c>
      <c r="AF966" s="108">
        <f t="shared" si="792"/>
        <v>-1</v>
      </c>
      <c r="AG966" s="108">
        <f t="shared" si="793"/>
        <v>-1</v>
      </c>
      <c r="AH966" s="108">
        <f t="shared" si="794"/>
        <v>-1</v>
      </c>
      <c r="AI966" s="108">
        <f t="shared" si="795"/>
        <v>-1</v>
      </c>
      <c r="AJ966" s="108">
        <f t="shared" si="796"/>
        <v>-1</v>
      </c>
      <c r="AK966" s="108">
        <f t="shared" si="797"/>
        <v>-1</v>
      </c>
      <c r="AL966" s="108">
        <f t="shared" si="798"/>
        <v>-1</v>
      </c>
    </row>
    <row r="970" spans="3:38" x14ac:dyDescent="0.55000000000000004">
      <c r="C970" s="104" t="str">
        <f>$BK$560</f>
        <v>Dummy 2</v>
      </c>
      <c r="D970" s="104" t="str">
        <f>$W$33</f>
        <v>16h</v>
      </c>
      <c r="E970" s="104" t="str">
        <f>$X$33</f>
        <v>17h</v>
      </c>
      <c r="F970" s="104" t="str">
        <f>$Y$33</f>
        <v>18h</v>
      </c>
      <c r="G970" s="104" t="str">
        <f>$Z$33</f>
        <v>19h</v>
      </c>
      <c r="H970" s="104" t="str">
        <f>$AA$33</f>
        <v>20h</v>
      </c>
      <c r="I970" s="104" t="str">
        <f>$AB$33</f>
        <v>21h</v>
      </c>
      <c r="J970" s="104" t="str">
        <f>$AC$33</f>
        <v>22h</v>
      </c>
      <c r="K970" s="104" t="str">
        <f>$AD$33</f>
        <v>23h</v>
      </c>
      <c r="L970" s="104" t="str">
        <f>$AE$33</f>
        <v>00h</v>
      </c>
      <c r="M970" s="104" t="str">
        <f>$AF$33</f>
        <v>01h</v>
      </c>
      <c r="N970" s="104" t="str">
        <f>$AG$33</f>
        <v>02h</v>
      </c>
      <c r="O970" s="104" t="str">
        <f>$AH$33</f>
        <v>03h</v>
      </c>
      <c r="P970" s="104" t="str">
        <f>$AI$33</f>
        <v>04h</v>
      </c>
      <c r="Q970" s="104" t="str">
        <f>$AJ$33</f>
        <v>05h</v>
      </c>
      <c r="R970" s="104" t="str">
        <f>$AK$33</f>
        <v>06h</v>
      </c>
      <c r="S970" s="104" t="str">
        <f>$AL$33</f>
        <v>07h</v>
      </c>
      <c r="V970" s="104" t="str">
        <f>$BK$560</f>
        <v>Dummy 2</v>
      </c>
      <c r="W970" s="104" t="str">
        <f>$W$33</f>
        <v>16h</v>
      </c>
      <c r="X970" s="104" t="str">
        <f>$X$33</f>
        <v>17h</v>
      </c>
      <c r="Y970" s="104" t="str">
        <f>$Y$33</f>
        <v>18h</v>
      </c>
      <c r="Z970" s="104" t="str">
        <f>$Z$33</f>
        <v>19h</v>
      </c>
      <c r="AA970" s="104" t="str">
        <f>$AA$33</f>
        <v>20h</v>
      </c>
      <c r="AB970" s="104" t="str">
        <f>$AB$33</f>
        <v>21h</v>
      </c>
      <c r="AC970" s="104" t="str">
        <f>$AC$33</f>
        <v>22h</v>
      </c>
      <c r="AD970" s="104" t="str">
        <f>$AD$33</f>
        <v>23h</v>
      </c>
      <c r="AE970" s="104" t="str">
        <f>$AE$33</f>
        <v>00h</v>
      </c>
      <c r="AF970" s="104" t="str">
        <f>$AF$33</f>
        <v>01h</v>
      </c>
      <c r="AG970" s="104" t="str">
        <f>$AG$33</f>
        <v>02h</v>
      </c>
      <c r="AH970" s="104" t="str">
        <f>$AH$33</f>
        <v>03h</v>
      </c>
      <c r="AI970" s="104" t="str">
        <f>$AI$33</f>
        <v>04h</v>
      </c>
      <c r="AJ970" s="104" t="str">
        <f>$AJ$33</f>
        <v>05h</v>
      </c>
      <c r="AK970" s="104" t="str">
        <f>$AK$33</f>
        <v>06h</v>
      </c>
      <c r="AL970" s="104" t="str">
        <f>$AL$33</f>
        <v>07h</v>
      </c>
    </row>
    <row r="971" spans="3:38" x14ac:dyDescent="0.55000000000000004">
      <c r="C971" s="104" t="str">
        <f>$V$53</f>
        <v>Jennifer</v>
      </c>
      <c r="D971" s="108">
        <f t="shared" ref="D971:S971" si="838">D53</f>
        <v>0</v>
      </c>
      <c r="E971" s="108">
        <f t="shared" si="838"/>
        <v>0</v>
      </c>
      <c r="F971" s="108">
        <f t="shared" si="838"/>
        <v>0</v>
      </c>
      <c r="G971" s="108">
        <f t="shared" si="838"/>
        <v>0</v>
      </c>
      <c r="H971" s="108">
        <f t="shared" si="838"/>
        <v>0</v>
      </c>
      <c r="I971" s="108">
        <f t="shared" si="838"/>
        <v>0</v>
      </c>
      <c r="J971" s="108">
        <f t="shared" si="838"/>
        <v>0</v>
      </c>
      <c r="K971" s="108">
        <f t="shared" si="838"/>
        <v>0</v>
      </c>
      <c r="L971" s="108">
        <f t="shared" si="838"/>
        <v>0</v>
      </c>
      <c r="M971" s="108">
        <f t="shared" si="838"/>
        <v>0</v>
      </c>
      <c r="N971" s="108">
        <f t="shared" si="838"/>
        <v>0</v>
      </c>
      <c r="O971" s="108">
        <f t="shared" si="838"/>
        <v>0</v>
      </c>
      <c r="P971" s="108">
        <f t="shared" si="838"/>
        <v>0</v>
      </c>
      <c r="Q971" s="108">
        <f t="shared" si="838"/>
        <v>0</v>
      </c>
      <c r="R971" s="108">
        <f t="shared" si="838"/>
        <v>0</v>
      </c>
      <c r="S971" s="108">
        <f t="shared" si="838"/>
        <v>0</v>
      </c>
      <c r="T971" s="28" t="s">
        <v>26</v>
      </c>
      <c r="V971" s="104" t="str">
        <f>$V$53</f>
        <v>Jennifer</v>
      </c>
      <c r="W971" s="108">
        <f t="shared" ref="W971:W1010" si="839">AR514+AS514-1</f>
        <v>-1</v>
      </c>
      <c r="X971" s="108">
        <f t="shared" ref="X971:X1010" si="840">AS514+AT514-1</f>
        <v>-1</v>
      </c>
      <c r="Y971" s="108">
        <f t="shared" ref="Y971:Y1010" si="841">AT514+AU514-1</f>
        <v>-1</v>
      </c>
      <c r="Z971" s="108">
        <f t="shared" ref="Z971:Z1010" si="842">AU514+AV514-1</f>
        <v>-1</v>
      </c>
      <c r="AA971" s="108">
        <f t="shared" ref="AA971:AA1010" si="843">AV514+AW514-1</f>
        <v>-1</v>
      </c>
      <c r="AB971" s="108">
        <f t="shared" ref="AB971:AB1010" si="844">AW514+AX514-1</f>
        <v>-1</v>
      </c>
      <c r="AC971" s="108">
        <f t="shared" ref="AC971:AC1010" si="845">AX514+AY514-1</f>
        <v>-1</v>
      </c>
      <c r="AD971" s="108">
        <f t="shared" ref="AD971:AD1010" si="846">AY514+AZ514-1</f>
        <v>-1</v>
      </c>
      <c r="AE971" s="108">
        <f t="shared" ref="AE971:AE1010" si="847">AZ514+BA514-1</f>
        <v>-1</v>
      </c>
      <c r="AF971" s="108">
        <f t="shared" ref="AF971:AF1010" si="848">BA514+BB514-1</f>
        <v>-1</v>
      </c>
      <c r="AG971" s="108">
        <f t="shared" ref="AG971:AG1010" si="849">BB514+BC514-1</f>
        <v>-1</v>
      </c>
      <c r="AH971" s="108">
        <f t="shared" ref="AH971:AH1010" si="850">BC514+BD514-1</f>
        <v>-1</v>
      </c>
      <c r="AI971" s="108">
        <f t="shared" ref="AI971:AI1010" si="851">BD514+BE514-1</f>
        <v>-1</v>
      </c>
      <c r="AJ971" s="108">
        <f t="shared" ref="AJ971:AJ1010" si="852">BE514+BF514-1</f>
        <v>-1</v>
      </c>
      <c r="AK971" s="108">
        <f t="shared" ref="AK971:AK1010" si="853">BF514+BG514-1</f>
        <v>-1</v>
      </c>
      <c r="AL971" s="108">
        <f t="shared" ref="AL971:AL1010" si="854">BG514+BH514-1</f>
        <v>-1</v>
      </c>
    </row>
    <row r="972" spans="3:38" x14ac:dyDescent="0.55000000000000004">
      <c r="C972" s="104" t="str">
        <f>$V$54</f>
        <v>Galileo</v>
      </c>
      <c r="D972" s="108">
        <f t="shared" ref="D972:S972" si="855">D54</f>
        <v>0</v>
      </c>
      <c r="E972" s="108">
        <f t="shared" si="855"/>
        <v>0</v>
      </c>
      <c r="F972" s="108">
        <f t="shared" si="855"/>
        <v>0</v>
      </c>
      <c r="G972" s="108">
        <f t="shared" si="855"/>
        <v>0</v>
      </c>
      <c r="H972" s="108">
        <f t="shared" si="855"/>
        <v>0</v>
      </c>
      <c r="I972" s="108">
        <f t="shared" si="855"/>
        <v>0</v>
      </c>
      <c r="J972" s="108">
        <f t="shared" si="855"/>
        <v>0</v>
      </c>
      <c r="K972" s="108">
        <f t="shared" si="855"/>
        <v>0</v>
      </c>
      <c r="L972" s="108">
        <f t="shared" si="855"/>
        <v>0</v>
      </c>
      <c r="M972" s="108">
        <f t="shared" si="855"/>
        <v>0</v>
      </c>
      <c r="N972" s="108">
        <f t="shared" si="855"/>
        <v>0</v>
      </c>
      <c r="O972" s="108">
        <f t="shared" si="855"/>
        <v>0</v>
      </c>
      <c r="P972" s="108">
        <f t="shared" si="855"/>
        <v>0</v>
      </c>
      <c r="Q972" s="108">
        <f t="shared" si="855"/>
        <v>0</v>
      </c>
      <c r="R972" s="108">
        <f t="shared" si="855"/>
        <v>0</v>
      </c>
      <c r="S972" s="108">
        <f t="shared" si="855"/>
        <v>0</v>
      </c>
      <c r="T972" s="28" t="s">
        <v>26</v>
      </c>
      <c r="V972" s="104" t="str">
        <f>$V$54</f>
        <v>Galileo</v>
      </c>
      <c r="W972" s="108">
        <f t="shared" si="839"/>
        <v>-1</v>
      </c>
      <c r="X972" s="108">
        <f t="shared" si="840"/>
        <v>-1</v>
      </c>
      <c r="Y972" s="108">
        <f t="shared" si="841"/>
        <v>-1</v>
      </c>
      <c r="Z972" s="108">
        <f t="shared" si="842"/>
        <v>-1</v>
      </c>
      <c r="AA972" s="108">
        <f t="shared" si="843"/>
        <v>-1</v>
      </c>
      <c r="AB972" s="108">
        <f t="shared" si="844"/>
        <v>-1</v>
      </c>
      <c r="AC972" s="108">
        <f t="shared" si="845"/>
        <v>-1</v>
      </c>
      <c r="AD972" s="108">
        <f t="shared" si="846"/>
        <v>-1</v>
      </c>
      <c r="AE972" s="108">
        <f t="shared" si="847"/>
        <v>-1</v>
      </c>
      <c r="AF972" s="108">
        <f t="shared" si="848"/>
        <v>-1</v>
      </c>
      <c r="AG972" s="108">
        <f t="shared" si="849"/>
        <v>-1</v>
      </c>
      <c r="AH972" s="108">
        <f t="shared" si="850"/>
        <v>-1</v>
      </c>
      <c r="AI972" s="108">
        <f t="shared" si="851"/>
        <v>-1</v>
      </c>
      <c r="AJ972" s="108">
        <f t="shared" si="852"/>
        <v>-1</v>
      </c>
      <c r="AK972" s="108">
        <f t="shared" si="853"/>
        <v>-1</v>
      </c>
      <c r="AL972" s="108">
        <f t="shared" si="854"/>
        <v>-1</v>
      </c>
    </row>
    <row r="973" spans="3:38" x14ac:dyDescent="0.55000000000000004">
      <c r="C973" s="104" t="str">
        <f>$V$55</f>
        <v>Óscar</v>
      </c>
      <c r="D973" s="108">
        <f t="shared" ref="D973:S973" si="856">D55</f>
        <v>0</v>
      </c>
      <c r="E973" s="108">
        <f t="shared" si="856"/>
        <v>0</v>
      </c>
      <c r="F973" s="108">
        <f t="shared" si="856"/>
        <v>0</v>
      </c>
      <c r="G973" s="108">
        <f t="shared" si="856"/>
        <v>0</v>
      </c>
      <c r="H973" s="108">
        <f t="shared" si="856"/>
        <v>0</v>
      </c>
      <c r="I973" s="108">
        <f t="shared" si="856"/>
        <v>0</v>
      </c>
      <c r="J973" s="108">
        <f t="shared" si="856"/>
        <v>0</v>
      </c>
      <c r="K973" s="108">
        <f t="shared" si="856"/>
        <v>0</v>
      </c>
      <c r="L973" s="108">
        <f t="shared" si="856"/>
        <v>0</v>
      </c>
      <c r="M973" s="108">
        <f t="shared" si="856"/>
        <v>0</v>
      </c>
      <c r="N973" s="108">
        <f t="shared" si="856"/>
        <v>0</v>
      </c>
      <c r="O973" s="108">
        <f t="shared" si="856"/>
        <v>0</v>
      </c>
      <c r="P973" s="108">
        <f t="shared" si="856"/>
        <v>0</v>
      </c>
      <c r="Q973" s="108">
        <f t="shared" si="856"/>
        <v>0</v>
      </c>
      <c r="R973" s="108">
        <f t="shared" si="856"/>
        <v>0</v>
      </c>
      <c r="S973" s="108">
        <f t="shared" si="856"/>
        <v>0</v>
      </c>
      <c r="T973" s="28" t="s">
        <v>26</v>
      </c>
      <c r="V973" s="104" t="str">
        <f>$V$55</f>
        <v>Óscar</v>
      </c>
      <c r="W973" s="108">
        <f t="shared" si="839"/>
        <v>-1</v>
      </c>
      <c r="X973" s="108">
        <f t="shared" si="840"/>
        <v>-1</v>
      </c>
      <c r="Y973" s="108">
        <f t="shared" si="841"/>
        <v>-1</v>
      </c>
      <c r="Z973" s="108">
        <f t="shared" si="842"/>
        <v>-1</v>
      </c>
      <c r="AA973" s="108">
        <f t="shared" si="843"/>
        <v>-1</v>
      </c>
      <c r="AB973" s="108">
        <f t="shared" si="844"/>
        <v>-1</v>
      </c>
      <c r="AC973" s="108">
        <f t="shared" si="845"/>
        <v>-1</v>
      </c>
      <c r="AD973" s="108">
        <f t="shared" si="846"/>
        <v>0</v>
      </c>
      <c r="AE973" s="108">
        <f t="shared" si="847"/>
        <v>0</v>
      </c>
      <c r="AF973" s="108">
        <f t="shared" si="848"/>
        <v>-1</v>
      </c>
      <c r="AG973" s="108">
        <f t="shared" si="849"/>
        <v>-1</v>
      </c>
      <c r="AH973" s="108">
        <f t="shared" si="850"/>
        <v>-1</v>
      </c>
      <c r="AI973" s="108">
        <f t="shared" si="851"/>
        <v>-1</v>
      </c>
      <c r="AJ973" s="108">
        <f t="shared" si="852"/>
        <v>-1</v>
      </c>
      <c r="AK973" s="108">
        <f t="shared" si="853"/>
        <v>-1</v>
      </c>
      <c r="AL973" s="108">
        <f t="shared" si="854"/>
        <v>-1</v>
      </c>
    </row>
    <row r="974" spans="3:38" x14ac:dyDescent="0.55000000000000004">
      <c r="C974" s="104" t="str">
        <f>$V$56</f>
        <v>Sebastián</v>
      </c>
      <c r="D974" s="108">
        <f t="shared" ref="D974:S974" si="857">D56</f>
        <v>0</v>
      </c>
      <c r="E974" s="108">
        <f t="shared" si="857"/>
        <v>0</v>
      </c>
      <c r="F974" s="108">
        <f t="shared" si="857"/>
        <v>0</v>
      </c>
      <c r="G974" s="108">
        <f t="shared" si="857"/>
        <v>0</v>
      </c>
      <c r="H974" s="108">
        <f t="shared" si="857"/>
        <v>0</v>
      </c>
      <c r="I974" s="108">
        <f t="shared" si="857"/>
        <v>0</v>
      </c>
      <c r="J974" s="108">
        <f t="shared" si="857"/>
        <v>0</v>
      </c>
      <c r="K974" s="108">
        <f t="shared" si="857"/>
        <v>0</v>
      </c>
      <c r="L974" s="108">
        <f t="shared" si="857"/>
        <v>0</v>
      </c>
      <c r="M974" s="108">
        <f t="shared" si="857"/>
        <v>0</v>
      </c>
      <c r="N974" s="108">
        <f t="shared" si="857"/>
        <v>0</v>
      </c>
      <c r="O974" s="108">
        <f t="shared" si="857"/>
        <v>0</v>
      </c>
      <c r="P974" s="108">
        <f t="shared" si="857"/>
        <v>0</v>
      </c>
      <c r="Q974" s="108">
        <f t="shared" si="857"/>
        <v>0</v>
      </c>
      <c r="R974" s="108">
        <f t="shared" si="857"/>
        <v>0</v>
      </c>
      <c r="S974" s="108">
        <f t="shared" si="857"/>
        <v>0</v>
      </c>
      <c r="T974" s="28" t="s">
        <v>26</v>
      </c>
      <c r="V974" s="104" t="str">
        <f>$V$56</f>
        <v>Sebastián</v>
      </c>
      <c r="W974" s="108">
        <f t="shared" si="839"/>
        <v>-1</v>
      </c>
      <c r="X974" s="108">
        <f t="shared" si="840"/>
        <v>-1</v>
      </c>
      <c r="Y974" s="108">
        <f t="shared" si="841"/>
        <v>-1</v>
      </c>
      <c r="Z974" s="108">
        <f t="shared" si="842"/>
        <v>-1</v>
      </c>
      <c r="AA974" s="108">
        <f t="shared" si="843"/>
        <v>-1</v>
      </c>
      <c r="AB974" s="108">
        <f t="shared" si="844"/>
        <v>-1</v>
      </c>
      <c r="AC974" s="108">
        <f t="shared" si="845"/>
        <v>-1</v>
      </c>
      <c r="AD974" s="108">
        <f t="shared" si="846"/>
        <v>-1</v>
      </c>
      <c r="AE974" s="108">
        <f t="shared" si="847"/>
        <v>-1</v>
      </c>
      <c r="AF974" s="108">
        <f t="shared" si="848"/>
        <v>-1</v>
      </c>
      <c r="AG974" s="108">
        <f t="shared" si="849"/>
        <v>-1</v>
      </c>
      <c r="AH974" s="108">
        <f t="shared" si="850"/>
        <v>-1</v>
      </c>
      <c r="AI974" s="108">
        <f t="shared" si="851"/>
        <v>-1</v>
      </c>
      <c r="AJ974" s="108">
        <f t="shared" si="852"/>
        <v>-1</v>
      </c>
      <c r="AK974" s="108">
        <f t="shared" si="853"/>
        <v>-1</v>
      </c>
      <c r="AL974" s="108">
        <f t="shared" si="854"/>
        <v>-1</v>
      </c>
    </row>
    <row r="975" spans="3:38" x14ac:dyDescent="0.55000000000000004">
      <c r="C975" s="104" t="str">
        <f>$V$57</f>
        <v>Marcos</v>
      </c>
      <c r="D975" s="108">
        <f t="shared" ref="D975:S975" si="858">D57</f>
        <v>0</v>
      </c>
      <c r="E975" s="108">
        <f t="shared" si="858"/>
        <v>0</v>
      </c>
      <c r="F975" s="108">
        <f t="shared" si="858"/>
        <v>0</v>
      </c>
      <c r="G975" s="108">
        <f t="shared" si="858"/>
        <v>0</v>
      </c>
      <c r="H975" s="108">
        <f t="shared" si="858"/>
        <v>0</v>
      </c>
      <c r="I975" s="108">
        <f t="shared" si="858"/>
        <v>0</v>
      </c>
      <c r="J975" s="108">
        <f t="shared" si="858"/>
        <v>0</v>
      </c>
      <c r="K975" s="108">
        <f t="shared" si="858"/>
        <v>0</v>
      </c>
      <c r="L975" s="108">
        <f t="shared" si="858"/>
        <v>0</v>
      </c>
      <c r="M975" s="108">
        <f t="shared" si="858"/>
        <v>0</v>
      </c>
      <c r="N975" s="108">
        <f t="shared" si="858"/>
        <v>0</v>
      </c>
      <c r="O975" s="108">
        <f t="shared" si="858"/>
        <v>0</v>
      </c>
      <c r="P975" s="108">
        <f t="shared" si="858"/>
        <v>0</v>
      </c>
      <c r="Q975" s="108">
        <f t="shared" si="858"/>
        <v>0</v>
      </c>
      <c r="R975" s="108">
        <f t="shared" si="858"/>
        <v>0</v>
      </c>
      <c r="S975" s="108">
        <f t="shared" si="858"/>
        <v>0</v>
      </c>
      <c r="T975" s="28" t="s">
        <v>26</v>
      </c>
      <c r="V975" s="104" t="str">
        <f>$V$57</f>
        <v>Marcos</v>
      </c>
      <c r="W975" s="108">
        <f t="shared" si="839"/>
        <v>-1</v>
      </c>
      <c r="X975" s="108">
        <f t="shared" si="840"/>
        <v>-1</v>
      </c>
      <c r="Y975" s="108">
        <f t="shared" si="841"/>
        <v>-1</v>
      </c>
      <c r="Z975" s="108">
        <f t="shared" si="842"/>
        <v>-1</v>
      </c>
      <c r="AA975" s="108">
        <f t="shared" si="843"/>
        <v>-1</v>
      </c>
      <c r="AB975" s="108">
        <f t="shared" si="844"/>
        <v>-1</v>
      </c>
      <c r="AC975" s="108">
        <f t="shared" si="845"/>
        <v>-1</v>
      </c>
      <c r="AD975" s="108">
        <f t="shared" si="846"/>
        <v>-1</v>
      </c>
      <c r="AE975" s="108">
        <f t="shared" si="847"/>
        <v>-1</v>
      </c>
      <c r="AF975" s="108">
        <f t="shared" si="848"/>
        <v>-1</v>
      </c>
      <c r="AG975" s="108">
        <f t="shared" si="849"/>
        <v>-1</v>
      </c>
      <c r="AH975" s="108">
        <f t="shared" si="850"/>
        <v>-1</v>
      </c>
      <c r="AI975" s="108">
        <f t="shared" si="851"/>
        <v>-1</v>
      </c>
      <c r="AJ975" s="108">
        <f t="shared" si="852"/>
        <v>-1</v>
      </c>
      <c r="AK975" s="108">
        <f t="shared" si="853"/>
        <v>-1</v>
      </c>
      <c r="AL975" s="108">
        <f t="shared" si="854"/>
        <v>-1</v>
      </c>
    </row>
    <row r="976" spans="3:38" x14ac:dyDescent="0.55000000000000004">
      <c r="C976" s="104" t="str">
        <f>$V$58</f>
        <v>Weixin</v>
      </c>
      <c r="D976" s="108">
        <f t="shared" ref="D976:S976" si="859">D58</f>
        <v>0</v>
      </c>
      <c r="E976" s="108">
        <f t="shared" si="859"/>
        <v>0</v>
      </c>
      <c r="F976" s="108">
        <f t="shared" si="859"/>
        <v>0</v>
      </c>
      <c r="G976" s="108">
        <f t="shared" si="859"/>
        <v>0</v>
      </c>
      <c r="H976" s="108">
        <f t="shared" si="859"/>
        <v>0</v>
      </c>
      <c r="I976" s="108">
        <f t="shared" si="859"/>
        <v>0</v>
      </c>
      <c r="J976" s="108">
        <f t="shared" si="859"/>
        <v>0</v>
      </c>
      <c r="K976" s="108">
        <f t="shared" si="859"/>
        <v>0</v>
      </c>
      <c r="L976" s="108">
        <f t="shared" si="859"/>
        <v>0</v>
      </c>
      <c r="M976" s="108">
        <f t="shared" si="859"/>
        <v>0</v>
      </c>
      <c r="N976" s="108">
        <f t="shared" si="859"/>
        <v>0</v>
      </c>
      <c r="O976" s="108">
        <f t="shared" si="859"/>
        <v>0</v>
      </c>
      <c r="P976" s="108">
        <f t="shared" si="859"/>
        <v>0</v>
      </c>
      <c r="Q976" s="108">
        <f t="shared" si="859"/>
        <v>0</v>
      </c>
      <c r="R976" s="108">
        <f t="shared" si="859"/>
        <v>0</v>
      </c>
      <c r="S976" s="108">
        <f t="shared" si="859"/>
        <v>0</v>
      </c>
      <c r="T976" s="28" t="s">
        <v>26</v>
      </c>
      <c r="V976" s="104" t="str">
        <f>$V$58</f>
        <v>Weixin</v>
      </c>
      <c r="W976" s="108">
        <f t="shared" si="839"/>
        <v>-1</v>
      </c>
      <c r="X976" s="108">
        <f t="shared" si="840"/>
        <v>-1</v>
      </c>
      <c r="Y976" s="108">
        <f t="shared" si="841"/>
        <v>-1</v>
      </c>
      <c r="Z976" s="108">
        <f t="shared" si="842"/>
        <v>-1</v>
      </c>
      <c r="AA976" s="108">
        <f t="shared" si="843"/>
        <v>-1</v>
      </c>
      <c r="AB976" s="108">
        <f t="shared" si="844"/>
        <v>-1</v>
      </c>
      <c r="AC976" s="108">
        <f t="shared" si="845"/>
        <v>-1</v>
      </c>
      <c r="AD976" s="108">
        <f t="shared" si="846"/>
        <v>-1</v>
      </c>
      <c r="AE976" s="108">
        <f t="shared" si="847"/>
        <v>-1</v>
      </c>
      <c r="AF976" s="108">
        <f t="shared" si="848"/>
        <v>-1</v>
      </c>
      <c r="AG976" s="108">
        <f t="shared" si="849"/>
        <v>-1</v>
      </c>
      <c r="AH976" s="108">
        <f t="shared" si="850"/>
        <v>-1</v>
      </c>
      <c r="AI976" s="108">
        <f t="shared" si="851"/>
        <v>-1</v>
      </c>
      <c r="AJ976" s="108">
        <f t="shared" si="852"/>
        <v>-1</v>
      </c>
      <c r="AK976" s="108">
        <f t="shared" si="853"/>
        <v>-1</v>
      </c>
      <c r="AL976" s="108">
        <f t="shared" si="854"/>
        <v>-1</v>
      </c>
    </row>
    <row r="977" spans="3:38" x14ac:dyDescent="0.55000000000000004">
      <c r="C977" s="104" t="str">
        <f>$V$59</f>
        <v>Benjamin</v>
      </c>
      <c r="D977" s="108">
        <f t="shared" ref="D977:S977" si="860">D59</f>
        <v>0</v>
      </c>
      <c r="E977" s="108">
        <f t="shared" si="860"/>
        <v>0</v>
      </c>
      <c r="F977" s="108">
        <f t="shared" si="860"/>
        <v>0</v>
      </c>
      <c r="G977" s="108">
        <f t="shared" si="860"/>
        <v>0</v>
      </c>
      <c r="H977" s="108">
        <f t="shared" si="860"/>
        <v>0</v>
      </c>
      <c r="I977" s="108">
        <f t="shared" si="860"/>
        <v>0</v>
      </c>
      <c r="J977" s="108">
        <f t="shared" si="860"/>
        <v>0</v>
      </c>
      <c r="K977" s="108">
        <f t="shared" si="860"/>
        <v>0</v>
      </c>
      <c r="L977" s="108">
        <f t="shared" si="860"/>
        <v>0</v>
      </c>
      <c r="M977" s="108">
        <f t="shared" si="860"/>
        <v>0</v>
      </c>
      <c r="N977" s="108">
        <f t="shared" si="860"/>
        <v>0</v>
      </c>
      <c r="O977" s="108">
        <f t="shared" si="860"/>
        <v>0</v>
      </c>
      <c r="P977" s="108">
        <f t="shared" si="860"/>
        <v>0</v>
      </c>
      <c r="Q977" s="108">
        <f t="shared" si="860"/>
        <v>0</v>
      </c>
      <c r="R977" s="108">
        <f t="shared" si="860"/>
        <v>0</v>
      </c>
      <c r="S977" s="108">
        <f t="shared" si="860"/>
        <v>0</v>
      </c>
      <c r="T977" s="28" t="s">
        <v>26</v>
      </c>
      <c r="V977" s="104" t="str">
        <f>$V$59</f>
        <v>Benjamin</v>
      </c>
      <c r="W977" s="108">
        <f t="shared" si="839"/>
        <v>-1</v>
      </c>
      <c r="X977" s="108">
        <f t="shared" si="840"/>
        <v>-1</v>
      </c>
      <c r="Y977" s="108">
        <f t="shared" si="841"/>
        <v>-1</v>
      </c>
      <c r="Z977" s="108">
        <f t="shared" si="842"/>
        <v>-1</v>
      </c>
      <c r="AA977" s="108">
        <f t="shared" si="843"/>
        <v>-1</v>
      </c>
      <c r="AB977" s="108">
        <f t="shared" si="844"/>
        <v>-1</v>
      </c>
      <c r="AC977" s="108">
        <f t="shared" si="845"/>
        <v>-1</v>
      </c>
      <c r="AD977" s="108">
        <f t="shared" si="846"/>
        <v>0</v>
      </c>
      <c r="AE977" s="108">
        <f t="shared" si="847"/>
        <v>0</v>
      </c>
      <c r="AF977" s="108">
        <f t="shared" si="848"/>
        <v>-1</v>
      </c>
      <c r="AG977" s="108">
        <f t="shared" si="849"/>
        <v>-1</v>
      </c>
      <c r="AH977" s="108">
        <f t="shared" si="850"/>
        <v>-1</v>
      </c>
      <c r="AI977" s="108">
        <f t="shared" si="851"/>
        <v>-1</v>
      </c>
      <c r="AJ977" s="108">
        <f t="shared" si="852"/>
        <v>-1</v>
      </c>
      <c r="AK977" s="108">
        <f t="shared" si="853"/>
        <v>-1</v>
      </c>
      <c r="AL977" s="108">
        <f t="shared" si="854"/>
        <v>-1</v>
      </c>
    </row>
    <row r="978" spans="3:38" x14ac:dyDescent="0.55000000000000004">
      <c r="C978" s="104" t="str">
        <f>$V$60</f>
        <v>Joelle</v>
      </c>
      <c r="D978" s="108">
        <f t="shared" ref="D978:S978" si="861">D60</f>
        <v>0</v>
      </c>
      <c r="E978" s="108">
        <f t="shared" si="861"/>
        <v>0</v>
      </c>
      <c r="F978" s="108">
        <f t="shared" si="861"/>
        <v>0</v>
      </c>
      <c r="G978" s="108">
        <f t="shared" si="861"/>
        <v>0</v>
      </c>
      <c r="H978" s="108">
        <f t="shared" si="861"/>
        <v>0</v>
      </c>
      <c r="I978" s="108">
        <f t="shared" si="861"/>
        <v>0</v>
      </c>
      <c r="J978" s="108">
        <f t="shared" si="861"/>
        <v>0</v>
      </c>
      <c r="K978" s="108">
        <f t="shared" si="861"/>
        <v>0</v>
      </c>
      <c r="L978" s="108">
        <f t="shared" si="861"/>
        <v>0</v>
      </c>
      <c r="M978" s="108">
        <f t="shared" si="861"/>
        <v>0</v>
      </c>
      <c r="N978" s="108">
        <f t="shared" si="861"/>
        <v>0</v>
      </c>
      <c r="O978" s="108">
        <f t="shared" si="861"/>
        <v>0</v>
      </c>
      <c r="P978" s="108">
        <f t="shared" si="861"/>
        <v>0</v>
      </c>
      <c r="Q978" s="108">
        <f t="shared" si="861"/>
        <v>0</v>
      </c>
      <c r="R978" s="108">
        <f t="shared" si="861"/>
        <v>0</v>
      </c>
      <c r="S978" s="108">
        <f t="shared" si="861"/>
        <v>0</v>
      </c>
      <c r="T978" s="28" t="s">
        <v>26</v>
      </c>
      <c r="V978" s="104" t="str">
        <f>$V$60</f>
        <v>Joelle</v>
      </c>
      <c r="W978" s="108">
        <f t="shared" si="839"/>
        <v>-1</v>
      </c>
      <c r="X978" s="108">
        <f t="shared" si="840"/>
        <v>-1</v>
      </c>
      <c r="Y978" s="108">
        <f t="shared" si="841"/>
        <v>-1</v>
      </c>
      <c r="Z978" s="108">
        <f t="shared" si="842"/>
        <v>-1</v>
      </c>
      <c r="AA978" s="108">
        <f t="shared" si="843"/>
        <v>-1</v>
      </c>
      <c r="AB978" s="108">
        <f t="shared" si="844"/>
        <v>-1</v>
      </c>
      <c r="AC978" s="108">
        <f t="shared" si="845"/>
        <v>-1</v>
      </c>
      <c r="AD978" s="108">
        <f t="shared" si="846"/>
        <v>-1</v>
      </c>
      <c r="AE978" s="108">
        <f t="shared" si="847"/>
        <v>-1</v>
      </c>
      <c r="AF978" s="108">
        <f t="shared" si="848"/>
        <v>-1</v>
      </c>
      <c r="AG978" s="108">
        <f t="shared" si="849"/>
        <v>-1</v>
      </c>
      <c r="AH978" s="108">
        <f t="shared" si="850"/>
        <v>-1</v>
      </c>
      <c r="AI978" s="108">
        <f t="shared" si="851"/>
        <v>-1</v>
      </c>
      <c r="AJ978" s="108">
        <f t="shared" si="852"/>
        <v>-1</v>
      </c>
      <c r="AK978" s="108">
        <f t="shared" si="853"/>
        <v>-1</v>
      </c>
      <c r="AL978" s="108">
        <f t="shared" si="854"/>
        <v>-1</v>
      </c>
    </row>
    <row r="979" spans="3:38" x14ac:dyDescent="0.55000000000000004">
      <c r="C979" s="104" t="str">
        <f>$V$61</f>
        <v>Alexia</v>
      </c>
      <c r="D979" s="108">
        <f t="shared" ref="D979:S979" si="862">D61</f>
        <v>0</v>
      </c>
      <c r="E979" s="108">
        <f t="shared" si="862"/>
        <v>0</v>
      </c>
      <c r="F979" s="108">
        <f t="shared" si="862"/>
        <v>0</v>
      </c>
      <c r="G979" s="108">
        <f t="shared" si="862"/>
        <v>0</v>
      </c>
      <c r="H979" s="108">
        <f t="shared" si="862"/>
        <v>0</v>
      </c>
      <c r="I979" s="108">
        <f t="shared" si="862"/>
        <v>0</v>
      </c>
      <c r="J979" s="108">
        <f t="shared" si="862"/>
        <v>0</v>
      </c>
      <c r="K979" s="108">
        <f t="shared" si="862"/>
        <v>0</v>
      </c>
      <c r="L979" s="108">
        <f t="shared" si="862"/>
        <v>0</v>
      </c>
      <c r="M979" s="108">
        <f t="shared" si="862"/>
        <v>0</v>
      </c>
      <c r="N979" s="108">
        <f t="shared" si="862"/>
        <v>0</v>
      </c>
      <c r="O979" s="108">
        <f t="shared" si="862"/>
        <v>0</v>
      </c>
      <c r="P979" s="108">
        <f t="shared" si="862"/>
        <v>0</v>
      </c>
      <c r="Q979" s="108">
        <f t="shared" si="862"/>
        <v>0</v>
      </c>
      <c r="R979" s="108">
        <f t="shared" si="862"/>
        <v>0</v>
      </c>
      <c r="S979" s="108">
        <f t="shared" si="862"/>
        <v>0</v>
      </c>
      <c r="T979" s="28" t="s">
        <v>26</v>
      </c>
      <c r="V979" s="104" t="str">
        <f>$V$61</f>
        <v>Alexia</v>
      </c>
      <c r="W979" s="108">
        <f t="shared" si="839"/>
        <v>-1</v>
      </c>
      <c r="X979" s="108">
        <f t="shared" si="840"/>
        <v>-1</v>
      </c>
      <c r="Y979" s="108">
        <f t="shared" si="841"/>
        <v>-1</v>
      </c>
      <c r="Z979" s="108">
        <f t="shared" si="842"/>
        <v>-1</v>
      </c>
      <c r="AA979" s="108">
        <f t="shared" si="843"/>
        <v>-1</v>
      </c>
      <c r="AB979" s="108">
        <f t="shared" si="844"/>
        <v>-1</v>
      </c>
      <c r="AC979" s="108">
        <f t="shared" si="845"/>
        <v>-1</v>
      </c>
      <c r="AD979" s="108">
        <f t="shared" si="846"/>
        <v>-1</v>
      </c>
      <c r="AE979" s="108">
        <f t="shared" si="847"/>
        <v>-1</v>
      </c>
      <c r="AF979" s="108">
        <f t="shared" si="848"/>
        <v>-1</v>
      </c>
      <c r="AG979" s="108">
        <f t="shared" si="849"/>
        <v>-1</v>
      </c>
      <c r="AH979" s="108">
        <f t="shared" si="850"/>
        <v>-1</v>
      </c>
      <c r="AI979" s="108">
        <f t="shared" si="851"/>
        <v>-1</v>
      </c>
      <c r="AJ979" s="108">
        <f t="shared" si="852"/>
        <v>-1</v>
      </c>
      <c r="AK979" s="108">
        <f t="shared" si="853"/>
        <v>-1</v>
      </c>
      <c r="AL979" s="108">
        <f t="shared" si="854"/>
        <v>-1</v>
      </c>
    </row>
    <row r="980" spans="3:38" x14ac:dyDescent="0.55000000000000004">
      <c r="C980" s="104" t="str">
        <f>$V$62</f>
        <v>Joao</v>
      </c>
      <c r="D980" s="108">
        <f t="shared" ref="D980:S980" si="863">D62</f>
        <v>0</v>
      </c>
      <c r="E980" s="108">
        <f t="shared" si="863"/>
        <v>0</v>
      </c>
      <c r="F980" s="108">
        <f t="shared" si="863"/>
        <v>0</v>
      </c>
      <c r="G980" s="108">
        <f t="shared" si="863"/>
        <v>0</v>
      </c>
      <c r="H980" s="108">
        <f t="shared" si="863"/>
        <v>0</v>
      </c>
      <c r="I980" s="108">
        <f t="shared" si="863"/>
        <v>0</v>
      </c>
      <c r="J980" s="108">
        <f t="shared" si="863"/>
        <v>0</v>
      </c>
      <c r="K980" s="108">
        <f t="shared" si="863"/>
        <v>0</v>
      </c>
      <c r="L980" s="108">
        <f t="shared" si="863"/>
        <v>0</v>
      </c>
      <c r="M980" s="108">
        <f t="shared" si="863"/>
        <v>0</v>
      </c>
      <c r="N980" s="108">
        <f t="shared" si="863"/>
        <v>0</v>
      </c>
      <c r="O980" s="108">
        <f t="shared" si="863"/>
        <v>0</v>
      </c>
      <c r="P980" s="108">
        <f t="shared" si="863"/>
        <v>0</v>
      </c>
      <c r="Q980" s="108">
        <f t="shared" si="863"/>
        <v>0</v>
      </c>
      <c r="R980" s="108">
        <f t="shared" si="863"/>
        <v>0</v>
      </c>
      <c r="S980" s="108">
        <f t="shared" si="863"/>
        <v>0</v>
      </c>
      <c r="T980" s="28" t="s">
        <v>26</v>
      </c>
      <c r="V980" s="104" t="str">
        <f>$V$62</f>
        <v>Joao</v>
      </c>
      <c r="W980" s="108">
        <f t="shared" si="839"/>
        <v>-1</v>
      </c>
      <c r="X980" s="108">
        <f t="shared" si="840"/>
        <v>-1</v>
      </c>
      <c r="Y980" s="108">
        <f t="shared" si="841"/>
        <v>-1</v>
      </c>
      <c r="Z980" s="108">
        <f t="shared" si="842"/>
        <v>-1</v>
      </c>
      <c r="AA980" s="108">
        <f t="shared" si="843"/>
        <v>-1</v>
      </c>
      <c r="AB980" s="108">
        <f t="shared" si="844"/>
        <v>-1</v>
      </c>
      <c r="AC980" s="108">
        <f t="shared" si="845"/>
        <v>-1</v>
      </c>
      <c r="AD980" s="108">
        <f t="shared" si="846"/>
        <v>-1</v>
      </c>
      <c r="AE980" s="108">
        <f t="shared" si="847"/>
        <v>-1</v>
      </c>
      <c r="AF980" s="108">
        <f t="shared" si="848"/>
        <v>-1</v>
      </c>
      <c r="AG980" s="108">
        <f t="shared" si="849"/>
        <v>-1</v>
      </c>
      <c r="AH980" s="108">
        <f t="shared" si="850"/>
        <v>-1</v>
      </c>
      <c r="AI980" s="108">
        <f t="shared" si="851"/>
        <v>-1</v>
      </c>
      <c r="AJ980" s="108">
        <f t="shared" si="852"/>
        <v>-1</v>
      </c>
      <c r="AK980" s="108">
        <f t="shared" si="853"/>
        <v>-1</v>
      </c>
      <c r="AL980" s="108">
        <f t="shared" si="854"/>
        <v>-1</v>
      </c>
    </row>
    <row r="981" spans="3:38" x14ac:dyDescent="0.55000000000000004">
      <c r="C981" s="104" t="str">
        <f>$V$63</f>
        <v>Maxime</v>
      </c>
      <c r="D981" s="108">
        <f t="shared" ref="D981:S981" si="864">D63</f>
        <v>0</v>
      </c>
      <c r="E981" s="108">
        <f t="shared" si="864"/>
        <v>0</v>
      </c>
      <c r="F981" s="108">
        <f t="shared" si="864"/>
        <v>0</v>
      </c>
      <c r="G981" s="108">
        <f t="shared" si="864"/>
        <v>0</v>
      </c>
      <c r="H981" s="108">
        <f t="shared" si="864"/>
        <v>0</v>
      </c>
      <c r="I981" s="108">
        <f t="shared" si="864"/>
        <v>0</v>
      </c>
      <c r="J981" s="108">
        <f t="shared" si="864"/>
        <v>0</v>
      </c>
      <c r="K981" s="108">
        <f t="shared" si="864"/>
        <v>0</v>
      </c>
      <c r="L981" s="108">
        <f t="shared" si="864"/>
        <v>0</v>
      </c>
      <c r="M981" s="108">
        <f t="shared" si="864"/>
        <v>0</v>
      </c>
      <c r="N981" s="108">
        <f t="shared" si="864"/>
        <v>0</v>
      </c>
      <c r="O981" s="108">
        <f t="shared" si="864"/>
        <v>0</v>
      </c>
      <c r="P981" s="108">
        <f t="shared" si="864"/>
        <v>0</v>
      </c>
      <c r="Q981" s="108">
        <f t="shared" si="864"/>
        <v>0</v>
      </c>
      <c r="R981" s="108">
        <f t="shared" si="864"/>
        <v>0</v>
      </c>
      <c r="S981" s="108">
        <f t="shared" si="864"/>
        <v>0</v>
      </c>
      <c r="T981" s="28" t="s">
        <v>26</v>
      </c>
      <c r="V981" s="104" t="str">
        <f>$V$63</f>
        <v>Maxime</v>
      </c>
      <c r="W981" s="108">
        <f t="shared" si="839"/>
        <v>-1</v>
      </c>
      <c r="X981" s="108">
        <f t="shared" si="840"/>
        <v>-1</v>
      </c>
      <c r="Y981" s="108">
        <f t="shared" si="841"/>
        <v>-1</v>
      </c>
      <c r="Z981" s="108">
        <f t="shared" si="842"/>
        <v>-1</v>
      </c>
      <c r="AA981" s="108">
        <f t="shared" si="843"/>
        <v>-1</v>
      </c>
      <c r="AB981" s="108">
        <f t="shared" si="844"/>
        <v>-1</v>
      </c>
      <c r="AC981" s="108">
        <f t="shared" si="845"/>
        <v>-1</v>
      </c>
      <c r="AD981" s="108">
        <f t="shared" si="846"/>
        <v>-1</v>
      </c>
      <c r="AE981" s="108">
        <f t="shared" si="847"/>
        <v>-1</v>
      </c>
      <c r="AF981" s="108">
        <f t="shared" si="848"/>
        <v>-1</v>
      </c>
      <c r="AG981" s="108">
        <f t="shared" si="849"/>
        <v>-1</v>
      </c>
      <c r="AH981" s="108">
        <f t="shared" si="850"/>
        <v>-1</v>
      </c>
      <c r="AI981" s="108">
        <f t="shared" si="851"/>
        <v>-1</v>
      </c>
      <c r="AJ981" s="108">
        <f t="shared" si="852"/>
        <v>-1</v>
      </c>
      <c r="AK981" s="108">
        <f t="shared" si="853"/>
        <v>-1</v>
      </c>
      <c r="AL981" s="108">
        <f t="shared" si="854"/>
        <v>-1</v>
      </c>
    </row>
    <row r="982" spans="3:38" x14ac:dyDescent="0.55000000000000004">
      <c r="C982" s="104" t="str">
        <f>$V$64</f>
        <v>Alex</v>
      </c>
      <c r="D982" s="108">
        <f t="shared" ref="D982:S982" si="865">D64</f>
        <v>0</v>
      </c>
      <c r="E982" s="108">
        <f t="shared" si="865"/>
        <v>0</v>
      </c>
      <c r="F982" s="108">
        <f t="shared" si="865"/>
        <v>0</v>
      </c>
      <c r="G982" s="108">
        <f t="shared" si="865"/>
        <v>0</v>
      </c>
      <c r="H982" s="108">
        <f t="shared" si="865"/>
        <v>0</v>
      </c>
      <c r="I982" s="108">
        <f t="shared" si="865"/>
        <v>0</v>
      </c>
      <c r="J982" s="108">
        <f t="shared" si="865"/>
        <v>0</v>
      </c>
      <c r="K982" s="108">
        <f t="shared" si="865"/>
        <v>0</v>
      </c>
      <c r="L982" s="108">
        <f t="shared" si="865"/>
        <v>0</v>
      </c>
      <c r="M982" s="108">
        <f t="shared" si="865"/>
        <v>0</v>
      </c>
      <c r="N982" s="108">
        <f t="shared" si="865"/>
        <v>0</v>
      </c>
      <c r="O982" s="108">
        <f t="shared" si="865"/>
        <v>0</v>
      </c>
      <c r="P982" s="108">
        <f t="shared" si="865"/>
        <v>0</v>
      </c>
      <c r="Q982" s="108">
        <f t="shared" si="865"/>
        <v>0</v>
      </c>
      <c r="R982" s="108">
        <f t="shared" si="865"/>
        <v>0</v>
      </c>
      <c r="S982" s="108">
        <f t="shared" si="865"/>
        <v>0</v>
      </c>
      <c r="T982" s="28" t="s">
        <v>26</v>
      </c>
      <c r="V982" s="104" t="str">
        <f>$V$64</f>
        <v>Alex</v>
      </c>
      <c r="W982" s="108">
        <f t="shared" si="839"/>
        <v>-1</v>
      </c>
      <c r="X982" s="108">
        <f t="shared" si="840"/>
        <v>-1</v>
      </c>
      <c r="Y982" s="108">
        <f t="shared" si="841"/>
        <v>-1</v>
      </c>
      <c r="Z982" s="108">
        <f t="shared" si="842"/>
        <v>-1</v>
      </c>
      <c r="AA982" s="108">
        <f t="shared" si="843"/>
        <v>-1</v>
      </c>
      <c r="AB982" s="108">
        <f t="shared" si="844"/>
        <v>-1</v>
      </c>
      <c r="AC982" s="108">
        <f t="shared" si="845"/>
        <v>-1</v>
      </c>
      <c r="AD982" s="108">
        <f t="shared" si="846"/>
        <v>-1</v>
      </c>
      <c r="AE982" s="108">
        <f t="shared" si="847"/>
        <v>-1</v>
      </c>
      <c r="AF982" s="108">
        <f t="shared" si="848"/>
        <v>-1</v>
      </c>
      <c r="AG982" s="108">
        <f t="shared" si="849"/>
        <v>-1</v>
      </c>
      <c r="AH982" s="108">
        <f t="shared" si="850"/>
        <v>-1</v>
      </c>
      <c r="AI982" s="108">
        <f t="shared" si="851"/>
        <v>-1</v>
      </c>
      <c r="AJ982" s="108">
        <f t="shared" si="852"/>
        <v>-1</v>
      </c>
      <c r="AK982" s="108">
        <f t="shared" si="853"/>
        <v>-1</v>
      </c>
      <c r="AL982" s="108">
        <f t="shared" si="854"/>
        <v>-1</v>
      </c>
    </row>
    <row r="983" spans="3:38" x14ac:dyDescent="0.55000000000000004">
      <c r="C983" s="104" t="str">
        <f>$V$65</f>
        <v>Alyssa</v>
      </c>
      <c r="D983" s="108">
        <f t="shared" ref="D983:S983" si="866">D65</f>
        <v>0</v>
      </c>
      <c r="E983" s="108">
        <f t="shared" si="866"/>
        <v>0</v>
      </c>
      <c r="F983" s="108">
        <f t="shared" si="866"/>
        <v>0</v>
      </c>
      <c r="G983" s="108">
        <f t="shared" si="866"/>
        <v>0</v>
      </c>
      <c r="H983" s="108">
        <f t="shared" si="866"/>
        <v>0</v>
      </c>
      <c r="I983" s="108">
        <f t="shared" si="866"/>
        <v>0</v>
      </c>
      <c r="J983" s="108">
        <f t="shared" si="866"/>
        <v>0</v>
      </c>
      <c r="K983" s="108">
        <f t="shared" si="866"/>
        <v>0</v>
      </c>
      <c r="L983" s="108">
        <f t="shared" si="866"/>
        <v>0</v>
      </c>
      <c r="M983" s="108">
        <f t="shared" si="866"/>
        <v>0</v>
      </c>
      <c r="N983" s="108">
        <f t="shared" si="866"/>
        <v>0</v>
      </c>
      <c r="O983" s="108">
        <f t="shared" si="866"/>
        <v>0</v>
      </c>
      <c r="P983" s="108">
        <f t="shared" si="866"/>
        <v>0</v>
      </c>
      <c r="Q983" s="108">
        <f t="shared" si="866"/>
        <v>0</v>
      </c>
      <c r="R983" s="108">
        <f t="shared" si="866"/>
        <v>0</v>
      </c>
      <c r="S983" s="108">
        <f t="shared" si="866"/>
        <v>0</v>
      </c>
      <c r="T983" s="28" t="s">
        <v>26</v>
      </c>
      <c r="V983" s="104" t="str">
        <f>$V$65</f>
        <v>Alyssa</v>
      </c>
      <c r="W983" s="108">
        <f t="shared" si="839"/>
        <v>-1</v>
      </c>
      <c r="X983" s="108">
        <f t="shared" si="840"/>
        <v>-1</v>
      </c>
      <c r="Y983" s="108">
        <f t="shared" si="841"/>
        <v>-1</v>
      </c>
      <c r="Z983" s="108">
        <f t="shared" si="842"/>
        <v>-1</v>
      </c>
      <c r="AA983" s="108">
        <f t="shared" si="843"/>
        <v>-1</v>
      </c>
      <c r="AB983" s="108">
        <f t="shared" si="844"/>
        <v>-1</v>
      </c>
      <c r="AC983" s="108">
        <f t="shared" si="845"/>
        <v>-1</v>
      </c>
      <c r="AD983" s="108">
        <f t="shared" si="846"/>
        <v>-1</v>
      </c>
      <c r="AE983" s="108">
        <f t="shared" si="847"/>
        <v>-1</v>
      </c>
      <c r="AF983" s="108">
        <f t="shared" si="848"/>
        <v>-1</v>
      </c>
      <c r="AG983" s="108">
        <f t="shared" si="849"/>
        <v>-1</v>
      </c>
      <c r="AH983" s="108">
        <f t="shared" si="850"/>
        <v>-1</v>
      </c>
      <c r="AI983" s="108">
        <f t="shared" si="851"/>
        <v>-1</v>
      </c>
      <c r="AJ983" s="108">
        <f t="shared" si="852"/>
        <v>-1</v>
      </c>
      <c r="AK983" s="108">
        <f t="shared" si="853"/>
        <v>-1</v>
      </c>
      <c r="AL983" s="108">
        <f t="shared" si="854"/>
        <v>-1</v>
      </c>
    </row>
    <row r="984" spans="3:38" x14ac:dyDescent="0.55000000000000004">
      <c r="C984" s="104" t="str">
        <f>$V$66</f>
        <v>Amanda</v>
      </c>
      <c r="D984" s="108">
        <f t="shared" ref="D984:S984" si="867">D66</f>
        <v>0</v>
      </c>
      <c r="E984" s="108">
        <f t="shared" si="867"/>
        <v>0</v>
      </c>
      <c r="F984" s="108">
        <f t="shared" si="867"/>
        <v>0</v>
      </c>
      <c r="G984" s="108">
        <f t="shared" si="867"/>
        <v>0</v>
      </c>
      <c r="H984" s="108">
        <f t="shared" si="867"/>
        <v>0</v>
      </c>
      <c r="I984" s="108">
        <f t="shared" si="867"/>
        <v>0</v>
      </c>
      <c r="J984" s="108">
        <f t="shared" si="867"/>
        <v>0</v>
      </c>
      <c r="K984" s="108">
        <f t="shared" si="867"/>
        <v>0</v>
      </c>
      <c r="L984" s="108">
        <f t="shared" si="867"/>
        <v>0</v>
      </c>
      <c r="M984" s="108">
        <f t="shared" si="867"/>
        <v>0</v>
      </c>
      <c r="N984" s="108">
        <f t="shared" si="867"/>
        <v>0</v>
      </c>
      <c r="O984" s="108">
        <f t="shared" si="867"/>
        <v>0</v>
      </c>
      <c r="P984" s="108">
        <f t="shared" si="867"/>
        <v>0</v>
      </c>
      <c r="Q984" s="108">
        <f t="shared" si="867"/>
        <v>0</v>
      </c>
      <c r="R984" s="108">
        <f t="shared" si="867"/>
        <v>0</v>
      </c>
      <c r="S984" s="108">
        <f t="shared" si="867"/>
        <v>0</v>
      </c>
      <c r="T984" s="28" t="s">
        <v>26</v>
      </c>
      <c r="V984" s="104" t="str">
        <f>$V$66</f>
        <v>Amanda</v>
      </c>
      <c r="W984" s="108">
        <f t="shared" si="839"/>
        <v>-1</v>
      </c>
      <c r="X984" s="108">
        <f t="shared" si="840"/>
        <v>-1</v>
      </c>
      <c r="Y984" s="108">
        <f t="shared" si="841"/>
        <v>-1</v>
      </c>
      <c r="Z984" s="108">
        <f t="shared" si="842"/>
        <v>-1</v>
      </c>
      <c r="AA984" s="108">
        <f t="shared" si="843"/>
        <v>-1</v>
      </c>
      <c r="AB984" s="108">
        <f t="shared" si="844"/>
        <v>-1</v>
      </c>
      <c r="AC984" s="108">
        <f t="shared" si="845"/>
        <v>-1</v>
      </c>
      <c r="AD984" s="108">
        <f t="shared" si="846"/>
        <v>-1</v>
      </c>
      <c r="AE984" s="108">
        <f t="shared" si="847"/>
        <v>-1</v>
      </c>
      <c r="AF984" s="108">
        <f t="shared" si="848"/>
        <v>-1</v>
      </c>
      <c r="AG984" s="108">
        <f t="shared" si="849"/>
        <v>-1</v>
      </c>
      <c r="AH984" s="108">
        <f t="shared" si="850"/>
        <v>-1</v>
      </c>
      <c r="AI984" s="108">
        <f t="shared" si="851"/>
        <v>-1</v>
      </c>
      <c r="AJ984" s="108">
        <f t="shared" si="852"/>
        <v>-1</v>
      </c>
      <c r="AK984" s="108">
        <f t="shared" si="853"/>
        <v>-1</v>
      </c>
      <c r="AL984" s="108">
        <f t="shared" si="854"/>
        <v>-1</v>
      </c>
    </row>
    <row r="985" spans="3:38" x14ac:dyDescent="0.55000000000000004">
      <c r="C985" s="104" t="str">
        <f>$V$67</f>
        <v>Antoine</v>
      </c>
      <c r="D985" s="108">
        <f t="shared" ref="D985:S985" si="868">D67</f>
        <v>0</v>
      </c>
      <c r="E985" s="108">
        <f t="shared" si="868"/>
        <v>0</v>
      </c>
      <c r="F985" s="108">
        <f t="shared" si="868"/>
        <v>0</v>
      </c>
      <c r="G985" s="108">
        <f t="shared" si="868"/>
        <v>0</v>
      </c>
      <c r="H985" s="108">
        <f t="shared" si="868"/>
        <v>0</v>
      </c>
      <c r="I985" s="108">
        <f t="shared" si="868"/>
        <v>0</v>
      </c>
      <c r="J985" s="108">
        <f t="shared" si="868"/>
        <v>0</v>
      </c>
      <c r="K985" s="108">
        <f t="shared" si="868"/>
        <v>0</v>
      </c>
      <c r="L985" s="108">
        <f t="shared" si="868"/>
        <v>0</v>
      </c>
      <c r="M985" s="108">
        <f t="shared" si="868"/>
        <v>0</v>
      </c>
      <c r="N985" s="108">
        <f t="shared" si="868"/>
        <v>0</v>
      </c>
      <c r="O985" s="108">
        <f t="shared" si="868"/>
        <v>0</v>
      </c>
      <c r="P985" s="108">
        <f t="shared" si="868"/>
        <v>0</v>
      </c>
      <c r="Q985" s="108">
        <f t="shared" si="868"/>
        <v>0</v>
      </c>
      <c r="R985" s="108">
        <f t="shared" si="868"/>
        <v>0</v>
      </c>
      <c r="S985" s="108">
        <f t="shared" si="868"/>
        <v>0</v>
      </c>
      <c r="T985" s="28" t="s">
        <v>26</v>
      </c>
      <c r="V985" s="104" t="str">
        <f>$V$67</f>
        <v>Antoine</v>
      </c>
      <c r="W985" s="108">
        <f t="shared" si="839"/>
        <v>-1</v>
      </c>
      <c r="X985" s="108">
        <f t="shared" si="840"/>
        <v>-1</v>
      </c>
      <c r="Y985" s="108">
        <f t="shared" si="841"/>
        <v>-1</v>
      </c>
      <c r="Z985" s="108">
        <f t="shared" si="842"/>
        <v>-1</v>
      </c>
      <c r="AA985" s="108">
        <f t="shared" si="843"/>
        <v>-1</v>
      </c>
      <c r="AB985" s="108">
        <f t="shared" si="844"/>
        <v>-1</v>
      </c>
      <c r="AC985" s="108">
        <f t="shared" si="845"/>
        <v>-1</v>
      </c>
      <c r="AD985" s="108">
        <f t="shared" si="846"/>
        <v>-1</v>
      </c>
      <c r="AE985" s="108">
        <f t="shared" si="847"/>
        <v>-1</v>
      </c>
      <c r="AF985" s="108">
        <f t="shared" si="848"/>
        <v>-1</v>
      </c>
      <c r="AG985" s="108">
        <f t="shared" si="849"/>
        <v>-1</v>
      </c>
      <c r="AH985" s="108">
        <f t="shared" si="850"/>
        <v>-1</v>
      </c>
      <c r="AI985" s="108">
        <f t="shared" si="851"/>
        <v>-1</v>
      </c>
      <c r="AJ985" s="108">
        <f t="shared" si="852"/>
        <v>-1</v>
      </c>
      <c r="AK985" s="108">
        <f t="shared" si="853"/>
        <v>-1</v>
      </c>
      <c r="AL985" s="108">
        <f t="shared" si="854"/>
        <v>-1</v>
      </c>
    </row>
    <row r="986" spans="3:38" x14ac:dyDescent="0.55000000000000004">
      <c r="C986" s="104" t="str">
        <f>$V$68</f>
        <v>Beatriz</v>
      </c>
      <c r="D986" s="108">
        <f t="shared" ref="D986:S986" si="869">D68</f>
        <v>0</v>
      </c>
      <c r="E986" s="108">
        <f t="shared" si="869"/>
        <v>0</v>
      </c>
      <c r="F986" s="108">
        <f t="shared" si="869"/>
        <v>0</v>
      </c>
      <c r="G986" s="108">
        <f t="shared" si="869"/>
        <v>0</v>
      </c>
      <c r="H986" s="108">
        <f t="shared" si="869"/>
        <v>0</v>
      </c>
      <c r="I986" s="108">
        <f t="shared" si="869"/>
        <v>0</v>
      </c>
      <c r="J986" s="108">
        <f t="shared" si="869"/>
        <v>0</v>
      </c>
      <c r="K986" s="108">
        <f t="shared" si="869"/>
        <v>0</v>
      </c>
      <c r="L986" s="108">
        <f t="shared" si="869"/>
        <v>0</v>
      </c>
      <c r="M986" s="108">
        <f t="shared" si="869"/>
        <v>0</v>
      </c>
      <c r="N986" s="108">
        <f t="shared" si="869"/>
        <v>0</v>
      </c>
      <c r="O986" s="108">
        <f t="shared" si="869"/>
        <v>0</v>
      </c>
      <c r="P986" s="108">
        <f t="shared" si="869"/>
        <v>0</v>
      </c>
      <c r="Q986" s="108">
        <f t="shared" si="869"/>
        <v>0</v>
      </c>
      <c r="R986" s="108">
        <f t="shared" si="869"/>
        <v>0</v>
      </c>
      <c r="S986" s="108">
        <f t="shared" si="869"/>
        <v>0</v>
      </c>
      <c r="T986" s="28" t="s">
        <v>26</v>
      </c>
      <c r="V986" s="104" t="str">
        <f>$V$68</f>
        <v>Beatriz</v>
      </c>
      <c r="W986" s="108">
        <f t="shared" si="839"/>
        <v>-1</v>
      </c>
      <c r="X986" s="108">
        <f t="shared" si="840"/>
        <v>-1</v>
      </c>
      <c r="Y986" s="108">
        <f t="shared" si="841"/>
        <v>-1</v>
      </c>
      <c r="Z986" s="108">
        <f t="shared" si="842"/>
        <v>-1</v>
      </c>
      <c r="AA986" s="108">
        <f t="shared" si="843"/>
        <v>-1</v>
      </c>
      <c r="AB986" s="108">
        <f t="shared" si="844"/>
        <v>-1</v>
      </c>
      <c r="AC986" s="108">
        <f t="shared" si="845"/>
        <v>-1</v>
      </c>
      <c r="AD986" s="108">
        <f t="shared" si="846"/>
        <v>-1</v>
      </c>
      <c r="AE986" s="108">
        <f t="shared" si="847"/>
        <v>-1</v>
      </c>
      <c r="AF986" s="108">
        <f t="shared" si="848"/>
        <v>-1</v>
      </c>
      <c r="AG986" s="108">
        <f t="shared" si="849"/>
        <v>-1</v>
      </c>
      <c r="AH986" s="108">
        <f t="shared" si="850"/>
        <v>-1</v>
      </c>
      <c r="AI986" s="108">
        <f t="shared" si="851"/>
        <v>-1</v>
      </c>
      <c r="AJ986" s="108">
        <f t="shared" si="852"/>
        <v>-1</v>
      </c>
      <c r="AK986" s="108">
        <f t="shared" si="853"/>
        <v>-1</v>
      </c>
      <c r="AL986" s="108">
        <f t="shared" si="854"/>
        <v>-1</v>
      </c>
    </row>
    <row r="987" spans="3:38" x14ac:dyDescent="0.55000000000000004">
      <c r="C987" s="104" t="str">
        <f>$V$69</f>
        <v>Charelle</v>
      </c>
      <c r="D987" s="108">
        <f t="shared" ref="D987:S987" si="870">D69</f>
        <v>0</v>
      </c>
      <c r="E987" s="108">
        <f t="shared" si="870"/>
        <v>0</v>
      </c>
      <c r="F987" s="108">
        <f t="shared" si="870"/>
        <v>0</v>
      </c>
      <c r="G987" s="108">
        <f t="shared" si="870"/>
        <v>0</v>
      </c>
      <c r="H987" s="108">
        <f t="shared" si="870"/>
        <v>0</v>
      </c>
      <c r="I987" s="108">
        <f t="shared" si="870"/>
        <v>0</v>
      </c>
      <c r="J987" s="108">
        <f t="shared" si="870"/>
        <v>0</v>
      </c>
      <c r="K987" s="108">
        <f t="shared" si="870"/>
        <v>0</v>
      </c>
      <c r="L987" s="108">
        <f t="shared" si="870"/>
        <v>0</v>
      </c>
      <c r="M987" s="108">
        <f t="shared" si="870"/>
        <v>0</v>
      </c>
      <c r="N987" s="108">
        <f t="shared" si="870"/>
        <v>0</v>
      </c>
      <c r="O987" s="108">
        <f t="shared" si="870"/>
        <v>0</v>
      </c>
      <c r="P987" s="108">
        <f t="shared" si="870"/>
        <v>0</v>
      </c>
      <c r="Q987" s="108">
        <f t="shared" si="870"/>
        <v>0</v>
      </c>
      <c r="R987" s="108">
        <f t="shared" si="870"/>
        <v>0</v>
      </c>
      <c r="S987" s="108">
        <f t="shared" si="870"/>
        <v>0</v>
      </c>
      <c r="T987" s="28" t="s">
        <v>26</v>
      </c>
      <c r="V987" s="104" t="str">
        <f>$V$69</f>
        <v>Charelle</v>
      </c>
      <c r="W987" s="108">
        <f t="shared" si="839"/>
        <v>-1</v>
      </c>
      <c r="X987" s="108">
        <f t="shared" si="840"/>
        <v>-1</v>
      </c>
      <c r="Y987" s="108">
        <f t="shared" si="841"/>
        <v>-1</v>
      </c>
      <c r="Z987" s="108">
        <f t="shared" si="842"/>
        <v>-1</v>
      </c>
      <c r="AA987" s="108">
        <f t="shared" si="843"/>
        <v>-1</v>
      </c>
      <c r="AB987" s="108">
        <f t="shared" si="844"/>
        <v>-1</v>
      </c>
      <c r="AC987" s="108">
        <f t="shared" si="845"/>
        <v>-1</v>
      </c>
      <c r="AD987" s="108">
        <f t="shared" si="846"/>
        <v>-1</v>
      </c>
      <c r="AE987" s="108">
        <f t="shared" si="847"/>
        <v>-1</v>
      </c>
      <c r="AF987" s="108">
        <f t="shared" si="848"/>
        <v>-1</v>
      </c>
      <c r="AG987" s="108">
        <f t="shared" si="849"/>
        <v>-1</v>
      </c>
      <c r="AH987" s="108">
        <f t="shared" si="850"/>
        <v>-1</v>
      </c>
      <c r="AI987" s="108">
        <f t="shared" si="851"/>
        <v>-1</v>
      </c>
      <c r="AJ987" s="108">
        <f t="shared" si="852"/>
        <v>-1</v>
      </c>
      <c r="AK987" s="108">
        <f t="shared" si="853"/>
        <v>-1</v>
      </c>
      <c r="AL987" s="108">
        <f t="shared" si="854"/>
        <v>-1</v>
      </c>
    </row>
    <row r="988" spans="3:38" x14ac:dyDescent="0.55000000000000004">
      <c r="C988" s="104" t="str">
        <f>$V$70</f>
        <v>Dimitri</v>
      </c>
      <c r="D988" s="108">
        <f t="shared" ref="D988:S988" si="871">D70</f>
        <v>0</v>
      </c>
      <c r="E988" s="108">
        <f t="shared" si="871"/>
        <v>0</v>
      </c>
      <c r="F988" s="108">
        <f t="shared" si="871"/>
        <v>0</v>
      </c>
      <c r="G988" s="108">
        <f t="shared" si="871"/>
        <v>0</v>
      </c>
      <c r="H988" s="108">
        <f t="shared" si="871"/>
        <v>0</v>
      </c>
      <c r="I988" s="108">
        <f t="shared" si="871"/>
        <v>0</v>
      </c>
      <c r="J988" s="108">
        <f t="shared" si="871"/>
        <v>0</v>
      </c>
      <c r="K988" s="108">
        <f t="shared" si="871"/>
        <v>0</v>
      </c>
      <c r="L988" s="108">
        <f t="shared" si="871"/>
        <v>0</v>
      </c>
      <c r="M988" s="108">
        <f t="shared" si="871"/>
        <v>0</v>
      </c>
      <c r="N988" s="108">
        <f t="shared" si="871"/>
        <v>0</v>
      </c>
      <c r="O988" s="108">
        <f t="shared" si="871"/>
        <v>0</v>
      </c>
      <c r="P988" s="108">
        <f t="shared" si="871"/>
        <v>0</v>
      </c>
      <c r="Q988" s="108">
        <f t="shared" si="871"/>
        <v>0</v>
      </c>
      <c r="R988" s="108">
        <f t="shared" si="871"/>
        <v>0</v>
      </c>
      <c r="S988" s="108">
        <f t="shared" si="871"/>
        <v>0</v>
      </c>
      <c r="T988" s="28" t="s">
        <v>26</v>
      </c>
      <c r="V988" s="104" t="str">
        <f>$V$70</f>
        <v>Dimitri</v>
      </c>
      <c r="W988" s="108">
        <f t="shared" si="839"/>
        <v>-1</v>
      </c>
      <c r="X988" s="108">
        <f t="shared" si="840"/>
        <v>-1</v>
      </c>
      <c r="Y988" s="108">
        <f t="shared" si="841"/>
        <v>-1</v>
      </c>
      <c r="Z988" s="108">
        <f t="shared" si="842"/>
        <v>-1</v>
      </c>
      <c r="AA988" s="108">
        <f t="shared" si="843"/>
        <v>-1</v>
      </c>
      <c r="AB988" s="108">
        <f t="shared" si="844"/>
        <v>-1</v>
      </c>
      <c r="AC988" s="108">
        <f t="shared" si="845"/>
        <v>-1</v>
      </c>
      <c r="AD988" s="108">
        <f t="shared" si="846"/>
        <v>-1</v>
      </c>
      <c r="AE988" s="108">
        <f t="shared" si="847"/>
        <v>-1</v>
      </c>
      <c r="AF988" s="108">
        <f t="shared" si="848"/>
        <v>-1</v>
      </c>
      <c r="AG988" s="108">
        <f t="shared" si="849"/>
        <v>-1</v>
      </c>
      <c r="AH988" s="108">
        <f t="shared" si="850"/>
        <v>-1</v>
      </c>
      <c r="AI988" s="108">
        <f t="shared" si="851"/>
        <v>-1</v>
      </c>
      <c r="AJ988" s="108">
        <f t="shared" si="852"/>
        <v>-1</v>
      </c>
      <c r="AK988" s="108">
        <f t="shared" si="853"/>
        <v>-1</v>
      </c>
      <c r="AL988" s="108">
        <f t="shared" si="854"/>
        <v>-1</v>
      </c>
    </row>
    <row r="989" spans="3:38" x14ac:dyDescent="0.55000000000000004">
      <c r="C989" s="104" t="str">
        <f>$V$71</f>
        <v>Marina</v>
      </c>
      <c r="D989" s="108">
        <f t="shared" ref="D989:S989" si="872">D71</f>
        <v>0</v>
      </c>
      <c r="E989" s="108">
        <f t="shared" si="872"/>
        <v>0</v>
      </c>
      <c r="F989" s="108">
        <f t="shared" si="872"/>
        <v>0</v>
      </c>
      <c r="G989" s="108">
        <f t="shared" si="872"/>
        <v>0</v>
      </c>
      <c r="H989" s="108">
        <f t="shared" si="872"/>
        <v>0</v>
      </c>
      <c r="I989" s="108">
        <f t="shared" si="872"/>
        <v>0</v>
      </c>
      <c r="J989" s="108">
        <f t="shared" si="872"/>
        <v>0</v>
      </c>
      <c r="K989" s="108">
        <f t="shared" si="872"/>
        <v>0</v>
      </c>
      <c r="L989" s="108">
        <f t="shared" si="872"/>
        <v>0</v>
      </c>
      <c r="M989" s="108">
        <f t="shared" si="872"/>
        <v>0</v>
      </c>
      <c r="N989" s="108">
        <f t="shared" si="872"/>
        <v>0</v>
      </c>
      <c r="O989" s="108">
        <f t="shared" si="872"/>
        <v>0</v>
      </c>
      <c r="P989" s="108">
        <f t="shared" si="872"/>
        <v>0</v>
      </c>
      <c r="Q989" s="108">
        <f t="shared" si="872"/>
        <v>0</v>
      </c>
      <c r="R989" s="108">
        <f t="shared" si="872"/>
        <v>0</v>
      </c>
      <c r="S989" s="108">
        <f t="shared" si="872"/>
        <v>0</v>
      </c>
      <c r="T989" s="28" t="s">
        <v>26</v>
      </c>
      <c r="V989" s="104" t="str">
        <f>$V$71</f>
        <v>Marina</v>
      </c>
      <c r="W989" s="108">
        <f t="shared" si="839"/>
        <v>-1</v>
      </c>
      <c r="X989" s="108">
        <f t="shared" si="840"/>
        <v>-1</v>
      </c>
      <c r="Y989" s="108">
        <f t="shared" si="841"/>
        <v>-1</v>
      </c>
      <c r="Z989" s="108">
        <f t="shared" si="842"/>
        <v>-1</v>
      </c>
      <c r="AA989" s="108">
        <f t="shared" si="843"/>
        <v>-1</v>
      </c>
      <c r="AB989" s="108">
        <f t="shared" si="844"/>
        <v>-1</v>
      </c>
      <c r="AC989" s="108">
        <f t="shared" si="845"/>
        <v>-1</v>
      </c>
      <c r="AD989" s="108">
        <f t="shared" si="846"/>
        <v>-1</v>
      </c>
      <c r="AE989" s="108">
        <f t="shared" si="847"/>
        <v>-1</v>
      </c>
      <c r="AF989" s="108">
        <f t="shared" si="848"/>
        <v>-1</v>
      </c>
      <c r="AG989" s="108">
        <f t="shared" si="849"/>
        <v>-1</v>
      </c>
      <c r="AH989" s="108">
        <f t="shared" si="850"/>
        <v>-1</v>
      </c>
      <c r="AI989" s="108">
        <f t="shared" si="851"/>
        <v>-1</v>
      </c>
      <c r="AJ989" s="108">
        <f t="shared" si="852"/>
        <v>-1</v>
      </c>
      <c r="AK989" s="108">
        <f t="shared" si="853"/>
        <v>-1</v>
      </c>
      <c r="AL989" s="108">
        <f t="shared" si="854"/>
        <v>-1</v>
      </c>
    </row>
    <row r="990" spans="3:38" x14ac:dyDescent="0.55000000000000004">
      <c r="C990" s="104" t="str">
        <f>$V$72</f>
        <v>Michel</v>
      </c>
      <c r="D990" s="108">
        <f t="shared" ref="D990:S990" si="873">D72</f>
        <v>0</v>
      </c>
      <c r="E990" s="108">
        <f t="shared" si="873"/>
        <v>0</v>
      </c>
      <c r="F990" s="108">
        <f t="shared" si="873"/>
        <v>0</v>
      </c>
      <c r="G990" s="108">
        <f t="shared" si="873"/>
        <v>0</v>
      </c>
      <c r="H990" s="108">
        <f t="shared" si="873"/>
        <v>0</v>
      </c>
      <c r="I990" s="108">
        <f t="shared" si="873"/>
        <v>0</v>
      </c>
      <c r="J990" s="108">
        <f t="shared" si="873"/>
        <v>0</v>
      </c>
      <c r="K990" s="108">
        <f t="shared" si="873"/>
        <v>0</v>
      </c>
      <c r="L990" s="108">
        <f t="shared" si="873"/>
        <v>0</v>
      </c>
      <c r="M990" s="108">
        <f t="shared" si="873"/>
        <v>0</v>
      </c>
      <c r="N990" s="108">
        <f t="shared" si="873"/>
        <v>0</v>
      </c>
      <c r="O990" s="108">
        <f t="shared" si="873"/>
        <v>0</v>
      </c>
      <c r="P990" s="108">
        <f t="shared" si="873"/>
        <v>0</v>
      </c>
      <c r="Q990" s="108">
        <f t="shared" si="873"/>
        <v>0</v>
      </c>
      <c r="R990" s="108">
        <f t="shared" si="873"/>
        <v>0</v>
      </c>
      <c r="S990" s="108">
        <f t="shared" si="873"/>
        <v>0</v>
      </c>
      <c r="T990" s="28" t="s">
        <v>26</v>
      </c>
      <c r="V990" s="104" t="str">
        <f>$V$72</f>
        <v>Michel</v>
      </c>
      <c r="W990" s="108">
        <f t="shared" si="839"/>
        <v>-1</v>
      </c>
      <c r="X990" s="108">
        <f t="shared" si="840"/>
        <v>-1</v>
      </c>
      <c r="Y990" s="108">
        <f t="shared" si="841"/>
        <v>-1</v>
      </c>
      <c r="Z990" s="108">
        <f t="shared" si="842"/>
        <v>-1</v>
      </c>
      <c r="AA990" s="108">
        <f t="shared" si="843"/>
        <v>-1</v>
      </c>
      <c r="AB990" s="108">
        <f t="shared" si="844"/>
        <v>-1</v>
      </c>
      <c r="AC990" s="108">
        <f t="shared" si="845"/>
        <v>-1</v>
      </c>
      <c r="AD990" s="108">
        <f t="shared" si="846"/>
        <v>-1</v>
      </c>
      <c r="AE990" s="108">
        <f t="shared" si="847"/>
        <v>-1</v>
      </c>
      <c r="AF990" s="108">
        <f t="shared" si="848"/>
        <v>-1</v>
      </c>
      <c r="AG990" s="108">
        <f t="shared" si="849"/>
        <v>-1</v>
      </c>
      <c r="AH990" s="108">
        <f t="shared" si="850"/>
        <v>-1</v>
      </c>
      <c r="AI990" s="108">
        <f t="shared" si="851"/>
        <v>-1</v>
      </c>
      <c r="AJ990" s="108">
        <f t="shared" si="852"/>
        <v>-1</v>
      </c>
      <c r="AK990" s="108">
        <f t="shared" si="853"/>
        <v>-1</v>
      </c>
      <c r="AL990" s="108">
        <f t="shared" si="854"/>
        <v>-1</v>
      </c>
    </row>
    <row r="991" spans="3:38" x14ac:dyDescent="0.55000000000000004">
      <c r="C991" s="104" t="str">
        <f>$V$73</f>
        <v>Nour</v>
      </c>
      <c r="D991" s="108">
        <f t="shared" ref="D991:S991" si="874">D73</f>
        <v>0</v>
      </c>
      <c r="E991" s="108">
        <f t="shared" si="874"/>
        <v>0</v>
      </c>
      <c r="F991" s="108">
        <f t="shared" si="874"/>
        <v>0</v>
      </c>
      <c r="G991" s="108">
        <f t="shared" si="874"/>
        <v>0</v>
      </c>
      <c r="H991" s="108">
        <f t="shared" si="874"/>
        <v>0</v>
      </c>
      <c r="I991" s="108">
        <f t="shared" si="874"/>
        <v>0</v>
      </c>
      <c r="J991" s="108">
        <f t="shared" si="874"/>
        <v>0</v>
      </c>
      <c r="K991" s="108">
        <f t="shared" si="874"/>
        <v>0</v>
      </c>
      <c r="L991" s="108">
        <f t="shared" si="874"/>
        <v>0</v>
      </c>
      <c r="M991" s="108">
        <f t="shared" si="874"/>
        <v>0</v>
      </c>
      <c r="N991" s="108">
        <f t="shared" si="874"/>
        <v>0</v>
      </c>
      <c r="O991" s="108">
        <f t="shared" si="874"/>
        <v>0</v>
      </c>
      <c r="P991" s="108">
        <f t="shared" si="874"/>
        <v>0</v>
      </c>
      <c r="Q991" s="108">
        <f t="shared" si="874"/>
        <v>0</v>
      </c>
      <c r="R991" s="108">
        <f t="shared" si="874"/>
        <v>0</v>
      </c>
      <c r="S991" s="108">
        <f t="shared" si="874"/>
        <v>0</v>
      </c>
      <c r="T991" s="28" t="s">
        <v>26</v>
      </c>
      <c r="V991" s="104" t="str">
        <f>$V$73</f>
        <v>Nour</v>
      </c>
      <c r="W991" s="108">
        <f t="shared" si="839"/>
        <v>-1</v>
      </c>
      <c r="X991" s="108">
        <f t="shared" si="840"/>
        <v>-1</v>
      </c>
      <c r="Y991" s="108">
        <f t="shared" si="841"/>
        <v>-1</v>
      </c>
      <c r="Z991" s="108">
        <f t="shared" si="842"/>
        <v>-1</v>
      </c>
      <c r="AA991" s="108">
        <f t="shared" si="843"/>
        <v>-1</v>
      </c>
      <c r="AB991" s="108">
        <f t="shared" si="844"/>
        <v>-1</v>
      </c>
      <c r="AC991" s="108">
        <f t="shared" si="845"/>
        <v>-1</v>
      </c>
      <c r="AD991" s="108">
        <f t="shared" si="846"/>
        <v>-1</v>
      </c>
      <c r="AE991" s="108">
        <f t="shared" si="847"/>
        <v>-1</v>
      </c>
      <c r="AF991" s="108">
        <f t="shared" si="848"/>
        <v>-1</v>
      </c>
      <c r="AG991" s="108">
        <f t="shared" si="849"/>
        <v>-1</v>
      </c>
      <c r="AH991" s="108">
        <f t="shared" si="850"/>
        <v>-1</v>
      </c>
      <c r="AI991" s="108">
        <f t="shared" si="851"/>
        <v>-1</v>
      </c>
      <c r="AJ991" s="108">
        <f t="shared" si="852"/>
        <v>-1</v>
      </c>
      <c r="AK991" s="108">
        <f t="shared" si="853"/>
        <v>-1</v>
      </c>
      <c r="AL991" s="108">
        <f t="shared" si="854"/>
        <v>-1</v>
      </c>
    </row>
    <row r="992" spans="3:38" x14ac:dyDescent="0.55000000000000004">
      <c r="C992" s="104" t="str">
        <f>$V$74</f>
        <v>Samuel</v>
      </c>
      <c r="D992" s="108">
        <f t="shared" ref="D992:S992" si="875">D74</f>
        <v>0</v>
      </c>
      <c r="E992" s="108">
        <f t="shared" si="875"/>
        <v>0</v>
      </c>
      <c r="F992" s="108">
        <f t="shared" si="875"/>
        <v>0</v>
      </c>
      <c r="G992" s="108">
        <f t="shared" si="875"/>
        <v>0</v>
      </c>
      <c r="H992" s="108">
        <f t="shared" si="875"/>
        <v>0</v>
      </c>
      <c r="I992" s="108">
        <f t="shared" si="875"/>
        <v>0</v>
      </c>
      <c r="J992" s="108">
        <f t="shared" si="875"/>
        <v>0</v>
      </c>
      <c r="K992" s="108">
        <f t="shared" si="875"/>
        <v>0</v>
      </c>
      <c r="L992" s="108">
        <f t="shared" si="875"/>
        <v>0</v>
      </c>
      <c r="M992" s="108">
        <f t="shared" si="875"/>
        <v>0</v>
      </c>
      <c r="N992" s="108">
        <f t="shared" si="875"/>
        <v>0</v>
      </c>
      <c r="O992" s="108">
        <f t="shared" si="875"/>
        <v>0</v>
      </c>
      <c r="P992" s="108">
        <f t="shared" si="875"/>
        <v>0</v>
      </c>
      <c r="Q992" s="108">
        <f t="shared" si="875"/>
        <v>0</v>
      </c>
      <c r="R992" s="108">
        <f t="shared" si="875"/>
        <v>0</v>
      </c>
      <c r="S992" s="108">
        <f t="shared" si="875"/>
        <v>0</v>
      </c>
      <c r="T992" s="28" t="s">
        <v>26</v>
      </c>
      <c r="V992" s="104" t="str">
        <f>$V$74</f>
        <v>Samuel</v>
      </c>
      <c r="W992" s="108">
        <f t="shared" si="839"/>
        <v>-1</v>
      </c>
      <c r="X992" s="108">
        <f t="shared" si="840"/>
        <v>-1</v>
      </c>
      <c r="Y992" s="108">
        <f t="shared" si="841"/>
        <v>-1</v>
      </c>
      <c r="Z992" s="108">
        <f t="shared" si="842"/>
        <v>-1</v>
      </c>
      <c r="AA992" s="108">
        <f t="shared" si="843"/>
        <v>-1</v>
      </c>
      <c r="AB992" s="108">
        <f t="shared" si="844"/>
        <v>-1</v>
      </c>
      <c r="AC992" s="108">
        <f t="shared" si="845"/>
        <v>-1</v>
      </c>
      <c r="AD992" s="108">
        <f t="shared" si="846"/>
        <v>-1</v>
      </c>
      <c r="AE992" s="108">
        <f t="shared" si="847"/>
        <v>-1</v>
      </c>
      <c r="AF992" s="108">
        <f t="shared" si="848"/>
        <v>-1</v>
      </c>
      <c r="AG992" s="108">
        <f t="shared" si="849"/>
        <v>-1</v>
      </c>
      <c r="AH992" s="108">
        <f t="shared" si="850"/>
        <v>-1</v>
      </c>
      <c r="AI992" s="108">
        <f t="shared" si="851"/>
        <v>-1</v>
      </c>
      <c r="AJ992" s="108">
        <f t="shared" si="852"/>
        <v>-1</v>
      </c>
      <c r="AK992" s="108">
        <f t="shared" si="853"/>
        <v>-1</v>
      </c>
      <c r="AL992" s="108">
        <f t="shared" si="854"/>
        <v>-1</v>
      </c>
    </row>
    <row r="993" spans="3:38" x14ac:dyDescent="0.55000000000000004">
      <c r="C993" s="104" t="str">
        <f>$V$75</f>
        <v>Yassin</v>
      </c>
      <c r="D993" s="108">
        <f t="shared" ref="D993:S993" si="876">D75</f>
        <v>0</v>
      </c>
      <c r="E993" s="108">
        <f t="shared" si="876"/>
        <v>0</v>
      </c>
      <c r="F993" s="108">
        <f t="shared" si="876"/>
        <v>0</v>
      </c>
      <c r="G993" s="108">
        <f t="shared" si="876"/>
        <v>0</v>
      </c>
      <c r="H993" s="108">
        <f t="shared" si="876"/>
        <v>0</v>
      </c>
      <c r="I993" s="108">
        <f t="shared" si="876"/>
        <v>0</v>
      </c>
      <c r="J993" s="108">
        <f t="shared" si="876"/>
        <v>0</v>
      </c>
      <c r="K993" s="108">
        <f t="shared" si="876"/>
        <v>0</v>
      </c>
      <c r="L993" s="108">
        <f t="shared" si="876"/>
        <v>0</v>
      </c>
      <c r="M993" s="108">
        <f t="shared" si="876"/>
        <v>0</v>
      </c>
      <c r="N993" s="108">
        <f t="shared" si="876"/>
        <v>0</v>
      </c>
      <c r="O993" s="108">
        <f t="shared" si="876"/>
        <v>0</v>
      </c>
      <c r="P993" s="108">
        <f t="shared" si="876"/>
        <v>0</v>
      </c>
      <c r="Q993" s="108">
        <f t="shared" si="876"/>
        <v>0</v>
      </c>
      <c r="R993" s="108">
        <f t="shared" si="876"/>
        <v>0</v>
      </c>
      <c r="S993" s="108">
        <f t="shared" si="876"/>
        <v>0</v>
      </c>
      <c r="T993" s="28" t="s">
        <v>26</v>
      </c>
      <c r="V993" s="104" t="str">
        <f>$V$75</f>
        <v>Yassin</v>
      </c>
      <c r="W993" s="108">
        <f t="shared" si="839"/>
        <v>-1</v>
      </c>
      <c r="X993" s="108">
        <f t="shared" si="840"/>
        <v>-1</v>
      </c>
      <c r="Y993" s="108">
        <f t="shared" si="841"/>
        <v>-1</v>
      </c>
      <c r="Z993" s="108">
        <f t="shared" si="842"/>
        <v>-1</v>
      </c>
      <c r="AA993" s="108">
        <f t="shared" si="843"/>
        <v>-1</v>
      </c>
      <c r="AB993" s="108">
        <f t="shared" si="844"/>
        <v>-1</v>
      </c>
      <c r="AC993" s="108">
        <f t="shared" si="845"/>
        <v>-1</v>
      </c>
      <c r="AD993" s="108">
        <f t="shared" si="846"/>
        <v>-1</v>
      </c>
      <c r="AE993" s="108">
        <f t="shared" si="847"/>
        <v>-1</v>
      </c>
      <c r="AF993" s="108">
        <f t="shared" si="848"/>
        <v>-1</v>
      </c>
      <c r="AG993" s="108">
        <f t="shared" si="849"/>
        <v>-1</v>
      </c>
      <c r="AH993" s="108">
        <f t="shared" si="850"/>
        <v>-1</v>
      </c>
      <c r="AI993" s="108">
        <f t="shared" si="851"/>
        <v>-1</v>
      </c>
      <c r="AJ993" s="108">
        <f t="shared" si="852"/>
        <v>-1</v>
      </c>
      <c r="AK993" s="108">
        <f t="shared" si="853"/>
        <v>-1</v>
      </c>
      <c r="AL993" s="108">
        <f t="shared" si="854"/>
        <v>-1</v>
      </c>
    </row>
    <row r="994" spans="3:38" x14ac:dyDescent="0.55000000000000004">
      <c r="C994" s="104" t="str">
        <f>$V$76</f>
        <v>Kamar</v>
      </c>
      <c r="D994" s="108">
        <f t="shared" ref="D994:S994" si="877">D76</f>
        <v>0</v>
      </c>
      <c r="E994" s="108">
        <f t="shared" si="877"/>
        <v>0</v>
      </c>
      <c r="F994" s="108">
        <f t="shared" si="877"/>
        <v>0</v>
      </c>
      <c r="G994" s="108">
        <f t="shared" si="877"/>
        <v>0</v>
      </c>
      <c r="H994" s="108">
        <f t="shared" si="877"/>
        <v>0</v>
      </c>
      <c r="I994" s="108">
        <f t="shared" si="877"/>
        <v>0</v>
      </c>
      <c r="J994" s="108">
        <f t="shared" si="877"/>
        <v>0</v>
      </c>
      <c r="K994" s="108">
        <f t="shared" si="877"/>
        <v>0</v>
      </c>
      <c r="L994" s="108">
        <f t="shared" si="877"/>
        <v>0</v>
      </c>
      <c r="M994" s="108">
        <f t="shared" si="877"/>
        <v>0</v>
      </c>
      <c r="N994" s="108">
        <f t="shared" si="877"/>
        <v>0</v>
      </c>
      <c r="O994" s="108">
        <f t="shared" si="877"/>
        <v>0</v>
      </c>
      <c r="P994" s="108">
        <f t="shared" si="877"/>
        <v>0</v>
      </c>
      <c r="Q994" s="108">
        <f t="shared" si="877"/>
        <v>0</v>
      </c>
      <c r="R994" s="108">
        <f t="shared" si="877"/>
        <v>0</v>
      </c>
      <c r="S994" s="108">
        <f t="shared" si="877"/>
        <v>0</v>
      </c>
      <c r="T994" s="28" t="s">
        <v>26</v>
      </c>
      <c r="V994" s="104" t="str">
        <f>$V$76</f>
        <v>Kamar</v>
      </c>
      <c r="W994" s="108">
        <f t="shared" si="839"/>
        <v>-1</v>
      </c>
      <c r="X994" s="108">
        <f t="shared" si="840"/>
        <v>-1</v>
      </c>
      <c r="Y994" s="108">
        <f t="shared" si="841"/>
        <v>-1</v>
      </c>
      <c r="Z994" s="108">
        <f t="shared" si="842"/>
        <v>-1</v>
      </c>
      <c r="AA994" s="108">
        <f t="shared" si="843"/>
        <v>-1</v>
      </c>
      <c r="AB994" s="108">
        <f t="shared" si="844"/>
        <v>-1</v>
      </c>
      <c r="AC994" s="108">
        <f t="shared" si="845"/>
        <v>-1</v>
      </c>
      <c r="AD994" s="108">
        <f t="shared" si="846"/>
        <v>-1</v>
      </c>
      <c r="AE994" s="108">
        <f t="shared" si="847"/>
        <v>-1</v>
      </c>
      <c r="AF994" s="108">
        <f t="shared" si="848"/>
        <v>-1</v>
      </c>
      <c r="AG994" s="108">
        <f t="shared" si="849"/>
        <v>-1</v>
      </c>
      <c r="AH994" s="108">
        <f t="shared" si="850"/>
        <v>-1</v>
      </c>
      <c r="AI994" s="108">
        <f t="shared" si="851"/>
        <v>-1</v>
      </c>
      <c r="AJ994" s="108">
        <f t="shared" si="852"/>
        <v>-1</v>
      </c>
      <c r="AK994" s="108">
        <f t="shared" si="853"/>
        <v>-1</v>
      </c>
      <c r="AL994" s="108">
        <f t="shared" si="854"/>
        <v>-1</v>
      </c>
    </row>
    <row r="995" spans="3:38" x14ac:dyDescent="0.55000000000000004">
      <c r="C995" s="104" t="str">
        <f>$V$77</f>
        <v>-</v>
      </c>
      <c r="D995" s="108">
        <f t="shared" ref="D995:S995" si="878">D77</f>
        <v>0</v>
      </c>
      <c r="E995" s="108">
        <f t="shared" si="878"/>
        <v>0</v>
      </c>
      <c r="F995" s="108">
        <f t="shared" si="878"/>
        <v>0</v>
      </c>
      <c r="G995" s="108">
        <f t="shared" si="878"/>
        <v>0</v>
      </c>
      <c r="H995" s="108">
        <f t="shared" si="878"/>
        <v>0</v>
      </c>
      <c r="I995" s="108">
        <f t="shared" si="878"/>
        <v>0</v>
      </c>
      <c r="J995" s="108">
        <f t="shared" si="878"/>
        <v>0</v>
      </c>
      <c r="K995" s="108">
        <f t="shared" si="878"/>
        <v>0</v>
      </c>
      <c r="L995" s="108">
        <f t="shared" si="878"/>
        <v>0</v>
      </c>
      <c r="M995" s="108">
        <f t="shared" si="878"/>
        <v>0</v>
      </c>
      <c r="N995" s="108">
        <f t="shared" si="878"/>
        <v>0</v>
      </c>
      <c r="O995" s="108">
        <f t="shared" si="878"/>
        <v>0</v>
      </c>
      <c r="P995" s="108">
        <f t="shared" si="878"/>
        <v>0</v>
      </c>
      <c r="Q995" s="108">
        <f t="shared" si="878"/>
        <v>0</v>
      </c>
      <c r="R995" s="108">
        <f t="shared" si="878"/>
        <v>0</v>
      </c>
      <c r="S995" s="108">
        <f t="shared" si="878"/>
        <v>0</v>
      </c>
      <c r="T995" s="28" t="s">
        <v>26</v>
      </c>
      <c r="V995" s="104" t="str">
        <f>$V$77</f>
        <v>-</v>
      </c>
      <c r="W995" s="108">
        <f t="shared" si="839"/>
        <v>-1</v>
      </c>
      <c r="X995" s="108">
        <f t="shared" si="840"/>
        <v>-1</v>
      </c>
      <c r="Y995" s="108">
        <f t="shared" si="841"/>
        <v>-1</v>
      </c>
      <c r="Z995" s="108">
        <f t="shared" si="842"/>
        <v>-1</v>
      </c>
      <c r="AA995" s="108">
        <f t="shared" si="843"/>
        <v>-1</v>
      </c>
      <c r="AB995" s="108">
        <f t="shared" si="844"/>
        <v>-1</v>
      </c>
      <c r="AC995" s="108">
        <f t="shared" si="845"/>
        <v>-1</v>
      </c>
      <c r="AD995" s="108">
        <f t="shared" si="846"/>
        <v>-1</v>
      </c>
      <c r="AE995" s="108">
        <f t="shared" si="847"/>
        <v>-1</v>
      </c>
      <c r="AF995" s="108">
        <f t="shared" si="848"/>
        <v>-1</v>
      </c>
      <c r="AG995" s="108">
        <f t="shared" si="849"/>
        <v>-1</v>
      </c>
      <c r="AH995" s="108">
        <f t="shared" si="850"/>
        <v>-1</v>
      </c>
      <c r="AI995" s="108">
        <f t="shared" si="851"/>
        <v>-1</v>
      </c>
      <c r="AJ995" s="108">
        <f t="shared" si="852"/>
        <v>-1</v>
      </c>
      <c r="AK995" s="108">
        <f t="shared" si="853"/>
        <v>-1</v>
      </c>
      <c r="AL995" s="108">
        <f t="shared" si="854"/>
        <v>-1</v>
      </c>
    </row>
    <row r="996" spans="3:38" x14ac:dyDescent="0.55000000000000004">
      <c r="C996" s="104" t="str">
        <f>$V$78</f>
        <v>-</v>
      </c>
      <c r="D996" s="108">
        <f t="shared" ref="D996:S996" si="879">D78</f>
        <v>0</v>
      </c>
      <c r="E996" s="108">
        <f t="shared" si="879"/>
        <v>0</v>
      </c>
      <c r="F996" s="108">
        <f t="shared" si="879"/>
        <v>0</v>
      </c>
      <c r="G996" s="108">
        <f t="shared" si="879"/>
        <v>0</v>
      </c>
      <c r="H996" s="108">
        <f t="shared" si="879"/>
        <v>0</v>
      </c>
      <c r="I996" s="108">
        <f t="shared" si="879"/>
        <v>0</v>
      </c>
      <c r="J996" s="108">
        <f t="shared" si="879"/>
        <v>0</v>
      </c>
      <c r="K996" s="108">
        <f t="shared" si="879"/>
        <v>0</v>
      </c>
      <c r="L996" s="108">
        <f t="shared" si="879"/>
        <v>0</v>
      </c>
      <c r="M996" s="108">
        <f t="shared" si="879"/>
        <v>0</v>
      </c>
      <c r="N996" s="108">
        <f t="shared" si="879"/>
        <v>0</v>
      </c>
      <c r="O996" s="108">
        <f t="shared" si="879"/>
        <v>0</v>
      </c>
      <c r="P996" s="108">
        <f t="shared" si="879"/>
        <v>0</v>
      </c>
      <c r="Q996" s="108">
        <f t="shared" si="879"/>
        <v>0</v>
      </c>
      <c r="R996" s="108">
        <f t="shared" si="879"/>
        <v>0</v>
      </c>
      <c r="S996" s="108">
        <f t="shared" si="879"/>
        <v>0</v>
      </c>
      <c r="T996" s="28" t="s">
        <v>26</v>
      </c>
      <c r="V996" s="104" t="str">
        <f>$V$78</f>
        <v>-</v>
      </c>
      <c r="W996" s="108">
        <f t="shared" si="839"/>
        <v>-1</v>
      </c>
      <c r="X996" s="108">
        <f t="shared" si="840"/>
        <v>-1</v>
      </c>
      <c r="Y996" s="108">
        <f t="shared" si="841"/>
        <v>-1</v>
      </c>
      <c r="Z996" s="108">
        <f t="shared" si="842"/>
        <v>-1</v>
      </c>
      <c r="AA996" s="108">
        <f t="shared" si="843"/>
        <v>-1</v>
      </c>
      <c r="AB996" s="108">
        <f t="shared" si="844"/>
        <v>-1</v>
      </c>
      <c r="AC996" s="108">
        <f t="shared" si="845"/>
        <v>-1</v>
      </c>
      <c r="AD996" s="108">
        <f t="shared" si="846"/>
        <v>-1</v>
      </c>
      <c r="AE996" s="108">
        <f t="shared" si="847"/>
        <v>-1</v>
      </c>
      <c r="AF996" s="108">
        <f t="shared" si="848"/>
        <v>-1</v>
      </c>
      <c r="AG996" s="108">
        <f t="shared" si="849"/>
        <v>-1</v>
      </c>
      <c r="AH996" s="108">
        <f t="shared" si="850"/>
        <v>-1</v>
      </c>
      <c r="AI996" s="108">
        <f t="shared" si="851"/>
        <v>-1</v>
      </c>
      <c r="AJ996" s="108">
        <f t="shared" si="852"/>
        <v>-1</v>
      </c>
      <c r="AK996" s="108">
        <f t="shared" si="853"/>
        <v>-1</v>
      </c>
      <c r="AL996" s="108">
        <f t="shared" si="854"/>
        <v>-1</v>
      </c>
    </row>
    <row r="997" spans="3:38" x14ac:dyDescent="0.55000000000000004">
      <c r="C997" s="104" t="str">
        <f>$V$79</f>
        <v>-</v>
      </c>
      <c r="D997" s="108">
        <f t="shared" ref="D997:S997" si="880">D79</f>
        <v>0</v>
      </c>
      <c r="E997" s="108">
        <f t="shared" si="880"/>
        <v>0</v>
      </c>
      <c r="F997" s="108">
        <f t="shared" si="880"/>
        <v>0</v>
      </c>
      <c r="G997" s="108">
        <f t="shared" si="880"/>
        <v>0</v>
      </c>
      <c r="H997" s="108">
        <f t="shared" si="880"/>
        <v>0</v>
      </c>
      <c r="I997" s="108">
        <f t="shared" si="880"/>
        <v>0</v>
      </c>
      <c r="J997" s="108">
        <f t="shared" si="880"/>
        <v>0</v>
      </c>
      <c r="K997" s="108">
        <f t="shared" si="880"/>
        <v>0</v>
      </c>
      <c r="L997" s="108">
        <f t="shared" si="880"/>
        <v>0</v>
      </c>
      <c r="M997" s="108">
        <f t="shared" si="880"/>
        <v>0</v>
      </c>
      <c r="N997" s="108">
        <f t="shared" si="880"/>
        <v>0</v>
      </c>
      <c r="O997" s="108">
        <f t="shared" si="880"/>
        <v>0</v>
      </c>
      <c r="P997" s="108">
        <f t="shared" si="880"/>
        <v>0</v>
      </c>
      <c r="Q997" s="108">
        <f t="shared" si="880"/>
        <v>0</v>
      </c>
      <c r="R997" s="108">
        <f t="shared" si="880"/>
        <v>0</v>
      </c>
      <c r="S997" s="108">
        <f t="shared" si="880"/>
        <v>0</v>
      </c>
      <c r="T997" s="28" t="s">
        <v>26</v>
      </c>
      <c r="V997" s="104" t="str">
        <f>$V$79</f>
        <v>-</v>
      </c>
      <c r="W997" s="108">
        <f t="shared" si="839"/>
        <v>-1</v>
      </c>
      <c r="X997" s="108">
        <f t="shared" si="840"/>
        <v>-1</v>
      </c>
      <c r="Y997" s="108">
        <f t="shared" si="841"/>
        <v>-1</v>
      </c>
      <c r="Z997" s="108">
        <f t="shared" si="842"/>
        <v>-1</v>
      </c>
      <c r="AA997" s="108">
        <f t="shared" si="843"/>
        <v>-1</v>
      </c>
      <c r="AB997" s="108">
        <f t="shared" si="844"/>
        <v>-1</v>
      </c>
      <c r="AC997" s="108">
        <f t="shared" si="845"/>
        <v>-1</v>
      </c>
      <c r="AD997" s="108">
        <f t="shared" si="846"/>
        <v>-1</v>
      </c>
      <c r="AE997" s="108">
        <f t="shared" si="847"/>
        <v>-1</v>
      </c>
      <c r="AF997" s="108">
        <f t="shared" si="848"/>
        <v>-1</v>
      </c>
      <c r="AG997" s="108">
        <f t="shared" si="849"/>
        <v>-1</v>
      </c>
      <c r="AH997" s="108">
        <f t="shared" si="850"/>
        <v>-1</v>
      </c>
      <c r="AI997" s="108">
        <f t="shared" si="851"/>
        <v>-1</v>
      </c>
      <c r="AJ997" s="108">
        <f t="shared" si="852"/>
        <v>-1</v>
      </c>
      <c r="AK997" s="108">
        <f t="shared" si="853"/>
        <v>-1</v>
      </c>
      <c r="AL997" s="108">
        <f t="shared" si="854"/>
        <v>-1</v>
      </c>
    </row>
    <row r="998" spans="3:38" x14ac:dyDescent="0.55000000000000004">
      <c r="C998" s="104" t="str">
        <f>$V$80</f>
        <v>-</v>
      </c>
      <c r="D998" s="108">
        <f t="shared" ref="D998:S998" si="881">D80</f>
        <v>0</v>
      </c>
      <c r="E998" s="108">
        <f t="shared" si="881"/>
        <v>0</v>
      </c>
      <c r="F998" s="108">
        <f t="shared" si="881"/>
        <v>0</v>
      </c>
      <c r="G998" s="108">
        <f t="shared" si="881"/>
        <v>0</v>
      </c>
      <c r="H998" s="108">
        <f t="shared" si="881"/>
        <v>0</v>
      </c>
      <c r="I998" s="108">
        <f t="shared" si="881"/>
        <v>0</v>
      </c>
      <c r="J998" s="108">
        <f t="shared" si="881"/>
        <v>0</v>
      </c>
      <c r="K998" s="108">
        <f t="shared" si="881"/>
        <v>0</v>
      </c>
      <c r="L998" s="108">
        <f t="shared" si="881"/>
        <v>0</v>
      </c>
      <c r="M998" s="108">
        <f t="shared" si="881"/>
        <v>0</v>
      </c>
      <c r="N998" s="108">
        <f t="shared" si="881"/>
        <v>0</v>
      </c>
      <c r="O998" s="108">
        <f t="shared" si="881"/>
        <v>0</v>
      </c>
      <c r="P998" s="108">
        <f t="shared" si="881"/>
        <v>0</v>
      </c>
      <c r="Q998" s="108">
        <f t="shared" si="881"/>
        <v>0</v>
      </c>
      <c r="R998" s="108">
        <f t="shared" si="881"/>
        <v>0</v>
      </c>
      <c r="S998" s="108">
        <f t="shared" si="881"/>
        <v>0</v>
      </c>
      <c r="T998" s="28" t="s">
        <v>26</v>
      </c>
      <c r="V998" s="104" t="str">
        <f>$V$80</f>
        <v>-</v>
      </c>
      <c r="W998" s="108">
        <f t="shared" si="839"/>
        <v>-1</v>
      </c>
      <c r="X998" s="108">
        <f t="shared" si="840"/>
        <v>-1</v>
      </c>
      <c r="Y998" s="108">
        <f t="shared" si="841"/>
        <v>-1</v>
      </c>
      <c r="Z998" s="108">
        <f t="shared" si="842"/>
        <v>-1</v>
      </c>
      <c r="AA998" s="108">
        <f t="shared" si="843"/>
        <v>-1</v>
      </c>
      <c r="AB998" s="108">
        <f t="shared" si="844"/>
        <v>-1</v>
      </c>
      <c r="AC998" s="108">
        <f t="shared" si="845"/>
        <v>-1</v>
      </c>
      <c r="AD998" s="108">
        <f t="shared" si="846"/>
        <v>-3</v>
      </c>
      <c r="AE998" s="108">
        <f t="shared" si="847"/>
        <v>-3</v>
      </c>
      <c r="AF998" s="108">
        <f t="shared" si="848"/>
        <v>-1</v>
      </c>
      <c r="AG998" s="108">
        <f t="shared" si="849"/>
        <v>-1</v>
      </c>
      <c r="AH998" s="108">
        <f t="shared" si="850"/>
        <v>-1</v>
      </c>
      <c r="AI998" s="108">
        <f t="shared" si="851"/>
        <v>-1</v>
      </c>
      <c r="AJ998" s="108">
        <f t="shared" si="852"/>
        <v>-1</v>
      </c>
      <c r="AK998" s="108">
        <f t="shared" si="853"/>
        <v>-1</v>
      </c>
      <c r="AL998" s="108">
        <f t="shared" si="854"/>
        <v>-1</v>
      </c>
    </row>
    <row r="999" spans="3:38" x14ac:dyDescent="0.55000000000000004">
      <c r="C999" s="104" t="str">
        <f>$V$81</f>
        <v>-</v>
      </c>
      <c r="D999" s="108">
        <f t="shared" ref="D999:S999" si="882">D81</f>
        <v>0</v>
      </c>
      <c r="E999" s="108">
        <f t="shared" si="882"/>
        <v>0</v>
      </c>
      <c r="F999" s="108">
        <f t="shared" si="882"/>
        <v>0</v>
      </c>
      <c r="G999" s="108">
        <f t="shared" si="882"/>
        <v>0</v>
      </c>
      <c r="H999" s="108">
        <f t="shared" si="882"/>
        <v>0</v>
      </c>
      <c r="I999" s="108">
        <f t="shared" si="882"/>
        <v>0</v>
      </c>
      <c r="J999" s="108">
        <f t="shared" si="882"/>
        <v>0</v>
      </c>
      <c r="K999" s="108">
        <f t="shared" si="882"/>
        <v>0</v>
      </c>
      <c r="L999" s="108">
        <f t="shared" si="882"/>
        <v>0</v>
      </c>
      <c r="M999" s="108">
        <f t="shared" si="882"/>
        <v>0</v>
      </c>
      <c r="N999" s="108">
        <f t="shared" si="882"/>
        <v>0</v>
      </c>
      <c r="O999" s="108">
        <f t="shared" si="882"/>
        <v>0</v>
      </c>
      <c r="P999" s="108">
        <f t="shared" si="882"/>
        <v>0</v>
      </c>
      <c r="Q999" s="108">
        <f t="shared" si="882"/>
        <v>0</v>
      </c>
      <c r="R999" s="108">
        <f t="shared" si="882"/>
        <v>0</v>
      </c>
      <c r="S999" s="108">
        <f t="shared" si="882"/>
        <v>0</v>
      </c>
      <c r="T999" s="28" t="s">
        <v>26</v>
      </c>
      <c r="V999" s="104" t="str">
        <f>$V$81</f>
        <v>-</v>
      </c>
      <c r="W999" s="108">
        <f t="shared" si="839"/>
        <v>-1</v>
      </c>
      <c r="X999" s="108">
        <f t="shared" si="840"/>
        <v>-1</v>
      </c>
      <c r="Y999" s="108">
        <f t="shared" si="841"/>
        <v>-1</v>
      </c>
      <c r="Z999" s="108">
        <f t="shared" si="842"/>
        <v>-1</v>
      </c>
      <c r="AA999" s="108">
        <f t="shared" si="843"/>
        <v>-1</v>
      </c>
      <c r="AB999" s="108">
        <f t="shared" si="844"/>
        <v>-1</v>
      </c>
      <c r="AC999" s="108">
        <f t="shared" si="845"/>
        <v>-1</v>
      </c>
      <c r="AD999" s="108">
        <f t="shared" si="846"/>
        <v>-1</v>
      </c>
      <c r="AE999" s="108">
        <f t="shared" si="847"/>
        <v>-1</v>
      </c>
      <c r="AF999" s="108">
        <f t="shared" si="848"/>
        <v>-1</v>
      </c>
      <c r="AG999" s="108">
        <f t="shared" si="849"/>
        <v>-1</v>
      </c>
      <c r="AH999" s="108">
        <f t="shared" si="850"/>
        <v>-1</v>
      </c>
      <c r="AI999" s="108">
        <f t="shared" si="851"/>
        <v>-1</v>
      </c>
      <c r="AJ999" s="108">
        <f t="shared" si="852"/>
        <v>-1</v>
      </c>
      <c r="AK999" s="108">
        <f t="shared" si="853"/>
        <v>-1</v>
      </c>
      <c r="AL999" s="108">
        <f t="shared" si="854"/>
        <v>-1</v>
      </c>
    </row>
    <row r="1000" spans="3:38" x14ac:dyDescent="0.55000000000000004">
      <c r="C1000" s="104" t="str">
        <f>$V$82</f>
        <v>-</v>
      </c>
      <c r="D1000" s="108">
        <f t="shared" ref="D1000:S1000" si="883">D82</f>
        <v>0</v>
      </c>
      <c r="E1000" s="108">
        <f t="shared" si="883"/>
        <v>0</v>
      </c>
      <c r="F1000" s="108">
        <f t="shared" si="883"/>
        <v>0</v>
      </c>
      <c r="G1000" s="108">
        <f t="shared" si="883"/>
        <v>0</v>
      </c>
      <c r="H1000" s="108">
        <f t="shared" si="883"/>
        <v>0</v>
      </c>
      <c r="I1000" s="108">
        <f t="shared" si="883"/>
        <v>0</v>
      </c>
      <c r="J1000" s="108">
        <f t="shared" si="883"/>
        <v>0</v>
      </c>
      <c r="K1000" s="108">
        <f t="shared" si="883"/>
        <v>0</v>
      </c>
      <c r="L1000" s="108">
        <f t="shared" si="883"/>
        <v>0</v>
      </c>
      <c r="M1000" s="108">
        <f t="shared" si="883"/>
        <v>0</v>
      </c>
      <c r="N1000" s="108">
        <f t="shared" si="883"/>
        <v>0</v>
      </c>
      <c r="O1000" s="108">
        <f t="shared" si="883"/>
        <v>0</v>
      </c>
      <c r="P1000" s="108">
        <f t="shared" si="883"/>
        <v>0</v>
      </c>
      <c r="Q1000" s="108">
        <f t="shared" si="883"/>
        <v>0</v>
      </c>
      <c r="R1000" s="108">
        <f t="shared" si="883"/>
        <v>0</v>
      </c>
      <c r="S1000" s="108">
        <f t="shared" si="883"/>
        <v>0</v>
      </c>
      <c r="T1000" s="28" t="s">
        <v>26</v>
      </c>
      <c r="V1000" s="104" t="str">
        <f>$V$82</f>
        <v>-</v>
      </c>
      <c r="W1000" s="108">
        <f t="shared" si="839"/>
        <v>-1</v>
      </c>
      <c r="X1000" s="108">
        <f t="shared" si="840"/>
        <v>-1</v>
      </c>
      <c r="Y1000" s="108">
        <f t="shared" si="841"/>
        <v>-1</v>
      </c>
      <c r="Z1000" s="108">
        <f t="shared" si="842"/>
        <v>-1</v>
      </c>
      <c r="AA1000" s="108">
        <f t="shared" si="843"/>
        <v>-1</v>
      </c>
      <c r="AB1000" s="108">
        <f t="shared" si="844"/>
        <v>-1</v>
      </c>
      <c r="AC1000" s="108">
        <f t="shared" si="845"/>
        <v>-1</v>
      </c>
      <c r="AD1000" s="108">
        <f t="shared" si="846"/>
        <v>-1</v>
      </c>
      <c r="AE1000" s="108">
        <f t="shared" si="847"/>
        <v>-1</v>
      </c>
      <c r="AF1000" s="108">
        <f t="shared" si="848"/>
        <v>-1</v>
      </c>
      <c r="AG1000" s="108">
        <f t="shared" si="849"/>
        <v>-1</v>
      </c>
      <c r="AH1000" s="108">
        <f t="shared" si="850"/>
        <v>-1</v>
      </c>
      <c r="AI1000" s="108">
        <f t="shared" si="851"/>
        <v>-1</v>
      </c>
      <c r="AJ1000" s="108">
        <f t="shared" si="852"/>
        <v>-1</v>
      </c>
      <c r="AK1000" s="108">
        <f t="shared" si="853"/>
        <v>-1</v>
      </c>
      <c r="AL1000" s="108">
        <f t="shared" si="854"/>
        <v>-1</v>
      </c>
    </row>
    <row r="1001" spans="3:38" x14ac:dyDescent="0.55000000000000004">
      <c r="C1001" s="104" t="str">
        <f>$V$83</f>
        <v>-</v>
      </c>
      <c r="D1001" s="108">
        <f t="shared" ref="D1001:S1001" si="884">D83</f>
        <v>0</v>
      </c>
      <c r="E1001" s="108">
        <f t="shared" si="884"/>
        <v>0</v>
      </c>
      <c r="F1001" s="108">
        <f t="shared" si="884"/>
        <v>0</v>
      </c>
      <c r="G1001" s="108">
        <f t="shared" si="884"/>
        <v>0</v>
      </c>
      <c r="H1001" s="108">
        <f t="shared" si="884"/>
        <v>0</v>
      </c>
      <c r="I1001" s="108">
        <f t="shared" si="884"/>
        <v>0</v>
      </c>
      <c r="J1001" s="108">
        <f t="shared" si="884"/>
        <v>0</v>
      </c>
      <c r="K1001" s="108">
        <f t="shared" si="884"/>
        <v>0</v>
      </c>
      <c r="L1001" s="108">
        <f t="shared" si="884"/>
        <v>0</v>
      </c>
      <c r="M1001" s="108">
        <f t="shared" si="884"/>
        <v>0</v>
      </c>
      <c r="N1001" s="108">
        <f t="shared" si="884"/>
        <v>0</v>
      </c>
      <c r="O1001" s="108">
        <f t="shared" si="884"/>
        <v>0</v>
      </c>
      <c r="P1001" s="108">
        <f t="shared" si="884"/>
        <v>0</v>
      </c>
      <c r="Q1001" s="108">
        <f t="shared" si="884"/>
        <v>0</v>
      </c>
      <c r="R1001" s="108">
        <f t="shared" si="884"/>
        <v>0</v>
      </c>
      <c r="S1001" s="108">
        <f t="shared" si="884"/>
        <v>0</v>
      </c>
      <c r="T1001" s="28" t="s">
        <v>26</v>
      </c>
      <c r="V1001" s="104" t="str">
        <f>$V$83</f>
        <v>-</v>
      </c>
      <c r="W1001" s="108">
        <f t="shared" si="839"/>
        <v>-1</v>
      </c>
      <c r="X1001" s="108">
        <f t="shared" si="840"/>
        <v>-1</v>
      </c>
      <c r="Y1001" s="108">
        <f t="shared" si="841"/>
        <v>-1</v>
      </c>
      <c r="Z1001" s="108">
        <f t="shared" si="842"/>
        <v>-1</v>
      </c>
      <c r="AA1001" s="108">
        <f t="shared" si="843"/>
        <v>-1</v>
      </c>
      <c r="AB1001" s="108">
        <f t="shared" si="844"/>
        <v>-1</v>
      </c>
      <c r="AC1001" s="108">
        <f t="shared" si="845"/>
        <v>-1</v>
      </c>
      <c r="AD1001" s="108">
        <f t="shared" si="846"/>
        <v>-1</v>
      </c>
      <c r="AE1001" s="108">
        <f t="shared" si="847"/>
        <v>-1</v>
      </c>
      <c r="AF1001" s="108">
        <f t="shared" si="848"/>
        <v>-1</v>
      </c>
      <c r="AG1001" s="108">
        <f t="shared" si="849"/>
        <v>-1</v>
      </c>
      <c r="AH1001" s="108">
        <f t="shared" si="850"/>
        <v>-1</v>
      </c>
      <c r="AI1001" s="108">
        <f t="shared" si="851"/>
        <v>-1</v>
      </c>
      <c r="AJ1001" s="108">
        <f t="shared" si="852"/>
        <v>-1</v>
      </c>
      <c r="AK1001" s="108">
        <f t="shared" si="853"/>
        <v>-1</v>
      </c>
      <c r="AL1001" s="108">
        <f t="shared" si="854"/>
        <v>-1</v>
      </c>
    </row>
    <row r="1002" spans="3:38" x14ac:dyDescent="0.55000000000000004">
      <c r="C1002" s="104" t="str">
        <f>$V$84</f>
        <v>-</v>
      </c>
      <c r="D1002" s="108">
        <f t="shared" ref="D1002:S1002" si="885">D84</f>
        <v>0</v>
      </c>
      <c r="E1002" s="108">
        <f t="shared" si="885"/>
        <v>0</v>
      </c>
      <c r="F1002" s="108">
        <f t="shared" si="885"/>
        <v>0</v>
      </c>
      <c r="G1002" s="108">
        <f t="shared" si="885"/>
        <v>0</v>
      </c>
      <c r="H1002" s="108">
        <f t="shared" si="885"/>
        <v>0</v>
      </c>
      <c r="I1002" s="108">
        <f t="shared" si="885"/>
        <v>0</v>
      </c>
      <c r="J1002" s="108">
        <f t="shared" si="885"/>
        <v>0</v>
      </c>
      <c r="K1002" s="108">
        <f t="shared" si="885"/>
        <v>0</v>
      </c>
      <c r="L1002" s="108">
        <f t="shared" si="885"/>
        <v>0</v>
      </c>
      <c r="M1002" s="108">
        <f t="shared" si="885"/>
        <v>0</v>
      </c>
      <c r="N1002" s="108">
        <f t="shared" si="885"/>
        <v>0</v>
      </c>
      <c r="O1002" s="108">
        <f t="shared" si="885"/>
        <v>0</v>
      </c>
      <c r="P1002" s="108">
        <f t="shared" si="885"/>
        <v>0</v>
      </c>
      <c r="Q1002" s="108">
        <f t="shared" si="885"/>
        <v>0</v>
      </c>
      <c r="R1002" s="108">
        <f t="shared" si="885"/>
        <v>0</v>
      </c>
      <c r="S1002" s="108">
        <f t="shared" si="885"/>
        <v>0</v>
      </c>
      <c r="T1002" s="28" t="s">
        <v>26</v>
      </c>
      <c r="V1002" s="104" t="str">
        <f>$V$84</f>
        <v>-</v>
      </c>
      <c r="W1002" s="108">
        <f t="shared" si="839"/>
        <v>-1</v>
      </c>
      <c r="X1002" s="108">
        <f t="shared" si="840"/>
        <v>-1</v>
      </c>
      <c r="Y1002" s="108">
        <f t="shared" si="841"/>
        <v>-1</v>
      </c>
      <c r="Z1002" s="108">
        <f t="shared" si="842"/>
        <v>-1</v>
      </c>
      <c r="AA1002" s="108">
        <f t="shared" si="843"/>
        <v>-1</v>
      </c>
      <c r="AB1002" s="108">
        <f t="shared" si="844"/>
        <v>-1</v>
      </c>
      <c r="AC1002" s="108">
        <f t="shared" si="845"/>
        <v>-1</v>
      </c>
      <c r="AD1002" s="108">
        <f t="shared" si="846"/>
        <v>-1</v>
      </c>
      <c r="AE1002" s="108">
        <f t="shared" si="847"/>
        <v>-1</v>
      </c>
      <c r="AF1002" s="108">
        <f t="shared" si="848"/>
        <v>-1</v>
      </c>
      <c r="AG1002" s="108">
        <f t="shared" si="849"/>
        <v>-1</v>
      </c>
      <c r="AH1002" s="108">
        <f t="shared" si="850"/>
        <v>-1</v>
      </c>
      <c r="AI1002" s="108">
        <f t="shared" si="851"/>
        <v>-1</v>
      </c>
      <c r="AJ1002" s="108">
        <f t="shared" si="852"/>
        <v>-1</v>
      </c>
      <c r="AK1002" s="108">
        <f t="shared" si="853"/>
        <v>-1</v>
      </c>
      <c r="AL1002" s="108">
        <f t="shared" si="854"/>
        <v>-1</v>
      </c>
    </row>
    <row r="1003" spans="3:38" x14ac:dyDescent="0.55000000000000004">
      <c r="C1003" s="104" t="str">
        <f>$V$85</f>
        <v>-</v>
      </c>
      <c r="D1003" s="108">
        <f t="shared" ref="D1003:S1003" si="886">D85</f>
        <v>0</v>
      </c>
      <c r="E1003" s="108">
        <f t="shared" si="886"/>
        <v>0</v>
      </c>
      <c r="F1003" s="108">
        <f t="shared" si="886"/>
        <v>0</v>
      </c>
      <c r="G1003" s="108">
        <f t="shared" si="886"/>
        <v>0</v>
      </c>
      <c r="H1003" s="108">
        <f t="shared" si="886"/>
        <v>0</v>
      </c>
      <c r="I1003" s="108">
        <f t="shared" si="886"/>
        <v>0</v>
      </c>
      <c r="J1003" s="108">
        <f t="shared" si="886"/>
        <v>0</v>
      </c>
      <c r="K1003" s="108">
        <f t="shared" si="886"/>
        <v>0</v>
      </c>
      <c r="L1003" s="108">
        <f t="shared" si="886"/>
        <v>0</v>
      </c>
      <c r="M1003" s="108">
        <f t="shared" si="886"/>
        <v>0</v>
      </c>
      <c r="N1003" s="108">
        <f t="shared" si="886"/>
        <v>0</v>
      </c>
      <c r="O1003" s="108">
        <f t="shared" si="886"/>
        <v>0</v>
      </c>
      <c r="P1003" s="108">
        <f t="shared" si="886"/>
        <v>0</v>
      </c>
      <c r="Q1003" s="108">
        <f t="shared" si="886"/>
        <v>0</v>
      </c>
      <c r="R1003" s="108">
        <f t="shared" si="886"/>
        <v>0</v>
      </c>
      <c r="S1003" s="108">
        <f t="shared" si="886"/>
        <v>0</v>
      </c>
      <c r="T1003" s="28" t="s">
        <v>26</v>
      </c>
      <c r="V1003" s="104" t="str">
        <f>$V$85</f>
        <v>-</v>
      </c>
      <c r="W1003" s="108">
        <f t="shared" si="839"/>
        <v>-1</v>
      </c>
      <c r="X1003" s="108">
        <f t="shared" si="840"/>
        <v>-1</v>
      </c>
      <c r="Y1003" s="108">
        <f t="shared" si="841"/>
        <v>-1</v>
      </c>
      <c r="Z1003" s="108">
        <f t="shared" si="842"/>
        <v>-1</v>
      </c>
      <c r="AA1003" s="108">
        <f t="shared" si="843"/>
        <v>-1</v>
      </c>
      <c r="AB1003" s="108">
        <f t="shared" si="844"/>
        <v>-1</v>
      </c>
      <c r="AC1003" s="108">
        <f t="shared" si="845"/>
        <v>-1</v>
      </c>
      <c r="AD1003" s="108">
        <f t="shared" si="846"/>
        <v>-1</v>
      </c>
      <c r="AE1003" s="108">
        <f t="shared" si="847"/>
        <v>-1</v>
      </c>
      <c r="AF1003" s="108">
        <f t="shared" si="848"/>
        <v>-1</v>
      </c>
      <c r="AG1003" s="108">
        <f t="shared" si="849"/>
        <v>-1</v>
      </c>
      <c r="AH1003" s="108">
        <f t="shared" si="850"/>
        <v>-1</v>
      </c>
      <c r="AI1003" s="108">
        <f t="shared" si="851"/>
        <v>-1</v>
      </c>
      <c r="AJ1003" s="108">
        <f t="shared" si="852"/>
        <v>-1</v>
      </c>
      <c r="AK1003" s="108">
        <f t="shared" si="853"/>
        <v>-1</v>
      </c>
      <c r="AL1003" s="108">
        <f t="shared" si="854"/>
        <v>-1</v>
      </c>
    </row>
    <row r="1004" spans="3:38" x14ac:dyDescent="0.55000000000000004">
      <c r="C1004" s="104" t="str">
        <f>$V$86</f>
        <v>-</v>
      </c>
      <c r="D1004" s="108">
        <f t="shared" ref="D1004:S1004" si="887">D86</f>
        <v>0</v>
      </c>
      <c r="E1004" s="108">
        <f t="shared" si="887"/>
        <v>0</v>
      </c>
      <c r="F1004" s="108">
        <f t="shared" si="887"/>
        <v>0</v>
      </c>
      <c r="G1004" s="108">
        <f t="shared" si="887"/>
        <v>0</v>
      </c>
      <c r="H1004" s="108">
        <f t="shared" si="887"/>
        <v>0</v>
      </c>
      <c r="I1004" s="108">
        <f t="shared" si="887"/>
        <v>0</v>
      </c>
      <c r="J1004" s="108">
        <f t="shared" si="887"/>
        <v>0</v>
      </c>
      <c r="K1004" s="108">
        <f t="shared" si="887"/>
        <v>0</v>
      </c>
      <c r="L1004" s="108">
        <f t="shared" si="887"/>
        <v>0</v>
      </c>
      <c r="M1004" s="108">
        <f t="shared" si="887"/>
        <v>0</v>
      </c>
      <c r="N1004" s="108">
        <f t="shared" si="887"/>
        <v>0</v>
      </c>
      <c r="O1004" s="108">
        <f t="shared" si="887"/>
        <v>0</v>
      </c>
      <c r="P1004" s="108">
        <f t="shared" si="887"/>
        <v>0</v>
      </c>
      <c r="Q1004" s="108">
        <f t="shared" si="887"/>
        <v>0</v>
      </c>
      <c r="R1004" s="108">
        <f t="shared" si="887"/>
        <v>0</v>
      </c>
      <c r="S1004" s="108">
        <f t="shared" si="887"/>
        <v>0</v>
      </c>
      <c r="T1004" s="28" t="s">
        <v>26</v>
      </c>
      <c r="V1004" s="104" t="str">
        <f>$V$86</f>
        <v>-</v>
      </c>
      <c r="W1004" s="108">
        <f t="shared" si="839"/>
        <v>-1</v>
      </c>
      <c r="X1004" s="108">
        <f t="shared" si="840"/>
        <v>-1</v>
      </c>
      <c r="Y1004" s="108">
        <f t="shared" si="841"/>
        <v>-1</v>
      </c>
      <c r="Z1004" s="108">
        <f t="shared" si="842"/>
        <v>-1</v>
      </c>
      <c r="AA1004" s="108">
        <f t="shared" si="843"/>
        <v>-1</v>
      </c>
      <c r="AB1004" s="108">
        <f t="shared" si="844"/>
        <v>-1</v>
      </c>
      <c r="AC1004" s="108">
        <f t="shared" si="845"/>
        <v>-1</v>
      </c>
      <c r="AD1004" s="108">
        <f t="shared" si="846"/>
        <v>-1</v>
      </c>
      <c r="AE1004" s="108">
        <f t="shared" si="847"/>
        <v>-1</v>
      </c>
      <c r="AF1004" s="108">
        <f t="shared" si="848"/>
        <v>-1</v>
      </c>
      <c r="AG1004" s="108">
        <f t="shared" si="849"/>
        <v>-1</v>
      </c>
      <c r="AH1004" s="108">
        <f t="shared" si="850"/>
        <v>-1</v>
      </c>
      <c r="AI1004" s="108">
        <f t="shared" si="851"/>
        <v>-1</v>
      </c>
      <c r="AJ1004" s="108">
        <f t="shared" si="852"/>
        <v>-1</v>
      </c>
      <c r="AK1004" s="108">
        <f t="shared" si="853"/>
        <v>-1</v>
      </c>
      <c r="AL1004" s="108">
        <f t="shared" si="854"/>
        <v>-1</v>
      </c>
    </row>
    <row r="1005" spans="3:38" x14ac:dyDescent="0.55000000000000004">
      <c r="C1005" s="104" t="str">
        <f>$V$87</f>
        <v>-</v>
      </c>
      <c r="D1005" s="108">
        <f t="shared" ref="D1005:S1005" si="888">D87</f>
        <v>0</v>
      </c>
      <c r="E1005" s="108">
        <f t="shared" si="888"/>
        <v>0</v>
      </c>
      <c r="F1005" s="108">
        <f t="shared" si="888"/>
        <v>0</v>
      </c>
      <c r="G1005" s="108">
        <f t="shared" si="888"/>
        <v>0</v>
      </c>
      <c r="H1005" s="108">
        <f t="shared" si="888"/>
        <v>0</v>
      </c>
      <c r="I1005" s="108">
        <f t="shared" si="888"/>
        <v>0</v>
      </c>
      <c r="J1005" s="108">
        <f t="shared" si="888"/>
        <v>0</v>
      </c>
      <c r="K1005" s="108">
        <f t="shared" si="888"/>
        <v>0</v>
      </c>
      <c r="L1005" s="108">
        <f t="shared" si="888"/>
        <v>0</v>
      </c>
      <c r="M1005" s="108">
        <f t="shared" si="888"/>
        <v>0</v>
      </c>
      <c r="N1005" s="108">
        <f t="shared" si="888"/>
        <v>0</v>
      </c>
      <c r="O1005" s="108">
        <f t="shared" si="888"/>
        <v>0</v>
      </c>
      <c r="P1005" s="108">
        <f t="shared" si="888"/>
        <v>0</v>
      </c>
      <c r="Q1005" s="108">
        <f t="shared" si="888"/>
        <v>0</v>
      </c>
      <c r="R1005" s="108">
        <f t="shared" si="888"/>
        <v>0</v>
      </c>
      <c r="S1005" s="108">
        <f t="shared" si="888"/>
        <v>0</v>
      </c>
      <c r="T1005" s="28" t="s">
        <v>26</v>
      </c>
      <c r="V1005" s="104" t="str">
        <f>$V$87</f>
        <v>-</v>
      </c>
      <c r="W1005" s="108">
        <f t="shared" si="839"/>
        <v>-1</v>
      </c>
      <c r="X1005" s="108">
        <f t="shared" si="840"/>
        <v>-1</v>
      </c>
      <c r="Y1005" s="108">
        <f t="shared" si="841"/>
        <v>-1</v>
      </c>
      <c r="Z1005" s="108">
        <f t="shared" si="842"/>
        <v>-1</v>
      </c>
      <c r="AA1005" s="108">
        <f t="shared" si="843"/>
        <v>-1</v>
      </c>
      <c r="AB1005" s="108">
        <f t="shared" si="844"/>
        <v>-1</v>
      </c>
      <c r="AC1005" s="108">
        <f t="shared" si="845"/>
        <v>-1</v>
      </c>
      <c r="AD1005" s="108">
        <f t="shared" si="846"/>
        <v>-1</v>
      </c>
      <c r="AE1005" s="108">
        <f t="shared" si="847"/>
        <v>-1</v>
      </c>
      <c r="AF1005" s="108">
        <f t="shared" si="848"/>
        <v>-1</v>
      </c>
      <c r="AG1005" s="108">
        <f t="shared" si="849"/>
        <v>-1</v>
      </c>
      <c r="AH1005" s="108">
        <f t="shared" si="850"/>
        <v>-1</v>
      </c>
      <c r="AI1005" s="108">
        <f t="shared" si="851"/>
        <v>-1</v>
      </c>
      <c r="AJ1005" s="108">
        <f t="shared" si="852"/>
        <v>-1</v>
      </c>
      <c r="AK1005" s="108">
        <f t="shared" si="853"/>
        <v>-1</v>
      </c>
      <c r="AL1005" s="108">
        <f t="shared" si="854"/>
        <v>-1</v>
      </c>
    </row>
    <row r="1006" spans="3:38" x14ac:dyDescent="0.55000000000000004">
      <c r="C1006" s="104" t="str">
        <f>$V$88</f>
        <v>-</v>
      </c>
      <c r="D1006" s="108">
        <f t="shared" ref="D1006:S1006" si="889">D88</f>
        <v>0</v>
      </c>
      <c r="E1006" s="108">
        <f t="shared" si="889"/>
        <v>0</v>
      </c>
      <c r="F1006" s="108">
        <f t="shared" si="889"/>
        <v>0</v>
      </c>
      <c r="G1006" s="108">
        <f t="shared" si="889"/>
        <v>0</v>
      </c>
      <c r="H1006" s="108">
        <f t="shared" si="889"/>
        <v>0</v>
      </c>
      <c r="I1006" s="108">
        <f t="shared" si="889"/>
        <v>0</v>
      </c>
      <c r="J1006" s="108">
        <f t="shared" si="889"/>
        <v>0</v>
      </c>
      <c r="K1006" s="108">
        <f t="shared" si="889"/>
        <v>0</v>
      </c>
      <c r="L1006" s="108">
        <f t="shared" si="889"/>
        <v>0</v>
      </c>
      <c r="M1006" s="108">
        <f t="shared" si="889"/>
        <v>0</v>
      </c>
      <c r="N1006" s="108">
        <f t="shared" si="889"/>
        <v>0</v>
      </c>
      <c r="O1006" s="108">
        <f t="shared" si="889"/>
        <v>0</v>
      </c>
      <c r="P1006" s="108">
        <f t="shared" si="889"/>
        <v>0</v>
      </c>
      <c r="Q1006" s="108">
        <f t="shared" si="889"/>
        <v>0</v>
      </c>
      <c r="R1006" s="108">
        <f t="shared" si="889"/>
        <v>0</v>
      </c>
      <c r="S1006" s="108">
        <f t="shared" si="889"/>
        <v>0</v>
      </c>
      <c r="T1006" s="28" t="s">
        <v>26</v>
      </c>
      <c r="V1006" s="104" t="str">
        <f>$V$88</f>
        <v>-</v>
      </c>
      <c r="W1006" s="108">
        <f t="shared" si="839"/>
        <v>-1</v>
      </c>
      <c r="X1006" s="108">
        <f t="shared" si="840"/>
        <v>-1</v>
      </c>
      <c r="Y1006" s="108">
        <f t="shared" si="841"/>
        <v>-1</v>
      </c>
      <c r="Z1006" s="108">
        <f t="shared" si="842"/>
        <v>-1</v>
      </c>
      <c r="AA1006" s="108">
        <f t="shared" si="843"/>
        <v>-1</v>
      </c>
      <c r="AB1006" s="108">
        <f t="shared" si="844"/>
        <v>-1</v>
      </c>
      <c r="AC1006" s="108">
        <f t="shared" si="845"/>
        <v>-1</v>
      </c>
      <c r="AD1006" s="108">
        <f t="shared" si="846"/>
        <v>-1</v>
      </c>
      <c r="AE1006" s="108">
        <f t="shared" si="847"/>
        <v>-1</v>
      </c>
      <c r="AF1006" s="108">
        <f t="shared" si="848"/>
        <v>-1</v>
      </c>
      <c r="AG1006" s="108">
        <f t="shared" si="849"/>
        <v>-1</v>
      </c>
      <c r="AH1006" s="108">
        <f t="shared" si="850"/>
        <v>-1</v>
      </c>
      <c r="AI1006" s="108">
        <f t="shared" si="851"/>
        <v>-1</v>
      </c>
      <c r="AJ1006" s="108">
        <f t="shared" si="852"/>
        <v>-1</v>
      </c>
      <c r="AK1006" s="108">
        <f t="shared" si="853"/>
        <v>-1</v>
      </c>
      <c r="AL1006" s="108">
        <f t="shared" si="854"/>
        <v>-1</v>
      </c>
    </row>
    <row r="1007" spans="3:38" x14ac:dyDescent="0.55000000000000004">
      <c r="C1007" s="104" t="str">
        <f>$V$89</f>
        <v>-</v>
      </c>
      <c r="D1007" s="108">
        <f t="shared" ref="D1007:S1007" si="890">D89</f>
        <v>0</v>
      </c>
      <c r="E1007" s="108">
        <f t="shared" si="890"/>
        <v>0</v>
      </c>
      <c r="F1007" s="108">
        <f t="shared" si="890"/>
        <v>0</v>
      </c>
      <c r="G1007" s="108">
        <f t="shared" si="890"/>
        <v>0</v>
      </c>
      <c r="H1007" s="108">
        <f t="shared" si="890"/>
        <v>0</v>
      </c>
      <c r="I1007" s="108">
        <f t="shared" si="890"/>
        <v>0</v>
      </c>
      <c r="J1007" s="108">
        <f t="shared" si="890"/>
        <v>0</v>
      </c>
      <c r="K1007" s="108">
        <f t="shared" si="890"/>
        <v>0</v>
      </c>
      <c r="L1007" s="108">
        <f t="shared" si="890"/>
        <v>0</v>
      </c>
      <c r="M1007" s="108">
        <f t="shared" si="890"/>
        <v>0</v>
      </c>
      <c r="N1007" s="108">
        <f t="shared" si="890"/>
        <v>0</v>
      </c>
      <c r="O1007" s="108">
        <f t="shared" si="890"/>
        <v>0</v>
      </c>
      <c r="P1007" s="108">
        <f t="shared" si="890"/>
        <v>0</v>
      </c>
      <c r="Q1007" s="108">
        <f t="shared" si="890"/>
        <v>0</v>
      </c>
      <c r="R1007" s="108">
        <f t="shared" si="890"/>
        <v>0</v>
      </c>
      <c r="S1007" s="108">
        <f t="shared" si="890"/>
        <v>0</v>
      </c>
      <c r="T1007" s="28" t="s">
        <v>26</v>
      </c>
      <c r="V1007" s="104" t="str">
        <f>$V$89</f>
        <v>-</v>
      </c>
      <c r="W1007" s="108">
        <f t="shared" si="839"/>
        <v>-1</v>
      </c>
      <c r="X1007" s="108">
        <f t="shared" si="840"/>
        <v>-1</v>
      </c>
      <c r="Y1007" s="108">
        <f t="shared" si="841"/>
        <v>-1</v>
      </c>
      <c r="Z1007" s="108">
        <f t="shared" si="842"/>
        <v>-1</v>
      </c>
      <c r="AA1007" s="108">
        <f t="shared" si="843"/>
        <v>-1</v>
      </c>
      <c r="AB1007" s="108">
        <f t="shared" si="844"/>
        <v>-1</v>
      </c>
      <c r="AC1007" s="108">
        <f t="shared" si="845"/>
        <v>-1</v>
      </c>
      <c r="AD1007" s="108">
        <f t="shared" si="846"/>
        <v>-1</v>
      </c>
      <c r="AE1007" s="108">
        <f t="shared" si="847"/>
        <v>-1</v>
      </c>
      <c r="AF1007" s="108">
        <f t="shared" si="848"/>
        <v>-1</v>
      </c>
      <c r="AG1007" s="108">
        <f t="shared" si="849"/>
        <v>-1</v>
      </c>
      <c r="AH1007" s="108">
        <f t="shared" si="850"/>
        <v>-1</v>
      </c>
      <c r="AI1007" s="108">
        <f t="shared" si="851"/>
        <v>-1</v>
      </c>
      <c r="AJ1007" s="108">
        <f t="shared" si="852"/>
        <v>-1</v>
      </c>
      <c r="AK1007" s="108">
        <f t="shared" si="853"/>
        <v>-1</v>
      </c>
      <c r="AL1007" s="108">
        <f t="shared" si="854"/>
        <v>-1</v>
      </c>
    </row>
    <row r="1008" spans="3:38" x14ac:dyDescent="0.55000000000000004">
      <c r="C1008" s="104" t="str">
        <f>$V$90</f>
        <v>-</v>
      </c>
      <c r="D1008" s="108">
        <f t="shared" ref="D1008:S1008" si="891">D90</f>
        <v>0</v>
      </c>
      <c r="E1008" s="108">
        <f t="shared" si="891"/>
        <v>0</v>
      </c>
      <c r="F1008" s="108">
        <f t="shared" si="891"/>
        <v>0</v>
      </c>
      <c r="G1008" s="108">
        <f t="shared" si="891"/>
        <v>0</v>
      </c>
      <c r="H1008" s="108">
        <f t="shared" si="891"/>
        <v>0</v>
      </c>
      <c r="I1008" s="108">
        <f t="shared" si="891"/>
        <v>0</v>
      </c>
      <c r="J1008" s="108">
        <f t="shared" si="891"/>
        <v>0</v>
      </c>
      <c r="K1008" s="108">
        <f t="shared" si="891"/>
        <v>0</v>
      </c>
      <c r="L1008" s="108">
        <f t="shared" si="891"/>
        <v>0</v>
      </c>
      <c r="M1008" s="108">
        <f t="shared" si="891"/>
        <v>0</v>
      </c>
      <c r="N1008" s="108">
        <f t="shared" si="891"/>
        <v>0</v>
      </c>
      <c r="O1008" s="108">
        <f t="shared" si="891"/>
        <v>0</v>
      </c>
      <c r="P1008" s="108">
        <f t="shared" si="891"/>
        <v>0</v>
      </c>
      <c r="Q1008" s="108">
        <f t="shared" si="891"/>
        <v>0</v>
      </c>
      <c r="R1008" s="108">
        <f t="shared" si="891"/>
        <v>0</v>
      </c>
      <c r="S1008" s="108">
        <f t="shared" si="891"/>
        <v>0</v>
      </c>
      <c r="T1008" s="28" t="s">
        <v>26</v>
      </c>
      <c r="V1008" s="104" t="str">
        <f>$V$90</f>
        <v>-</v>
      </c>
      <c r="W1008" s="108">
        <f t="shared" si="839"/>
        <v>-1</v>
      </c>
      <c r="X1008" s="108">
        <f t="shared" si="840"/>
        <v>-1</v>
      </c>
      <c r="Y1008" s="108">
        <f t="shared" si="841"/>
        <v>-1</v>
      </c>
      <c r="Z1008" s="108">
        <f t="shared" si="842"/>
        <v>-1</v>
      </c>
      <c r="AA1008" s="108">
        <f t="shared" si="843"/>
        <v>-1</v>
      </c>
      <c r="AB1008" s="108">
        <f t="shared" si="844"/>
        <v>-1</v>
      </c>
      <c r="AC1008" s="108">
        <f t="shared" si="845"/>
        <v>-1</v>
      </c>
      <c r="AD1008" s="108">
        <f t="shared" si="846"/>
        <v>-1</v>
      </c>
      <c r="AE1008" s="108">
        <f t="shared" si="847"/>
        <v>-1</v>
      </c>
      <c r="AF1008" s="108">
        <f t="shared" si="848"/>
        <v>-1</v>
      </c>
      <c r="AG1008" s="108">
        <f t="shared" si="849"/>
        <v>-1</v>
      </c>
      <c r="AH1008" s="108">
        <f t="shared" si="850"/>
        <v>-1</v>
      </c>
      <c r="AI1008" s="108">
        <f t="shared" si="851"/>
        <v>-1</v>
      </c>
      <c r="AJ1008" s="108">
        <f t="shared" si="852"/>
        <v>-1</v>
      </c>
      <c r="AK1008" s="108">
        <f t="shared" si="853"/>
        <v>-1</v>
      </c>
      <c r="AL1008" s="108">
        <f t="shared" si="854"/>
        <v>-1</v>
      </c>
    </row>
    <row r="1009" spans="3:38" x14ac:dyDescent="0.55000000000000004">
      <c r="C1009" s="104" t="str">
        <f>$V$91</f>
        <v>-</v>
      </c>
      <c r="D1009" s="108">
        <f t="shared" ref="D1009:S1009" si="892">D91</f>
        <v>0</v>
      </c>
      <c r="E1009" s="108">
        <f t="shared" si="892"/>
        <v>0</v>
      </c>
      <c r="F1009" s="108">
        <f t="shared" si="892"/>
        <v>0</v>
      </c>
      <c r="G1009" s="108">
        <f t="shared" si="892"/>
        <v>0</v>
      </c>
      <c r="H1009" s="108">
        <f t="shared" si="892"/>
        <v>0</v>
      </c>
      <c r="I1009" s="108">
        <f t="shared" si="892"/>
        <v>0</v>
      </c>
      <c r="J1009" s="108">
        <f t="shared" si="892"/>
        <v>0</v>
      </c>
      <c r="K1009" s="108">
        <f t="shared" si="892"/>
        <v>0</v>
      </c>
      <c r="L1009" s="108">
        <f t="shared" si="892"/>
        <v>0</v>
      </c>
      <c r="M1009" s="108">
        <f t="shared" si="892"/>
        <v>0</v>
      </c>
      <c r="N1009" s="108">
        <f t="shared" si="892"/>
        <v>0</v>
      </c>
      <c r="O1009" s="108">
        <f t="shared" si="892"/>
        <v>0</v>
      </c>
      <c r="P1009" s="108">
        <f t="shared" si="892"/>
        <v>0</v>
      </c>
      <c r="Q1009" s="108">
        <f t="shared" si="892"/>
        <v>0</v>
      </c>
      <c r="R1009" s="108">
        <f t="shared" si="892"/>
        <v>0</v>
      </c>
      <c r="S1009" s="108">
        <f t="shared" si="892"/>
        <v>0</v>
      </c>
      <c r="T1009" s="28" t="s">
        <v>26</v>
      </c>
      <c r="V1009" s="104" t="str">
        <f>$V$91</f>
        <v>-</v>
      </c>
      <c r="W1009" s="108">
        <f t="shared" si="839"/>
        <v>-1</v>
      </c>
      <c r="X1009" s="108">
        <f t="shared" si="840"/>
        <v>-1</v>
      </c>
      <c r="Y1009" s="108">
        <f t="shared" si="841"/>
        <v>-1</v>
      </c>
      <c r="Z1009" s="108">
        <f t="shared" si="842"/>
        <v>-1</v>
      </c>
      <c r="AA1009" s="108">
        <f t="shared" si="843"/>
        <v>-1</v>
      </c>
      <c r="AB1009" s="108">
        <f t="shared" si="844"/>
        <v>-1</v>
      </c>
      <c r="AC1009" s="108">
        <f t="shared" si="845"/>
        <v>-1</v>
      </c>
      <c r="AD1009" s="108">
        <f t="shared" si="846"/>
        <v>-1</v>
      </c>
      <c r="AE1009" s="108">
        <f t="shared" si="847"/>
        <v>-1</v>
      </c>
      <c r="AF1009" s="108">
        <f t="shared" si="848"/>
        <v>-1</v>
      </c>
      <c r="AG1009" s="108">
        <f t="shared" si="849"/>
        <v>-1</v>
      </c>
      <c r="AH1009" s="108">
        <f t="shared" si="850"/>
        <v>-1</v>
      </c>
      <c r="AI1009" s="108">
        <f t="shared" si="851"/>
        <v>-1</v>
      </c>
      <c r="AJ1009" s="108">
        <f t="shared" si="852"/>
        <v>-1</v>
      </c>
      <c r="AK1009" s="108">
        <f t="shared" si="853"/>
        <v>-1</v>
      </c>
      <c r="AL1009" s="108">
        <f t="shared" si="854"/>
        <v>-1</v>
      </c>
    </row>
    <row r="1010" spans="3:38" x14ac:dyDescent="0.55000000000000004">
      <c r="C1010" s="104" t="str">
        <f>$V$92</f>
        <v>-</v>
      </c>
      <c r="D1010" s="108">
        <f t="shared" ref="D1010:S1010" si="893">D92</f>
        <v>0</v>
      </c>
      <c r="E1010" s="108">
        <f t="shared" si="893"/>
        <v>0</v>
      </c>
      <c r="F1010" s="108">
        <f t="shared" si="893"/>
        <v>0</v>
      </c>
      <c r="G1010" s="108">
        <f t="shared" si="893"/>
        <v>0</v>
      </c>
      <c r="H1010" s="108">
        <f t="shared" si="893"/>
        <v>0</v>
      </c>
      <c r="I1010" s="108">
        <f t="shared" si="893"/>
        <v>0</v>
      </c>
      <c r="J1010" s="108">
        <f t="shared" si="893"/>
        <v>0</v>
      </c>
      <c r="K1010" s="108">
        <f t="shared" si="893"/>
        <v>0</v>
      </c>
      <c r="L1010" s="108">
        <f t="shared" si="893"/>
        <v>0</v>
      </c>
      <c r="M1010" s="108">
        <f t="shared" si="893"/>
        <v>0</v>
      </c>
      <c r="N1010" s="108">
        <f t="shared" si="893"/>
        <v>0</v>
      </c>
      <c r="O1010" s="108">
        <f t="shared" si="893"/>
        <v>0</v>
      </c>
      <c r="P1010" s="108">
        <f t="shared" si="893"/>
        <v>0</v>
      </c>
      <c r="Q1010" s="108">
        <f t="shared" si="893"/>
        <v>0</v>
      </c>
      <c r="R1010" s="108">
        <f t="shared" si="893"/>
        <v>0</v>
      </c>
      <c r="S1010" s="108">
        <f t="shared" si="893"/>
        <v>0</v>
      </c>
      <c r="T1010" s="28" t="s">
        <v>26</v>
      </c>
      <c r="V1010" s="104" t="str">
        <f>$V$92</f>
        <v>-</v>
      </c>
      <c r="W1010" s="108">
        <f t="shared" si="839"/>
        <v>-1</v>
      </c>
      <c r="X1010" s="108">
        <f t="shared" si="840"/>
        <v>-1</v>
      </c>
      <c r="Y1010" s="108">
        <f t="shared" si="841"/>
        <v>-1</v>
      </c>
      <c r="Z1010" s="108">
        <f t="shared" si="842"/>
        <v>-1</v>
      </c>
      <c r="AA1010" s="108">
        <f t="shared" si="843"/>
        <v>-1</v>
      </c>
      <c r="AB1010" s="108">
        <f t="shared" si="844"/>
        <v>-1</v>
      </c>
      <c r="AC1010" s="108">
        <f t="shared" si="845"/>
        <v>-1</v>
      </c>
      <c r="AD1010" s="108">
        <f t="shared" si="846"/>
        <v>-1</v>
      </c>
      <c r="AE1010" s="108">
        <f t="shared" si="847"/>
        <v>-1</v>
      </c>
      <c r="AF1010" s="108">
        <f t="shared" si="848"/>
        <v>-1</v>
      </c>
      <c r="AG1010" s="108">
        <f t="shared" si="849"/>
        <v>-1</v>
      </c>
      <c r="AH1010" s="108">
        <f t="shared" si="850"/>
        <v>-1</v>
      </c>
      <c r="AI1010" s="108">
        <f t="shared" si="851"/>
        <v>-1</v>
      </c>
      <c r="AJ1010" s="108">
        <f t="shared" si="852"/>
        <v>-1</v>
      </c>
      <c r="AK1010" s="108">
        <f t="shared" si="853"/>
        <v>-1</v>
      </c>
      <c r="AL1010" s="108">
        <f t="shared" si="854"/>
        <v>-1</v>
      </c>
    </row>
    <row r="1014" spans="3:38" x14ac:dyDescent="0.55000000000000004">
      <c r="C1014" s="104" t="str">
        <f>$BK$604</f>
        <v>Dummy 3</v>
      </c>
      <c r="D1014" s="104" t="str">
        <f>$W$33</f>
        <v>16h</v>
      </c>
      <c r="E1014" s="104" t="str">
        <f>$X$33</f>
        <v>17h</v>
      </c>
      <c r="F1014" s="104" t="str">
        <f>$Y$33</f>
        <v>18h</v>
      </c>
      <c r="G1014" s="104" t="str">
        <f>$Z$33</f>
        <v>19h</v>
      </c>
      <c r="H1014" s="104" t="str">
        <f>$AA$33</f>
        <v>20h</v>
      </c>
      <c r="I1014" s="104" t="str">
        <f>$AB$33</f>
        <v>21h</v>
      </c>
      <c r="J1014" s="104" t="str">
        <f>$AC$33</f>
        <v>22h</v>
      </c>
      <c r="K1014" s="104" t="str">
        <f>$AD$33</f>
        <v>23h</v>
      </c>
      <c r="L1014" s="104" t="str">
        <f>$AE$33</f>
        <v>00h</v>
      </c>
      <c r="M1014" s="104" t="str">
        <f>$AF$33</f>
        <v>01h</v>
      </c>
      <c r="N1014" s="104" t="str">
        <f>$AG$33</f>
        <v>02h</v>
      </c>
      <c r="O1014" s="104" t="str">
        <f>$AH$33</f>
        <v>03h</v>
      </c>
      <c r="P1014" s="104" t="str">
        <f>$AI$33</f>
        <v>04h</v>
      </c>
      <c r="Q1014" s="104" t="str">
        <f>$AJ$33</f>
        <v>05h</v>
      </c>
      <c r="R1014" s="104" t="str">
        <f>$AK$33</f>
        <v>06h</v>
      </c>
      <c r="S1014" s="104" t="str">
        <f>$AL$33</f>
        <v>07h</v>
      </c>
      <c r="V1014" s="104" t="str">
        <f>$BK$604</f>
        <v>Dummy 3</v>
      </c>
      <c r="W1014" s="104" t="str">
        <f>$W$33</f>
        <v>16h</v>
      </c>
      <c r="X1014" s="104" t="str">
        <f>$X$33</f>
        <v>17h</v>
      </c>
      <c r="Y1014" s="104" t="str">
        <f>$Y$33</f>
        <v>18h</v>
      </c>
      <c r="Z1014" s="104" t="str">
        <f>$Z$33</f>
        <v>19h</v>
      </c>
      <c r="AA1014" s="104" t="str">
        <f>$AA$33</f>
        <v>20h</v>
      </c>
      <c r="AB1014" s="104" t="str">
        <f>$AB$33</f>
        <v>21h</v>
      </c>
      <c r="AC1014" s="104" t="str">
        <f>$AC$33</f>
        <v>22h</v>
      </c>
      <c r="AD1014" s="104" t="str">
        <f>$AD$33</f>
        <v>23h</v>
      </c>
      <c r="AE1014" s="104" t="str">
        <f>$AE$33</f>
        <v>00h</v>
      </c>
      <c r="AF1014" s="104" t="str">
        <f>$AF$33</f>
        <v>01h</v>
      </c>
      <c r="AG1014" s="104" t="str">
        <f>$AG$33</f>
        <v>02h</v>
      </c>
      <c r="AH1014" s="104" t="str">
        <f>$AH$33</f>
        <v>03h</v>
      </c>
      <c r="AI1014" s="104" t="str">
        <f>$AI$33</f>
        <v>04h</v>
      </c>
      <c r="AJ1014" s="104" t="str">
        <f>$AJ$33</f>
        <v>05h</v>
      </c>
      <c r="AK1014" s="104" t="str">
        <f>$AK$33</f>
        <v>06h</v>
      </c>
      <c r="AL1014" s="104" t="str">
        <f>$AL$33</f>
        <v>07h</v>
      </c>
    </row>
    <row r="1015" spans="3:38" x14ac:dyDescent="0.55000000000000004">
      <c r="C1015" s="104" t="str">
        <f>$V$53</f>
        <v>Jennifer</v>
      </c>
      <c r="D1015" s="108">
        <f t="shared" ref="D1015:S1015" si="894">D53</f>
        <v>0</v>
      </c>
      <c r="E1015" s="108">
        <f t="shared" si="894"/>
        <v>0</v>
      </c>
      <c r="F1015" s="108">
        <f t="shared" si="894"/>
        <v>0</v>
      </c>
      <c r="G1015" s="108">
        <f t="shared" si="894"/>
        <v>0</v>
      </c>
      <c r="H1015" s="108">
        <f t="shared" si="894"/>
        <v>0</v>
      </c>
      <c r="I1015" s="108">
        <f t="shared" si="894"/>
        <v>0</v>
      </c>
      <c r="J1015" s="108">
        <f t="shared" si="894"/>
        <v>0</v>
      </c>
      <c r="K1015" s="108">
        <f t="shared" si="894"/>
        <v>0</v>
      </c>
      <c r="L1015" s="108">
        <f t="shared" si="894"/>
        <v>0</v>
      </c>
      <c r="M1015" s="108">
        <f t="shared" si="894"/>
        <v>0</v>
      </c>
      <c r="N1015" s="108">
        <f t="shared" si="894"/>
        <v>0</v>
      </c>
      <c r="O1015" s="108">
        <f t="shared" si="894"/>
        <v>0</v>
      </c>
      <c r="P1015" s="108">
        <f t="shared" si="894"/>
        <v>0</v>
      </c>
      <c r="Q1015" s="108">
        <f t="shared" si="894"/>
        <v>0</v>
      </c>
      <c r="R1015" s="108">
        <f t="shared" si="894"/>
        <v>0</v>
      </c>
      <c r="S1015" s="108">
        <f t="shared" si="894"/>
        <v>0</v>
      </c>
      <c r="T1015" s="28" t="s">
        <v>26</v>
      </c>
      <c r="V1015" s="104" t="str">
        <f>$V$53</f>
        <v>Jennifer</v>
      </c>
      <c r="W1015" s="108">
        <f t="shared" ref="W1015:W1054" si="895">AR554+AS554-1</f>
        <v>-1</v>
      </c>
      <c r="X1015" s="108">
        <f t="shared" ref="X1015:X1054" si="896">AS554+AT554-1</f>
        <v>-1</v>
      </c>
      <c r="Y1015" s="108">
        <f t="shared" ref="Y1015:Y1054" si="897">AT554+AU554-1</f>
        <v>-1</v>
      </c>
      <c r="Z1015" s="108">
        <f t="shared" ref="Z1015:Z1054" si="898">AU554+AV554-1</f>
        <v>-1</v>
      </c>
      <c r="AA1015" s="108">
        <f t="shared" ref="AA1015:AA1054" si="899">AV554+AW554-1</f>
        <v>-1</v>
      </c>
      <c r="AB1015" s="108">
        <f t="shared" ref="AB1015:AB1054" si="900">AW554+AX554-1</f>
        <v>-1</v>
      </c>
      <c r="AC1015" s="108">
        <f t="shared" ref="AC1015:AC1054" si="901">AX554+AY554-1</f>
        <v>-1</v>
      </c>
      <c r="AD1015" s="108">
        <f t="shared" ref="AD1015:AD1054" si="902">AY554+AZ554-1</f>
        <v>-1</v>
      </c>
      <c r="AE1015" s="108">
        <f t="shared" ref="AE1015:AE1054" si="903">AZ554+BA554-1</f>
        <v>-1</v>
      </c>
      <c r="AF1015" s="108">
        <f t="shared" ref="AF1015:AF1054" si="904">BA554+BB554-1</f>
        <v>-1</v>
      </c>
      <c r="AG1015" s="108">
        <f t="shared" ref="AG1015:AG1054" si="905">BB554+BC554-1</f>
        <v>-1</v>
      </c>
      <c r="AH1015" s="108">
        <f t="shared" ref="AH1015:AH1054" si="906">BC554+BD554-1</f>
        <v>-1</v>
      </c>
      <c r="AI1015" s="108">
        <f t="shared" ref="AI1015:AI1054" si="907">BD554+BE554-1</f>
        <v>-1</v>
      </c>
      <c r="AJ1015" s="108">
        <f t="shared" ref="AJ1015:AJ1054" si="908">BE554+BF554-1</f>
        <v>-1</v>
      </c>
      <c r="AK1015" s="108">
        <f t="shared" ref="AK1015:AK1054" si="909">BF554+BG554-1</f>
        <v>-1</v>
      </c>
      <c r="AL1015" s="108">
        <f t="shared" ref="AL1015:AL1054" si="910">BG554+BH554-1</f>
        <v>-1</v>
      </c>
    </row>
    <row r="1016" spans="3:38" x14ac:dyDescent="0.55000000000000004">
      <c r="C1016" s="104" t="str">
        <f>$V$54</f>
        <v>Galileo</v>
      </c>
      <c r="D1016" s="108">
        <f t="shared" ref="D1016:S1016" si="911">D54</f>
        <v>0</v>
      </c>
      <c r="E1016" s="108">
        <f t="shared" si="911"/>
        <v>0</v>
      </c>
      <c r="F1016" s="108">
        <f t="shared" si="911"/>
        <v>0</v>
      </c>
      <c r="G1016" s="108">
        <f t="shared" si="911"/>
        <v>0</v>
      </c>
      <c r="H1016" s="108">
        <f t="shared" si="911"/>
        <v>0</v>
      </c>
      <c r="I1016" s="108">
        <f t="shared" si="911"/>
        <v>0</v>
      </c>
      <c r="J1016" s="108">
        <f t="shared" si="911"/>
        <v>0</v>
      </c>
      <c r="K1016" s="108">
        <f t="shared" si="911"/>
        <v>0</v>
      </c>
      <c r="L1016" s="108">
        <f t="shared" si="911"/>
        <v>0</v>
      </c>
      <c r="M1016" s="108">
        <f t="shared" si="911"/>
        <v>0</v>
      </c>
      <c r="N1016" s="108">
        <f t="shared" si="911"/>
        <v>0</v>
      </c>
      <c r="O1016" s="108">
        <f t="shared" si="911"/>
        <v>0</v>
      </c>
      <c r="P1016" s="108">
        <f t="shared" si="911"/>
        <v>0</v>
      </c>
      <c r="Q1016" s="108">
        <f t="shared" si="911"/>
        <v>0</v>
      </c>
      <c r="R1016" s="108">
        <f t="shared" si="911"/>
        <v>0</v>
      </c>
      <c r="S1016" s="108">
        <f t="shared" si="911"/>
        <v>0</v>
      </c>
      <c r="T1016" s="28" t="s">
        <v>26</v>
      </c>
      <c r="V1016" s="104" t="str">
        <f>$V$54</f>
        <v>Galileo</v>
      </c>
      <c r="W1016" s="108">
        <f t="shared" si="895"/>
        <v>-1</v>
      </c>
      <c r="X1016" s="108">
        <f t="shared" si="896"/>
        <v>-1</v>
      </c>
      <c r="Y1016" s="108">
        <f t="shared" si="897"/>
        <v>-1</v>
      </c>
      <c r="Z1016" s="108">
        <f t="shared" si="898"/>
        <v>-1</v>
      </c>
      <c r="AA1016" s="108">
        <f t="shared" si="899"/>
        <v>-1</v>
      </c>
      <c r="AB1016" s="108">
        <f t="shared" si="900"/>
        <v>-1</v>
      </c>
      <c r="AC1016" s="108">
        <f t="shared" si="901"/>
        <v>-1</v>
      </c>
      <c r="AD1016" s="108">
        <f t="shared" si="902"/>
        <v>-1</v>
      </c>
      <c r="AE1016" s="108">
        <f t="shared" si="903"/>
        <v>-1</v>
      </c>
      <c r="AF1016" s="108">
        <f t="shared" si="904"/>
        <v>-1</v>
      </c>
      <c r="AG1016" s="108">
        <f t="shared" si="905"/>
        <v>-1</v>
      </c>
      <c r="AH1016" s="108">
        <f t="shared" si="906"/>
        <v>-1</v>
      </c>
      <c r="AI1016" s="108">
        <f t="shared" si="907"/>
        <v>-1</v>
      </c>
      <c r="AJ1016" s="108">
        <f t="shared" si="908"/>
        <v>-1</v>
      </c>
      <c r="AK1016" s="108">
        <f t="shared" si="909"/>
        <v>-1</v>
      </c>
      <c r="AL1016" s="108">
        <f t="shared" si="910"/>
        <v>-1</v>
      </c>
    </row>
    <row r="1017" spans="3:38" x14ac:dyDescent="0.55000000000000004">
      <c r="C1017" s="104" t="str">
        <f>$V$55</f>
        <v>Óscar</v>
      </c>
      <c r="D1017" s="108">
        <f t="shared" ref="D1017:S1017" si="912">D55</f>
        <v>0</v>
      </c>
      <c r="E1017" s="108">
        <f t="shared" si="912"/>
        <v>0</v>
      </c>
      <c r="F1017" s="108">
        <f t="shared" si="912"/>
        <v>0</v>
      </c>
      <c r="G1017" s="108">
        <f t="shared" si="912"/>
        <v>0</v>
      </c>
      <c r="H1017" s="108">
        <f t="shared" si="912"/>
        <v>0</v>
      </c>
      <c r="I1017" s="108">
        <f t="shared" si="912"/>
        <v>0</v>
      </c>
      <c r="J1017" s="108">
        <f t="shared" si="912"/>
        <v>0</v>
      </c>
      <c r="K1017" s="108">
        <f t="shared" si="912"/>
        <v>0</v>
      </c>
      <c r="L1017" s="108">
        <f t="shared" si="912"/>
        <v>0</v>
      </c>
      <c r="M1017" s="108">
        <f t="shared" si="912"/>
        <v>0</v>
      </c>
      <c r="N1017" s="108">
        <f t="shared" si="912"/>
        <v>0</v>
      </c>
      <c r="O1017" s="108">
        <f t="shared" si="912"/>
        <v>0</v>
      </c>
      <c r="P1017" s="108">
        <f t="shared" si="912"/>
        <v>0</v>
      </c>
      <c r="Q1017" s="108">
        <f t="shared" si="912"/>
        <v>0</v>
      </c>
      <c r="R1017" s="108">
        <f t="shared" si="912"/>
        <v>0</v>
      </c>
      <c r="S1017" s="108">
        <f t="shared" si="912"/>
        <v>0</v>
      </c>
      <c r="T1017" s="28" t="s">
        <v>26</v>
      </c>
      <c r="V1017" s="104" t="str">
        <f>$V$55</f>
        <v>Óscar</v>
      </c>
      <c r="W1017" s="108">
        <f t="shared" si="895"/>
        <v>-1</v>
      </c>
      <c r="X1017" s="108">
        <f t="shared" si="896"/>
        <v>-1</v>
      </c>
      <c r="Y1017" s="108">
        <f t="shared" si="897"/>
        <v>-1</v>
      </c>
      <c r="Z1017" s="108">
        <f t="shared" si="898"/>
        <v>-1</v>
      </c>
      <c r="AA1017" s="108">
        <f t="shared" si="899"/>
        <v>-1</v>
      </c>
      <c r="AB1017" s="108">
        <f t="shared" si="900"/>
        <v>-1</v>
      </c>
      <c r="AC1017" s="108">
        <f t="shared" si="901"/>
        <v>-1</v>
      </c>
      <c r="AD1017" s="108">
        <f t="shared" si="902"/>
        <v>-1</v>
      </c>
      <c r="AE1017" s="108">
        <f t="shared" si="903"/>
        <v>-1</v>
      </c>
      <c r="AF1017" s="108">
        <f t="shared" si="904"/>
        <v>-1</v>
      </c>
      <c r="AG1017" s="108">
        <f t="shared" si="905"/>
        <v>-1</v>
      </c>
      <c r="AH1017" s="108">
        <f t="shared" si="906"/>
        <v>-1</v>
      </c>
      <c r="AI1017" s="108">
        <f t="shared" si="907"/>
        <v>-1</v>
      </c>
      <c r="AJ1017" s="108">
        <f t="shared" si="908"/>
        <v>-1</v>
      </c>
      <c r="AK1017" s="108">
        <f t="shared" si="909"/>
        <v>-1</v>
      </c>
      <c r="AL1017" s="108">
        <f t="shared" si="910"/>
        <v>-1</v>
      </c>
    </row>
    <row r="1018" spans="3:38" x14ac:dyDescent="0.55000000000000004">
      <c r="C1018" s="104" t="str">
        <f>$V$56</f>
        <v>Sebastián</v>
      </c>
      <c r="D1018" s="108">
        <f t="shared" ref="D1018:S1018" si="913">D56</f>
        <v>0</v>
      </c>
      <c r="E1018" s="108">
        <f t="shared" si="913"/>
        <v>0</v>
      </c>
      <c r="F1018" s="108">
        <f t="shared" si="913"/>
        <v>0</v>
      </c>
      <c r="G1018" s="108">
        <f t="shared" si="913"/>
        <v>0</v>
      </c>
      <c r="H1018" s="108">
        <f t="shared" si="913"/>
        <v>0</v>
      </c>
      <c r="I1018" s="108">
        <f t="shared" si="913"/>
        <v>0</v>
      </c>
      <c r="J1018" s="108">
        <f t="shared" si="913"/>
        <v>0</v>
      </c>
      <c r="K1018" s="108">
        <f t="shared" si="913"/>
        <v>0</v>
      </c>
      <c r="L1018" s="108">
        <f t="shared" si="913"/>
        <v>0</v>
      </c>
      <c r="M1018" s="108">
        <f t="shared" si="913"/>
        <v>0</v>
      </c>
      <c r="N1018" s="108">
        <f t="shared" si="913"/>
        <v>0</v>
      </c>
      <c r="O1018" s="108">
        <f t="shared" si="913"/>
        <v>0</v>
      </c>
      <c r="P1018" s="108">
        <f t="shared" si="913"/>
        <v>0</v>
      </c>
      <c r="Q1018" s="108">
        <f t="shared" si="913"/>
        <v>0</v>
      </c>
      <c r="R1018" s="108">
        <f t="shared" si="913"/>
        <v>0</v>
      </c>
      <c r="S1018" s="108">
        <f t="shared" si="913"/>
        <v>0</v>
      </c>
      <c r="T1018" s="28" t="s">
        <v>26</v>
      </c>
      <c r="V1018" s="104" t="str">
        <f>$V$56</f>
        <v>Sebastián</v>
      </c>
      <c r="W1018" s="108">
        <f t="shared" si="895"/>
        <v>-1</v>
      </c>
      <c r="X1018" s="108">
        <f t="shared" si="896"/>
        <v>-1</v>
      </c>
      <c r="Y1018" s="108">
        <f t="shared" si="897"/>
        <v>-1</v>
      </c>
      <c r="Z1018" s="108">
        <f t="shared" si="898"/>
        <v>-1</v>
      </c>
      <c r="AA1018" s="108">
        <f t="shared" si="899"/>
        <v>-1</v>
      </c>
      <c r="AB1018" s="108">
        <f t="shared" si="900"/>
        <v>-1</v>
      </c>
      <c r="AC1018" s="108">
        <f t="shared" si="901"/>
        <v>-1</v>
      </c>
      <c r="AD1018" s="108">
        <f t="shared" si="902"/>
        <v>-1</v>
      </c>
      <c r="AE1018" s="108">
        <f t="shared" si="903"/>
        <v>-1</v>
      </c>
      <c r="AF1018" s="108">
        <f t="shared" si="904"/>
        <v>-1</v>
      </c>
      <c r="AG1018" s="108">
        <f t="shared" si="905"/>
        <v>-1</v>
      </c>
      <c r="AH1018" s="108">
        <f t="shared" si="906"/>
        <v>-1</v>
      </c>
      <c r="AI1018" s="108">
        <f t="shared" si="907"/>
        <v>-1</v>
      </c>
      <c r="AJ1018" s="108">
        <f t="shared" si="908"/>
        <v>-1</v>
      </c>
      <c r="AK1018" s="108">
        <f t="shared" si="909"/>
        <v>-1</v>
      </c>
      <c r="AL1018" s="108">
        <f t="shared" si="910"/>
        <v>-1</v>
      </c>
    </row>
    <row r="1019" spans="3:38" x14ac:dyDescent="0.55000000000000004">
      <c r="C1019" s="104" t="str">
        <f>$V$57</f>
        <v>Marcos</v>
      </c>
      <c r="D1019" s="108">
        <f t="shared" ref="D1019:S1019" si="914">D57</f>
        <v>0</v>
      </c>
      <c r="E1019" s="108">
        <f t="shared" si="914"/>
        <v>0</v>
      </c>
      <c r="F1019" s="108">
        <f t="shared" si="914"/>
        <v>0</v>
      </c>
      <c r="G1019" s="108">
        <f t="shared" si="914"/>
        <v>0</v>
      </c>
      <c r="H1019" s="108">
        <f t="shared" si="914"/>
        <v>0</v>
      </c>
      <c r="I1019" s="108">
        <f t="shared" si="914"/>
        <v>0</v>
      </c>
      <c r="J1019" s="108">
        <f t="shared" si="914"/>
        <v>0</v>
      </c>
      <c r="K1019" s="108">
        <f t="shared" si="914"/>
        <v>0</v>
      </c>
      <c r="L1019" s="108">
        <f t="shared" si="914"/>
        <v>0</v>
      </c>
      <c r="M1019" s="108">
        <f t="shared" si="914"/>
        <v>0</v>
      </c>
      <c r="N1019" s="108">
        <f t="shared" si="914"/>
        <v>0</v>
      </c>
      <c r="O1019" s="108">
        <f t="shared" si="914"/>
        <v>0</v>
      </c>
      <c r="P1019" s="108">
        <f t="shared" si="914"/>
        <v>0</v>
      </c>
      <c r="Q1019" s="108">
        <f t="shared" si="914"/>
        <v>0</v>
      </c>
      <c r="R1019" s="108">
        <f t="shared" si="914"/>
        <v>0</v>
      </c>
      <c r="S1019" s="108">
        <f t="shared" si="914"/>
        <v>0</v>
      </c>
      <c r="T1019" s="28" t="s">
        <v>26</v>
      </c>
      <c r="V1019" s="104" t="str">
        <f>$V$57</f>
        <v>Marcos</v>
      </c>
      <c r="W1019" s="108">
        <f t="shared" si="895"/>
        <v>-1</v>
      </c>
      <c r="X1019" s="108">
        <f t="shared" si="896"/>
        <v>-1</v>
      </c>
      <c r="Y1019" s="108">
        <f t="shared" si="897"/>
        <v>-1</v>
      </c>
      <c r="Z1019" s="108">
        <f t="shared" si="898"/>
        <v>-1</v>
      </c>
      <c r="AA1019" s="108">
        <f t="shared" si="899"/>
        <v>-1</v>
      </c>
      <c r="AB1019" s="108">
        <f t="shared" si="900"/>
        <v>-1</v>
      </c>
      <c r="AC1019" s="108">
        <f t="shared" si="901"/>
        <v>-1</v>
      </c>
      <c r="AD1019" s="108">
        <f t="shared" si="902"/>
        <v>-1</v>
      </c>
      <c r="AE1019" s="108">
        <f t="shared" si="903"/>
        <v>-1</v>
      </c>
      <c r="AF1019" s="108">
        <f t="shared" si="904"/>
        <v>-1</v>
      </c>
      <c r="AG1019" s="108">
        <f t="shared" si="905"/>
        <v>-1</v>
      </c>
      <c r="AH1019" s="108">
        <f t="shared" si="906"/>
        <v>-1</v>
      </c>
      <c r="AI1019" s="108">
        <f t="shared" si="907"/>
        <v>-1</v>
      </c>
      <c r="AJ1019" s="108">
        <f t="shared" si="908"/>
        <v>-1</v>
      </c>
      <c r="AK1019" s="108">
        <f t="shared" si="909"/>
        <v>-1</v>
      </c>
      <c r="AL1019" s="108">
        <f t="shared" si="910"/>
        <v>-1</v>
      </c>
    </row>
    <row r="1020" spans="3:38" x14ac:dyDescent="0.55000000000000004">
      <c r="C1020" s="104" t="str">
        <f>$V$58</f>
        <v>Weixin</v>
      </c>
      <c r="D1020" s="108">
        <f t="shared" ref="D1020:S1020" si="915">D58</f>
        <v>0</v>
      </c>
      <c r="E1020" s="108">
        <f t="shared" si="915"/>
        <v>0</v>
      </c>
      <c r="F1020" s="108">
        <f t="shared" si="915"/>
        <v>0</v>
      </c>
      <c r="G1020" s="108">
        <f t="shared" si="915"/>
        <v>0</v>
      </c>
      <c r="H1020" s="108">
        <f t="shared" si="915"/>
        <v>0</v>
      </c>
      <c r="I1020" s="108">
        <f t="shared" si="915"/>
        <v>0</v>
      </c>
      <c r="J1020" s="108">
        <f t="shared" si="915"/>
        <v>0</v>
      </c>
      <c r="K1020" s="108">
        <f t="shared" si="915"/>
        <v>0</v>
      </c>
      <c r="L1020" s="108">
        <f t="shared" si="915"/>
        <v>0</v>
      </c>
      <c r="M1020" s="108">
        <f t="shared" si="915"/>
        <v>0</v>
      </c>
      <c r="N1020" s="108">
        <f t="shared" si="915"/>
        <v>0</v>
      </c>
      <c r="O1020" s="108">
        <f t="shared" si="915"/>
        <v>0</v>
      </c>
      <c r="P1020" s="108">
        <f t="shared" si="915"/>
        <v>0</v>
      </c>
      <c r="Q1020" s="108">
        <f t="shared" si="915"/>
        <v>0</v>
      </c>
      <c r="R1020" s="108">
        <f t="shared" si="915"/>
        <v>0</v>
      </c>
      <c r="S1020" s="108">
        <f t="shared" si="915"/>
        <v>0</v>
      </c>
      <c r="T1020" s="28" t="s">
        <v>26</v>
      </c>
      <c r="V1020" s="104" t="str">
        <f>$V$58</f>
        <v>Weixin</v>
      </c>
      <c r="W1020" s="108">
        <f t="shared" si="895"/>
        <v>-1</v>
      </c>
      <c r="X1020" s="108">
        <f t="shared" si="896"/>
        <v>-1</v>
      </c>
      <c r="Y1020" s="108">
        <f t="shared" si="897"/>
        <v>-1</v>
      </c>
      <c r="Z1020" s="108">
        <f t="shared" si="898"/>
        <v>-1</v>
      </c>
      <c r="AA1020" s="108">
        <f t="shared" si="899"/>
        <v>-1</v>
      </c>
      <c r="AB1020" s="108">
        <f t="shared" si="900"/>
        <v>-1</v>
      </c>
      <c r="AC1020" s="108">
        <f t="shared" si="901"/>
        <v>-1</v>
      </c>
      <c r="AD1020" s="108">
        <f t="shared" si="902"/>
        <v>-1</v>
      </c>
      <c r="AE1020" s="108">
        <f t="shared" si="903"/>
        <v>-1</v>
      </c>
      <c r="AF1020" s="108">
        <f t="shared" si="904"/>
        <v>-1</v>
      </c>
      <c r="AG1020" s="108">
        <f t="shared" si="905"/>
        <v>-1</v>
      </c>
      <c r="AH1020" s="108">
        <f t="shared" si="906"/>
        <v>-1</v>
      </c>
      <c r="AI1020" s="108">
        <f t="shared" si="907"/>
        <v>-1</v>
      </c>
      <c r="AJ1020" s="108">
        <f t="shared" si="908"/>
        <v>-1</v>
      </c>
      <c r="AK1020" s="108">
        <f t="shared" si="909"/>
        <v>-1</v>
      </c>
      <c r="AL1020" s="108">
        <f t="shared" si="910"/>
        <v>-1</v>
      </c>
    </row>
    <row r="1021" spans="3:38" x14ac:dyDescent="0.55000000000000004">
      <c r="C1021" s="104" t="str">
        <f>$V$59</f>
        <v>Benjamin</v>
      </c>
      <c r="D1021" s="108">
        <f t="shared" ref="D1021:S1021" si="916">D59</f>
        <v>0</v>
      </c>
      <c r="E1021" s="108">
        <f t="shared" si="916"/>
        <v>0</v>
      </c>
      <c r="F1021" s="108">
        <f t="shared" si="916"/>
        <v>0</v>
      </c>
      <c r="G1021" s="108">
        <f t="shared" si="916"/>
        <v>0</v>
      </c>
      <c r="H1021" s="108">
        <f t="shared" si="916"/>
        <v>0</v>
      </c>
      <c r="I1021" s="108">
        <f t="shared" si="916"/>
        <v>0</v>
      </c>
      <c r="J1021" s="108">
        <f t="shared" si="916"/>
        <v>0</v>
      </c>
      <c r="K1021" s="108">
        <f t="shared" si="916"/>
        <v>0</v>
      </c>
      <c r="L1021" s="108">
        <f t="shared" si="916"/>
        <v>0</v>
      </c>
      <c r="M1021" s="108">
        <f t="shared" si="916"/>
        <v>0</v>
      </c>
      <c r="N1021" s="108">
        <f t="shared" si="916"/>
        <v>0</v>
      </c>
      <c r="O1021" s="108">
        <f t="shared" si="916"/>
        <v>0</v>
      </c>
      <c r="P1021" s="108">
        <f t="shared" si="916"/>
        <v>0</v>
      </c>
      <c r="Q1021" s="108">
        <f t="shared" si="916"/>
        <v>0</v>
      </c>
      <c r="R1021" s="108">
        <f t="shared" si="916"/>
        <v>0</v>
      </c>
      <c r="S1021" s="108">
        <f t="shared" si="916"/>
        <v>0</v>
      </c>
      <c r="T1021" s="28" t="s">
        <v>26</v>
      </c>
      <c r="V1021" s="104" t="str">
        <f>$V$59</f>
        <v>Benjamin</v>
      </c>
      <c r="W1021" s="108">
        <f t="shared" si="895"/>
        <v>-1</v>
      </c>
      <c r="X1021" s="108">
        <f t="shared" si="896"/>
        <v>-1</v>
      </c>
      <c r="Y1021" s="108">
        <f t="shared" si="897"/>
        <v>-1</v>
      </c>
      <c r="Z1021" s="108">
        <f t="shared" si="898"/>
        <v>-1</v>
      </c>
      <c r="AA1021" s="108">
        <f t="shared" si="899"/>
        <v>-1</v>
      </c>
      <c r="AB1021" s="108">
        <f t="shared" si="900"/>
        <v>-1</v>
      </c>
      <c r="AC1021" s="108">
        <f t="shared" si="901"/>
        <v>-1</v>
      </c>
      <c r="AD1021" s="108">
        <f t="shared" si="902"/>
        <v>-1</v>
      </c>
      <c r="AE1021" s="108">
        <f t="shared" si="903"/>
        <v>-1</v>
      </c>
      <c r="AF1021" s="108">
        <f t="shared" si="904"/>
        <v>-1</v>
      </c>
      <c r="AG1021" s="108">
        <f t="shared" si="905"/>
        <v>-1</v>
      </c>
      <c r="AH1021" s="108">
        <f t="shared" si="906"/>
        <v>-1</v>
      </c>
      <c r="AI1021" s="108">
        <f t="shared" si="907"/>
        <v>-1</v>
      </c>
      <c r="AJ1021" s="108">
        <f t="shared" si="908"/>
        <v>-1</v>
      </c>
      <c r="AK1021" s="108">
        <f t="shared" si="909"/>
        <v>-1</v>
      </c>
      <c r="AL1021" s="108">
        <f t="shared" si="910"/>
        <v>-1</v>
      </c>
    </row>
    <row r="1022" spans="3:38" x14ac:dyDescent="0.55000000000000004">
      <c r="C1022" s="104" t="str">
        <f>$V$60</f>
        <v>Joelle</v>
      </c>
      <c r="D1022" s="108">
        <f t="shared" ref="D1022:S1022" si="917">D60</f>
        <v>0</v>
      </c>
      <c r="E1022" s="108">
        <f t="shared" si="917"/>
        <v>0</v>
      </c>
      <c r="F1022" s="108">
        <f t="shared" si="917"/>
        <v>0</v>
      </c>
      <c r="G1022" s="108">
        <f t="shared" si="917"/>
        <v>0</v>
      </c>
      <c r="H1022" s="108">
        <f t="shared" si="917"/>
        <v>0</v>
      </c>
      <c r="I1022" s="108">
        <f t="shared" si="917"/>
        <v>0</v>
      </c>
      <c r="J1022" s="108">
        <f t="shared" si="917"/>
        <v>0</v>
      </c>
      <c r="K1022" s="108">
        <f t="shared" si="917"/>
        <v>0</v>
      </c>
      <c r="L1022" s="108">
        <f t="shared" si="917"/>
        <v>0</v>
      </c>
      <c r="M1022" s="108">
        <f t="shared" si="917"/>
        <v>0</v>
      </c>
      <c r="N1022" s="108">
        <f t="shared" si="917"/>
        <v>0</v>
      </c>
      <c r="O1022" s="108">
        <f t="shared" si="917"/>
        <v>0</v>
      </c>
      <c r="P1022" s="108">
        <f t="shared" si="917"/>
        <v>0</v>
      </c>
      <c r="Q1022" s="108">
        <f t="shared" si="917"/>
        <v>0</v>
      </c>
      <c r="R1022" s="108">
        <f t="shared" si="917"/>
        <v>0</v>
      </c>
      <c r="S1022" s="108">
        <f t="shared" si="917"/>
        <v>0</v>
      </c>
      <c r="T1022" s="28" t="s">
        <v>26</v>
      </c>
      <c r="V1022" s="104" t="str">
        <f>$V$60</f>
        <v>Joelle</v>
      </c>
      <c r="W1022" s="108">
        <f t="shared" si="895"/>
        <v>-1</v>
      </c>
      <c r="X1022" s="108">
        <f t="shared" si="896"/>
        <v>-1</v>
      </c>
      <c r="Y1022" s="108">
        <f t="shared" si="897"/>
        <v>-1</v>
      </c>
      <c r="Z1022" s="108">
        <f t="shared" si="898"/>
        <v>-1</v>
      </c>
      <c r="AA1022" s="108">
        <f t="shared" si="899"/>
        <v>-1</v>
      </c>
      <c r="AB1022" s="108">
        <f t="shared" si="900"/>
        <v>-1</v>
      </c>
      <c r="AC1022" s="108">
        <f t="shared" si="901"/>
        <v>-1</v>
      </c>
      <c r="AD1022" s="108">
        <f t="shared" si="902"/>
        <v>-1</v>
      </c>
      <c r="AE1022" s="108">
        <f t="shared" si="903"/>
        <v>-1</v>
      </c>
      <c r="AF1022" s="108">
        <f t="shared" si="904"/>
        <v>-1</v>
      </c>
      <c r="AG1022" s="108">
        <f t="shared" si="905"/>
        <v>-1</v>
      </c>
      <c r="AH1022" s="108">
        <f t="shared" si="906"/>
        <v>-1</v>
      </c>
      <c r="AI1022" s="108">
        <f t="shared" si="907"/>
        <v>-1</v>
      </c>
      <c r="AJ1022" s="108">
        <f t="shared" si="908"/>
        <v>-1</v>
      </c>
      <c r="AK1022" s="108">
        <f t="shared" si="909"/>
        <v>-1</v>
      </c>
      <c r="AL1022" s="108">
        <f t="shared" si="910"/>
        <v>-1</v>
      </c>
    </row>
    <row r="1023" spans="3:38" x14ac:dyDescent="0.55000000000000004">
      <c r="C1023" s="104" t="str">
        <f>$V$61</f>
        <v>Alexia</v>
      </c>
      <c r="D1023" s="108">
        <f t="shared" ref="D1023:S1023" si="918">D61</f>
        <v>0</v>
      </c>
      <c r="E1023" s="108">
        <f t="shared" si="918"/>
        <v>0</v>
      </c>
      <c r="F1023" s="108">
        <f t="shared" si="918"/>
        <v>0</v>
      </c>
      <c r="G1023" s="108">
        <f t="shared" si="918"/>
        <v>0</v>
      </c>
      <c r="H1023" s="108">
        <f t="shared" si="918"/>
        <v>0</v>
      </c>
      <c r="I1023" s="108">
        <f t="shared" si="918"/>
        <v>0</v>
      </c>
      <c r="J1023" s="108">
        <f t="shared" si="918"/>
        <v>0</v>
      </c>
      <c r="K1023" s="108">
        <f t="shared" si="918"/>
        <v>0</v>
      </c>
      <c r="L1023" s="108">
        <f t="shared" si="918"/>
        <v>0</v>
      </c>
      <c r="M1023" s="108">
        <f t="shared" si="918"/>
        <v>0</v>
      </c>
      <c r="N1023" s="108">
        <f t="shared" si="918"/>
        <v>0</v>
      </c>
      <c r="O1023" s="108">
        <f t="shared" si="918"/>
        <v>0</v>
      </c>
      <c r="P1023" s="108">
        <f t="shared" si="918"/>
        <v>0</v>
      </c>
      <c r="Q1023" s="108">
        <f t="shared" si="918"/>
        <v>0</v>
      </c>
      <c r="R1023" s="108">
        <f t="shared" si="918"/>
        <v>0</v>
      </c>
      <c r="S1023" s="108">
        <f t="shared" si="918"/>
        <v>0</v>
      </c>
      <c r="T1023" s="28" t="s">
        <v>26</v>
      </c>
      <c r="V1023" s="104" t="str">
        <f>$V$61</f>
        <v>Alexia</v>
      </c>
      <c r="W1023" s="108">
        <f t="shared" si="895"/>
        <v>-1</v>
      </c>
      <c r="X1023" s="108">
        <f t="shared" si="896"/>
        <v>-1</v>
      </c>
      <c r="Y1023" s="108">
        <f t="shared" si="897"/>
        <v>-1</v>
      </c>
      <c r="Z1023" s="108">
        <f t="shared" si="898"/>
        <v>-1</v>
      </c>
      <c r="AA1023" s="108">
        <f t="shared" si="899"/>
        <v>-1</v>
      </c>
      <c r="AB1023" s="108">
        <f t="shared" si="900"/>
        <v>-1</v>
      </c>
      <c r="AC1023" s="108">
        <f t="shared" si="901"/>
        <v>-1</v>
      </c>
      <c r="AD1023" s="108">
        <f t="shared" si="902"/>
        <v>-1</v>
      </c>
      <c r="AE1023" s="108">
        <f t="shared" si="903"/>
        <v>-1</v>
      </c>
      <c r="AF1023" s="108">
        <f t="shared" si="904"/>
        <v>-1</v>
      </c>
      <c r="AG1023" s="108">
        <f t="shared" si="905"/>
        <v>-1</v>
      </c>
      <c r="AH1023" s="108">
        <f t="shared" si="906"/>
        <v>-1</v>
      </c>
      <c r="AI1023" s="108">
        <f t="shared" si="907"/>
        <v>-1</v>
      </c>
      <c r="AJ1023" s="108">
        <f t="shared" si="908"/>
        <v>-1</v>
      </c>
      <c r="AK1023" s="108">
        <f t="shared" si="909"/>
        <v>-1</v>
      </c>
      <c r="AL1023" s="108">
        <f t="shared" si="910"/>
        <v>-1</v>
      </c>
    </row>
    <row r="1024" spans="3:38" x14ac:dyDescent="0.55000000000000004">
      <c r="C1024" s="104" t="str">
        <f>$V$62</f>
        <v>Joao</v>
      </c>
      <c r="D1024" s="108">
        <f t="shared" ref="D1024:S1024" si="919">D62</f>
        <v>0</v>
      </c>
      <c r="E1024" s="108">
        <f t="shared" si="919"/>
        <v>0</v>
      </c>
      <c r="F1024" s="108">
        <f t="shared" si="919"/>
        <v>0</v>
      </c>
      <c r="G1024" s="108">
        <f t="shared" si="919"/>
        <v>0</v>
      </c>
      <c r="H1024" s="108">
        <f t="shared" si="919"/>
        <v>0</v>
      </c>
      <c r="I1024" s="108">
        <f t="shared" si="919"/>
        <v>0</v>
      </c>
      <c r="J1024" s="108">
        <f t="shared" si="919"/>
        <v>0</v>
      </c>
      <c r="K1024" s="108">
        <f t="shared" si="919"/>
        <v>0</v>
      </c>
      <c r="L1024" s="108">
        <f t="shared" si="919"/>
        <v>0</v>
      </c>
      <c r="M1024" s="108">
        <f t="shared" si="919"/>
        <v>0</v>
      </c>
      <c r="N1024" s="108">
        <f t="shared" si="919"/>
        <v>0</v>
      </c>
      <c r="O1024" s="108">
        <f t="shared" si="919"/>
        <v>0</v>
      </c>
      <c r="P1024" s="108">
        <f t="shared" si="919"/>
        <v>0</v>
      </c>
      <c r="Q1024" s="108">
        <f t="shared" si="919"/>
        <v>0</v>
      </c>
      <c r="R1024" s="108">
        <f t="shared" si="919"/>
        <v>0</v>
      </c>
      <c r="S1024" s="108">
        <f t="shared" si="919"/>
        <v>0</v>
      </c>
      <c r="T1024" s="28" t="s">
        <v>26</v>
      </c>
      <c r="V1024" s="104" t="str">
        <f>$V$62</f>
        <v>Joao</v>
      </c>
      <c r="W1024" s="108">
        <f t="shared" si="895"/>
        <v>-1</v>
      </c>
      <c r="X1024" s="108">
        <f t="shared" si="896"/>
        <v>-1</v>
      </c>
      <c r="Y1024" s="108">
        <f t="shared" si="897"/>
        <v>-1</v>
      </c>
      <c r="Z1024" s="108">
        <f t="shared" si="898"/>
        <v>-1</v>
      </c>
      <c r="AA1024" s="108">
        <f t="shared" si="899"/>
        <v>-1</v>
      </c>
      <c r="AB1024" s="108">
        <f t="shared" si="900"/>
        <v>-1</v>
      </c>
      <c r="AC1024" s="108">
        <f t="shared" si="901"/>
        <v>-1</v>
      </c>
      <c r="AD1024" s="108">
        <f t="shared" si="902"/>
        <v>-1</v>
      </c>
      <c r="AE1024" s="108">
        <f t="shared" si="903"/>
        <v>-1</v>
      </c>
      <c r="AF1024" s="108">
        <f t="shared" si="904"/>
        <v>-1</v>
      </c>
      <c r="AG1024" s="108">
        <f t="shared" si="905"/>
        <v>-1</v>
      </c>
      <c r="AH1024" s="108">
        <f t="shared" si="906"/>
        <v>-1</v>
      </c>
      <c r="AI1024" s="108">
        <f t="shared" si="907"/>
        <v>-1</v>
      </c>
      <c r="AJ1024" s="108">
        <f t="shared" si="908"/>
        <v>-1</v>
      </c>
      <c r="AK1024" s="108">
        <f t="shared" si="909"/>
        <v>-1</v>
      </c>
      <c r="AL1024" s="108">
        <f t="shared" si="910"/>
        <v>-1</v>
      </c>
    </row>
    <row r="1025" spans="3:38" x14ac:dyDescent="0.55000000000000004">
      <c r="C1025" s="104" t="str">
        <f>$V$63</f>
        <v>Maxime</v>
      </c>
      <c r="D1025" s="108">
        <f t="shared" ref="D1025:S1025" si="920">D63</f>
        <v>0</v>
      </c>
      <c r="E1025" s="108">
        <f t="shared" si="920"/>
        <v>0</v>
      </c>
      <c r="F1025" s="108">
        <f t="shared" si="920"/>
        <v>0</v>
      </c>
      <c r="G1025" s="108">
        <f t="shared" si="920"/>
        <v>0</v>
      </c>
      <c r="H1025" s="108">
        <f t="shared" si="920"/>
        <v>0</v>
      </c>
      <c r="I1025" s="108">
        <f t="shared" si="920"/>
        <v>0</v>
      </c>
      <c r="J1025" s="108">
        <f t="shared" si="920"/>
        <v>0</v>
      </c>
      <c r="K1025" s="108">
        <f t="shared" si="920"/>
        <v>0</v>
      </c>
      <c r="L1025" s="108">
        <f t="shared" si="920"/>
        <v>0</v>
      </c>
      <c r="M1025" s="108">
        <f t="shared" si="920"/>
        <v>0</v>
      </c>
      <c r="N1025" s="108">
        <f t="shared" si="920"/>
        <v>0</v>
      </c>
      <c r="O1025" s="108">
        <f t="shared" si="920"/>
        <v>0</v>
      </c>
      <c r="P1025" s="108">
        <f t="shared" si="920"/>
        <v>0</v>
      </c>
      <c r="Q1025" s="108">
        <f t="shared" si="920"/>
        <v>0</v>
      </c>
      <c r="R1025" s="108">
        <f t="shared" si="920"/>
        <v>0</v>
      </c>
      <c r="S1025" s="108">
        <f t="shared" si="920"/>
        <v>0</v>
      </c>
      <c r="T1025" s="28" t="s">
        <v>26</v>
      </c>
      <c r="V1025" s="104" t="str">
        <f>$V$63</f>
        <v>Maxime</v>
      </c>
      <c r="W1025" s="108">
        <f t="shared" si="895"/>
        <v>-1</v>
      </c>
      <c r="X1025" s="108">
        <f t="shared" si="896"/>
        <v>-1</v>
      </c>
      <c r="Y1025" s="108">
        <f t="shared" si="897"/>
        <v>-1</v>
      </c>
      <c r="Z1025" s="108">
        <f t="shared" si="898"/>
        <v>-1</v>
      </c>
      <c r="AA1025" s="108">
        <f t="shared" si="899"/>
        <v>-1</v>
      </c>
      <c r="AB1025" s="108">
        <f t="shared" si="900"/>
        <v>-1</v>
      </c>
      <c r="AC1025" s="108">
        <f t="shared" si="901"/>
        <v>-1</v>
      </c>
      <c r="AD1025" s="108">
        <f t="shared" si="902"/>
        <v>-1</v>
      </c>
      <c r="AE1025" s="108">
        <f t="shared" si="903"/>
        <v>-1</v>
      </c>
      <c r="AF1025" s="108">
        <f t="shared" si="904"/>
        <v>-1</v>
      </c>
      <c r="AG1025" s="108">
        <f t="shared" si="905"/>
        <v>-1</v>
      </c>
      <c r="AH1025" s="108">
        <f t="shared" si="906"/>
        <v>-1</v>
      </c>
      <c r="AI1025" s="108">
        <f t="shared" si="907"/>
        <v>-1</v>
      </c>
      <c r="AJ1025" s="108">
        <f t="shared" si="908"/>
        <v>-1</v>
      </c>
      <c r="AK1025" s="108">
        <f t="shared" si="909"/>
        <v>-1</v>
      </c>
      <c r="AL1025" s="108">
        <f t="shared" si="910"/>
        <v>-1</v>
      </c>
    </row>
    <row r="1026" spans="3:38" x14ac:dyDescent="0.55000000000000004">
      <c r="C1026" s="104" t="str">
        <f>$V$64</f>
        <v>Alex</v>
      </c>
      <c r="D1026" s="108">
        <f t="shared" ref="D1026:S1026" si="921">D64</f>
        <v>0</v>
      </c>
      <c r="E1026" s="108">
        <f t="shared" si="921"/>
        <v>0</v>
      </c>
      <c r="F1026" s="108">
        <f t="shared" si="921"/>
        <v>0</v>
      </c>
      <c r="G1026" s="108">
        <f t="shared" si="921"/>
        <v>0</v>
      </c>
      <c r="H1026" s="108">
        <f t="shared" si="921"/>
        <v>0</v>
      </c>
      <c r="I1026" s="108">
        <f t="shared" si="921"/>
        <v>0</v>
      </c>
      <c r="J1026" s="108">
        <f t="shared" si="921"/>
        <v>0</v>
      </c>
      <c r="K1026" s="108">
        <f t="shared" si="921"/>
        <v>0</v>
      </c>
      <c r="L1026" s="108">
        <f t="shared" si="921"/>
        <v>0</v>
      </c>
      <c r="M1026" s="108">
        <f t="shared" si="921"/>
        <v>0</v>
      </c>
      <c r="N1026" s="108">
        <f t="shared" si="921"/>
        <v>0</v>
      </c>
      <c r="O1026" s="108">
        <f t="shared" si="921"/>
        <v>0</v>
      </c>
      <c r="P1026" s="108">
        <f t="shared" si="921"/>
        <v>0</v>
      </c>
      <c r="Q1026" s="108">
        <f t="shared" si="921"/>
        <v>0</v>
      </c>
      <c r="R1026" s="108">
        <f t="shared" si="921"/>
        <v>0</v>
      </c>
      <c r="S1026" s="108">
        <f t="shared" si="921"/>
        <v>0</v>
      </c>
      <c r="T1026" s="28" t="s">
        <v>26</v>
      </c>
      <c r="V1026" s="104" t="str">
        <f>$V$64</f>
        <v>Alex</v>
      </c>
      <c r="W1026" s="108">
        <f t="shared" si="895"/>
        <v>-1</v>
      </c>
      <c r="X1026" s="108">
        <f t="shared" si="896"/>
        <v>-1</v>
      </c>
      <c r="Y1026" s="108">
        <f t="shared" si="897"/>
        <v>-1</v>
      </c>
      <c r="Z1026" s="108">
        <f t="shared" si="898"/>
        <v>-1</v>
      </c>
      <c r="AA1026" s="108">
        <f t="shared" si="899"/>
        <v>-1</v>
      </c>
      <c r="AB1026" s="108">
        <f t="shared" si="900"/>
        <v>-1</v>
      </c>
      <c r="AC1026" s="108">
        <f t="shared" si="901"/>
        <v>-1</v>
      </c>
      <c r="AD1026" s="108">
        <f t="shared" si="902"/>
        <v>-1</v>
      </c>
      <c r="AE1026" s="108">
        <f t="shared" si="903"/>
        <v>-1</v>
      </c>
      <c r="AF1026" s="108">
        <f t="shared" si="904"/>
        <v>-1</v>
      </c>
      <c r="AG1026" s="108">
        <f t="shared" si="905"/>
        <v>-1</v>
      </c>
      <c r="AH1026" s="108">
        <f t="shared" si="906"/>
        <v>-1</v>
      </c>
      <c r="AI1026" s="108">
        <f t="shared" si="907"/>
        <v>-1</v>
      </c>
      <c r="AJ1026" s="108">
        <f t="shared" si="908"/>
        <v>-1</v>
      </c>
      <c r="AK1026" s="108">
        <f t="shared" si="909"/>
        <v>-1</v>
      </c>
      <c r="AL1026" s="108">
        <f t="shared" si="910"/>
        <v>-1</v>
      </c>
    </row>
    <row r="1027" spans="3:38" x14ac:dyDescent="0.55000000000000004">
      <c r="C1027" s="104" t="str">
        <f>$V$65</f>
        <v>Alyssa</v>
      </c>
      <c r="D1027" s="108">
        <f t="shared" ref="D1027:S1027" si="922">D65</f>
        <v>0</v>
      </c>
      <c r="E1027" s="108">
        <f t="shared" si="922"/>
        <v>0</v>
      </c>
      <c r="F1027" s="108">
        <f t="shared" si="922"/>
        <v>0</v>
      </c>
      <c r="G1027" s="108">
        <f t="shared" si="922"/>
        <v>0</v>
      </c>
      <c r="H1027" s="108">
        <f t="shared" si="922"/>
        <v>0</v>
      </c>
      <c r="I1027" s="108">
        <f t="shared" si="922"/>
        <v>0</v>
      </c>
      <c r="J1027" s="108">
        <f t="shared" si="922"/>
        <v>0</v>
      </c>
      <c r="K1027" s="108">
        <f t="shared" si="922"/>
        <v>0</v>
      </c>
      <c r="L1027" s="108">
        <f t="shared" si="922"/>
        <v>0</v>
      </c>
      <c r="M1027" s="108">
        <f t="shared" si="922"/>
        <v>0</v>
      </c>
      <c r="N1027" s="108">
        <f t="shared" si="922"/>
        <v>0</v>
      </c>
      <c r="O1027" s="108">
        <f t="shared" si="922"/>
        <v>0</v>
      </c>
      <c r="P1027" s="108">
        <f t="shared" si="922"/>
        <v>0</v>
      </c>
      <c r="Q1027" s="108">
        <f t="shared" si="922"/>
        <v>0</v>
      </c>
      <c r="R1027" s="108">
        <f t="shared" si="922"/>
        <v>0</v>
      </c>
      <c r="S1027" s="108">
        <f t="shared" si="922"/>
        <v>0</v>
      </c>
      <c r="T1027" s="28" t="s">
        <v>26</v>
      </c>
      <c r="V1027" s="104" t="str">
        <f>$V$65</f>
        <v>Alyssa</v>
      </c>
      <c r="W1027" s="108">
        <f t="shared" si="895"/>
        <v>-1</v>
      </c>
      <c r="X1027" s="108">
        <f t="shared" si="896"/>
        <v>-1</v>
      </c>
      <c r="Y1027" s="108">
        <f t="shared" si="897"/>
        <v>-1</v>
      </c>
      <c r="Z1027" s="108">
        <f t="shared" si="898"/>
        <v>-1</v>
      </c>
      <c r="AA1027" s="108">
        <f t="shared" si="899"/>
        <v>-1</v>
      </c>
      <c r="AB1027" s="108">
        <f t="shared" si="900"/>
        <v>-1</v>
      </c>
      <c r="AC1027" s="108">
        <f t="shared" si="901"/>
        <v>-1</v>
      </c>
      <c r="AD1027" s="108">
        <f t="shared" si="902"/>
        <v>-1</v>
      </c>
      <c r="AE1027" s="108">
        <f t="shared" si="903"/>
        <v>-1</v>
      </c>
      <c r="AF1027" s="108">
        <f t="shared" si="904"/>
        <v>-1</v>
      </c>
      <c r="AG1027" s="108">
        <f t="shared" si="905"/>
        <v>-1</v>
      </c>
      <c r="AH1027" s="108">
        <f t="shared" si="906"/>
        <v>-1</v>
      </c>
      <c r="AI1027" s="108">
        <f t="shared" si="907"/>
        <v>-1</v>
      </c>
      <c r="AJ1027" s="108">
        <f t="shared" si="908"/>
        <v>-1</v>
      </c>
      <c r="AK1027" s="108">
        <f t="shared" si="909"/>
        <v>-1</v>
      </c>
      <c r="AL1027" s="108">
        <f t="shared" si="910"/>
        <v>-1</v>
      </c>
    </row>
    <row r="1028" spans="3:38" x14ac:dyDescent="0.55000000000000004">
      <c r="C1028" s="104" t="str">
        <f>$V$66</f>
        <v>Amanda</v>
      </c>
      <c r="D1028" s="108">
        <f t="shared" ref="D1028:S1028" si="923">D66</f>
        <v>0</v>
      </c>
      <c r="E1028" s="108">
        <f t="shared" si="923"/>
        <v>0</v>
      </c>
      <c r="F1028" s="108">
        <f t="shared" si="923"/>
        <v>0</v>
      </c>
      <c r="G1028" s="108">
        <f t="shared" si="923"/>
        <v>0</v>
      </c>
      <c r="H1028" s="108">
        <f t="shared" si="923"/>
        <v>0</v>
      </c>
      <c r="I1028" s="108">
        <f t="shared" si="923"/>
        <v>0</v>
      </c>
      <c r="J1028" s="108">
        <f t="shared" si="923"/>
        <v>0</v>
      </c>
      <c r="K1028" s="108">
        <f t="shared" si="923"/>
        <v>0</v>
      </c>
      <c r="L1028" s="108">
        <f t="shared" si="923"/>
        <v>0</v>
      </c>
      <c r="M1028" s="108">
        <f t="shared" si="923"/>
        <v>0</v>
      </c>
      <c r="N1028" s="108">
        <f t="shared" si="923"/>
        <v>0</v>
      </c>
      <c r="O1028" s="108">
        <f t="shared" si="923"/>
        <v>0</v>
      </c>
      <c r="P1028" s="108">
        <f t="shared" si="923"/>
        <v>0</v>
      </c>
      <c r="Q1028" s="108">
        <f t="shared" si="923"/>
        <v>0</v>
      </c>
      <c r="R1028" s="108">
        <f t="shared" si="923"/>
        <v>0</v>
      </c>
      <c r="S1028" s="108">
        <f t="shared" si="923"/>
        <v>0</v>
      </c>
      <c r="T1028" s="28" t="s">
        <v>26</v>
      </c>
      <c r="V1028" s="104" t="str">
        <f>$V$66</f>
        <v>Amanda</v>
      </c>
      <c r="W1028" s="108">
        <f t="shared" si="895"/>
        <v>-1</v>
      </c>
      <c r="X1028" s="108">
        <f t="shared" si="896"/>
        <v>-1</v>
      </c>
      <c r="Y1028" s="108">
        <f t="shared" si="897"/>
        <v>-1</v>
      </c>
      <c r="Z1028" s="108">
        <f t="shared" si="898"/>
        <v>-1</v>
      </c>
      <c r="AA1028" s="108">
        <f t="shared" si="899"/>
        <v>-1</v>
      </c>
      <c r="AB1028" s="108">
        <f t="shared" si="900"/>
        <v>-1</v>
      </c>
      <c r="AC1028" s="108">
        <f t="shared" si="901"/>
        <v>-1</v>
      </c>
      <c r="AD1028" s="108">
        <f t="shared" si="902"/>
        <v>-1</v>
      </c>
      <c r="AE1028" s="108">
        <f t="shared" si="903"/>
        <v>-1</v>
      </c>
      <c r="AF1028" s="108">
        <f t="shared" si="904"/>
        <v>-1</v>
      </c>
      <c r="AG1028" s="108">
        <f t="shared" si="905"/>
        <v>-1</v>
      </c>
      <c r="AH1028" s="108">
        <f t="shared" si="906"/>
        <v>-1</v>
      </c>
      <c r="AI1028" s="108">
        <f t="shared" si="907"/>
        <v>-1</v>
      </c>
      <c r="AJ1028" s="108">
        <f t="shared" si="908"/>
        <v>-1</v>
      </c>
      <c r="AK1028" s="108">
        <f t="shared" si="909"/>
        <v>-1</v>
      </c>
      <c r="AL1028" s="108">
        <f t="shared" si="910"/>
        <v>-1</v>
      </c>
    </row>
    <row r="1029" spans="3:38" x14ac:dyDescent="0.55000000000000004">
      <c r="C1029" s="104" t="str">
        <f>$V$67</f>
        <v>Antoine</v>
      </c>
      <c r="D1029" s="108">
        <f t="shared" ref="D1029:S1029" si="924">D67</f>
        <v>0</v>
      </c>
      <c r="E1029" s="108">
        <f t="shared" si="924"/>
        <v>0</v>
      </c>
      <c r="F1029" s="108">
        <f t="shared" si="924"/>
        <v>0</v>
      </c>
      <c r="G1029" s="108">
        <f t="shared" si="924"/>
        <v>0</v>
      </c>
      <c r="H1029" s="108">
        <f t="shared" si="924"/>
        <v>0</v>
      </c>
      <c r="I1029" s="108">
        <f t="shared" si="924"/>
        <v>0</v>
      </c>
      <c r="J1029" s="108">
        <f t="shared" si="924"/>
        <v>0</v>
      </c>
      <c r="K1029" s="108">
        <f t="shared" si="924"/>
        <v>0</v>
      </c>
      <c r="L1029" s="108">
        <f t="shared" si="924"/>
        <v>0</v>
      </c>
      <c r="M1029" s="108">
        <f t="shared" si="924"/>
        <v>0</v>
      </c>
      <c r="N1029" s="108">
        <f t="shared" si="924"/>
        <v>0</v>
      </c>
      <c r="O1029" s="108">
        <f t="shared" si="924"/>
        <v>0</v>
      </c>
      <c r="P1029" s="108">
        <f t="shared" si="924"/>
        <v>0</v>
      </c>
      <c r="Q1029" s="108">
        <f t="shared" si="924"/>
        <v>0</v>
      </c>
      <c r="R1029" s="108">
        <f t="shared" si="924"/>
        <v>0</v>
      </c>
      <c r="S1029" s="108">
        <f t="shared" si="924"/>
        <v>0</v>
      </c>
      <c r="T1029" s="28" t="s">
        <v>26</v>
      </c>
      <c r="V1029" s="104" t="str">
        <f>$V$67</f>
        <v>Antoine</v>
      </c>
      <c r="W1029" s="108">
        <f t="shared" si="895"/>
        <v>-1</v>
      </c>
      <c r="X1029" s="108">
        <f t="shared" si="896"/>
        <v>-1</v>
      </c>
      <c r="Y1029" s="108">
        <f t="shared" si="897"/>
        <v>-1</v>
      </c>
      <c r="Z1029" s="108">
        <f t="shared" si="898"/>
        <v>-1</v>
      </c>
      <c r="AA1029" s="108">
        <f t="shared" si="899"/>
        <v>-1</v>
      </c>
      <c r="AB1029" s="108">
        <f t="shared" si="900"/>
        <v>-1</v>
      </c>
      <c r="AC1029" s="108">
        <f t="shared" si="901"/>
        <v>-1</v>
      </c>
      <c r="AD1029" s="108">
        <f t="shared" si="902"/>
        <v>-1</v>
      </c>
      <c r="AE1029" s="108">
        <f t="shared" si="903"/>
        <v>-1</v>
      </c>
      <c r="AF1029" s="108">
        <f t="shared" si="904"/>
        <v>-1</v>
      </c>
      <c r="AG1029" s="108">
        <f t="shared" si="905"/>
        <v>-1</v>
      </c>
      <c r="AH1029" s="108">
        <f t="shared" si="906"/>
        <v>-1</v>
      </c>
      <c r="AI1029" s="108">
        <f t="shared" si="907"/>
        <v>-1</v>
      </c>
      <c r="AJ1029" s="108">
        <f t="shared" si="908"/>
        <v>-1</v>
      </c>
      <c r="AK1029" s="108">
        <f t="shared" si="909"/>
        <v>-1</v>
      </c>
      <c r="AL1029" s="108">
        <f t="shared" si="910"/>
        <v>-1</v>
      </c>
    </row>
    <row r="1030" spans="3:38" x14ac:dyDescent="0.55000000000000004">
      <c r="C1030" s="104" t="str">
        <f>$V$68</f>
        <v>Beatriz</v>
      </c>
      <c r="D1030" s="108">
        <f t="shared" ref="D1030:S1030" si="925">D68</f>
        <v>0</v>
      </c>
      <c r="E1030" s="108">
        <f t="shared" si="925"/>
        <v>0</v>
      </c>
      <c r="F1030" s="108">
        <f t="shared" si="925"/>
        <v>0</v>
      </c>
      <c r="G1030" s="108">
        <f t="shared" si="925"/>
        <v>0</v>
      </c>
      <c r="H1030" s="108">
        <f t="shared" si="925"/>
        <v>0</v>
      </c>
      <c r="I1030" s="108">
        <f t="shared" si="925"/>
        <v>0</v>
      </c>
      <c r="J1030" s="108">
        <f t="shared" si="925"/>
        <v>0</v>
      </c>
      <c r="K1030" s="108">
        <f t="shared" si="925"/>
        <v>0</v>
      </c>
      <c r="L1030" s="108">
        <f t="shared" si="925"/>
        <v>0</v>
      </c>
      <c r="M1030" s="108">
        <f t="shared" si="925"/>
        <v>0</v>
      </c>
      <c r="N1030" s="108">
        <f t="shared" si="925"/>
        <v>0</v>
      </c>
      <c r="O1030" s="108">
        <f t="shared" si="925"/>
        <v>0</v>
      </c>
      <c r="P1030" s="108">
        <f t="shared" si="925"/>
        <v>0</v>
      </c>
      <c r="Q1030" s="108">
        <f t="shared" si="925"/>
        <v>0</v>
      </c>
      <c r="R1030" s="108">
        <f t="shared" si="925"/>
        <v>0</v>
      </c>
      <c r="S1030" s="108">
        <f t="shared" si="925"/>
        <v>0</v>
      </c>
      <c r="T1030" s="28" t="s">
        <v>26</v>
      </c>
      <c r="V1030" s="104" t="str">
        <f>$V$68</f>
        <v>Beatriz</v>
      </c>
      <c r="W1030" s="108">
        <f t="shared" si="895"/>
        <v>-1</v>
      </c>
      <c r="X1030" s="108">
        <f t="shared" si="896"/>
        <v>-1</v>
      </c>
      <c r="Y1030" s="108">
        <f t="shared" si="897"/>
        <v>-1</v>
      </c>
      <c r="Z1030" s="108">
        <f t="shared" si="898"/>
        <v>-1</v>
      </c>
      <c r="AA1030" s="108">
        <f t="shared" si="899"/>
        <v>-1</v>
      </c>
      <c r="AB1030" s="108">
        <f t="shared" si="900"/>
        <v>-1</v>
      </c>
      <c r="AC1030" s="108">
        <f t="shared" si="901"/>
        <v>-1</v>
      </c>
      <c r="AD1030" s="108">
        <f t="shared" si="902"/>
        <v>-1</v>
      </c>
      <c r="AE1030" s="108">
        <f t="shared" si="903"/>
        <v>-1</v>
      </c>
      <c r="AF1030" s="108">
        <f t="shared" si="904"/>
        <v>-1</v>
      </c>
      <c r="AG1030" s="108">
        <f t="shared" si="905"/>
        <v>-1</v>
      </c>
      <c r="AH1030" s="108">
        <f t="shared" si="906"/>
        <v>-1</v>
      </c>
      <c r="AI1030" s="108">
        <f t="shared" si="907"/>
        <v>-1</v>
      </c>
      <c r="AJ1030" s="108">
        <f t="shared" si="908"/>
        <v>-1</v>
      </c>
      <c r="AK1030" s="108">
        <f t="shared" si="909"/>
        <v>-1</v>
      </c>
      <c r="AL1030" s="108">
        <f t="shared" si="910"/>
        <v>-1</v>
      </c>
    </row>
    <row r="1031" spans="3:38" x14ac:dyDescent="0.55000000000000004">
      <c r="C1031" s="104" t="str">
        <f>$V$69</f>
        <v>Charelle</v>
      </c>
      <c r="D1031" s="108">
        <f t="shared" ref="D1031:S1031" si="926">D69</f>
        <v>0</v>
      </c>
      <c r="E1031" s="108">
        <f t="shared" si="926"/>
        <v>0</v>
      </c>
      <c r="F1031" s="108">
        <f t="shared" si="926"/>
        <v>0</v>
      </c>
      <c r="G1031" s="108">
        <f t="shared" si="926"/>
        <v>0</v>
      </c>
      <c r="H1031" s="108">
        <f t="shared" si="926"/>
        <v>0</v>
      </c>
      <c r="I1031" s="108">
        <f t="shared" si="926"/>
        <v>0</v>
      </c>
      <c r="J1031" s="108">
        <f t="shared" si="926"/>
        <v>0</v>
      </c>
      <c r="K1031" s="108">
        <f t="shared" si="926"/>
        <v>0</v>
      </c>
      <c r="L1031" s="108">
        <f t="shared" si="926"/>
        <v>0</v>
      </c>
      <c r="M1031" s="108">
        <f t="shared" si="926"/>
        <v>0</v>
      </c>
      <c r="N1031" s="108">
        <f t="shared" si="926"/>
        <v>0</v>
      </c>
      <c r="O1031" s="108">
        <f t="shared" si="926"/>
        <v>0</v>
      </c>
      <c r="P1031" s="108">
        <f t="shared" si="926"/>
        <v>0</v>
      </c>
      <c r="Q1031" s="108">
        <f t="shared" si="926"/>
        <v>0</v>
      </c>
      <c r="R1031" s="108">
        <f t="shared" si="926"/>
        <v>0</v>
      </c>
      <c r="S1031" s="108">
        <f t="shared" si="926"/>
        <v>0</v>
      </c>
      <c r="T1031" s="28" t="s">
        <v>26</v>
      </c>
      <c r="V1031" s="104" t="str">
        <f>$V$69</f>
        <v>Charelle</v>
      </c>
      <c r="W1031" s="108">
        <f t="shared" si="895"/>
        <v>-1</v>
      </c>
      <c r="X1031" s="108">
        <f t="shared" si="896"/>
        <v>-1</v>
      </c>
      <c r="Y1031" s="108">
        <f t="shared" si="897"/>
        <v>-1</v>
      </c>
      <c r="Z1031" s="108">
        <f t="shared" si="898"/>
        <v>-1</v>
      </c>
      <c r="AA1031" s="108">
        <f t="shared" si="899"/>
        <v>-1</v>
      </c>
      <c r="AB1031" s="108">
        <f t="shared" si="900"/>
        <v>-1</v>
      </c>
      <c r="AC1031" s="108">
        <f t="shared" si="901"/>
        <v>-1</v>
      </c>
      <c r="AD1031" s="108">
        <f t="shared" si="902"/>
        <v>-1</v>
      </c>
      <c r="AE1031" s="108">
        <f t="shared" si="903"/>
        <v>-1</v>
      </c>
      <c r="AF1031" s="108">
        <f t="shared" si="904"/>
        <v>-1</v>
      </c>
      <c r="AG1031" s="108">
        <f t="shared" si="905"/>
        <v>-1</v>
      </c>
      <c r="AH1031" s="108">
        <f t="shared" si="906"/>
        <v>-1</v>
      </c>
      <c r="AI1031" s="108">
        <f t="shared" si="907"/>
        <v>-1</v>
      </c>
      <c r="AJ1031" s="108">
        <f t="shared" si="908"/>
        <v>-1</v>
      </c>
      <c r="AK1031" s="108">
        <f t="shared" si="909"/>
        <v>-1</v>
      </c>
      <c r="AL1031" s="108">
        <f t="shared" si="910"/>
        <v>-1</v>
      </c>
    </row>
    <row r="1032" spans="3:38" x14ac:dyDescent="0.55000000000000004">
      <c r="C1032" s="104" t="str">
        <f>$V$70</f>
        <v>Dimitri</v>
      </c>
      <c r="D1032" s="108">
        <f t="shared" ref="D1032:S1032" si="927">D70</f>
        <v>0</v>
      </c>
      <c r="E1032" s="108">
        <f t="shared" si="927"/>
        <v>0</v>
      </c>
      <c r="F1032" s="108">
        <f t="shared" si="927"/>
        <v>0</v>
      </c>
      <c r="G1032" s="108">
        <f t="shared" si="927"/>
        <v>0</v>
      </c>
      <c r="H1032" s="108">
        <f t="shared" si="927"/>
        <v>0</v>
      </c>
      <c r="I1032" s="108">
        <f t="shared" si="927"/>
        <v>0</v>
      </c>
      <c r="J1032" s="108">
        <f t="shared" si="927"/>
        <v>0</v>
      </c>
      <c r="K1032" s="108">
        <f t="shared" si="927"/>
        <v>0</v>
      </c>
      <c r="L1032" s="108">
        <f t="shared" si="927"/>
        <v>0</v>
      </c>
      <c r="M1032" s="108">
        <f t="shared" si="927"/>
        <v>0</v>
      </c>
      <c r="N1032" s="108">
        <f t="shared" si="927"/>
        <v>0</v>
      </c>
      <c r="O1032" s="108">
        <f t="shared" si="927"/>
        <v>0</v>
      </c>
      <c r="P1032" s="108">
        <f t="shared" si="927"/>
        <v>0</v>
      </c>
      <c r="Q1032" s="108">
        <f t="shared" si="927"/>
        <v>0</v>
      </c>
      <c r="R1032" s="108">
        <f t="shared" si="927"/>
        <v>0</v>
      </c>
      <c r="S1032" s="108">
        <f t="shared" si="927"/>
        <v>0</v>
      </c>
      <c r="T1032" s="28" t="s">
        <v>26</v>
      </c>
      <c r="V1032" s="104" t="str">
        <f>$V$70</f>
        <v>Dimitri</v>
      </c>
      <c r="W1032" s="108">
        <f t="shared" si="895"/>
        <v>-1</v>
      </c>
      <c r="X1032" s="108">
        <f t="shared" si="896"/>
        <v>-1</v>
      </c>
      <c r="Y1032" s="108">
        <f t="shared" si="897"/>
        <v>-1</v>
      </c>
      <c r="Z1032" s="108">
        <f t="shared" si="898"/>
        <v>-1</v>
      </c>
      <c r="AA1032" s="108">
        <f t="shared" si="899"/>
        <v>-1</v>
      </c>
      <c r="AB1032" s="108">
        <f t="shared" si="900"/>
        <v>-1</v>
      </c>
      <c r="AC1032" s="108">
        <f t="shared" si="901"/>
        <v>-1</v>
      </c>
      <c r="AD1032" s="108">
        <f t="shared" si="902"/>
        <v>-1</v>
      </c>
      <c r="AE1032" s="108">
        <f t="shared" si="903"/>
        <v>-1</v>
      </c>
      <c r="AF1032" s="108">
        <f t="shared" si="904"/>
        <v>-1</v>
      </c>
      <c r="AG1032" s="108">
        <f t="shared" si="905"/>
        <v>-1</v>
      </c>
      <c r="AH1032" s="108">
        <f t="shared" si="906"/>
        <v>-1</v>
      </c>
      <c r="AI1032" s="108">
        <f t="shared" si="907"/>
        <v>-1</v>
      </c>
      <c r="AJ1032" s="108">
        <f t="shared" si="908"/>
        <v>-1</v>
      </c>
      <c r="AK1032" s="108">
        <f t="shared" si="909"/>
        <v>-1</v>
      </c>
      <c r="AL1032" s="108">
        <f t="shared" si="910"/>
        <v>-1</v>
      </c>
    </row>
    <row r="1033" spans="3:38" x14ac:dyDescent="0.55000000000000004">
      <c r="C1033" s="104" t="str">
        <f>$V$71</f>
        <v>Marina</v>
      </c>
      <c r="D1033" s="108">
        <f t="shared" ref="D1033:S1033" si="928">D71</f>
        <v>0</v>
      </c>
      <c r="E1033" s="108">
        <f t="shared" si="928"/>
        <v>0</v>
      </c>
      <c r="F1033" s="108">
        <f t="shared" si="928"/>
        <v>0</v>
      </c>
      <c r="G1033" s="108">
        <f t="shared" si="928"/>
        <v>0</v>
      </c>
      <c r="H1033" s="108">
        <f t="shared" si="928"/>
        <v>0</v>
      </c>
      <c r="I1033" s="108">
        <f t="shared" si="928"/>
        <v>0</v>
      </c>
      <c r="J1033" s="108">
        <f t="shared" si="928"/>
        <v>0</v>
      </c>
      <c r="K1033" s="108">
        <f t="shared" si="928"/>
        <v>0</v>
      </c>
      <c r="L1033" s="108">
        <f t="shared" si="928"/>
        <v>0</v>
      </c>
      <c r="M1033" s="108">
        <f t="shared" si="928"/>
        <v>0</v>
      </c>
      <c r="N1033" s="108">
        <f t="shared" si="928"/>
        <v>0</v>
      </c>
      <c r="O1033" s="108">
        <f t="shared" si="928"/>
        <v>0</v>
      </c>
      <c r="P1033" s="108">
        <f t="shared" si="928"/>
        <v>0</v>
      </c>
      <c r="Q1033" s="108">
        <f t="shared" si="928"/>
        <v>0</v>
      </c>
      <c r="R1033" s="108">
        <f t="shared" si="928"/>
        <v>0</v>
      </c>
      <c r="S1033" s="108">
        <f t="shared" si="928"/>
        <v>0</v>
      </c>
      <c r="T1033" s="28" t="s">
        <v>26</v>
      </c>
      <c r="V1033" s="104" t="str">
        <f>$V$71</f>
        <v>Marina</v>
      </c>
      <c r="W1033" s="108">
        <f t="shared" si="895"/>
        <v>-1</v>
      </c>
      <c r="X1033" s="108">
        <f t="shared" si="896"/>
        <v>-1</v>
      </c>
      <c r="Y1033" s="108">
        <f t="shared" si="897"/>
        <v>-1</v>
      </c>
      <c r="Z1033" s="108">
        <f t="shared" si="898"/>
        <v>-1</v>
      </c>
      <c r="AA1033" s="108">
        <f t="shared" si="899"/>
        <v>-1</v>
      </c>
      <c r="AB1033" s="108">
        <f t="shared" si="900"/>
        <v>-1</v>
      </c>
      <c r="AC1033" s="108">
        <f t="shared" si="901"/>
        <v>-1</v>
      </c>
      <c r="AD1033" s="108">
        <f t="shared" si="902"/>
        <v>-1</v>
      </c>
      <c r="AE1033" s="108">
        <f t="shared" si="903"/>
        <v>-1</v>
      </c>
      <c r="AF1033" s="108">
        <f t="shared" si="904"/>
        <v>-1</v>
      </c>
      <c r="AG1033" s="108">
        <f t="shared" si="905"/>
        <v>-1</v>
      </c>
      <c r="AH1033" s="108">
        <f t="shared" si="906"/>
        <v>-1</v>
      </c>
      <c r="AI1033" s="108">
        <f t="shared" si="907"/>
        <v>-1</v>
      </c>
      <c r="AJ1033" s="108">
        <f t="shared" si="908"/>
        <v>-1</v>
      </c>
      <c r="AK1033" s="108">
        <f t="shared" si="909"/>
        <v>-1</v>
      </c>
      <c r="AL1033" s="108">
        <f t="shared" si="910"/>
        <v>-1</v>
      </c>
    </row>
    <row r="1034" spans="3:38" x14ac:dyDescent="0.55000000000000004">
      <c r="C1034" s="104" t="str">
        <f>$V$72</f>
        <v>Michel</v>
      </c>
      <c r="D1034" s="108">
        <f t="shared" ref="D1034:S1034" si="929">D72</f>
        <v>0</v>
      </c>
      <c r="E1034" s="108">
        <f t="shared" si="929"/>
        <v>0</v>
      </c>
      <c r="F1034" s="108">
        <f t="shared" si="929"/>
        <v>0</v>
      </c>
      <c r="G1034" s="108">
        <f t="shared" si="929"/>
        <v>0</v>
      </c>
      <c r="H1034" s="108">
        <f t="shared" si="929"/>
        <v>0</v>
      </c>
      <c r="I1034" s="108">
        <f t="shared" si="929"/>
        <v>0</v>
      </c>
      <c r="J1034" s="108">
        <f t="shared" si="929"/>
        <v>0</v>
      </c>
      <c r="K1034" s="108">
        <f t="shared" si="929"/>
        <v>0</v>
      </c>
      <c r="L1034" s="108">
        <f t="shared" si="929"/>
        <v>0</v>
      </c>
      <c r="M1034" s="108">
        <f t="shared" si="929"/>
        <v>0</v>
      </c>
      <c r="N1034" s="108">
        <f t="shared" si="929"/>
        <v>0</v>
      </c>
      <c r="O1034" s="108">
        <f t="shared" si="929"/>
        <v>0</v>
      </c>
      <c r="P1034" s="108">
        <f t="shared" si="929"/>
        <v>0</v>
      </c>
      <c r="Q1034" s="108">
        <f t="shared" si="929"/>
        <v>0</v>
      </c>
      <c r="R1034" s="108">
        <f t="shared" si="929"/>
        <v>0</v>
      </c>
      <c r="S1034" s="108">
        <f t="shared" si="929"/>
        <v>0</v>
      </c>
      <c r="T1034" s="28" t="s">
        <v>26</v>
      </c>
      <c r="V1034" s="104" t="str">
        <f>$V$72</f>
        <v>Michel</v>
      </c>
      <c r="W1034" s="108">
        <f t="shared" si="895"/>
        <v>-1</v>
      </c>
      <c r="X1034" s="108">
        <f t="shared" si="896"/>
        <v>-1</v>
      </c>
      <c r="Y1034" s="108">
        <f t="shared" si="897"/>
        <v>-1</v>
      </c>
      <c r="Z1034" s="108">
        <f t="shared" si="898"/>
        <v>-1</v>
      </c>
      <c r="AA1034" s="108">
        <f t="shared" si="899"/>
        <v>-1</v>
      </c>
      <c r="AB1034" s="108">
        <f t="shared" si="900"/>
        <v>-1</v>
      </c>
      <c r="AC1034" s="108">
        <f t="shared" si="901"/>
        <v>-1</v>
      </c>
      <c r="AD1034" s="108">
        <f t="shared" si="902"/>
        <v>-1</v>
      </c>
      <c r="AE1034" s="108">
        <f t="shared" si="903"/>
        <v>-1</v>
      </c>
      <c r="AF1034" s="108">
        <f t="shared" si="904"/>
        <v>-1</v>
      </c>
      <c r="AG1034" s="108">
        <f t="shared" si="905"/>
        <v>-1</v>
      </c>
      <c r="AH1034" s="108">
        <f t="shared" si="906"/>
        <v>-1</v>
      </c>
      <c r="AI1034" s="108">
        <f t="shared" si="907"/>
        <v>-1</v>
      </c>
      <c r="AJ1034" s="108">
        <f t="shared" si="908"/>
        <v>-1</v>
      </c>
      <c r="AK1034" s="108">
        <f t="shared" si="909"/>
        <v>-1</v>
      </c>
      <c r="AL1034" s="108">
        <f t="shared" si="910"/>
        <v>-1</v>
      </c>
    </row>
    <row r="1035" spans="3:38" x14ac:dyDescent="0.55000000000000004">
      <c r="C1035" s="104" t="str">
        <f>$V$73</f>
        <v>Nour</v>
      </c>
      <c r="D1035" s="108">
        <f t="shared" ref="D1035:S1035" si="930">D73</f>
        <v>0</v>
      </c>
      <c r="E1035" s="108">
        <f t="shared" si="930"/>
        <v>0</v>
      </c>
      <c r="F1035" s="108">
        <f t="shared" si="930"/>
        <v>0</v>
      </c>
      <c r="G1035" s="108">
        <f t="shared" si="930"/>
        <v>0</v>
      </c>
      <c r="H1035" s="108">
        <f t="shared" si="930"/>
        <v>0</v>
      </c>
      <c r="I1035" s="108">
        <f t="shared" si="930"/>
        <v>0</v>
      </c>
      <c r="J1035" s="108">
        <f t="shared" si="930"/>
        <v>0</v>
      </c>
      <c r="K1035" s="108">
        <f t="shared" si="930"/>
        <v>0</v>
      </c>
      <c r="L1035" s="108">
        <f t="shared" si="930"/>
        <v>0</v>
      </c>
      <c r="M1035" s="108">
        <f t="shared" si="930"/>
        <v>0</v>
      </c>
      <c r="N1035" s="108">
        <f t="shared" si="930"/>
        <v>0</v>
      </c>
      <c r="O1035" s="108">
        <f t="shared" si="930"/>
        <v>0</v>
      </c>
      <c r="P1035" s="108">
        <f t="shared" si="930"/>
        <v>0</v>
      </c>
      <c r="Q1035" s="108">
        <f t="shared" si="930"/>
        <v>0</v>
      </c>
      <c r="R1035" s="108">
        <f t="shared" si="930"/>
        <v>0</v>
      </c>
      <c r="S1035" s="108">
        <f t="shared" si="930"/>
        <v>0</v>
      </c>
      <c r="T1035" s="28" t="s">
        <v>26</v>
      </c>
      <c r="V1035" s="104" t="str">
        <f>$V$73</f>
        <v>Nour</v>
      </c>
      <c r="W1035" s="108">
        <f t="shared" si="895"/>
        <v>-1</v>
      </c>
      <c r="X1035" s="108">
        <f t="shared" si="896"/>
        <v>-1</v>
      </c>
      <c r="Y1035" s="108">
        <f t="shared" si="897"/>
        <v>-1</v>
      </c>
      <c r="Z1035" s="108">
        <f t="shared" si="898"/>
        <v>-1</v>
      </c>
      <c r="AA1035" s="108">
        <f t="shared" si="899"/>
        <v>-1</v>
      </c>
      <c r="AB1035" s="108">
        <f t="shared" si="900"/>
        <v>-1</v>
      </c>
      <c r="AC1035" s="108">
        <f t="shared" si="901"/>
        <v>-1</v>
      </c>
      <c r="AD1035" s="108">
        <f t="shared" si="902"/>
        <v>-1</v>
      </c>
      <c r="AE1035" s="108">
        <f t="shared" si="903"/>
        <v>-1</v>
      </c>
      <c r="AF1035" s="108">
        <f t="shared" si="904"/>
        <v>-1</v>
      </c>
      <c r="AG1035" s="108">
        <f t="shared" si="905"/>
        <v>-1</v>
      </c>
      <c r="AH1035" s="108">
        <f t="shared" si="906"/>
        <v>-1</v>
      </c>
      <c r="AI1035" s="108">
        <f t="shared" si="907"/>
        <v>-1</v>
      </c>
      <c r="AJ1035" s="108">
        <f t="shared" si="908"/>
        <v>-1</v>
      </c>
      <c r="AK1035" s="108">
        <f t="shared" si="909"/>
        <v>-1</v>
      </c>
      <c r="AL1035" s="108">
        <f t="shared" si="910"/>
        <v>-1</v>
      </c>
    </row>
    <row r="1036" spans="3:38" x14ac:dyDescent="0.55000000000000004">
      <c r="C1036" s="104" t="str">
        <f>$V$74</f>
        <v>Samuel</v>
      </c>
      <c r="D1036" s="108">
        <f t="shared" ref="D1036:S1036" si="931">D74</f>
        <v>0</v>
      </c>
      <c r="E1036" s="108">
        <f t="shared" si="931"/>
        <v>0</v>
      </c>
      <c r="F1036" s="108">
        <f t="shared" si="931"/>
        <v>0</v>
      </c>
      <c r="G1036" s="108">
        <f t="shared" si="931"/>
        <v>0</v>
      </c>
      <c r="H1036" s="108">
        <f t="shared" si="931"/>
        <v>0</v>
      </c>
      <c r="I1036" s="108">
        <f t="shared" si="931"/>
        <v>0</v>
      </c>
      <c r="J1036" s="108">
        <f t="shared" si="931"/>
        <v>0</v>
      </c>
      <c r="K1036" s="108">
        <f t="shared" si="931"/>
        <v>0</v>
      </c>
      <c r="L1036" s="108">
        <f t="shared" si="931"/>
        <v>0</v>
      </c>
      <c r="M1036" s="108">
        <f t="shared" si="931"/>
        <v>0</v>
      </c>
      <c r="N1036" s="108">
        <f t="shared" si="931"/>
        <v>0</v>
      </c>
      <c r="O1036" s="108">
        <f t="shared" si="931"/>
        <v>0</v>
      </c>
      <c r="P1036" s="108">
        <f t="shared" si="931"/>
        <v>0</v>
      </c>
      <c r="Q1036" s="108">
        <f t="shared" si="931"/>
        <v>0</v>
      </c>
      <c r="R1036" s="108">
        <f t="shared" si="931"/>
        <v>0</v>
      </c>
      <c r="S1036" s="108">
        <f t="shared" si="931"/>
        <v>0</v>
      </c>
      <c r="T1036" s="28" t="s">
        <v>26</v>
      </c>
      <c r="V1036" s="104" t="str">
        <f>$V$74</f>
        <v>Samuel</v>
      </c>
      <c r="W1036" s="108">
        <f t="shared" si="895"/>
        <v>-1</v>
      </c>
      <c r="X1036" s="108">
        <f t="shared" si="896"/>
        <v>-1</v>
      </c>
      <c r="Y1036" s="108">
        <f t="shared" si="897"/>
        <v>-1</v>
      </c>
      <c r="Z1036" s="108">
        <f t="shared" si="898"/>
        <v>-1</v>
      </c>
      <c r="AA1036" s="108">
        <f t="shared" si="899"/>
        <v>-1</v>
      </c>
      <c r="AB1036" s="108">
        <f t="shared" si="900"/>
        <v>-1</v>
      </c>
      <c r="AC1036" s="108">
        <f t="shared" si="901"/>
        <v>-1</v>
      </c>
      <c r="AD1036" s="108">
        <f t="shared" si="902"/>
        <v>-1</v>
      </c>
      <c r="AE1036" s="108">
        <f t="shared" si="903"/>
        <v>-1</v>
      </c>
      <c r="AF1036" s="108">
        <f t="shared" si="904"/>
        <v>-1</v>
      </c>
      <c r="AG1036" s="108">
        <f t="shared" si="905"/>
        <v>-1</v>
      </c>
      <c r="AH1036" s="108">
        <f t="shared" si="906"/>
        <v>-1</v>
      </c>
      <c r="AI1036" s="108">
        <f t="shared" si="907"/>
        <v>-1</v>
      </c>
      <c r="AJ1036" s="108">
        <f t="shared" si="908"/>
        <v>-1</v>
      </c>
      <c r="AK1036" s="108">
        <f t="shared" si="909"/>
        <v>-1</v>
      </c>
      <c r="AL1036" s="108">
        <f t="shared" si="910"/>
        <v>-1</v>
      </c>
    </row>
    <row r="1037" spans="3:38" x14ac:dyDescent="0.55000000000000004">
      <c r="C1037" s="104" t="str">
        <f>$V$75</f>
        <v>Yassin</v>
      </c>
      <c r="D1037" s="108">
        <f t="shared" ref="D1037:S1037" si="932">D75</f>
        <v>0</v>
      </c>
      <c r="E1037" s="108">
        <f t="shared" si="932"/>
        <v>0</v>
      </c>
      <c r="F1037" s="108">
        <f t="shared" si="932"/>
        <v>0</v>
      </c>
      <c r="G1037" s="108">
        <f t="shared" si="932"/>
        <v>0</v>
      </c>
      <c r="H1037" s="108">
        <f t="shared" si="932"/>
        <v>0</v>
      </c>
      <c r="I1037" s="108">
        <f t="shared" si="932"/>
        <v>0</v>
      </c>
      <c r="J1037" s="108">
        <f t="shared" si="932"/>
        <v>0</v>
      </c>
      <c r="K1037" s="108">
        <f t="shared" si="932"/>
        <v>0</v>
      </c>
      <c r="L1037" s="108">
        <f t="shared" si="932"/>
        <v>0</v>
      </c>
      <c r="M1037" s="108">
        <f t="shared" si="932"/>
        <v>0</v>
      </c>
      <c r="N1037" s="108">
        <f t="shared" si="932"/>
        <v>0</v>
      </c>
      <c r="O1037" s="108">
        <f t="shared" si="932"/>
        <v>0</v>
      </c>
      <c r="P1037" s="108">
        <f t="shared" si="932"/>
        <v>0</v>
      </c>
      <c r="Q1037" s="108">
        <f t="shared" si="932"/>
        <v>0</v>
      </c>
      <c r="R1037" s="108">
        <f t="shared" si="932"/>
        <v>0</v>
      </c>
      <c r="S1037" s="108">
        <f t="shared" si="932"/>
        <v>0</v>
      </c>
      <c r="T1037" s="28" t="s">
        <v>26</v>
      </c>
      <c r="V1037" s="104" t="str">
        <f>$V$75</f>
        <v>Yassin</v>
      </c>
      <c r="W1037" s="108">
        <f t="shared" si="895"/>
        <v>-1</v>
      </c>
      <c r="X1037" s="108">
        <f t="shared" si="896"/>
        <v>-1</v>
      </c>
      <c r="Y1037" s="108">
        <f t="shared" si="897"/>
        <v>-1</v>
      </c>
      <c r="Z1037" s="108">
        <f t="shared" si="898"/>
        <v>-1</v>
      </c>
      <c r="AA1037" s="108">
        <f t="shared" si="899"/>
        <v>-1</v>
      </c>
      <c r="AB1037" s="108">
        <f t="shared" si="900"/>
        <v>-1</v>
      </c>
      <c r="AC1037" s="108">
        <f t="shared" si="901"/>
        <v>-1</v>
      </c>
      <c r="AD1037" s="108">
        <f t="shared" si="902"/>
        <v>-1</v>
      </c>
      <c r="AE1037" s="108">
        <f t="shared" si="903"/>
        <v>-1</v>
      </c>
      <c r="AF1037" s="108">
        <f t="shared" si="904"/>
        <v>-1</v>
      </c>
      <c r="AG1037" s="108">
        <f t="shared" si="905"/>
        <v>-1</v>
      </c>
      <c r="AH1037" s="108">
        <f t="shared" si="906"/>
        <v>-1</v>
      </c>
      <c r="AI1037" s="108">
        <f t="shared" si="907"/>
        <v>-1</v>
      </c>
      <c r="AJ1037" s="108">
        <f t="shared" si="908"/>
        <v>-1</v>
      </c>
      <c r="AK1037" s="108">
        <f t="shared" si="909"/>
        <v>-1</v>
      </c>
      <c r="AL1037" s="108">
        <f t="shared" si="910"/>
        <v>-1</v>
      </c>
    </row>
    <row r="1038" spans="3:38" x14ac:dyDescent="0.55000000000000004">
      <c r="C1038" s="104" t="str">
        <f>$V$76</f>
        <v>Kamar</v>
      </c>
      <c r="D1038" s="108">
        <f t="shared" ref="D1038:S1038" si="933">D76</f>
        <v>0</v>
      </c>
      <c r="E1038" s="108">
        <f t="shared" si="933"/>
        <v>0</v>
      </c>
      <c r="F1038" s="108">
        <f t="shared" si="933"/>
        <v>0</v>
      </c>
      <c r="G1038" s="108">
        <f t="shared" si="933"/>
        <v>0</v>
      </c>
      <c r="H1038" s="108">
        <f t="shared" si="933"/>
        <v>0</v>
      </c>
      <c r="I1038" s="108">
        <f t="shared" si="933"/>
        <v>0</v>
      </c>
      <c r="J1038" s="108">
        <f t="shared" si="933"/>
        <v>0</v>
      </c>
      <c r="K1038" s="108">
        <f t="shared" si="933"/>
        <v>0</v>
      </c>
      <c r="L1038" s="108">
        <f t="shared" si="933"/>
        <v>0</v>
      </c>
      <c r="M1038" s="108">
        <f t="shared" si="933"/>
        <v>0</v>
      </c>
      <c r="N1038" s="108">
        <f t="shared" si="933"/>
        <v>0</v>
      </c>
      <c r="O1038" s="108">
        <f t="shared" si="933"/>
        <v>0</v>
      </c>
      <c r="P1038" s="108">
        <f t="shared" si="933"/>
        <v>0</v>
      </c>
      <c r="Q1038" s="108">
        <f t="shared" si="933"/>
        <v>0</v>
      </c>
      <c r="R1038" s="108">
        <f t="shared" si="933"/>
        <v>0</v>
      </c>
      <c r="S1038" s="108">
        <f t="shared" si="933"/>
        <v>0</v>
      </c>
      <c r="T1038" s="28" t="s">
        <v>26</v>
      </c>
      <c r="V1038" s="104" t="str">
        <f>$V$76</f>
        <v>Kamar</v>
      </c>
      <c r="W1038" s="108">
        <f t="shared" si="895"/>
        <v>-1</v>
      </c>
      <c r="X1038" s="108">
        <f t="shared" si="896"/>
        <v>-1</v>
      </c>
      <c r="Y1038" s="108">
        <f t="shared" si="897"/>
        <v>-1</v>
      </c>
      <c r="Z1038" s="108">
        <f t="shared" si="898"/>
        <v>-1</v>
      </c>
      <c r="AA1038" s="108">
        <f t="shared" si="899"/>
        <v>-1</v>
      </c>
      <c r="AB1038" s="108">
        <f t="shared" si="900"/>
        <v>-1</v>
      </c>
      <c r="AC1038" s="108">
        <f t="shared" si="901"/>
        <v>-1</v>
      </c>
      <c r="AD1038" s="108">
        <f t="shared" si="902"/>
        <v>-1</v>
      </c>
      <c r="AE1038" s="108">
        <f t="shared" si="903"/>
        <v>-1</v>
      </c>
      <c r="AF1038" s="108">
        <f t="shared" si="904"/>
        <v>-1</v>
      </c>
      <c r="AG1038" s="108">
        <f t="shared" si="905"/>
        <v>-1</v>
      </c>
      <c r="AH1038" s="108">
        <f t="shared" si="906"/>
        <v>-1</v>
      </c>
      <c r="AI1038" s="108">
        <f t="shared" si="907"/>
        <v>-1</v>
      </c>
      <c r="AJ1038" s="108">
        <f t="shared" si="908"/>
        <v>-1</v>
      </c>
      <c r="AK1038" s="108">
        <f t="shared" si="909"/>
        <v>-1</v>
      </c>
      <c r="AL1038" s="108">
        <f t="shared" si="910"/>
        <v>-1</v>
      </c>
    </row>
    <row r="1039" spans="3:38" x14ac:dyDescent="0.55000000000000004">
      <c r="C1039" s="104" t="str">
        <f>$V$77</f>
        <v>-</v>
      </c>
      <c r="D1039" s="108">
        <f t="shared" ref="D1039:S1039" si="934">D77</f>
        <v>0</v>
      </c>
      <c r="E1039" s="108">
        <f t="shared" si="934"/>
        <v>0</v>
      </c>
      <c r="F1039" s="108">
        <f t="shared" si="934"/>
        <v>0</v>
      </c>
      <c r="G1039" s="108">
        <f t="shared" si="934"/>
        <v>0</v>
      </c>
      <c r="H1039" s="108">
        <f t="shared" si="934"/>
        <v>0</v>
      </c>
      <c r="I1039" s="108">
        <f t="shared" si="934"/>
        <v>0</v>
      </c>
      <c r="J1039" s="108">
        <f t="shared" si="934"/>
        <v>0</v>
      </c>
      <c r="K1039" s="108">
        <f t="shared" si="934"/>
        <v>0</v>
      </c>
      <c r="L1039" s="108">
        <f t="shared" si="934"/>
        <v>0</v>
      </c>
      <c r="M1039" s="108">
        <f t="shared" si="934"/>
        <v>0</v>
      </c>
      <c r="N1039" s="108">
        <f t="shared" si="934"/>
        <v>0</v>
      </c>
      <c r="O1039" s="108">
        <f t="shared" si="934"/>
        <v>0</v>
      </c>
      <c r="P1039" s="108">
        <f t="shared" si="934"/>
        <v>0</v>
      </c>
      <c r="Q1039" s="108">
        <f t="shared" si="934"/>
        <v>0</v>
      </c>
      <c r="R1039" s="108">
        <f t="shared" si="934"/>
        <v>0</v>
      </c>
      <c r="S1039" s="108">
        <f t="shared" si="934"/>
        <v>0</v>
      </c>
      <c r="T1039" s="28" t="s">
        <v>26</v>
      </c>
      <c r="V1039" s="104" t="str">
        <f>$V$77</f>
        <v>-</v>
      </c>
      <c r="W1039" s="108">
        <f t="shared" si="895"/>
        <v>-1</v>
      </c>
      <c r="X1039" s="108">
        <f t="shared" si="896"/>
        <v>-1</v>
      </c>
      <c r="Y1039" s="108">
        <f t="shared" si="897"/>
        <v>-1</v>
      </c>
      <c r="Z1039" s="108">
        <f t="shared" si="898"/>
        <v>-1</v>
      </c>
      <c r="AA1039" s="108">
        <f t="shared" si="899"/>
        <v>-1</v>
      </c>
      <c r="AB1039" s="108">
        <f t="shared" si="900"/>
        <v>-1</v>
      </c>
      <c r="AC1039" s="108">
        <f t="shared" si="901"/>
        <v>-1</v>
      </c>
      <c r="AD1039" s="108">
        <f t="shared" si="902"/>
        <v>-1</v>
      </c>
      <c r="AE1039" s="108">
        <f t="shared" si="903"/>
        <v>-1</v>
      </c>
      <c r="AF1039" s="108">
        <f t="shared" si="904"/>
        <v>-1</v>
      </c>
      <c r="AG1039" s="108">
        <f t="shared" si="905"/>
        <v>-1</v>
      </c>
      <c r="AH1039" s="108">
        <f t="shared" si="906"/>
        <v>-1</v>
      </c>
      <c r="AI1039" s="108">
        <f t="shared" si="907"/>
        <v>-1</v>
      </c>
      <c r="AJ1039" s="108">
        <f t="shared" si="908"/>
        <v>-1</v>
      </c>
      <c r="AK1039" s="108">
        <f t="shared" si="909"/>
        <v>-1</v>
      </c>
      <c r="AL1039" s="108">
        <f t="shared" si="910"/>
        <v>-1</v>
      </c>
    </row>
    <row r="1040" spans="3:38" x14ac:dyDescent="0.55000000000000004">
      <c r="C1040" s="104" t="str">
        <f>$V$78</f>
        <v>-</v>
      </c>
      <c r="D1040" s="108">
        <f t="shared" ref="D1040:S1040" si="935">D78</f>
        <v>0</v>
      </c>
      <c r="E1040" s="108">
        <f t="shared" si="935"/>
        <v>0</v>
      </c>
      <c r="F1040" s="108">
        <f t="shared" si="935"/>
        <v>0</v>
      </c>
      <c r="G1040" s="108">
        <f t="shared" si="935"/>
        <v>0</v>
      </c>
      <c r="H1040" s="108">
        <f t="shared" si="935"/>
        <v>0</v>
      </c>
      <c r="I1040" s="108">
        <f t="shared" si="935"/>
        <v>0</v>
      </c>
      <c r="J1040" s="108">
        <f t="shared" si="935"/>
        <v>0</v>
      </c>
      <c r="K1040" s="108">
        <f t="shared" si="935"/>
        <v>0</v>
      </c>
      <c r="L1040" s="108">
        <f t="shared" si="935"/>
        <v>0</v>
      </c>
      <c r="M1040" s="108">
        <f t="shared" si="935"/>
        <v>0</v>
      </c>
      <c r="N1040" s="108">
        <f t="shared" si="935"/>
        <v>0</v>
      </c>
      <c r="O1040" s="108">
        <f t="shared" si="935"/>
        <v>0</v>
      </c>
      <c r="P1040" s="108">
        <f t="shared" si="935"/>
        <v>0</v>
      </c>
      <c r="Q1040" s="108">
        <f t="shared" si="935"/>
        <v>0</v>
      </c>
      <c r="R1040" s="108">
        <f t="shared" si="935"/>
        <v>0</v>
      </c>
      <c r="S1040" s="108">
        <f t="shared" si="935"/>
        <v>0</v>
      </c>
      <c r="T1040" s="28" t="s">
        <v>26</v>
      </c>
      <c r="V1040" s="104" t="str">
        <f>$V$78</f>
        <v>-</v>
      </c>
      <c r="W1040" s="108">
        <f t="shared" si="895"/>
        <v>-1</v>
      </c>
      <c r="X1040" s="108">
        <f t="shared" si="896"/>
        <v>-1</v>
      </c>
      <c r="Y1040" s="108">
        <f t="shared" si="897"/>
        <v>-1</v>
      </c>
      <c r="Z1040" s="108">
        <f t="shared" si="898"/>
        <v>-1</v>
      </c>
      <c r="AA1040" s="108">
        <f t="shared" si="899"/>
        <v>-1</v>
      </c>
      <c r="AB1040" s="108">
        <f t="shared" si="900"/>
        <v>-1</v>
      </c>
      <c r="AC1040" s="108">
        <f t="shared" si="901"/>
        <v>-1</v>
      </c>
      <c r="AD1040" s="108">
        <f t="shared" si="902"/>
        <v>-1</v>
      </c>
      <c r="AE1040" s="108">
        <f t="shared" si="903"/>
        <v>-1</v>
      </c>
      <c r="AF1040" s="108">
        <f t="shared" si="904"/>
        <v>-1</v>
      </c>
      <c r="AG1040" s="108">
        <f t="shared" si="905"/>
        <v>-1</v>
      </c>
      <c r="AH1040" s="108">
        <f t="shared" si="906"/>
        <v>-1</v>
      </c>
      <c r="AI1040" s="108">
        <f t="shared" si="907"/>
        <v>-1</v>
      </c>
      <c r="AJ1040" s="108">
        <f t="shared" si="908"/>
        <v>-1</v>
      </c>
      <c r="AK1040" s="108">
        <f t="shared" si="909"/>
        <v>-1</v>
      </c>
      <c r="AL1040" s="108">
        <f t="shared" si="910"/>
        <v>-1</v>
      </c>
    </row>
    <row r="1041" spans="3:38" x14ac:dyDescent="0.55000000000000004">
      <c r="C1041" s="104" t="str">
        <f>$V$79</f>
        <v>-</v>
      </c>
      <c r="D1041" s="108">
        <f t="shared" ref="D1041:S1041" si="936">D79</f>
        <v>0</v>
      </c>
      <c r="E1041" s="108">
        <f t="shared" si="936"/>
        <v>0</v>
      </c>
      <c r="F1041" s="108">
        <f t="shared" si="936"/>
        <v>0</v>
      </c>
      <c r="G1041" s="108">
        <f t="shared" si="936"/>
        <v>0</v>
      </c>
      <c r="H1041" s="108">
        <f t="shared" si="936"/>
        <v>0</v>
      </c>
      <c r="I1041" s="108">
        <f t="shared" si="936"/>
        <v>0</v>
      </c>
      <c r="J1041" s="108">
        <f t="shared" si="936"/>
        <v>0</v>
      </c>
      <c r="K1041" s="108">
        <f t="shared" si="936"/>
        <v>0</v>
      </c>
      <c r="L1041" s="108">
        <f t="shared" si="936"/>
        <v>0</v>
      </c>
      <c r="M1041" s="108">
        <f t="shared" si="936"/>
        <v>0</v>
      </c>
      <c r="N1041" s="108">
        <f t="shared" si="936"/>
        <v>0</v>
      </c>
      <c r="O1041" s="108">
        <f t="shared" si="936"/>
        <v>0</v>
      </c>
      <c r="P1041" s="108">
        <f t="shared" si="936"/>
        <v>0</v>
      </c>
      <c r="Q1041" s="108">
        <f t="shared" si="936"/>
        <v>0</v>
      </c>
      <c r="R1041" s="108">
        <f t="shared" si="936"/>
        <v>0</v>
      </c>
      <c r="S1041" s="108">
        <f t="shared" si="936"/>
        <v>0</v>
      </c>
      <c r="T1041" s="28" t="s">
        <v>26</v>
      </c>
      <c r="V1041" s="104" t="str">
        <f>$V$79</f>
        <v>-</v>
      </c>
      <c r="W1041" s="108">
        <f t="shared" si="895"/>
        <v>-1</v>
      </c>
      <c r="X1041" s="108">
        <f t="shared" si="896"/>
        <v>-1</v>
      </c>
      <c r="Y1041" s="108">
        <f t="shared" si="897"/>
        <v>-1</v>
      </c>
      <c r="Z1041" s="108">
        <f t="shared" si="898"/>
        <v>-1</v>
      </c>
      <c r="AA1041" s="108">
        <f t="shared" si="899"/>
        <v>-1</v>
      </c>
      <c r="AB1041" s="108">
        <f t="shared" si="900"/>
        <v>-1</v>
      </c>
      <c r="AC1041" s="108">
        <f t="shared" si="901"/>
        <v>-1</v>
      </c>
      <c r="AD1041" s="108">
        <f t="shared" si="902"/>
        <v>-1</v>
      </c>
      <c r="AE1041" s="108">
        <f t="shared" si="903"/>
        <v>-1</v>
      </c>
      <c r="AF1041" s="108">
        <f t="shared" si="904"/>
        <v>-1</v>
      </c>
      <c r="AG1041" s="108">
        <f t="shared" si="905"/>
        <v>-1</v>
      </c>
      <c r="AH1041" s="108">
        <f t="shared" si="906"/>
        <v>-1</v>
      </c>
      <c r="AI1041" s="108">
        <f t="shared" si="907"/>
        <v>-1</v>
      </c>
      <c r="AJ1041" s="108">
        <f t="shared" si="908"/>
        <v>-1</v>
      </c>
      <c r="AK1041" s="108">
        <f t="shared" si="909"/>
        <v>-1</v>
      </c>
      <c r="AL1041" s="108">
        <f t="shared" si="910"/>
        <v>-1</v>
      </c>
    </row>
    <row r="1042" spans="3:38" x14ac:dyDescent="0.55000000000000004">
      <c r="C1042" s="104" t="str">
        <f>$V$80</f>
        <v>-</v>
      </c>
      <c r="D1042" s="108">
        <f t="shared" ref="D1042:S1042" si="937">D80</f>
        <v>0</v>
      </c>
      <c r="E1042" s="108">
        <f t="shared" si="937"/>
        <v>0</v>
      </c>
      <c r="F1042" s="108">
        <f t="shared" si="937"/>
        <v>0</v>
      </c>
      <c r="G1042" s="108">
        <f t="shared" si="937"/>
        <v>0</v>
      </c>
      <c r="H1042" s="108">
        <f t="shared" si="937"/>
        <v>0</v>
      </c>
      <c r="I1042" s="108">
        <f t="shared" si="937"/>
        <v>0</v>
      </c>
      <c r="J1042" s="108">
        <f t="shared" si="937"/>
        <v>0</v>
      </c>
      <c r="K1042" s="108">
        <f t="shared" si="937"/>
        <v>0</v>
      </c>
      <c r="L1042" s="108">
        <f t="shared" si="937"/>
        <v>0</v>
      </c>
      <c r="M1042" s="108">
        <f t="shared" si="937"/>
        <v>0</v>
      </c>
      <c r="N1042" s="108">
        <f t="shared" si="937"/>
        <v>0</v>
      </c>
      <c r="O1042" s="108">
        <f t="shared" si="937"/>
        <v>0</v>
      </c>
      <c r="P1042" s="108">
        <f t="shared" si="937"/>
        <v>0</v>
      </c>
      <c r="Q1042" s="108">
        <f t="shared" si="937"/>
        <v>0</v>
      </c>
      <c r="R1042" s="108">
        <f t="shared" si="937"/>
        <v>0</v>
      </c>
      <c r="S1042" s="108">
        <f t="shared" si="937"/>
        <v>0</v>
      </c>
      <c r="T1042" s="28" t="s">
        <v>26</v>
      </c>
      <c r="V1042" s="104" t="str">
        <f>$V$80</f>
        <v>-</v>
      </c>
      <c r="W1042" s="108">
        <f t="shared" si="895"/>
        <v>-1</v>
      </c>
      <c r="X1042" s="108">
        <f t="shared" si="896"/>
        <v>-1</v>
      </c>
      <c r="Y1042" s="108">
        <f t="shared" si="897"/>
        <v>-1</v>
      </c>
      <c r="Z1042" s="108">
        <f t="shared" si="898"/>
        <v>-1</v>
      </c>
      <c r="AA1042" s="108">
        <f t="shared" si="899"/>
        <v>-1</v>
      </c>
      <c r="AB1042" s="108">
        <f t="shared" si="900"/>
        <v>-1</v>
      </c>
      <c r="AC1042" s="108">
        <f t="shared" si="901"/>
        <v>-1</v>
      </c>
      <c r="AD1042" s="108">
        <f t="shared" si="902"/>
        <v>-1</v>
      </c>
      <c r="AE1042" s="108">
        <f t="shared" si="903"/>
        <v>-1</v>
      </c>
      <c r="AF1042" s="108">
        <f t="shared" si="904"/>
        <v>-1</v>
      </c>
      <c r="AG1042" s="108">
        <f t="shared" si="905"/>
        <v>-1</v>
      </c>
      <c r="AH1042" s="108">
        <f t="shared" si="906"/>
        <v>-1</v>
      </c>
      <c r="AI1042" s="108">
        <f t="shared" si="907"/>
        <v>-1</v>
      </c>
      <c r="AJ1042" s="108">
        <f t="shared" si="908"/>
        <v>-1</v>
      </c>
      <c r="AK1042" s="108">
        <f t="shared" si="909"/>
        <v>-1</v>
      </c>
      <c r="AL1042" s="108">
        <f t="shared" si="910"/>
        <v>-1</v>
      </c>
    </row>
    <row r="1043" spans="3:38" x14ac:dyDescent="0.55000000000000004">
      <c r="C1043" s="104" t="str">
        <f>$V$81</f>
        <v>-</v>
      </c>
      <c r="D1043" s="108">
        <f t="shared" ref="D1043:S1043" si="938">D81</f>
        <v>0</v>
      </c>
      <c r="E1043" s="108">
        <f t="shared" si="938"/>
        <v>0</v>
      </c>
      <c r="F1043" s="108">
        <f t="shared" si="938"/>
        <v>0</v>
      </c>
      <c r="G1043" s="108">
        <f t="shared" si="938"/>
        <v>0</v>
      </c>
      <c r="H1043" s="108">
        <f t="shared" si="938"/>
        <v>0</v>
      </c>
      <c r="I1043" s="108">
        <f t="shared" si="938"/>
        <v>0</v>
      </c>
      <c r="J1043" s="108">
        <f t="shared" si="938"/>
        <v>0</v>
      </c>
      <c r="K1043" s="108">
        <f t="shared" si="938"/>
        <v>0</v>
      </c>
      <c r="L1043" s="108">
        <f t="shared" si="938"/>
        <v>0</v>
      </c>
      <c r="M1043" s="108">
        <f t="shared" si="938"/>
        <v>0</v>
      </c>
      <c r="N1043" s="108">
        <f t="shared" si="938"/>
        <v>0</v>
      </c>
      <c r="O1043" s="108">
        <f t="shared" si="938"/>
        <v>0</v>
      </c>
      <c r="P1043" s="108">
        <f t="shared" si="938"/>
        <v>0</v>
      </c>
      <c r="Q1043" s="108">
        <f t="shared" si="938"/>
        <v>0</v>
      </c>
      <c r="R1043" s="108">
        <f t="shared" si="938"/>
        <v>0</v>
      </c>
      <c r="S1043" s="108">
        <f t="shared" si="938"/>
        <v>0</v>
      </c>
      <c r="T1043" s="28" t="s">
        <v>26</v>
      </c>
      <c r="V1043" s="104" t="str">
        <f>$V$81</f>
        <v>-</v>
      </c>
      <c r="W1043" s="108">
        <f t="shared" si="895"/>
        <v>-1</v>
      </c>
      <c r="X1043" s="108">
        <f t="shared" si="896"/>
        <v>-1</v>
      </c>
      <c r="Y1043" s="108">
        <f t="shared" si="897"/>
        <v>-1</v>
      </c>
      <c r="Z1043" s="108">
        <f t="shared" si="898"/>
        <v>-1</v>
      </c>
      <c r="AA1043" s="108">
        <f t="shared" si="899"/>
        <v>-1</v>
      </c>
      <c r="AB1043" s="108">
        <f t="shared" si="900"/>
        <v>-1</v>
      </c>
      <c r="AC1043" s="108">
        <f t="shared" si="901"/>
        <v>-1</v>
      </c>
      <c r="AD1043" s="108">
        <f t="shared" si="902"/>
        <v>-1</v>
      </c>
      <c r="AE1043" s="108">
        <f t="shared" si="903"/>
        <v>-1</v>
      </c>
      <c r="AF1043" s="108">
        <f t="shared" si="904"/>
        <v>-1</v>
      </c>
      <c r="AG1043" s="108">
        <f t="shared" si="905"/>
        <v>-1</v>
      </c>
      <c r="AH1043" s="108">
        <f t="shared" si="906"/>
        <v>-1</v>
      </c>
      <c r="AI1043" s="108">
        <f t="shared" si="907"/>
        <v>-1</v>
      </c>
      <c r="AJ1043" s="108">
        <f t="shared" si="908"/>
        <v>-1</v>
      </c>
      <c r="AK1043" s="108">
        <f t="shared" si="909"/>
        <v>-1</v>
      </c>
      <c r="AL1043" s="108">
        <f t="shared" si="910"/>
        <v>-1</v>
      </c>
    </row>
    <row r="1044" spans="3:38" x14ac:dyDescent="0.55000000000000004">
      <c r="C1044" s="104" t="str">
        <f>$V$82</f>
        <v>-</v>
      </c>
      <c r="D1044" s="108">
        <f t="shared" ref="D1044:S1044" si="939">D82</f>
        <v>0</v>
      </c>
      <c r="E1044" s="108">
        <f t="shared" si="939"/>
        <v>0</v>
      </c>
      <c r="F1044" s="108">
        <f t="shared" si="939"/>
        <v>0</v>
      </c>
      <c r="G1044" s="108">
        <f t="shared" si="939"/>
        <v>0</v>
      </c>
      <c r="H1044" s="108">
        <f t="shared" si="939"/>
        <v>0</v>
      </c>
      <c r="I1044" s="108">
        <f t="shared" si="939"/>
        <v>0</v>
      </c>
      <c r="J1044" s="108">
        <f t="shared" si="939"/>
        <v>0</v>
      </c>
      <c r="K1044" s="108">
        <f t="shared" si="939"/>
        <v>0</v>
      </c>
      <c r="L1044" s="108">
        <f t="shared" si="939"/>
        <v>0</v>
      </c>
      <c r="M1044" s="108">
        <f t="shared" si="939"/>
        <v>0</v>
      </c>
      <c r="N1044" s="108">
        <f t="shared" si="939"/>
        <v>0</v>
      </c>
      <c r="O1044" s="108">
        <f t="shared" si="939"/>
        <v>0</v>
      </c>
      <c r="P1044" s="108">
        <f t="shared" si="939"/>
        <v>0</v>
      </c>
      <c r="Q1044" s="108">
        <f t="shared" si="939"/>
        <v>0</v>
      </c>
      <c r="R1044" s="108">
        <f t="shared" si="939"/>
        <v>0</v>
      </c>
      <c r="S1044" s="108">
        <f t="shared" si="939"/>
        <v>0</v>
      </c>
      <c r="T1044" s="28" t="s">
        <v>26</v>
      </c>
      <c r="V1044" s="104" t="str">
        <f>$V$82</f>
        <v>-</v>
      </c>
      <c r="W1044" s="108">
        <f t="shared" si="895"/>
        <v>-1</v>
      </c>
      <c r="X1044" s="108">
        <f t="shared" si="896"/>
        <v>-1</v>
      </c>
      <c r="Y1044" s="108">
        <f t="shared" si="897"/>
        <v>-1</v>
      </c>
      <c r="Z1044" s="108">
        <f t="shared" si="898"/>
        <v>-1</v>
      </c>
      <c r="AA1044" s="108">
        <f t="shared" si="899"/>
        <v>-1</v>
      </c>
      <c r="AB1044" s="108">
        <f t="shared" si="900"/>
        <v>-1</v>
      </c>
      <c r="AC1044" s="108">
        <f t="shared" si="901"/>
        <v>-1</v>
      </c>
      <c r="AD1044" s="108">
        <f t="shared" si="902"/>
        <v>-1</v>
      </c>
      <c r="AE1044" s="108">
        <f t="shared" si="903"/>
        <v>-1</v>
      </c>
      <c r="AF1044" s="108">
        <f t="shared" si="904"/>
        <v>-1</v>
      </c>
      <c r="AG1044" s="108">
        <f t="shared" si="905"/>
        <v>-1</v>
      </c>
      <c r="AH1044" s="108">
        <f t="shared" si="906"/>
        <v>-1</v>
      </c>
      <c r="AI1044" s="108">
        <f t="shared" si="907"/>
        <v>-1</v>
      </c>
      <c r="AJ1044" s="108">
        <f t="shared" si="908"/>
        <v>-1</v>
      </c>
      <c r="AK1044" s="108">
        <f t="shared" si="909"/>
        <v>-1</v>
      </c>
      <c r="AL1044" s="108">
        <f t="shared" si="910"/>
        <v>-1</v>
      </c>
    </row>
    <row r="1045" spans="3:38" x14ac:dyDescent="0.55000000000000004">
      <c r="C1045" s="104" t="str">
        <f>$V$83</f>
        <v>-</v>
      </c>
      <c r="D1045" s="108">
        <f t="shared" ref="D1045:S1045" si="940">D83</f>
        <v>0</v>
      </c>
      <c r="E1045" s="108">
        <f t="shared" si="940"/>
        <v>0</v>
      </c>
      <c r="F1045" s="108">
        <f t="shared" si="940"/>
        <v>0</v>
      </c>
      <c r="G1045" s="108">
        <f t="shared" si="940"/>
        <v>0</v>
      </c>
      <c r="H1045" s="108">
        <f t="shared" si="940"/>
        <v>0</v>
      </c>
      <c r="I1045" s="108">
        <f t="shared" si="940"/>
        <v>0</v>
      </c>
      <c r="J1045" s="108">
        <f t="shared" si="940"/>
        <v>0</v>
      </c>
      <c r="K1045" s="108">
        <f t="shared" si="940"/>
        <v>0</v>
      </c>
      <c r="L1045" s="108">
        <f t="shared" si="940"/>
        <v>0</v>
      </c>
      <c r="M1045" s="108">
        <f t="shared" si="940"/>
        <v>0</v>
      </c>
      <c r="N1045" s="108">
        <f t="shared" si="940"/>
        <v>0</v>
      </c>
      <c r="O1045" s="108">
        <f t="shared" si="940"/>
        <v>0</v>
      </c>
      <c r="P1045" s="108">
        <f t="shared" si="940"/>
        <v>0</v>
      </c>
      <c r="Q1045" s="108">
        <f t="shared" si="940"/>
        <v>0</v>
      </c>
      <c r="R1045" s="108">
        <f t="shared" si="940"/>
        <v>0</v>
      </c>
      <c r="S1045" s="108">
        <f t="shared" si="940"/>
        <v>0</v>
      </c>
      <c r="T1045" s="28" t="s">
        <v>26</v>
      </c>
      <c r="V1045" s="104" t="str">
        <f>$V$83</f>
        <v>-</v>
      </c>
      <c r="W1045" s="108">
        <f t="shared" si="895"/>
        <v>-1</v>
      </c>
      <c r="X1045" s="108">
        <f t="shared" si="896"/>
        <v>-1</v>
      </c>
      <c r="Y1045" s="108">
        <f t="shared" si="897"/>
        <v>-1</v>
      </c>
      <c r="Z1045" s="108">
        <f t="shared" si="898"/>
        <v>-1</v>
      </c>
      <c r="AA1045" s="108">
        <f t="shared" si="899"/>
        <v>-1</v>
      </c>
      <c r="AB1045" s="108">
        <f t="shared" si="900"/>
        <v>-1</v>
      </c>
      <c r="AC1045" s="108">
        <f t="shared" si="901"/>
        <v>-1</v>
      </c>
      <c r="AD1045" s="108">
        <f t="shared" si="902"/>
        <v>-1</v>
      </c>
      <c r="AE1045" s="108">
        <f t="shared" si="903"/>
        <v>-1</v>
      </c>
      <c r="AF1045" s="108">
        <f t="shared" si="904"/>
        <v>-1</v>
      </c>
      <c r="AG1045" s="108">
        <f t="shared" si="905"/>
        <v>-1</v>
      </c>
      <c r="AH1045" s="108">
        <f t="shared" si="906"/>
        <v>-1</v>
      </c>
      <c r="AI1045" s="108">
        <f t="shared" si="907"/>
        <v>-1</v>
      </c>
      <c r="AJ1045" s="108">
        <f t="shared" si="908"/>
        <v>-1</v>
      </c>
      <c r="AK1045" s="108">
        <f t="shared" si="909"/>
        <v>-1</v>
      </c>
      <c r="AL1045" s="108">
        <f t="shared" si="910"/>
        <v>-1</v>
      </c>
    </row>
    <row r="1046" spans="3:38" x14ac:dyDescent="0.55000000000000004">
      <c r="C1046" s="104" t="str">
        <f>$V$84</f>
        <v>-</v>
      </c>
      <c r="D1046" s="108">
        <f t="shared" ref="D1046:S1046" si="941">D84</f>
        <v>0</v>
      </c>
      <c r="E1046" s="108">
        <f t="shared" si="941"/>
        <v>0</v>
      </c>
      <c r="F1046" s="108">
        <f t="shared" si="941"/>
        <v>0</v>
      </c>
      <c r="G1046" s="108">
        <f t="shared" si="941"/>
        <v>0</v>
      </c>
      <c r="H1046" s="108">
        <f t="shared" si="941"/>
        <v>0</v>
      </c>
      <c r="I1046" s="108">
        <f t="shared" si="941"/>
        <v>0</v>
      </c>
      <c r="J1046" s="108">
        <f t="shared" si="941"/>
        <v>0</v>
      </c>
      <c r="K1046" s="108">
        <f t="shared" si="941"/>
        <v>0</v>
      </c>
      <c r="L1046" s="108">
        <f t="shared" si="941"/>
        <v>0</v>
      </c>
      <c r="M1046" s="108">
        <f t="shared" si="941"/>
        <v>0</v>
      </c>
      <c r="N1046" s="108">
        <f t="shared" si="941"/>
        <v>0</v>
      </c>
      <c r="O1046" s="108">
        <f t="shared" si="941"/>
        <v>0</v>
      </c>
      <c r="P1046" s="108">
        <f t="shared" si="941"/>
        <v>0</v>
      </c>
      <c r="Q1046" s="108">
        <f t="shared" si="941"/>
        <v>0</v>
      </c>
      <c r="R1046" s="108">
        <f t="shared" si="941"/>
        <v>0</v>
      </c>
      <c r="S1046" s="108">
        <f t="shared" si="941"/>
        <v>0</v>
      </c>
      <c r="T1046" s="28" t="s">
        <v>26</v>
      </c>
      <c r="V1046" s="104" t="str">
        <f>$V$84</f>
        <v>-</v>
      </c>
      <c r="W1046" s="108">
        <f t="shared" si="895"/>
        <v>-1</v>
      </c>
      <c r="X1046" s="108">
        <f t="shared" si="896"/>
        <v>-1</v>
      </c>
      <c r="Y1046" s="108">
        <f t="shared" si="897"/>
        <v>-1</v>
      </c>
      <c r="Z1046" s="108">
        <f t="shared" si="898"/>
        <v>-1</v>
      </c>
      <c r="AA1046" s="108">
        <f t="shared" si="899"/>
        <v>-1</v>
      </c>
      <c r="AB1046" s="108">
        <f t="shared" si="900"/>
        <v>-1</v>
      </c>
      <c r="AC1046" s="108">
        <f t="shared" si="901"/>
        <v>-1</v>
      </c>
      <c r="AD1046" s="108">
        <f t="shared" si="902"/>
        <v>-1</v>
      </c>
      <c r="AE1046" s="108">
        <f t="shared" si="903"/>
        <v>-1</v>
      </c>
      <c r="AF1046" s="108">
        <f t="shared" si="904"/>
        <v>-1</v>
      </c>
      <c r="AG1046" s="108">
        <f t="shared" si="905"/>
        <v>-1</v>
      </c>
      <c r="AH1046" s="108">
        <f t="shared" si="906"/>
        <v>-1</v>
      </c>
      <c r="AI1046" s="108">
        <f t="shared" si="907"/>
        <v>-1</v>
      </c>
      <c r="AJ1046" s="108">
        <f t="shared" si="908"/>
        <v>-1</v>
      </c>
      <c r="AK1046" s="108">
        <f t="shared" si="909"/>
        <v>-1</v>
      </c>
      <c r="AL1046" s="108">
        <f t="shared" si="910"/>
        <v>-1</v>
      </c>
    </row>
    <row r="1047" spans="3:38" x14ac:dyDescent="0.55000000000000004">
      <c r="C1047" s="104" t="str">
        <f>$V$85</f>
        <v>-</v>
      </c>
      <c r="D1047" s="108">
        <f t="shared" ref="D1047:S1047" si="942">D85</f>
        <v>0</v>
      </c>
      <c r="E1047" s="108">
        <f t="shared" si="942"/>
        <v>0</v>
      </c>
      <c r="F1047" s="108">
        <f t="shared" si="942"/>
        <v>0</v>
      </c>
      <c r="G1047" s="108">
        <f t="shared" si="942"/>
        <v>0</v>
      </c>
      <c r="H1047" s="108">
        <f t="shared" si="942"/>
        <v>0</v>
      </c>
      <c r="I1047" s="108">
        <f t="shared" si="942"/>
        <v>0</v>
      </c>
      <c r="J1047" s="108">
        <f t="shared" si="942"/>
        <v>0</v>
      </c>
      <c r="K1047" s="108">
        <f t="shared" si="942"/>
        <v>0</v>
      </c>
      <c r="L1047" s="108">
        <f t="shared" si="942"/>
        <v>0</v>
      </c>
      <c r="M1047" s="108">
        <f t="shared" si="942"/>
        <v>0</v>
      </c>
      <c r="N1047" s="108">
        <f t="shared" si="942"/>
        <v>0</v>
      </c>
      <c r="O1047" s="108">
        <f t="shared" si="942"/>
        <v>0</v>
      </c>
      <c r="P1047" s="108">
        <f t="shared" si="942"/>
        <v>0</v>
      </c>
      <c r="Q1047" s="108">
        <f t="shared" si="942"/>
        <v>0</v>
      </c>
      <c r="R1047" s="108">
        <f t="shared" si="942"/>
        <v>0</v>
      </c>
      <c r="S1047" s="108">
        <f t="shared" si="942"/>
        <v>0</v>
      </c>
      <c r="T1047" s="28" t="s">
        <v>26</v>
      </c>
      <c r="V1047" s="104" t="str">
        <f>$V$85</f>
        <v>-</v>
      </c>
      <c r="W1047" s="108">
        <f t="shared" si="895"/>
        <v>-1</v>
      </c>
      <c r="X1047" s="108">
        <f t="shared" si="896"/>
        <v>-1</v>
      </c>
      <c r="Y1047" s="108">
        <f t="shared" si="897"/>
        <v>-1</v>
      </c>
      <c r="Z1047" s="108">
        <f t="shared" si="898"/>
        <v>-1</v>
      </c>
      <c r="AA1047" s="108">
        <f t="shared" si="899"/>
        <v>-1</v>
      </c>
      <c r="AB1047" s="108">
        <f t="shared" si="900"/>
        <v>-1</v>
      </c>
      <c r="AC1047" s="108">
        <f t="shared" si="901"/>
        <v>-1</v>
      </c>
      <c r="AD1047" s="108">
        <f t="shared" si="902"/>
        <v>-1</v>
      </c>
      <c r="AE1047" s="108">
        <f t="shared" si="903"/>
        <v>-1</v>
      </c>
      <c r="AF1047" s="108">
        <f t="shared" si="904"/>
        <v>-1</v>
      </c>
      <c r="AG1047" s="108">
        <f t="shared" si="905"/>
        <v>-1</v>
      </c>
      <c r="AH1047" s="108">
        <f t="shared" si="906"/>
        <v>-1</v>
      </c>
      <c r="AI1047" s="108">
        <f t="shared" si="907"/>
        <v>-1</v>
      </c>
      <c r="AJ1047" s="108">
        <f t="shared" si="908"/>
        <v>-1</v>
      </c>
      <c r="AK1047" s="108">
        <f t="shared" si="909"/>
        <v>-1</v>
      </c>
      <c r="AL1047" s="108">
        <f t="shared" si="910"/>
        <v>-1</v>
      </c>
    </row>
    <row r="1048" spans="3:38" x14ac:dyDescent="0.55000000000000004">
      <c r="C1048" s="104" t="str">
        <f>$V$86</f>
        <v>-</v>
      </c>
      <c r="D1048" s="108">
        <f t="shared" ref="D1048:S1048" si="943">D86</f>
        <v>0</v>
      </c>
      <c r="E1048" s="108">
        <f t="shared" si="943"/>
        <v>0</v>
      </c>
      <c r="F1048" s="108">
        <f t="shared" si="943"/>
        <v>0</v>
      </c>
      <c r="G1048" s="108">
        <f t="shared" si="943"/>
        <v>0</v>
      </c>
      <c r="H1048" s="108">
        <f t="shared" si="943"/>
        <v>0</v>
      </c>
      <c r="I1048" s="108">
        <f t="shared" si="943"/>
        <v>0</v>
      </c>
      <c r="J1048" s="108">
        <f t="shared" si="943"/>
        <v>0</v>
      </c>
      <c r="K1048" s="108">
        <f t="shared" si="943"/>
        <v>0</v>
      </c>
      <c r="L1048" s="108">
        <f t="shared" si="943"/>
        <v>0</v>
      </c>
      <c r="M1048" s="108">
        <f t="shared" si="943"/>
        <v>0</v>
      </c>
      <c r="N1048" s="108">
        <f t="shared" si="943"/>
        <v>0</v>
      </c>
      <c r="O1048" s="108">
        <f t="shared" si="943"/>
        <v>0</v>
      </c>
      <c r="P1048" s="108">
        <f t="shared" si="943"/>
        <v>0</v>
      </c>
      <c r="Q1048" s="108">
        <f t="shared" si="943"/>
        <v>0</v>
      </c>
      <c r="R1048" s="108">
        <f t="shared" si="943"/>
        <v>0</v>
      </c>
      <c r="S1048" s="108">
        <f t="shared" si="943"/>
        <v>0</v>
      </c>
      <c r="T1048" s="28" t="s">
        <v>26</v>
      </c>
      <c r="V1048" s="104" t="str">
        <f>$V$86</f>
        <v>-</v>
      </c>
      <c r="W1048" s="108">
        <f t="shared" si="895"/>
        <v>-1</v>
      </c>
      <c r="X1048" s="108">
        <f t="shared" si="896"/>
        <v>-1</v>
      </c>
      <c r="Y1048" s="108">
        <f t="shared" si="897"/>
        <v>-1</v>
      </c>
      <c r="Z1048" s="108">
        <f t="shared" si="898"/>
        <v>-1</v>
      </c>
      <c r="AA1048" s="108">
        <f t="shared" si="899"/>
        <v>-1</v>
      </c>
      <c r="AB1048" s="108">
        <f t="shared" si="900"/>
        <v>-1</v>
      </c>
      <c r="AC1048" s="108">
        <f t="shared" si="901"/>
        <v>-1</v>
      </c>
      <c r="AD1048" s="108">
        <f t="shared" si="902"/>
        <v>-1</v>
      </c>
      <c r="AE1048" s="108">
        <f t="shared" si="903"/>
        <v>-1</v>
      </c>
      <c r="AF1048" s="108">
        <f t="shared" si="904"/>
        <v>-1</v>
      </c>
      <c r="AG1048" s="108">
        <f t="shared" si="905"/>
        <v>-1</v>
      </c>
      <c r="AH1048" s="108">
        <f t="shared" si="906"/>
        <v>-1</v>
      </c>
      <c r="AI1048" s="108">
        <f t="shared" si="907"/>
        <v>-1</v>
      </c>
      <c r="AJ1048" s="108">
        <f t="shared" si="908"/>
        <v>-1</v>
      </c>
      <c r="AK1048" s="108">
        <f t="shared" si="909"/>
        <v>-1</v>
      </c>
      <c r="AL1048" s="108">
        <f t="shared" si="910"/>
        <v>-1</v>
      </c>
    </row>
    <row r="1049" spans="3:38" x14ac:dyDescent="0.55000000000000004">
      <c r="C1049" s="104" t="str">
        <f>$V$87</f>
        <v>-</v>
      </c>
      <c r="D1049" s="108">
        <f t="shared" ref="D1049:S1049" si="944">D87</f>
        <v>0</v>
      </c>
      <c r="E1049" s="108">
        <f t="shared" si="944"/>
        <v>0</v>
      </c>
      <c r="F1049" s="108">
        <f t="shared" si="944"/>
        <v>0</v>
      </c>
      <c r="G1049" s="108">
        <f t="shared" si="944"/>
        <v>0</v>
      </c>
      <c r="H1049" s="108">
        <f t="shared" si="944"/>
        <v>0</v>
      </c>
      <c r="I1049" s="108">
        <f t="shared" si="944"/>
        <v>0</v>
      </c>
      <c r="J1049" s="108">
        <f t="shared" si="944"/>
        <v>0</v>
      </c>
      <c r="K1049" s="108">
        <f t="shared" si="944"/>
        <v>0</v>
      </c>
      <c r="L1049" s="108">
        <f t="shared" si="944"/>
        <v>0</v>
      </c>
      <c r="M1049" s="108">
        <f t="shared" si="944"/>
        <v>0</v>
      </c>
      <c r="N1049" s="108">
        <f t="shared" si="944"/>
        <v>0</v>
      </c>
      <c r="O1049" s="108">
        <f t="shared" si="944"/>
        <v>0</v>
      </c>
      <c r="P1049" s="108">
        <f t="shared" si="944"/>
        <v>0</v>
      </c>
      <c r="Q1049" s="108">
        <f t="shared" si="944"/>
        <v>0</v>
      </c>
      <c r="R1049" s="108">
        <f t="shared" si="944"/>
        <v>0</v>
      </c>
      <c r="S1049" s="108">
        <f t="shared" si="944"/>
        <v>0</v>
      </c>
      <c r="T1049" s="28" t="s">
        <v>26</v>
      </c>
      <c r="V1049" s="104" t="str">
        <f>$V$87</f>
        <v>-</v>
      </c>
      <c r="W1049" s="108">
        <f t="shared" si="895"/>
        <v>-1</v>
      </c>
      <c r="X1049" s="108">
        <f t="shared" si="896"/>
        <v>-1</v>
      </c>
      <c r="Y1049" s="108">
        <f t="shared" si="897"/>
        <v>-1</v>
      </c>
      <c r="Z1049" s="108">
        <f t="shared" si="898"/>
        <v>-1</v>
      </c>
      <c r="AA1049" s="108">
        <f t="shared" si="899"/>
        <v>-1</v>
      </c>
      <c r="AB1049" s="108">
        <f t="shared" si="900"/>
        <v>-1</v>
      </c>
      <c r="AC1049" s="108">
        <f t="shared" si="901"/>
        <v>-1</v>
      </c>
      <c r="AD1049" s="108">
        <f t="shared" si="902"/>
        <v>-1</v>
      </c>
      <c r="AE1049" s="108">
        <f t="shared" si="903"/>
        <v>-1</v>
      </c>
      <c r="AF1049" s="108">
        <f t="shared" si="904"/>
        <v>-1</v>
      </c>
      <c r="AG1049" s="108">
        <f t="shared" si="905"/>
        <v>-1</v>
      </c>
      <c r="AH1049" s="108">
        <f t="shared" si="906"/>
        <v>-1</v>
      </c>
      <c r="AI1049" s="108">
        <f t="shared" si="907"/>
        <v>-1</v>
      </c>
      <c r="AJ1049" s="108">
        <f t="shared" si="908"/>
        <v>-1</v>
      </c>
      <c r="AK1049" s="108">
        <f t="shared" si="909"/>
        <v>-1</v>
      </c>
      <c r="AL1049" s="108">
        <f t="shared" si="910"/>
        <v>-1</v>
      </c>
    </row>
    <row r="1050" spans="3:38" x14ac:dyDescent="0.55000000000000004">
      <c r="C1050" s="104" t="str">
        <f>$V$88</f>
        <v>-</v>
      </c>
      <c r="D1050" s="108">
        <f t="shared" ref="D1050:S1050" si="945">D88</f>
        <v>0</v>
      </c>
      <c r="E1050" s="108">
        <f t="shared" si="945"/>
        <v>0</v>
      </c>
      <c r="F1050" s="108">
        <f t="shared" si="945"/>
        <v>0</v>
      </c>
      <c r="G1050" s="108">
        <f t="shared" si="945"/>
        <v>0</v>
      </c>
      <c r="H1050" s="108">
        <f t="shared" si="945"/>
        <v>0</v>
      </c>
      <c r="I1050" s="108">
        <f t="shared" si="945"/>
        <v>0</v>
      </c>
      <c r="J1050" s="108">
        <f t="shared" si="945"/>
        <v>0</v>
      </c>
      <c r="K1050" s="108">
        <f t="shared" si="945"/>
        <v>0</v>
      </c>
      <c r="L1050" s="108">
        <f t="shared" si="945"/>
        <v>0</v>
      </c>
      <c r="M1050" s="108">
        <f t="shared" si="945"/>
        <v>0</v>
      </c>
      <c r="N1050" s="108">
        <f t="shared" si="945"/>
        <v>0</v>
      </c>
      <c r="O1050" s="108">
        <f t="shared" si="945"/>
        <v>0</v>
      </c>
      <c r="P1050" s="108">
        <f t="shared" si="945"/>
        <v>0</v>
      </c>
      <c r="Q1050" s="108">
        <f t="shared" si="945"/>
        <v>0</v>
      </c>
      <c r="R1050" s="108">
        <f t="shared" si="945"/>
        <v>0</v>
      </c>
      <c r="S1050" s="108">
        <f t="shared" si="945"/>
        <v>0</v>
      </c>
      <c r="T1050" s="28" t="s">
        <v>26</v>
      </c>
      <c r="V1050" s="104" t="str">
        <f>$V$88</f>
        <v>-</v>
      </c>
      <c r="W1050" s="108">
        <f t="shared" si="895"/>
        <v>-1</v>
      </c>
      <c r="X1050" s="108">
        <f t="shared" si="896"/>
        <v>-1</v>
      </c>
      <c r="Y1050" s="108">
        <f t="shared" si="897"/>
        <v>-1</v>
      </c>
      <c r="Z1050" s="108">
        <f t="shared" si="898"/>
        <v>-1</v>
      </c>
      <c r="AA1050" s="108">
        <f t="shared" si="899"/>
        <v>-1</v>
      </c>
      <c r="AB1050" s="108">
        <f t="shared" si="900"/>
        <v>-1</v>
      </c>
      <c r="AC1050" s="108">
        <f t="shared" si="901"/>
        <v>-1</v>
      </c>
      <c r="AD1050" s="108">
        <f t="shared" si="902"/>
        <v>-1</v>
      </c>
      <c r="AE1050" s="108">
        <f t="shared" si="903"/>
        <v>-1</v>
      </c>
      <c r="AF1050" s="108">
        <f t="shared" si="904"/>
        <v>-1</v>
      </c>
      <c r="AG1050" s="108">
        <f t="shared" si="905"/>
        <v>-1</v>
      </c>
      <c r="AH1050" s="108">
        <f t="shared" si="906"/>
        <v>-1</v>
      </c>
      <c r="AI1050" s="108">
        <f t="shared" si="907"/>
        <v>-1</v>
      </c>
      <c r="AJ1050" s="108">
        <f t="shared" si="908"/>
        <v>-1</v>
      </c>
      <c r="AK1050" s="108">
        <f t="shared" si="909"/>
        <v>-1</v>
      </c>
      <c r="AL1050" s="108">
        <f t="shared" si="910"/>
        <v>-1</v>
      </c>
    </row>
    <row r="1051" spans="3:38" x14ac:dyDescent="0.55000000000000004">
      <c r="C1051" s="104" t="str">
        <f>$V$89</f>
        <v>-</v>
      </c>
      <c r="D1051" s="108">
        <f t="shared" ref="D1051:S1051" si="946">D89</f>
        <v>0</v>
      </c>
      <c r="E1051" s="108">
        <f t="shared" si="946"/>
        <v>0</v>
      </c>
      <c r="F1051" s="108">
        <f t="shared" si="946"/>
        <v>0</v>
      </c>
      <c r="G1051" s="108">
        <f t="shared" si="946"/>
        <v>0</v>
      </c>
      <c r="H1051" s="108">
        <f t="shared" si="946"/>
        <v>0</v>
      </c>
      <c r="I1051" s="108">
        <f t="shared" si="946"/>
        <v>0</v>
      </c>
      <c r="J1051" s="108">
        <f t="shared" si="946"/>
        <v>0</v>
      </c>
      <c r="K1051" s="108">
        <f t="shared" si="946"/>
        <v>0</v>
      </c>
      <c r="L1051" s="108">
        <f t="shared" si="946"/>
        <v>0</v>
      </c>
      <c r="M1051" s="108">
        <f t="shared" si="946"/>
        <v>0</v>
      </c>
      <c r="N1051" s="108">
        <f t="shared" si="946"/>
        <v>0</v>
      </c>
      <c r="O1051" s="108">
        <f t="shared" si="946"/>
        <v>0</v>
      </c>
      <c r="P1051" s="108">
        <f t="shared" si="946"/>
        <v>0</v>
      </c>
      <c r="Q1051" s="108">
        <f t="shared" si="946"/>
        <v>0</v>
      </c>
      <c r="R1051" s="108">
        <f t="shared" si="946"/>
        <v>0</v>
      </c>
      <c r="S1051" s="108">
        <f t="shared" si="946"/>
        <v>0</v>
      </c>
      <c r="T1051" s="28" t="s">
        <v>26</v>
      </c>
      <c r="V1051" s="104" t="str">
        <f>$V$89</f>
        <v>-</v>
      </c>
      <c r="W1051" s="108">
        <f t="shared" si="895"/>
        <v>-1</v>
      </c>
      <c r="X1051" s="108">
        <f t="shared" si="896"/>
        <v>-1</v>
      </c>
      <c r="Y1051" s="108">
        <f t="shared" si="897"/>
        <v>-1</v>
      </c>
      <c r="Z1051" s="108">
        <f t="shared" si="898"/>
        <v>-1</v>
      </c>
      <c r="AA1051" s="108">
        <f t="shared" si="899"/>
        <v>-1</v>
      </c>
      <c r="AB1051" s="108">
        <f t="shared" si="900"/>
        <v>-1</v>
      </c>
      <c r="AC1051" s="108">
        <f t="shared" si="901"/>
        <v>-1</v>
      </c>
      <c r="AD1051" s="108">
        <f t="shared" si="902"/>
        <v>-1</v>
      </c>
      <c r="AE1051" s="108">
        <f t="shared" si="903"/>
        <v>-1</v>
      </c>
      <c r="AF1051" s="108">
        <f t="shared" si="904"/>
        <v>-1</v>
      </c>
      <c r="AG1051" s="108">
        <f t="shared" si="905"/>
        <v>-1</v>
      </c>
      <c r="AH1051" s="108">
        <f t="shared" si="906"/>
        <v>-1</v>
      </c>
      <c r="AI1051" s="108">
        <f t="shared" si="907"/>
        <v>-1</v>
      </c>
      <c r="AJ1051" s="108">
        <f t="shared" si="908"/>
        <v>-1</v>
      </c>
      <c r="AK1051" s="108">
        <f t="shared" si="909"/>
        <v>-1</v>
      </c>
      <c r="AL1051" s="108">
        <f t="shared" si="910"/>
        <v>-1</v>
      </c>
    </row>
    <row r="1052" spans="3:38" x14ac:dyDescent="0.55000000000000004">
      <c r="C1052" s="104" t="str">
        <f>$V$90</f>
        <v>-</v>
      </c>
      <c r="D1052" s="108">
        <f t="shared" ref="D1052:S1052" si="947">D90</f>
        <v>0</v>
      </c>
      <c r="E1052" s="108">
        <f t="shared" si="947"/>
        <v>0</v>
      </c>
      <c r="F1052" s="108">
        <f t="shared" si="947"/>
        <v>0</v>
      </c>
      <c r="G1052" s="108">
        <f t="shared" si="947"/>
        <v>0</v>
      </c>
      <c r="H1052" s="108">
        <f t="shared" si="947"/>
        <v>0</v>
      </c>
      <c r="I1052" s="108">
        <f t="shared" si="947"/>
        <v>0</v>
      </c>
      <c r="J1052" s="108">
        <f t="shared" si="947"/>
        <v>0</v>
      </c>
      <c r="K1052" s="108">
        <f t="shared" si="947"/>
        <v>0</v>
      </c>
      <c r="L1052" s="108">
        <f t="shared" si="947"/>
        <v>0</v>
      </c>
      <c r="M1052" s="108">
        <f t="shared" si="947"/>
        <v>0</v>
      </c>
      <c r="N1052" s="108">
        <f t="shared" si="947"/>
        <v>0</v>
      </c>
      <c r="O1052" s="108">
        <f t="shared" si="947"/>
        <v>0</v>
      </c>
      <c r="P1052" s="108">
        <f t="shared" si="947"/>
        <v>0</v>
      </c>
      <c r="Q1052" s="108">
        <f t="shared" si="947"/>
        <v>0</v>
      </c>
      <c r="R1052" s="108">
        <f t="shared" si="947"/>
        <v>0</v>
      </c>
      <c r="S1052" s="108">
        <f t="shared" si="947"/>
        <v>0</v>
      </c>
      <c r="T1052" s="28" t="s">
        <v>26</v>
      </c>
      <c r="V1052" s="104" t="str">
        <f>$V$90</f>
        <v>-</v>
      </c>
      <c r="W1052" s="108">
        <f t="shared" si="895"/>
        <v>-1</v>
      </c>
      <c r="X1052" s="108">
        <f t="shared" si="896"/>
        <v>-1</v>
      </c>
      <c r="Y1052" s="108">
        <f t="shared" si="897"/>
        <v>-1</v>
      </c>
      <c r="Z1052" s="108">
        <f t="shared" si="898"/>
        <v>-1</v>
      </c>
      <c r="AA1052" s="108">
        <f t="shared" si="899"/>
        <v>-1</v>
      </c>
      <c r="AB1052" s="108">
        <f t="shared" si="900"/>
        <v>-1</v>
      </c>
      <c r="AC1052" s="108">
        <f t="shared" si="901"/>
        <v>-1</v>
      </c>
      <c r="AD1052" s="108">
        <f t="shared" si="902"/>
        <v>-1</v>
      </c>
      <c r="AE1052" s="108">
        <f t="shared" si="903"/>
        <v>-1</v>
      </c>
      <c r="AF1052" s="108">
        <f t="shared" si="904"/>
        <v>-1</v>
      </c>
      <c r="AG1052" s="108">
        <f t="shared" si="905"/>
        <v>-1</v>
      </c>
      <c r="AH1052" s="108">
        <f t="shared" si="906"/>
        <v>-1</v>
      </c>
      <c r="AI1052" s="108">
        <f t="shared" si="907"/>
        <v>-1</v>
      </c>
      <c r="AJ1052" s="108">
        <f t="shared" si="908"/>
        <v>-1</v>
      </c>
      <c r="AK1052" s="108">
        <f t="shared" si="909"/>
        <v>-1</v>
      </c>
      <c r="AL1052" s="108">
        <f t="shared" si="910"/>
        <v>-1</v>
      </c>
    </row>
    <row r="1053" spans="3:38" x14ac:dyDescent="0.55000000000000004">
      <c r="C1053" s="104" t="str">
        <f>$V$91</f>
        <v>-</v>
      </c>
      <c r="D1053" s="108">
        <f t="shared" ref="D1053:S1053" si="948">D91</f>
        <v>0</v>
      </c>
      <c r="E1053" s="108">
        <f t="shared" si="948"/>
        <v>0</v>
      </c>
      <c r="F1053" s="108">
        <f t="shared" si="948"/>
        <v>0</v>
      </c>
      <c r="G1053" s="108">
        <f t="shared" si="948"/>
        <v>0</v>
      </c>
      <c r="H1053" s="108">
        <f t="shared" si="948"/>
        <v>0</v>
      </c>
      <c r="I1053" s="108">
        <f t="shared" si="948"/>
        <v>0</v>
      </c>
      <c r="J1053" s="108">
        <f t="shared" si="948"/>
        <v>0</v>
      </c>
      <c r="K1053" s="108">
        <f t="shared" si="948"/>
        <v>0</v>
      </c>
      <c r="L1053" s="108">
        <f t="shared" si="948"/>
        <v>0</v>
      </c>
      <c r="M1053" s="108">
        <f t="shared" si="948"/>
        <v>0</v>
      </c>
      <c r="N1053" s="108">
        <f t="shared" si="948"/>
        <v>0</v>
      </c>
      <c r="O1053" s="108">
        <f t="shared" si="948"/>
        <v>0</v>
      </c>
      <c r="P1053" s="108">
        <f t="shared" si="948"/>
        <v>0</v>
      </c>
      <c r="Q1053" s="108">
        <f t="shared" si="948"/>
        <v>0</v>
      </c>
      <c r="R1053" s="108">
        <f t="shared" si="948"/>
        <v>0</v>
      </c>
      <c r="S1053" s="108">
        <f t="shared" si="948"/>
        <v>0</v>
      </c>
      <c r="T1053" s="28" t="s">
        <v>26</v>
      </c>
      <c r="V1053" s="104" t="str">
        <f>$V$91</f>
        <v>-</v>
      </c>
      <c r="W1053" s="108">
        <f t="shared" si="895"/>
        <v>-1</v>
      </c>
      <c r="X1053" s="108">
        <f t="shared" si="896"/>
        <v>-1</v>
      </c>
      <c r="Y1053" s="108">
        <f t="shared" si="897"/>
        <v>-1</v>
      </c>
      <c r="Z1053" s="108">
        <f t="shared" si="898"/>
        <v>-1</v>
      </c>
      <c r="AA1053" s="108">
        <f t="shared" si="899"/>
        <v>-1</v>
      </c>
      <c r="AB1053" s="108">
        <f t="shared" si="900"/>
        <v>-1</v>
      </c>
      <c r="AC1053" s="108">
        <f t="shared" si="901"/>
        <v>-1</v>
      </c>
      <c r="AD1053" s="108">
        <f t="shared" si="902"/>
        <v>-1</v>
      </c>
      <c r="AE1053" s="108">
        <f t="shared" si="903"/>
        <v>-1</v>
      </c>
      <c r="AF1053" s="108">
        <f t="shared" si="904"/>
        <v>-1</v>
      </c>
      <c r="AG1053" s="108">
        <f t="shared" si="905"/>
        <v>-1</v>
      </c>
      <c r="AH1053" s="108">
        <f t="shared" si="906"/>
        <v>-1</v>
      </c>
      <c r="AI1053" s="108">
        <f t="shared" si="907"/>
        <v>-1</v>
      </c>
      <c r="AJ1053" s="108">
        <f t="shared" si="908"/>
        <v>-1</v>
      </c>
      <c r="AK1053" s="108">
        <f t="shared" si="909"/>
        <v>-1</v>
      </c>
      <c r="AL1053" s="108">
        <f t="shared" si="910"/>
        <v>-1</v>
      </c>
    </row>
    <row r="1054" spans="3:38" x14ac:dyDescent="0.55000000000000004">
      <c r="C1054" s="104" t="str">
        <f>$V$92</f>
        <v>-</v>
      </c>
      <c r="D1054" s="108">
        <f t="shared" ref="D1054:S1054" si="949">D92</f>
        <v>0</v>
      </c>
      <c r="E1054" s="108">
        <f t="shared" si="949"/>
        <v>0</v>
      </c>
      <c r="F1054" s="108">
        <f t="shared" si="949"/>
        <v>0</v>
      </c>
      <c r="G1054" s="108">
        <f t="shared" si="949"/>
        <v>0</v>
      </c>
      <c r="H1054" s="108">
        <f t="shared" si="949"/>
        <v>0</v>
      </c>
      <c r="I1054" s="108">
        <f t="shared" si="949"/>
        <v>0</v>
      </c>
      <c r="J1054" s="108">
        <f t="shared" si="949"/>
        <v>0</v>
      </c>
      <c r="K1054" s="108">
        <f t="shared" si="949"/>
        <v>0</v>
      </c>
      <c r="L1054" s="108">
        <f t="shared" si="949"/>
        <v>0</v>
      </c>
      <c r="M1054" s="108">
        <f t="shared" si="949"/>
        <v>0</v>
      </c>
      <c r="N1054" s="108">
        <f t="shared" si="949"/>
        <v>0</v>
      </c>
      <c r="O1054" s="108">
        <f t="shared" si="949"/>
        <v>0</v>
      </c>
      <c r="P1054" s="108">
        <f t="shared" si="949"/>
        <v>0</v>
      </c>
      <c r="Q1054" s="108">
        <f t="shared" si="949"/>
        <v>0</v>
      </c>
      <c r="R1054" s="108">
        <f t="shared" si="949"/>
        <v>0</v>
      </c>
      <c r="S1054" s="108">
        <f t="shared" si="949"/>
        <v>0</v>
      </c>
      <c r="T1054" s="28" t="s">
        <v>26</v>
      </c>
      <c r="V1054" s="104" t="str">
        <f>$V$92</f>
        <v>-</v>
      </c>
      <c r="W1054" s="108">
        <f t="shared" si="895"/>
        <v>-1</v>
      </c>
      <c r="X1054" s="108">
        <f t="shared" si="896"/>
        <v>-1</v>
      </c>
      <c r="Y1054" s="108">
        <f t="shared" si="897"/>
        <v>-1</v>
      </c>
      <c r="Z1054" s="108">
        <f t="shared" si="898"/>
        <v>-1</v>
      </c>
      <c r="AA1054" s="108">
        <f t="shared" si="899"/>
        <v>-1</v>
      </c>
      <c r="AB1054" s="108">
        <f t="shared" si="900"/>
        <v>-1</v>
      </c>
      <c r="AC1054" s="108">
        <f t="shared" si="901"/>
        <v>-1</v>
      </c>
      <c r="AD1054" s="108">
        <f t="shared" si="902"/>
        <v>-1</v>
      </c>
      <c r="AE1054" s="108">
        <f t="shared" si="903"/>
        <v>-1</v>
      </c>
      <c r="AF1054" s="108">
        <f t="shared" si="904"/>
        <v>-1</v>
      </c>
      <c r="AG1054" s="108">
        <f t="shared" si="905"/>
        <v>-1</v>
      </c>
      <c r="AH1054" s="108">
        <f t="shared" si="906"/>
        <v>-1</v>
      </c>
      <c r="AI1054" s="108">
        <f t="shared" si="907"/>
        <v>-1</v>
      </c>
      <c r="AJ1054" s="108">
        <f t="shared" si="908"/>
        <v>-1</v>
      </c>
      <c r="AK1054" s="108">
        <f t="shared" si="909"/>
        <v>-1</v>
      </c>
      <c r="AL1054" s="108">
        <f t="shared" si="910"/>
        <v>-1</v>
      </c>
    </row>
    <row r="1058" spans="3:38" x14ac:dyDescent="0.55000000000000004">
      <c r="C1058" s="104" t="str">
        <f>$BK$648</f>
        <v>Dummy 4</v>
      </c>
      <c r="D1058" s="104" t="str">
        <f>$W$33</f>
        <v>16h</v>
      </c>
      <c r="E1058" s="104" t="str">
        <f>$X$33</f>
        <v>17h</v>
      </c>
      <c r="F1058" s="104" t="str">
        <f>$Y$33</f>
        <v>18h</v>
      </c>
      <c r="G1058" s="104" t="str">
        <f>$Z$33</f>
        <v>19h</v>
      </c>
      <c r="H1058" s="104" t="str">
        <f>$AA$33</f>
        <v>20h</v>
      </c>
      <c r="I1058" s="104" t="str">
        <f>$AB$33</f>
        <v>21h</v>
      </c>
      <c r="J1058" s="104" t="str">
        <f>$AC$33</f>
        <v>22h</v>
      </c>
      <c r="K1058" s="104" t="str">
        <f>$AD$33</f>
        <v>23h</v>
      </c>
      <c r="L1058" s="104" t="str">
        <f>$AE$33</f>
        <v>00h</v>
      </c>
      <c r="M1058" s="104" t="str">
        <f>$AF$33</f>
        <v>01h</v>
      </c>
      <c r="N1058" s="104" t="str">
        <f>$AG$33</f>
        <v>02h</v>
      </c>
      <c r="O1058" s="104" t="str">
        <f>$AH$33</f>
        <v>03h</v>
      </c>
      <c r="P1058" s="104" t="str">
        <f>$AI$33</f>
        <v>04h</v>
      </c>
      <c r="Q1058" s="104" t="str">
        <f>$AJ$33</f>
        <v>05h</v>
      </c>
      <c r="R1058" s="104" t="str">
        <f>$AK$33</f>
        <v>06h</v>
      </c>
      <c r="S1058" s="104" t="str">
        <f>$AL$33</f>
        <v>07h</v>
      </c>
      <c r="V1058" s="104" t="str">
        <f>$BK$648</f>
        <v>Dummy 4</v>
      </c>
      <c r="W1058" s="104" t="str">
        <f>$W$33</f>
        <v>16h</v>
      </c>
      <c r="X1058" s="104" t="str">
        <f>$X$33</f>
        <v>17h</v>
      </c>
      <c r="Y1058" s="104" t="str">
        <f>$Y$33</f>
        <v>18h</v>
      </c>
      <c r="Z1058" s="104" t="str">
        <f>$Z$33</f>
        <v>19h</v>
      </c>
      <c r="AA1058" s="104" t="str">
        <f>$AA$33</f>
        <v>20h</v>
      </c>
      <c r="AB1058" s="104" t="str">
        <f>$AB$33</f>
        <v>21h</v>
      </c>
      <c r="AC1058" s="104" t="str">
        <f>$AC$33</f>
        <v>22h</v>
      </c>
      <c r="AD1058" s="104" t="str">
        <f>$AD$33</f>
        <v>23h</v>
      </c>
      <c r="AE1058" s="104" t="str">
        <f>$AE$33</f>
        <v>00h</v>
      </c>
      <c r="AF1058" s="104" t="str">
        <f>$AF$33</f>
        <v>01h</v>
      </c>
      <c r="AG1058" s="104" t="str">
        <f>$AG$33</f>
        <v>02h</v>
      </c>
      <c r="AH1058" s="104" t="str">
        <f>$AH$33</f>
        <v>03h</v>
      </c>
      <c r="AI1058" s="104" t="str">
        <f>$AI$33</f>
        <v>04h</v>
      </c>
      <c r="AJ1058" s="104" t="str">
        <f>$AJ$33</f>
        <v>05h</v>
      </c>
      <c r="AK1058" s="104" t="str">
        <f>$AK$33</f>
        <v>06h</v>
      </c>
      <c r="AL1058" s="104" t="str">
        <f>$AL$33</f>
        <v>07h</v>
      </c>
    </row>
    <row r="1059" spans="3:38" x14ac:dyDescent="0.55000000000000004">
      <c r="C1059" s="104" t="str">
        <f>$V$53</f>
        <v>Jennifer</v>
      </c>
      <c r="D1059" s="108">
        <f t="shared" ref="D1059:S1059" si="950">D53</f>
        <v>0</v>
      </c>
      <c r="E1059" s="108">
        <f t="shared" si="950"/>
        <v>0</v>
      </c>
      <c r="F1059" s="108">
        <f t="shared" si="950"/>
        <v>0</v>
      </c>
      <c r="G1059" s="108">
        <f t="shared" si="950"/>
        <v>0</v>
      </c>
      <c r="H1059" s="108">
        <f t="shared" si="950"/>
        <v>0</v>
      </c>
      <c r="I1059" s="108">
        <f t="shared" si="950"/>
        <v>0</v>
      </c>
      <c r="J1059" s="108">
        <f t="shared" si="950"/>
        <v>0</v>
      </c>
      <c r="K1059" s="108">
        <f t="shared" si="950"/>
        <v>0</v>
      </c>
      <c r="L1059" s="108">
        <f t="shared" si="950"/>
        <v>0</v>
      </c>
      <c r="M1059" s="108">
        <f t="shared" si="950"/>
        <v>0</v>
      </c>
      <c r="N1059" s="108">
        <f t="shared" si="950"/>
        <v>0</v>
      </c>
      <c r="O1059" s="108">
        <f t="shared" si="950"/>
        <v>0</v>
      </c>
      <c r="P1059" s="108">
        <f t="shared" si="950"/>
        <v>0</v>
      </c>
      <c r="Q1059" s="108">
        <f t="shared" si="950"/>
        <v>0</v>
      </c>
      <c r="R1059" s="108">
        <f t="shared" si="950"/>
        <v>0</v>
      </c>
      <c r="S1059" s="108">
        <f t="shared" si="950"/>
        <v>0</v>
      </c>
      <c r="T1059" s="28" t="s">
        <v>26</v>
      </c>
      <c r="V1059" s="104" t="str">
        <f>$V$53</f>
        <v>Jennifer</v>
      </c>
      <c r="W1059" s="108">
        <f t="shared" ref="W1059:W1098" si="951">AR594+AS594-1</f>
        <v>-1</v>
      </c>
      <c r="X1059" s="108">
        <f t="shared" ref="X1059:X1098" si="952">AS594+AT594-1</f>
        <v>-1</v>
      </c>
      <c r="Y1059" s="108">
        <f t="shared" ref="Y1059:Y1098" si="953">AT594+AU594-1</f>
        <v>-1</v>
      </c>
      <c r="Z1059" s="108">
        <f t="shared" ref="Z1059:Z1098" si="954">AU594+AV594-1</f>
        <v>-1</v>
      </c>
      <c r="AA1059" s="108">
        <f t="shared" ref="AA1059:AA1098" si="955">AV594+AW594-1</f>
        <v>-1</v>
      </c>
      <c r="AB1059" s="108">
        <f t="shared" ref="AB1059:AB1098" si="956">AW594+AX594-1</f>
        <v>-1</v>
      </c>
      <c r="AC1059" s="108">
        <f t="shared" ref="AC1059:AC1098" si="957">AX594+AY594-1</f>
        <v>-1</v>
      </c>
      <c r="AD1059" s="108">
        <f t="shared" ref="AD1059:AD1098" si="958">AY594+AZ594-1</f>
        <v>-1</v>
      </c>
      <c r="AE1059" s="108">
        <f t="shared" ref="AE1059:AE1098" si="959">AZ594+BA594-1</f>
        <v>-1</v>
      </c>
      <c r="AF1059" s="108">
        <f t="shared" ref="AF1059:AF1098" si="960">BA594+BB594-1</f>
        <v>-1</v>
      </c>
      <c r="AG1059" s="108">
        <f t="shared" ref="AG1059:AG1098" si="961">BB594+BC594-1</f>
        <v>-1</v>
      </c>
      <c r="AH1059" s="108">
        <f t="shared" ref="AH1059:AH1098" si="962">BC594+BD594-1</f>
        <v>-1</v>
      </c>
      <c r="AI1059" s="108">
        <f t="shared" ref="AI1059:AI1098" si="963">BD594+BE594-1</f>
        <v>-1</v>
      </c>
      <c r="AJ1059" s="108">
        <f t="shared" ref="AJ1059:AJ1098" si="964">BE594+BF594-1</f>
        <v>-1</v>
      </c>
      <c r="AK1059" s="108">
        <f t="shared" ref="AK1059:AK1098" si="965">BF594+BG594-1</f>
        <v>-1</v>
      </c>
      <c r="AL1059" s="108">
        <f t="shared" ref="AL1059:AL1098" si="966">BG594+BH594-1</f>
        <v>-1</v>
      </c>
    </row>
    <row r="1060" spans="3:38" x14ac:dyDescent="0.55000000000000004">
      <c r="C1060" s="104" t="str">
        <f>$V$54</f>
        <v>Galileo</v>
      </c>
      <c r="D1060" s="108">
        <f t="shared" ref="D1060:S1060" si="967">D54</f>
        <v>0</v>
      </c>
      <c r="E1060" s="108">
        <f t="shared" si="967"/>
        <v>0</v>
      </c>
      <c r="F1060" s="108">
        <f t="shared" si="967"/>
        <v>0</v>
      </c>
      <c r="G1060" s="108">
        <f t="shared" si="967"/>
        <v>0</v>
      </c>
      <c r="H1060" s="108">
        <f t="shared" si="967"/>
        <v>0</v>
      </c>
      <c r="I1060" s="108">
        <f t="shared" si="967"/>
        <v>0</v>
      </c>
      <c r="J1060" s="108">
        <f t="shared" si="967"/>
        <v>0</v>
      </c>
      <c r="K1060" s="108">
        <f t="shared" si="967"/>
        <v>0</v>
      </c>
      <c r="L1060" s="108">
        <f t="shared" si="967"/>
        <v>0</v>
      </c>
      <c r="M1060" s="108">
        <f t="shared" si="967"/>
        <v>0</v>
      </c>
      <c r="N1060" s="108">
        <f t="shared" si="967"/>
        <v>0</v>
      </c>
      <c r="O1060" s="108">
        <f t="shared" si="967"/>
        <v>0</v>
      </c>
      <c r="P1060" s="108">
        <f t="shared" si="967"/>
        <v>0</v>
      </c>
      <c r="Q1060" s="108">
        <f t="shared" si="967"/>
        <v>0</v>
      </c>
      <c r="R1060" s="108">
        <f t="shared" si="967"/>
        <v>0</v>
      </c>
      <c r="S1060" s="108">
        <f t="shared" si="967"/>
        <v>0</v>
      </c>
      <c r="T1060" s="28" t="s">
        <v>26</v>
      </c>
      <c r="V1060" s="104" t="str">
        <f>$V$54</f>
        <v>Galileo</v>
      </c>
      <c r="W1060" s="108">
        <f t="shared" si="951"/>
        <v>-1</v>
      </c>
      <c r="X1060" s="108">
        <f t="shared" si="952"/>
        <v>-1</v>
      </c>
      <c r="Y1060" s="108">
        <f t="shared" si="953"/>
        <v>-1</v>
      </c>
      <c r="Z1060" s="108">
        <f t="shared" si="954"/>
        <v>-1</v>
      </c>
      <c r="AA1060" s="108">
        <f t="shared" si="955"/>
        <v>-1</v>
      </c>
      <c r="AB1060" s="108">
        <f t="shared" si="956"/>
        <v>-1</v>
      </c>
      <c r="AC1060" s="108">
        <f t="shared" si="957"/>
        <v>-1</v>
      </c>
      <c r="AD1060" s="108">
        <f t="shared" si="958"/>
        <v>-1</v>
      </c>
      <c r="AE1060" s="108">
        <f t="shared" si="959"/>
        <v>-1</v>
      </c>
      <c r="AF1060" s="108">
        <f t="shared" si="960"/>
        <v>-1</v>
      </c>
      <c r="AG1060" s="108">
        <f t="shared" si="961"/>
        <v>-1</v>
      </c>
      <c r="AH1060" s="108">
        <f t="shared" si="962"/>
        <v>-1</v>
      </c>
      <c r="AI1060" s="108">
        <f t="shared" si="963"/>
        <v>-1</v>
      </c>
      <c r="AJ1060" s="108">
        <f t="shared" si="964"/>
        <v>-1</v>
      </c>
      <c r="AK1060" s="108">
        <f t="shared" si="965"/>
        <v>-1</v>
      </c>
      <c r="AL1060" s="108">
        <f t="shared" si="966"/>
        <v>-1</v>
      </c>
    </row>
    <row r="1061" spans="3:38" x14ac:dyDescent="0.55000000000000004">
      <c r="C1061" s="104" t="str">
        <f>$V$55</f>
        <v>Óscar</v>
      </c>
      <c r="D1061" s="108">
        <f t="shared" ref="D1061:S1061" si="968">D55</f>
        <v>0</v>
      </c>
      <c r="E1061" s="108">
        <f t="shared" si="968"/>
        <v>0</v>
      </c>
      <c r="F1061" s="108">
        <f t="shared" si="968"/>
        <v>0</v>
      </c>
      <c r="G1061" s="108">
        <f t="shared" si="968"/>
        <v>0</v>
      </c>
      <c r="H1061" s="108">
        <f t="shared" si="968"/>
        <v>0</v>
      </c>
      <c r="I1061" s="108">
        <f t="shared" si="968"/>
        <v>0</v>
      </c>
      <c r="J1061" s="108">
        <f t="shared" si="968"/>
        <v>0</v>
      </c>
      <c r="K1061" s="108">
        <f t="shared" si="968"/>
        <v>0</v>
      </c>
      <c r="L1061" s="108">
        <f t="shared" si="968"/>
        <v>0</v>
      </c>
      <c r="M1061" s="108">
        <f t="shared" si="968"/>
        <v>0</v>
      </c>
      <c r="N1061" s="108">
        <f t="shared" si="968"/>
        <v>0</v>
      </c>
      <c r="O1061" s="108">
        <f t="shared" si="968"/>
        <v>0</v>
      </c>
      <c r="P1061" s="108">
        <f t="shared" si="968"/>
        <v>0</v>
      </c>
      <c r="Q1061" s="108">
        <f t="shared" si="968"/>
        <v>0</v>
      </c>
      <c r="R1061" s="108">
        <f t="shared" si="968"/>
        <v>0</v>
      </c>
      <c r="S1061" s="108">
        <f t="shared" si="968"/>
        <v>0</v>
      </c>
      <c r="T1061" s="28" t="s">
        <v>26</v>
      </c>
      <c r="V1061" s="104" t="str">
        <f>$V$55</f>
        <v>Óscar</v>
      </c>
      <c r="W1061" s="108">
        <f t="shared" si="951"/>
        <v>-1</v>
      </c>
      <c r="X1061" s="108">
        <f t="shared" si="952"/>
        <v>-1</v>
      </c>
      <c r="Y1061" s="108">
        <f t="shared" si="953"/>
        <v>-1</v>
      </c>
      <c r="Z1061" s="108">
        <f t="shared" si="954"/>
        <v>-1</v>
      </c>
      <c r="AA1061" s="108">
        <f t="shared" si="955"/>
        <v>-1</v>
      </c>
      <c r="AB1061" s="108">
        <f t="shared" si="956"/>
        <v>-1</v>
      </c>
      <c r="AC1061" s="108">
        <f t="shared" si="957"/>
        <v>-1</v>
      </c>
      <c r="AD1061" s="108">
        <f t="shared" si="958"/>
        <v>-1</v>
      </c>
      <c r="AE1061" s="108">
        <f t="shared" si="959"/>
        <v>-1</v>
      </c>
      <c r="AF1061" s="108">
        <f t="shared" si="960"/>
        <v>-1</v>
      </c>
      <c r="AG1061" s="108">
        <f t="shared" si="961"/>
        <v>-1</v>
      </c>
      <c r="AH1061" s="108">
        <f t="shared" si="962"/>
        <v>-1</v>
      </c>
      <c r="AI1061" s="108">
        <f t="shared" si="963"/>
        <v>-1</v>
      </c>
      <c r="AJ1061" s="108">
        <f t="shared" si="964"/>
        <v>-1</v>
      </c>
      <c r="AK1061" s="108">
        <f t="shared" si="965"/>
        <v>-1</v>
      </c>
      <c r="AL1061" s="108">
        <f t="shared" si="966"/>
        <v>-1</v>
      </c>
    </row>
    <row r="1062" spans="3:38" x14ac:dyDescent="0.55000000000000004">
      <c r="C1062" s="104" t="str">
        <f>$V$56</f>
        <v>Sebastián</v>
      </c>
      <c r="D1062" s="108">
        <f t="shared" ref="D1062:S1062" si="969">D56</f>
        <v>0</v>
      </c>
      <c r="E1062" s="108">
        <f t="shared" si="969"/>
        <v>0</v>
      </c>
      <c r="F1062" s="108">
        <f t="shared" si="969"/>
        <v>0</v>
      </c>
      <c r="G1062" s="108">
        <f t="shared" si="969"/>
        <v>0</v>
      </c>
      <c r="H1062" s="108">
        <f t="shared" si="969"/>
        <v>0</v>
      </c>
      <c r="I1062" s="108">
        <f t="shared" si="969"/>
        <v>0</v>
      </c>
      <c r="J1062" s="108">
        <f t="shared" si="969"/>
        <v>0</v>
      </c>
      <c r="K1062" s="108">
        <f t="shared" si="969"/>
        <v>0</v>
      </c>
      <c r="L1062" s="108">
        <f t="shared" si="969"/>
        <v>0</v>
      </c>
      <c r="M1062" s="108">
        <f t="shared" si="969"/>
        <v>0</v>
      </c>
      <c r="N1062" s="108">
        <f t="shared" si="969"/>
        <v>0</v>
      </c>
      <c r="O1062" s="108">
        <f t="shared" si="969"/>
        <v>0</v>
      </c>
      <c r="P1062" s="108">
        <f t="shared" si="969"/>
        <v>0</v>
      </c>
      <c r="Q1062" s="108">
        <f t="shared" si="969"/>
        <v>0</v>
      </c>
      <c r="R1062" s="108">
        <f t="shared" si="969"/>
        <v>0</v>
      </c>
      <c r="S1062" s="108">
        <f t="shared" si="969"/>
        <v>0</v>
      </c>
      <c r="T1062" s="28" t="s">
        <v>26</v>
      </c>
      <c r="V1062" s="104" t="str">
        <f>$V$56</f>
        <v>Sebastián</v>
      </c>
      <c r="W1062" s="108">
        <f t="shared" si="951"/>
        <v>-1</v>
      </c>
      <c r="X1062" s="108">
        <f t="shared" si="952"/>
        <v>-1</v>
      </c>
      <c r="Y1062" s="108">
        <f t="shared" si="953"/>
        <v>-1</v>
      </c>
      <c r="Z1062" s="108">
        <f t="shared" si="954"/>
        <v>-1</v>
      </c>
      <c r="AA1062" s="108">
        <f t="shared" si="955"/>
        <v>-1</v>
      </c>
      <c r="AB1062" s="108">
        <f t="shared" si="956"/>
        <v>0</v>
      </c>
      <c r="AC1062" s="108">
        <f t="shared" si="957"/>
        <v>0</v>
      </c>
      <c r="AD1062" s="108">
        <f t="shared" si="958"/>
        <v>-1</v>
      </c>
      <c r="AE1062" s="108">
        <f t="shared" si="959"/>
        <v>-1</v>
      </c>
      <c r="AF1062" s="108">
        <f t="shared" si="960"/>
        <v>-1</v>
      </c>
      <c r="AG1062" s="108">
        <f t="shared" si="961"/>
        <v>-1</v>
      </c>
      <c r="AH1062" s="108">
        <f t="shared" si="962"/>
        <v>-1</v>
      </c>
      <c r="AI1062" s="108">
        <f t="shared" si="963"/>
        <v>-1</v>
      </c>
      <c r="AJ1062" s="108">
        <f t="shared" si="964"/>
        <v>-1</v>
      </c>
      <c r="AK1062" s="108">
        <f t="shared" si="965"/>
        <v>-1</v>
      </c>
      <c r="AL1062" s="108">
        <f t="shared" si="966"/>
        <v>-1</v>
      </c>
    </row>
    <row r="1063" spans="3:38" x14ac:dyDescent="0.55000000000000004">
      <c r="C1063" s="104" t="str">
        <f>$V$57</f>
        <v>Marcos</v>
      </c>
      <c r="D1063" s="108">
        <f t="shared" ref="D1063:S1063" si="970">D57</f>
        <v>0</v>
      </c>
      <c r="E1063" s="108">
        <f t="shared" si="970"/>
        <v>0</v>
      </c>
      <c r="F1063" s="108">
        <f t="shared" si="970"/>
        <v>0</v>
      </c>
      <c r="G1063" s="108">
        <f t="shared" si="970"/>
        <v>0</v>
      </c>
      <c r="H1063" s="108">
        <f t="shared" si="970"/>
        <v>0</v>
      </c>
      <c r="I1063" s="108">
        <f t="shared" si="970"/>
        <v>0</v>
      </c>
      <c r="J1063" s="108">
        <f t="shared" si="970"/>
        <v>0</v>
      </c>
      <c r="K1063" s="108">
        <f t="shared" si="970"/>
        <v>0</v>
      </c>
      <c r="L1063" s="108">
        <f t="shared" si="970"/>
        <v>0</v>
      </c>
      <c r="M1063" s="108">
        <f t="shared" si="970"/>
        <v>0</v>
      </c>
      <c r="N1063" s="108">
        <f t="shared" si="970"/>
        <v>0</v>
      </c>
      <c r="O1063" s="108">
        <f t="shared" si="970"/>
        <v>0</v>
      </c>
      <c r="P1063" s="108">
        <f t="shared" si="970"/>
        <v>0</v>
      </c>
      <c r="Q1063" s="108">
        <f t="shared" si="970"/>
        <v>0</v>
      </c>
      <c r="R1063" s="108">
        <f t="shared" si="970"/>
        <v>0</v>
      </c>
      <c r="S1063" s="108">
        <f t="shared" si="970"/>
        <v>0</v>
      </c>
      <c r="T1063" s="28" t="s">
        <v>26</v>
      </c>
      <c r="V1063" s="104" t="str">
        <f>$V$57</f>
        <v>Marcos</v>
      </c>
      <c r="W1063" s="108">
        <f t="shared" si="951"/>
        <v>-1</v>
      </c>
      <c r="X1063" s="108">
        <f t="shared" si="952"/>
        <v>-1</v>
      </c>
      <c r="Y1063" s="108">
        <f t="shared" si="953"/>
        <v>-1</v>
      </c>
      <c r="Z1063" s="108">
        <f t="shared" si="954"/>
        <v>-1</v>
      </c>
      <c r="AA1063" s="108">
        <f t="shared" si="955"/>
        <v>-1</v>
      </c>
      <c r="AB1063" s="108">
        <f t="shared" si="956"/>
        <v>0</v>
      </c>
      <c r="AC1063" s="108">
        <f t="shared" si="957"/>
        <v>0</v>
      </c>
      <c r="AD1063" s="108">
        <f t="shared" si="958"/>
        <v>-1</v>
      </c>
      <c r="AE1063" s="108">
        <f t="shared" si="959"/>
        <v>-1</v>
      </c>
      <c r="AF1063" s="108">
        <f t="shared" si="960"/>
        <v>-1</v>
      </c>
      <c r="AG1063" s="108">
        <f t="shared" si="961"/>
        <v>-1</v>
      </c>
      <c r="AH1063" s="108">
        <f t="shared" si="962"/>
        <v>-1</v>
      </c>
      <c r="AI1063" s="108">
        <f t="shared" si="963"/>
        <v>-1</v>
      </c>
      <c r="AJ1063" s="108">
        <f t="shared" si="964"/>
        <v>-1</v>
      </c>
      <c r="AK1063" s="108">
        <f t="shared" si="965"/>
        <v>-1</v>
      </c>
      <c r="AL1063" s="108">
        <f t="shared" si="966"/>
        <v>-1</v>
      </c>
    </row>
    <row r="1064" spans="3:38" x14ac:dyDescent="0.55000000000000004">
      <c r="C1064" s="104" t="str">
        <f>$V$58</f>
        <v>Weixin</v>
      </c>
      <c r="D1064" s="108">
        <f t="shared" ref="D1064:S1064" si="971">D58</f>
        <v>0</v>
      </c>
      <c r="E1064" s="108">
        <f t="shared" si="971"/>
        <v>0</v>
      </c>
      <c r="F1064" s="108">
        <f t="shared" si="971"/>
        <v>0</v>
      </c>
      <c r="G1064" s="108">
        <f t="shared" si="971"/>
        <v>0</v>
      </c>
      <c r="H1064" s="108">
        <f t="shared" si="971"/>
        <v>0</v>
      </c>
      <c r="I1064" s="108">
        <f t="shared" si="971"/>
        <v>0</v>
      </c>
      <c r="J1064" s="108">
        <f t="shared" si="971"/>
        <v>0</v>
      </c>
      <c r="K1064" s="108">
        <f t="shared" si="971"/>
        <v>0</v>
      </c>
      <c r="L1064" s="108">
        <f t="shared" si="971"/>
        <v>0</v>
      </c>
      <c r="M1064" s="108">
        <f t="shared" si="971"/>
        <v>0</v>
      </c>
      <c r="N1064" s="108">
        <f t="shared" si="971"/>
        <v>0</v>
      </c>
      <c r="O1064" s="108">
        <f t="shared" si="971"/>
        <v>0</v>
      </c>
      <c r="P1064" s="108">
        <f t="shared" si="971"/>
        <v>0</v>
      </c>
      <c r="Q1064" s="108">
        <f t="shared" si="971"/>
        <v>0</v>
      </c>
      <c r="R1064" s="108">
        <f t="shared" si="971"/>
        <v>0</v>
      </c>
      <c r="S1064" s="108">
        <f t="shared" si="971"/>
        <v>0</v>
      </c>
      <c r="T1064" s="28" t="s">
        <v>26</v>
      </c>
      <c r="V1064" s="104" t="str">
        <f>$V$58</f>
        <v>Weixin</v>
      </c>
      <c r="W1064" s="108">
        <f t="shared" si="951"/>
        <v>-1</v>
      </c>
      <c r="X1064" s="108">
        <f t="shared" si="952"/>
        <v>-1</v>
      </c>
      <c r="Y1064" s="108">
        <f t="shared" si="953"/>
        <v>-1</v>
      </c>
      <c r="Z1064" s="108">
        <f t="shared" si="954"/>
        <v>-1</v>
      </c>
      <c r="AA1064" s="108">
        <f t="shared" si="955"/>
        <v>-1</v>
      </c>
      <c r="AB1064" s="108">
        <f t="shared" si="956"/>
        <v>-1</v>
      </c>
      <c r="AC1064" s="108">
        <f t="shared" si="957"/>
        <v>-1</v>
      </c>
      <c r="AD1064" s="108">
        <f t="shared" si="958"/>
        <v>-1</v>
      </c>
      <c r="AE1064" s="108">
        <f t="shared" si="959"/>
        <v>-1</v>
      </c>
      <c r="AF1064" s="108">
        <f t="shared" si="960"/>
        <v>-1</v>
      </c>
      <c r="AG1064" s="108">
        <f t="shared" si="961"/>
        <v>-1</v>
      </c>
      <c r="AH1064" s="108">
        <f t="shared" si="962"/>
        <v>-1</v>
      </c>
      <c r="AI1064" s="108">
        <f t="shared" si="963"/>
        <v>-1</v>
      </c>
      <c r="AJ1064" s="108">
        <f t="shared" si="964"/>
        <v>-1</v>
      </c>
      <c r="AK1064" s="108">
        <f t="shared" si="965"/>
        <v>-1</v>
      </c>
      <c r="AL1064" s="108">
        <f t="shared" si="966"/>
        <v>-1</v>
      </c>
    </row>
    <row r="1065" spans="3:38" x14ac:dyDescent="0.55000000000000004">
      <c r="C1065" s="104" t="str">
        <f>$V$59</f>
        <v>Benjamin</v>
      </c>
      <c r="D1065" s="108">
        <f t="shared" ref="D1065:S1065" si="972">D59</f>
        <v>0</v>
      </c>
      <c r="E1065" s="108">
        <f t="shared" si="972"/>
        <v>0</v>
      </c>
      <c r="F1065" s="108">
        <f t="shared" si="972"/>
        <v>0</v>
      </c>
      <c r="G1065" s="108">
        <f t="shared" si="972"/>
        <v>0</v>
      </c>
      <c r="H1065" s="108">
        <f t="shared" si="972"/>
        <v>0</v>
      </c>
      <c r="I1065" s="108">
        <f t="shared" si="972"/>
        <v>0</v>
      </c>
      <c r="J1065" s="108">
        <f t="shared" si="972"/>
        <v>0</v>
      </c>
      <c r="K1065" s="108">
        <f t="shared" si="972"/>
        <v>0</v>
      </c>
      <c r="L1065" s="108">
        <f t="shared" si="972"/>
        <v>0</v>
      </c>
      <c r="M1065" s="108">
        <f t="shared" si="972"/>
        <v>0</v>
      </c>
      <c r="N1065" s="108">
        <f t="shared" si="972"/>
        <v>0</v>
      </c>
      <c r="O1065" s="108">
        <f t="shared" si="972"/>
        <v>0</v>
      </c>
      <c r="P1065" s="108">
        <f t="shared" si="972"/>
        <v>0</v>
      </c>
      <c r="Q1065" s="108">
        <f t="shared" si="972"/>
        <v>0</v>
      </c>
      <c r="R1065" s="108">
        <f t="shared" si="972"/>
        <v>0</v>
      </c>
      <c r="S1065" s="108">
        <f t="shared" si="972"/>
        <v>0</v>
      </c>
      <c r="T1065" s="28" t="s">
        <v>26</v>
      </c>
      <c r="V1065" s="104" t="str">
        <f>$V$59</f>
        <v>Benjamin</v>
      </c>
      <c r="W1065" s="108">
        <f t="shared" si="951"/>
        <v>-1</v>
      </c>
      <c r="X1065" s="108">
        <f t="shared" si="952"/>
        <v>-1</v>
      </c>
      <c r="Y1065" s="108">
        <f t="shared" si="953"/>
        <v>-1</v>
      </c>
      <c r="Z1065" s="108">
        <f t="shared" si="954"/>
        <v>-1</v>
      </c>
      <c r="AA1065" s="108">
        <f t="shared" si="955"/>
        <v>-1</v>
      </c>
      <c r="AB1065" s="108">
        <f t="shared" si="956"/>
        <v>-1</v>
      </c>
      <c r="AC1065" s="108">
        <f t="shared" si="957"/>
        <v>-1</v>
      </c>
      <c r="AD1065" s="108">
        <f t="shared" si="958"/>
        <v>-1</v>
      </c>
      <c r="AE1065" s="108">
        <f t="shared" si="959"/>
        <v>-1</v>
      </c>
      <c r="AF1065" s="108">
        <f t="shared" si="960"/>
        <v>-1</v>
      </c>
      <c r="AG1065" s="108">
        <f t="shared" si="961"/>
        <v>-1</v>
      </c>
      <c r="AH1065" s="108">
        <f t="shared" si="962"/>
        <v>-1</v>
      </c>
      <c r="AI1065" s="108">
        <f t="shared" si="963"/>
        <v>-1</v>
      </c>
      <c r="AJ1065" s="108">
        <f t="shared" si="964"/>
        <v>-1</v>
      </c>
      <c r="AK1065" s="108">
        <f t="shared" si="965"/>
        <v>-1</v>
      </c>
      <c r="AL1065" s="108">
        <f t="shared" si="966"/>
        <v>-1</v>
      </c>
    </row>
    <row r="1066" spans="3:38" x14ac:dyDescent="0.55000000000000004">
      <c r="C1066" s="104" t="str">
        <f>$V$60</f>
        <v>Joelle</v>
      </c>
      <c r="D1066" s="108">
        <f t="shared" ref="D1066:S1066" si="973">D60</f>
        <v>0</v>
      </c>
      <c r="E1066" s="108">
        <f t="shared" si="973"/>
        <v>0</v>
      </c>
      <c r="F1066" s="108">
        <f t="shared" si="973"/>
        <v>0</v>
      </c>
      <c r="G1066" s="108">
        <f t="shared" si="973"/>
        <v>0</v>
      </c>
      <c r="H1066" s="108">
        <f t="shared" si="973"/>
        <v>0</v>
      </c>
      <c r="I1066" s="108">
        <f t="shared" si="973"/>
        <v>0</v>
      </c>
      <c r="J1066" s="108">
        <f t="shared" si="973"/>
        <v>0</v>
      </c>
      <c r="K1066" s="108">
        <f t="shared" si="973"/>
        <v>0</v>
      </c>
      <c r="L1066" s="108">
        <f t="shared" si="973"/>
        <v>0</v>
      </c>
      <c r="M1066" s="108">
        <f t="shared" si="973"/>
        <v>0</v>
      </c>
      <c r="N1066" s="108">
        <f t="shared" si="973"/>
        <v>0</v>
      </c>
      <c r="O1066" s="108">
        <f t="shared" si="973"/>
        <v>0</v>
      </c>
      <c r="P1066" s="108">
        <f t="shared" si="973"/>
        <v>0</v>
      </c>
      <c r="Q1066" s="108">
        <f t="shared" si="973"/>
        <v>0</v>
      </c>
      <c r="R1066" s="108">
        <f t="shared" si="973"/>
        <v>0</v>
      </c>
      <c r="S1066" s="108">
        <f t="shared" si="973"/>
        <v>0</v>
      </c>
      <c r="T1066" s="28" t="s">
        <v>26</v>
      </c>
      <c r="V1066" s="104" t="str">
        <f>$V$60</f>
        <v>Joelle</v>
      </c>
      <c r="W1066" s="108">
        <f t="shared" si="951"/>
        <v>-1</v>
      </c>
      <c r="X1066" s="108">
        <f t="shared" si="952"/>
        <v>-1</v>
      </c>
      <c r="Y1066" s="108">
        <f t="shared" si="953"/>
        <v>-1</v>
      </c>
      <c r="Z1066" s="108">
        <f t="shared" si="954"/>
        <v>-1</v>
      </c>
      <c r="AA1066" s="108">
        <f t="shared" si="955"/>
        <v>-1</v>
      </c>
      <c r="AB1066" s="108">
        <f t="shared" si="956"/>
        <v>-1</v>
      </c>
      <c r="AC1066" s="108">
        <f t="shared" si="957"/>
        <v>-1</v>
      </c>
      <c r="AD1066" s="108">
        <f t="shared" si="958"/>
        <v>-1</v>
      </c>
      <c r="AE1066" s="108">
        <f t="shared" si="959"/>
        <v>-1</v>
      </c>
      <c r="AF1066" s="108">
        <f t="shared" si="960"/>
        <v>-1</v>
      </c>
      <c r="AG1066" s="108">
        <f t="shared" si="961"/>
        <v>-1</v>
      </c>
      <c r="AH1066" s="108">
        <f t="shared" si="962"/>
        <v>-1</v>
      </c>
      <c r="AI1066" s="108">
        <f t="shared" si="963"/>
        <v>-1</v>
      </c>
      <c r="AJ1066" s="108">
        <f t="shared" si="964"/>
        <v>-1</v>
      </c>
      <c r="AK1066" s="108">
        <f t="shared" si="965"/>
        <v>-1</v>
      </c>
      <c r="AL1066" s="108">
        <f t="shared" si="966"/>
        <v>-1</v>
      </c>
    </row>
    <row r="1067" spans="3:38" x14ac:dyDescent="0.55000000000000004">
      <c r="C1067" s="104" t="str">
        <f>$V$61</f>
        <v>Alexia</v>
      </c>
      <c r="D1067" s="108">
        <f t="shared" ref="D1067:S1067" si="974">D61</f>
        <v>0</v>
      </c>
      <c r="E1067" s="108">
        <f t="shared" si="974"/>
        <v>0</v>
      </c>
      <c r="F1067" s="108">
        <f t="shared" si="974"/>
        <v>0</v>
      </c>
      <c r="G1067" s="108">
        <f t="shared" si="974"/>
        <v>0</v>
      </c>
      <c r="H1067" s="108">
        <f t="shared" si="974"/>
        <v>0</v>
      </c>
      <c r="I1067" s="108">
        <f t="shared" si="974"/>
        <v>0</v>
      </c>
      <c r="J1067" s="108">
        <f t="shared" si="974"/>
        <v>0</v>
      </c>
      <c r="K1067" s="108">
        <f t="shared" si="974"/>
        <v>0</v>
      </c>
      <c r="L1067" s="108">
        <f t="shared" si="974"/>
        <v>0</v>
      </c>
      <c r="M1067" s="108">
        <f t="shared" si="974"/>
        <v>0</v>
      </c>
      <c r="N1067" s="108">
        <f t="shared" si="974"/>
        <v>0</v>
      </c>
      <c r="O1067" s="108">
        <f t="shared" si="974"/>
        <v>0</v>
      </c>
      <c r="P1067" s="108">
        <f t="shared" si="974"/>
        <v>0</v>
      </c>
      <c r="Q1067" s="108">
        <f t="shared" si="974"/>
        <v>0</v>
      </c>
      <c r="R1067" s="108">
        <f t="shared" si="974"/>
        <v>0</v>
      </c>
      <c r="S1067" s="108">
        <f t="shared" si="974"/>
        <v>0</v>
      </c>
      <c r="T1067" s="28" t="s">
        <v>26</v>
      </c>
      <c r="V1067" s="104" t="str">
        <f>$V$61</f>
        <v>Alexia</v>
      </c>
      <c r="W1067" s="108">
        <f t="shared" si="951"/>
        <v>-1</v>
      </c>
      <c r="X1067" s="108">
        <f t="shared" si="952"/>
        <v>-1</v>
      </c>
      <c r="Y1067" s="108">
        <f t="shared" si="953"/>
        <v>-1</v>
      </c>
      <c r="Z1067" s="108">
        <f t="shared" si="954"/>
        <v>-1</v>
      </c>
      <c r="AA1067" s="108">
        <f t="shared" si="955"/>
        <v>-1</v>
      </c>
      <c r="AB1067" s="108">
        <f t="shared" si="956"/>
        <v>-1</v>
      </c>
      <c r="AC1067" s="108">
        <f t="shared" si="957"/>
        <v>-1</v>
      </c>
      <c r="AD1067" s="108">
        <f t="shared" si="958"/>
        <v>-1</v>
      </c>
      <c r="AE1067" s="108">
        <f t="shared" si="959"/>
        <v>-1</v>
      </c>
      <c r="AF1067" s="108">
        <f t="shared" si="960"/>
        <v>-1</v>
      </c>
      <c r="AG1067" s="108">
        <f t="shared" si="961"/>
        <v>-1</v>
      </c>
      <c r="AH1067" s="108">
        <f t="shared" si="962"/>
        <v>-1</v>
      </c>
      <c r="AI1067" s="108">
        <f t="shared" si="963"/>
        <v>-1</v>
      </c>
      <c r="AJ1067" s="108">
        <f t="shared" si="964"/>
        <v>-1</v>
      </c>
      <c r="AK1067" s="108">
        <f t="shared" si="965"/>
        <v>-1</v>
      </c>
      <c r="AL1067" s="108">
        <f t="shared" si="966"/>
        <v>-1</v>
      </c>
    </row>
    <row r="1068" spans="3:38" x14ac:dyDescent="0.55000000000000004">
      <c r="C1068" s="104" t="str">
        <f>$V$62</f>
        <v>Joao</v>
      </c>
      <c r="D1068" s="108">
        <f t="shared" ref="D1068:S1068" si="975">D62</f>
        <v>0</v>
      </c>
      <c r="E1068" s="108">
        <f t="shared" si="975"/>
        <v>0</v>
      </c>
      <c r="F1068" s="108">
        <f t="shared" si="975"/>
        <v>0</v>
      </c>
      <c r="G1068" s="108">
        <f t="shared" si="975"/>
        <v>0</v>
      </c>
      <c r="H1068" s="108">
        <f t="shared" si="975"/>
        <v>0</v>
      </c>
      <c r="I1068" s="108">
        <f t="shared" si="975"/>
        <v>0</v>
      </c>
      <c r="J1068" s="108">
        <f t="shared" si="975"/>
        <v>0</v>
      </c>
      <c r="K1068" s="108">
        <f t="shared" si="975"/>
        <v>0</v>
      </c>
      <c r="L1068" s="108">
        <f t="shared" si="975"/>
        <v>0</v>
      </c>
      <c r="M1068" s="108">
        <f t="shared" si="975"/>
        <v>0</v>
      </c>
      <c r="N1068" s="108">
        <f t="shared" si="975"/>
        <v>0</v>
      </c>
      <c r="O1068" s="108">
        <f t="shared" si="975"/>
        <v>0</v>
      </c>
      <c r="P1068" s="108">
        <f t="shared" si="975"/>
        <v>0</v>
      </c>
      <c r="Q1068" s="108">
        <f t="shared" si="975"/>
        <v>0</v>
      </c>
      <c r="R1068" s="108">
        <f t="shared" si="975"/>
        <v>0</v>
      </c>
      <c r="S1068" s="108">
        <f t="shared" si="975"/>
        <v>0</v>
      </c>
      <c r="T1068" s="28" t="s">
        <v>26</v>
      </c>
      <c r="V1068" s="104" t="str">
        <f>$V$62</f>
        <v>Joao</v>
      </c>
      <c r="W1068" s="108">
        <f t="shared" si="951"/>
        <v>-1</v>
      </c>
      <c r="X1068" s="108">
        <f t="shared" si="952"/>
        <v>-1</v>
      </c>
      <c r="Y1068" s="108">
        <f t="shared" si="953"/>
        <v>-1</v>
      </c>
      <c r="Z1068" s="108">
        <f t="shared" si="954"/>
        <v>-1</v>
      </c>
      <c r="AA1068" s="108">
        <f t="shared" si="955"/>
        <v>-1</v>
      </c>
      <c r="AB1068" s="108">
        <f t="shared" si="956"/>
        <v>-1</v>
      </c>
      <c r="AC1068" s="108">
        <f t="shared" si="957"/>
        <v>-1</v>
      </c>
      <c r="AD1068" s="108">
        <f t="shared" si="958"/>
        <v>-1</v>
      </c>
      <c r="AE1068" s="108">
        <f t="shared" si="959"/>
        <v>-1</v>
      </c>
      <c r="AF1068" s="108">
        <f t="shared" si="960"/>
        <v>-1</v>
      </c>
      <c r="AG1068" s="108">
        <f t="shared" si="961"/>
        <v>-1</v>
      </c>
      <c r="AH1068" s="108">
        <f t="shared" si="962"/>
        <v>-1</v>
      </c>
      <c r="AI1068" s="108">
        <f t="shared" si="963"/>
        <v>-1</v>
      </c>
      <c r="AJ1068" s="108">
        <f t="shared" si="964"/>
        <v>-1</v>
      </c>
      <c r="AK1068" s="108">
        <f t="shared" si="965"/>
        <v>-1</v>
      </c>
      <c r="AL1068" s="108">
        <f t="shared" si="966"/>
        <v>-1</v>
      </c>
    </row>
    <row r="1069" spans="3:38" x14ac:dyDescent="0.55000000000000004">
      <c r="C1069" s="104" t="str">
        <f>$V$63</f>
        <v>Maxime</v>
      </c>
      <c r="D1069" s="108">
        <f t="shared" ref="D1069:S1069" si="976">D63</f>
        <v>0</v>
      </c>
      <c r="E1069" s="108">
        <f t="shared" si="976"/>
        <v>0</v>
      </c>
      <c r="F1069" s="108">
        <f t="shared" si="976"/>
        <v>0</v>
      </c>
      <c r="G1069" s="108">
        <f t="shared" si="976"/>
        <v>0</v>
      </c>
      <c r="H1069" s="108">
        <f t="shared" si="976"/>
        <v>0</v>
      </c>
      <c r="I1069" s="108">
        <f t="shared" si="976"/>
        <v>0</v>
      </c>
      <c r="J1069" s="108">
        <f t="shared" si="976"/>
        <v>0</v>
      </c>
      <c r="K1069" s="108">
        <f t="shared" si="976"/>
        <v>0</v>
      </c>
      <c r="L1069" s="108">
        <f t="shared" si="976"/>
        <v>0</v>
      </c>
      <c r="M1069" s="108">
        <f t="shared" si="976"/>
        <v>0</v>
      </c>
      <c r="N1069" s="108">
        <f t="shared" si="976"/>
        <v>0</v>
      </c>
      <c r="O1069" s="108">
        <f t="shared" si="976"/>
        <v>0</v>
      </c>
      <c r="P1069" s="108">
        <f t="shared" si="976"/>
        <v>0</v>
      </c>
      <c r="Q1069" s="108">
        <f t="shared" si="976"/>
        <v>0</v>
      </c>
      <c r="R1069" s="108">
        <f t="shared" si="976"/>
        <v>0</v>
      </c>
      <c r="S1069" s="108">
        <f t="shared" si="976"/>
        <v>0</v>
      </c>
      <c r="T1069" s="28" t="s">
        <v>26</v>
      </c>
      <c r="V1069" s="104" t="str">
        <f>$V$63</f>
        <v>Maxime</v>
      </c>
      <c r="W1069" s="108">
        <f t="shared" si="951"/>
        <v>-1</v>
      </c>
      <c r="X1069" s="108">
        <f t="shared" si="952"/>
        <v>-1</v>
      </c>
      <c r="Y1069" s="108">
        <f t="shared" si="953"/>
        <v>-1</v>
      </c>
      <c r="Z1069" s="108">
        <f t="shared" si="954"/>
        <v>-1</v>
      </c>
      <c r="AA1069" s="108">
        <f t="shared" si="955"/>
        <v>-1</v>
      </c>
      <c r="AB1069" s="108">
        <f t="shared" si="956"/>
        <v>-1</v>
      </c>
      <c r="AC1069" s="108">
        <f t="shared" si="957"/>
        <v>-1</v>
      </c>
      <c r="AD1069" s="108">
        <f t="shared" si="958"/>
        <v>-1</v>
      </c>
      <c r="AE1069" s="108">
        <f t="shared" si="959"/>
        <v>-1</v>
      </c>
      <c r="AF1069" s="108">
        <f t="shared" si="960"/>
        <v>-1</v>
      </c>
      <c r="AG1069" s="108">
        <f t="shared" si="961"/>
        <v>-1</v>
      </c>
      <c r="AH1069" s="108">
        <f t="shared" si="962"/>
        <v>-1</v>
      </c>
      <c r="AI1069" s="108">
        <f t="shared" si="963"/>
        <v>-1</v>
      </c>
      <c r="AJ1069" s="108">
        <f t="shared" si="964"/>
        <v>-1</v>
      </c>
      <c r="AK1069" s="108">
        <f t="shared" si="965"/>
        <v>-1</v>
      </c>
      <c r="AL1069" s="108">
        <f t="shared" si="966"/>
        <v>-1</v>
      </c>
    </row>
    <row r="1070" spans="3:38" x14ac:dyDescent="0.55000000000000004">
      <c r="C1070" s="104" t="str">
        <f>$V$64</f>
        <v>Alex</v>
      </c>
      <c r="D1070" s="108">
        <f t="shared" ref="D1070:S1070" si="977">D64</f>
        <v>0</v>
      </c>
      <c r="E1070" s="108">
        <f t="shared" si="977"/>
        <v>0</v>
      </c>
      <c r="F1070" s="108">
        <f t="shared" si="977"/>
        <v>0</v>
      </c>
      <c r="G1070" s="108">
        <f t="shared" si="977"/>
        <v>0</v>
      </c>
      <c r="H1070" s="108">
        <f t="shared" si="977"/>
        <v>0</v>
      </c>
      <c r="I1070" s="108">
        <f t="shared" si="977"/>
        <v>0</v>
      </c>
      <c r="J1070" s="108">
        <f t="shared" si="977"/>
        <v>0</v>
      </c>
      <c r="K1070" s="108">
        <f t="shared" si="977"/>
        <v>0</v>
      </c>
      <c r="L1070" s="108">
        <f t="shared" si="977"/>
        <v>0</v>
      </c>
      <c r="M1070" s="108">
        <f t="shared" si="977"/>
        <v>0</v>
      </c>
      <c r="N1070" s="108">
        <f t="shared" si="977"/>
        <v>0</v>
      </c>
      <c r="O1070" s="108">
        <f t="shared" si="977"/>
        <v>0</v>
      </c>
      <c r="P1070" s="108">
        <f t="shared" si="977"/>
        <v>0</v>
      </c>
      <c r="Q1070" s="108">
        <f t="shared" si="977"/>
        <v>0</v>
      </c>
      <c r="R1070" s="108">
        <f t="shared" si="977"/>
        <v>0</v>
      </c>
      <c r="S1070" s="108">
        <f t="shared" si="977"/>
        <v>0</v>
      </c>
      <c r="T1070" s="28" t="s">
        <v>26</v>
      </c>
      <c r="V1070" s="104" t="str">
        <f>$V$64</f>
        <v>Alex</v>
      </c>
      <c r="W1070" s="108">
        <f t="shared" si="951"/>
        <v>-1</v>
      </c>
      <c r="X1070" s="108">
        <f t="shared" si="952"/>
        <v>-1</v>
      </c>
      <c r="Y1070" s="108">
        <f t="shared" si="953"/>
        <v>-1</v>
      </c>
      <c r="Z1070" s="108">
        <f t="shared" si="954"/>
        <v>-1</v>
      </c>
      <c r="AA1070" s="108">
        <f t="shared" si="955"/>
        <v>-1</v>
      </c>
      <c r="AB1070" s="108">
        <f t="shared" si="956"/>
        <v>-1</v>
      </c>
      <c r="AC1070" s="108">
        <f t="shared" si="957"/>
        <v>-1</v>
      </c>
      <c r="AD1070" s="108">
        <f t="shared" si="958"/>
        <v>-1</v>
      </c>
      <c r="AE1070" s="108">
        <f t="shared" si="959"/>
        <v>-1</v>
      </c>
      <c r="AF1070" s="108">
        <f t="shared" si="960"/>
        <v>-1</v>
      </c>
      <c r="AG1070" s="108">
        <f t="shared" si="961"/>
        <v>-1</v>
      </c>
      <c r="AH1070" s="108">
        <f t="shared" si="962"/>
        <v>-1</v>
      </c>
      <c r="AI1070" s="108">
        <f t="shared" si="963"/>
        <v>-1</v>
      </c>
      <c r="AJ1070" s="108">
        <f t="shared" si="964"/>
        <v>-1</v>
      </c>
      <c r="AK1070" s="108">
        <f t="shared" si="965"/>
        <v>-1</v>
      </c>
      <c r="AL1070" s="108">
        <f t="shared" si="966"/>
        <v>-1</v>
      </c>
    </row>
    <row r="1071" spans="3:38" x14ac:dyDescent="0.55000000000000004">
      <c r="C1071" s="104" t="str">
        <f>$V$65</f>
        <v>Alyssa</v>
      </c>
      <c r="D1071" s="108">
        <f t="shared" ref="D1071:S1071" si="978">D65</f>
        <v>0</v>
      </c>
      <c r="E1071" s="108">
        <f t="shared" si="978"/>
        <v>0</v>
      </c>
      <c r="F1071" s="108">
        <f t="shared" si="978"/>
        <v>0</v>
      </c>
      <c r="G1071" s="108">
        <f t="shared" si="978"/>
        <v>0</v>
      </c>
      <c r="H1071" s="108">
        <f t="shared" si="978"/>
        <v>0</v>
      </c>
      <c r="I1071" s="108">
        <f t="shared" si="978"/>
        <v>0</v>
      </c>
      <c r="J1071" s="108">
        <f t="shared" si="978"/>
        <v>0</v>
      </c>
      <c r="K1071" s="108">
        <f t="shared" si="978"/>
        <v>0</v>
      </c>
      <c r="L1071" s="108">
        <f t="shared" si="978"/>
        <v>0</v>
      </c>
      <c r="M1071" s="108">
        <f t="shared" si="978"/>
        <v>0</v>
      </c>
      <c r="N1071" s="108">
        <f t="shared" si="978"/>
        <v>0</v>
      </c>
      <c r="O1071" s="108">
        <f t="shared" si="978"/>
        <v>0</v>
      </c>
      <c r="P1071" s="108">
        <f t="shared" si="978"/>
        <v>0</v>
      </c>
      <c r="Q1071" s="108">
        <f t="shared" si="978"/>
        <v>0</v>
      </c>
      <c r="R1071" s="108">
        <f t="shared" si="978"/>
        <v>0</v>
      </c>
      <c r="S1071" s="108">
        <f t="shared" si="978"/>
        <v>0</v>
      </c>
      <c r="T1071" s="28" t="s">
        <v>26</v>
      </c>
      <c r="V1071" s="104" t="str">
        <f>$V$65</f>
        <v>Alyssa</v>
      </c>
      <c r="W1071" s="108">
        <f t="shared" si="951"/>
        <v>-1</v>
      </c>
      <c r="X1071" s="108">
        <f t="shared" si="952"/>
        <v>-1</v>
      </c>
      <c r="Y1071" s="108">
        <f t="shared" si="953"/>
        <v>-1</v>
      </c>
      <c r="Z1071" s="108">
        <f t="shared" si="954"/>
        <v>-1</v>
      </c>
      <c r="AA1071" s="108">
        <f t="shared" si="955"/>
        <v>-1</v>
      </c>
      <c r="AB1071" s="108">
        <f t="shared" si="956"/>
        <v>-1</v>
      </c>
      <c r="AC1071" s="108">
        <f t="shared" si="957"/>
        <v>-1</v>
      </c>
      <c r="AD1071" s="108">
        <f t="shared" si="958"/>
        <v>-1</v>
      </c>
      <c r="AE1071" s="108">
        <f t="shared" si="959"/>
        <v>-1</v>
      </c>
      <c r="AF1071" s="108">
        <f t="shared" si="960"/>
        <v>-1</v>
      </c>
      <c r="AG1071" s="108">
        <f t="shared" si="961"/>
        <v>-1</v>
      </c>
      <c r="AH1071" s="108">
        <f t="shared" si="962"/>
        <v>-1</v>
      </c>
      <c r="AI1071" s="108">
        <f t="shared" si="963"/>
        <v>-1</v>
      </c>
      <c r="AJ1071" s="108">
        <f t="shared" si="964"/>
        <v>-1</v>
      </c>
      <c r="AK1071" s="108">
        <f t="shared" si="965"/>
        <v>-1</v>
      </c>
      <c r="AL1071" s="108">
        <f t="shared" si="966"/>
        <v>-1</v>
      </c>
    </row>
    <row r="1072" spans="3:38" x14ac:dyDescent="0.55000000000000004">
      <c r="C1072" s="104" t="str">
        <f>$V$66</f>
        <v>Amanda</v>
      </c>
      <c r="D1072" s="108">
        <f t="shared" ref="D1072:S1072" si="979">D66</f>
        <v>0</v>
      </c>
      <c r="E1072" s="108">
        <f t="shared" si="979"/>
        <v>0</v>
      </c>
      <c r="F1072" s="108">
        <f t="shared" si="979"/>
        <v>0</v>
      </c>
      <c r="G1072" s="108">
        <f t="shared" si="979"/>
        <v>0</v>
      </c>
      <c r="H1072" s="108">
        <f t="shared" si="979"/>
        <v>0</v>
      </c>
      <c r="I1072" s="108">
        <f t="shared" si="979"/>
        <v>0</v>
      </c>
      <c r="J1072" s="108">
        <f t="shared" si="979"/>
        <v>0</v>
      </c>
      <c r="K1072" s="108">
        <f t="shared" si="979"/>
        <v>0</v>
      </c>
      <c r="L1072" s="108">
        <f t="shared" si="979"/>
        <v>0</v>
      </c>
      <c r="M1072" s="108">
        <f t="shared" si="979"/>
        <v>0</v>
      </c>
      <c r="N1072" s="108">
        <f t="shared" si="979"/>
        <v>0</v>
      </c>
      <c r="O1072" s="108">
        <f t="shared" si="979"/>
        <v>0</v>
      </c>
      <c r="P1072" s="108">
        <f t="shared" si="979"/>
        <v>0</v>
      </c>
      <c r="Q1072" s="108">
        <f t="shared" si="979"/>
        <v>0</v>
      </c>
      <c r="R1072" s="108">
        <f t="shared" si="979"/>
        <v>0</v>
      </c>
      <c r="S1072" s="108">
        <f t="shared" si="979"/>
        <v>0</v>
      </c>
      <c r="T1072" s="28" t="s">
        <v>26</v>
      </c>
      <c r="V1072" s="104" t="str">
        <f>$V$66</f>
        <v>Amanda</v>
      </c>
      <c r="W1072" s="108">
        <f t="shared" si="951"/>
        <v>-1</v>
      </c>
      <c r="X1072" s="108">
        <f t="shared" si="952"/>
        <v>-1</v>
      </c>
      <c r="Y1072" s="108">
        <f t="shared" si="953"/>
        <v>-1</v>
      </c>
      <c r="Z1072" s="108">
        <f t="shared" si="954"/>
        <v>-1</v>
      </c>
      <c r="AA1072" s="108">
        <f t="shared" si="955"/>
        <v>-1</v>
      </c>
      <c r="AB1072" s="108">
        <f t="shared" si="956"/>
        <v>-1</v>
      </c>
      <c r="AC1072" s="108">
        <f t="shared" si="957"/>
        <v>-1</v>
      </c>
      <c r="AD1072" s="108">
        <f t="shared" si="958"/>
        <v>-1</v>
      </c>
      <c r="AE1072" s="108">
        <f t="shared" si="959"/>
        <v>-1</v>
      </c>
      <c r="AF1072" s="108">
        <f t="shared" si="960"/>
        <v>-1</v>
      </c>
      <c r="AG1072" s="108">
        <f t="shared" si="961"/>
        <v>-1</v>
      </c>
      <c r="AH1072" s="108">
        <f t="shared" si="962"/>
        <v>-1</v>
      </c>
      <c r="AI1072" s="108">
        <f t="shared" si="963"/>
        <v>-1</v>
      </c>
      <c r="AJ1072" s="108">
        <f t="shared" si="964"/>
        <v>-1</v>
      </c>
      <c r="AK1072" s="108">
        <f t="shared" si="965"/>
        <v>-1</v>
      </c>
      <c r="AL1072" s="108">
        <f t="shared" si="966"/>
        <v>-1</v>
      </c>
    </row>
    <row r="1073" spans="3:38" x14ac:dyDescent="0.55000000000000004">
      <c r="C1073" s="104" t="str">
        <f>$V$67</f>
        <v>Antoine</v>
      </c>
      <c r="D1073" s="108">
        <f t="shared" ref="D1073:S1073" si="980">D67</f>
        <v>0</v>
      </c>
      <c r="E1073" s="108">
        <f t="shared" si="980"/>
        <v>0</v>
      </c>
      <c r="F1073" s="108">
        <f t="shared" si="980"/>
        <v>0</v>
      </c>
      <c r="G1073" s="108">
        <f t="shared" si="980"/>
        <v>0</v>
      </c>
      <c r="H1073" s="108">
        <f t="shared" si="980"/>
        <v>0</v>
      </c>
      <c r="I1073" s="108">
        <f t="shared" si="980"/>
        <v>0</v>
      </c>
      <c r="J1073" s="108">
        <f t="shared" si="980"/>
        <v>0</v>
      </c>
      <c r="K1073" s="108">
        <f t="shared" si="980"/>
        <v>0</v>
      </c>
      <c r="L1073" s="108">
        <f t="shared" si="980"/>
        <v>0</v>
      </c>
      <c r="M1073" s="108">
        <f t="shared" si="980"/>
        <v>0</v>
      </c>
      <c r="N1073" s="108">
        <f t="shared" si="980"/>
        <v>0</v>
      </c>
      <c r="O1073" s="108">
        <f t="shared" si="980"/>
        <v>0</v>
      </c>
      <c r="P1073" s="108">
        <f t="shared" si="980"/>
        <v>0</v>
      </c>
      <c r="Q1073" s="108">
        <f t="shared" si="980"/>
        <v>0</v>
      </c>
      <c r="R1073" s="108">
        <f t="shared" si="980"/>
        <v>0</v>
      </c>
      <c r="S1073" s="108">
        <f t="shared" si="980"/>
        <v>0</v>
      </c>
      <c r="T1073" s="28" t="s">
        <v>26</v>
      </c>
      <c r="V1073" s="104" t="str">
        <f>$V$67</f>
        <v>Antoine</v>
      </c>
      <c r="W1073" s="108">
        <f t="shared" si="951"/>
        <v>-1</v>
      </c>
      <c r="X1073" s="108">
        <f t="shared" si="952"/>
        <v>-1</v>
      </c>
      <c r="Y1073" s="108">
        <f t="shared" si="953"/>
        <v>-1</v>
      </c>
      <c r="Z1073" s="108">
        <f t="shared" si="954"/>
        <v>-1</v>
      </c>
      <c r="AA1073" s="108">
        <f t="shared" si="955"/>
        <v>-1</v>
      </c>
      <c r="AB1073" s="108">
        <f t="shared" si="956"/>
        <v>-1</v>
      </c>
      <c r="AC1073" s="108">
        <f t="shared" si="957"/>
        <v>-1</v>
      </c>
      <c r="AD1073" s="108">
        <f t="shared" si="958"/>
        <v>-1</v>
      </c>
      <c r="AE1073" s="108">
        <f t="shared" si="959"/>
        <v>-1</v>
      </c>
      <c r="AF1073" s="108">
        <f t="shared" si="960"/>
        <v>-1</v>
      </c>
      <c r="AG1073" s="108">
        <f t="shared" si="961"/>
        <v>-1</v>
      </c>
      <c r="AH1073" s="108">
        <f t="shared" si="962"/>
        <v>-1</v>
      </c>
      <c r="AI1073" s="108">
        <f t="shared" si="963"/>
        <v>-1</v>
      </c>
      <c r="AJ1073" s="108">
        <f t="shared" si="964"/>
        <v>-1</v>
      </c>
      <c r="AK1073" s="108">
        <f t="shared" si="965"/>
        <v>-1</v>
      </c>
      <c r="AL1073" s="108">
        <f t="shared" si="966"/>
        <v>-1</v>
      </c>
    </row>
    <row r="1074" spans="3:38" x14ac:dyDescent="0.55000000000000004">
      <c r="C1074" s="104" t="str">
        <f>$V$68</f>
        <v>Beatriz</v>
      </c>
      <c r="D1074" s="108">
        <f t="shared" ref="D1074:S1074" si="981">D68</f>
        <v>0</v>
      </c>
      <c r="E1074" s="108">
        <f t="shared" si="981"/>
        <v>0</v>
      </c>
      <c r="F1074" s="108">
        <f t="shared" si="981"/>
        <v>0</v>
      </c>
      <c r="G1074" s="108">
        <f t="shared" si="981"/>
        <v>0</v>
      </c>
      <c r="H1074" s="108">
        <f t="shared" si="981"/>
        <v>0</v>
      </c>
      <c r="I1074" s="108">
        <f t="shared" si="981"/>
        <v>0</v>
      </c>
      <c r="J1074" s="108">
        <f t="shared" si="981"/>
        <v>0</v>
      </c>
      <c r="K1074" s="108">
        <f t="shared" si="981"/>
        <v>0</v>
      </c>
      <c r="L1074" s="108">
        <f t="shared" si="981"/>
        <v>0</v>
      </c>
      <c r="M1074" s="108">
        <f t="shared" si="981"/>
        <v>0</v>
      </c>
      <c r="N1074" s="108">
        <f t="shared" si="981"/>
        <v>0</v>
      </c>
      <c r="O1074" s="108">
        <f t="shared" si="981"/>
        <v>0</v>
      </c>
      <c r="P1074" s="108">
        <f t="shared" si="981"/>
        <v>0</v>
      </c>
      <c r="Q1074" s="108">
        <f t="shared" si="981"/>
        <v>0</v>
      </c>
      <c r="R1074" s="108">
        <f t="shared" si="981"/>
        <v>0</v>
      </c>
      <c r="S1074" s="108">
        <f t="shared" si="981"/>
        <v>0</v>
      </c>
      <c r="T1074" s="28" t="s">
        <v>26</v>
      </c>
      <c r="V1074" s="104" t="str">
        <f>$V$68</f>
        <v>Beatriz</v>
      </c>
      <c r="W1074" s="108">
        <f t="shared" si="951"/>
        <v>-1</v>
      </c>
      <c r="X1074" s="108">
        <f t="shared" si="952"/>
        <v>-1</v>
      </c>
      <c r="Y1074" s="108">
        <f t="shared" si="953"/>
        <v>-1</v>
      </c>
      <c r="Z1074" s="108">
        <f t="shared" si="954"/>
        <v>-1</v>
      </c>
      <c r="AA1074" s="108">
        <f t="shared" si="955"/>
        <v>-1</v>
      </c>
      <c r="AB1074" s="108">
        <f t="shared" si="956"/>
        <v>-1</v>
      </c>
      <c r="AC1074" s="108">
        <f t="shared" si="957"/>
        <v>-1</v>
      </c>
      <c r="AD1074" s="108">
        <f t="shared" si="958"/>
        <v>-1</v>
      </c>
      <c r="AE1074" s="108">
        <f t="shared" si="959"/>
        <v>-1</v>
      </c>
      <c r="AF1074" s="108">
        <f t="shared" si="960"/>
        <v>-1</v>
      </c>
      <c r="AG1074" s="108">
        <f t="shared" si="961"/>
        <v>-1</v>
      </c>
      <c r="AH1074" s="108">
        <f t="shared" si="962"/>
        <v>-1</v>
      </c>
      <c r="AI1074" s="108">
        <f t="shared" si="963"/>
        <v>-1</v>
      </c>
      <c r="AJ1074" s="108">
        <f t="shared" si="964"/>
        <v>-1</v>
      </c>
      <c r="AK1074" s="108">
        <f t="shared" si="965"/>
        <v>-1</v>
      </c>
      <c r="AL1074" s="108">
        <f t="shared" si="966"/>
        <v>-1</v>
      </c>
    </row>
    <row r="1075" spans="3:38" x14ac:dyDescent="0.55000000000000004">
      <c r="C1075" s="104" t="str">
        <f>$V$69</f>
        <v>Charelle</v>
      </c>
      <c r="D1075" s="108">
        <f t="shared" ref="D1075:S1075" si="982">D69</f>
        <v>0</v>
      </c>
      <c r="E1075" s="108">
        <f t="shared" si="982"/>
        <v>0</v>
      </c>
      <c r="F1075" s="108">
        <f t="shared" si="982"/>
        <v>0</v>
      </c>
      <c r="G1075" s="108">
        <f t="shared" si="982"/>
        <v>0</v>
      </c>
      <c r="H1075" s="108">
        <f t="shared" si="982"/>
        <v>0</v>
      </c>
      <c r="I1075" s="108">
        <f t="shared" si="982"/>
        <v>0</v>
      </c>
      <c r="J1075" s="108">
        <f t="shared" si="982"/>
        <v>0</v>
      </c>
      <c r="K1075" s="108">
        <f t="shared" si="982"/>
        <v>0</v>
      </c>
      <c r="L1075" s="108">
        <f t="shared" si="982"/>
        <v>0</v>
      </c>
      <c r="M1075" s="108">
        <f t="shared" si="982"/>
        <v>0</v>
      </c>
      <c r="N1075" s="108">
        <f t="shared" si="982"/>
        <v>0</v>
      </c>
      <c r="O1075" s="108">
        <f t="shared" si="982"/>
        <v>0</v>
      </c>
      <c r="P1075" s="108">
        <f t="shared" si="982"/>
        <v>0</v>
      </c>
      <c r="Q1075" s="108">
        <f t="shared" si="982"/>
        <v>0</v>
      </c>
      <c r="R1075" s="108">
        <f t="shared" si="982"/>
        <v>0</v>
      </c>
      <c r="S1075" s="108">
        <f t="shared" si="982"/>
        <v>0</v>
      </c>
      <c r="T1075" s="28" t="s">
        <v>26</v>
      </c>
      <c r="V1075" s="104" t="str">
        <f>$V$69</f>
        <v>Charelle</v>
      </c>
      <c r="W1075" s="108">
        <f t="shared" si="951"/>
        <v>-1</v>
      </c>
      <c r="X1075" s="108">
        <f t="shared" si="952"/>
        <v>-1</v>
      </c>
      <c r="Y1075" s="108">
        <f t="shared" si="953"/>
        <v>-1</v>
      </c>
      <c r="Z1075" s="108">
        <f t="shared" si="954"/>
        <v>-1</v>
      </c>
      <c r="AA1075" s="108">
        <f t="shared" si="955"/>
        <v>-1</v>
      </c>
      <c r="AB1075" s="108">
        <f t="shared" si="956"/>
        <v>-1</v>
      </c>
      <c r="AC1075" s="108">
        <f t="shared" si="957"/>
        <v>-1</v>
      </c>
      <c r="AD1075" s="108">
        <f t="shared" si="958"/>
        <v>-1</v>
      </c>
      <c r="AE1075" s="108">
        <f t="shared" si="959"/>
        <v>-1</v>
      </c>
      <c r="AF1075" s="108">
        <f t="shared" si="960"/>
        <v>-1</v>
      </c>
      <c r="AG1075" s="108">
        <f t="shared" si="961"/>
        <v>-1</v>
      </c>
      <c r="AH1075" s="108">
        <f t="shared" si="962"/>
        <v>-1</v>
      </c>
      <c r="AI1075" s="108">
        <f t="shared" si="963"/>
        <v>-1</v>
      </c>
      <c r="AJ1075" s="108">
        <f t="shared" si="964"/>
        <v>-1</v>
      </c>
      <c r="AK1075" s="108">
        <f t="shared" si="965"/>
        <v>-1</v>
      </c>
      <c r="AL1075" s="108">
        <f t="shared" si="966"/>
        <v>-1</v>
      </c>
    </row>
    <row r="1076" spans="3:38" x14ac:dyDescent="0.55000000000000004">
      <c r="C1076" s="104" t="str">
        <f>$V$70</f>
        <v>Dimitri</v>
      </c>
      <c r="D1076" s="108">
        <f t="shared" ref="D1076:S1076" si="983">D70</f>
        <v>0</v>
      </c>
      <c r="E1076" s="108">
        <f t="shared" si="983"/>
        <v>0</v>
      </c>
      <c r="F1076" s="108">
        <f t="shared" si="983"/>
        <v>0</v>
      </c>
      <c r="G1076" s="108">
        <f t="shared" si="983"/>
        <v>0</v>
      </c>
      <c r="H1076" s="108">
        <f t="shared" si="983"/>
        <v>0</v>
      </c>
      <c r="I1076" s="108">
        <f t="shared" si="983"/>
        <v>0</v>
      </c>
      <c r="J1076" s="108">
        <f t="shared" si="983"/>
        <v>0</v>
      </c>
      <c r="K1076" s="108">
        <f t="shared" si="983"/>
        <v>0</v>
      </c>
      <c r="L1076" s="108">
        <f t="shared" si="983"/>
        <v>0</v>
      </c>
      <c r="M1076" s="108">
        <f t="shared" si="983"/>
        <v>0</v>
      </c>
      <c r="N1076" s="108">
        <f t="shared" si="983"/>
        <v>0</v>
      </c>
      <c r="O1076" s="108">
        <f t="shared" si="983"/>
        <v>0</v>
      </c>
      <c r="P1076" s="108">
        <f t="shared" si="983"/>
        <v>0</v>
      </c>
      <c r="Q1076" s="108">
        <f t="shared" si="983"/>
        <v>0</v>
      </c>
      <c r="R1076" s="108">
        <f t="shared" si="983"/>
        <v>0</v>
      </c>
      <c r="S1076" s="108">
        <f t="shared" si="983"/>
        <v>0</v>
      </c>
      <c r="T1076" s="28" t="s">
        <v>26</v>
      </c>
      <c r="V1076" s="104" t="str">
        <f>$V$70</f>
        <v>Dimitri</v>
      </c>
      <c r="W1076" s="108">
        <f t="shared" si="951"/>
        <v>-1</v>
      </c>
      <c r="X1076" s="108">
        <f t="shared" si="952"/>
        <v>-1</v>
      </c>
      <c r="Y1076" s="108">
        <f t="shared" si="953"/>
        <v>-1</v>
      </c>
      <c r="Z1076" s="108">
        <f t="shared" si="954"/>
        <v>-1</v>
      </c>
      <c r="AA1076" s="108">
        <f t="shared" si="955"/>
        <v>-1</v>
      </c>
      <c r="AB1076" s="108">
        <f t="shared" si="956"/>
        <v>-3</v>
      </c>
      <c r="AC1076" s="108">
        <f t="shared" si="957"/>
        <v>-3</v>
      </c>
      <c r="AD1076" s="108">
        <f t="shared" si="958"/>
        <v>-1</v>
      </c>
      <c r="AE1076" s="108">
        <f t="shared" si="959"/>
        <v>-1</v>
      </c>
      <c r="AF1076" s="108">
        <f t="shared" si="960"/>
        <v>-1</v>
      </c>
      <c r="AG1076" s="108">
        <f t="shared" si="961"/>
        <v>-1</v>
      </c>
      <c r="AH1076" s="108">
        <f t="shared" si="962"/>
        <v>-1</v>
      </c>
      <c r="AI1076" s="108">
        <f t="shared" si="963"/>
        <v>-1</v>
      </c>
      <c r="AJ1076" s="108">
        <f t="shared" si="964"/>
        <v>-1</v>
      </c>
      <c r="AK1076" s="108">
        <f t="shared" si="965"/>
        <v>-1</v>
      </c>
      <c r="AL1076" s="108">
        <f t="shared" si="966"/>
        <v>-1</v>
      </c>
    </row>
    <row r="1077" spans="3:38" x14ac:dyDescent="0.55000000000000004">
      <c r="C1077" s="104" t="str">
        <f>$V$71</f>
        <v>Marina</v>
      </c>
      <c r="D1077" s="108">
        <f t="shared" ref="D1077:S1077" si="984">D71</f>
        <v>0</v>
      </c>
      <c r="E1077" s="108">
        <f t="shared" si="984"/>
        <v>0</v>
      </c>
      <c r="F1077" s="108">
        <f t="shared" si="984"/>
        <v>0</v>
      </c>
      <c r="G1077" s="108">
        <f t="shared" si="984"/>
        <v>0</v>
      </c>
      <c r="H1077" s="108">
        <f t="shared" si="984"/>
        <v>0</v>
      </c>
      <c r="I1077" s="108">
        <f t="shared" si="984"/>
        <v>0</v>
      </c>
      <c r="J1077" s="108">
        <f t="shared" si="984"/>
        <v>0</v>
      </c>
      <c r="K1077" s="108">
        <f t="shared" si="984"/>
        <v>0</v>
      </c>
      <c r="L1077" s="108">
        <f t="shared" si="984"/>
        <v>0</v>
      </c>
      <c r="M1077" s="108">
        <f t="shared" si="984"/>
        <v>0</v>
      </c>
      <c r="N1077" s="108">
        <f t="shared" si="984"/>
        <v>0</v>
      </c>
      <c r="O1077" s="108">
        <f t="shared" si="984"/>
        <v>0</v>
      </c>
      <c r="P1077" s="108">
        <f t="shared" si="984"/>
        <v>0</v>
      </c>
      <c r="Q1077" s="108">
        <f t="shared" si="984"/>
        <v>0</v>
      </c>
      <c r="R1077" s="108">
        <f t="shared" si="984"/>
        <v>0</v>
      </c>
      <c r="S1077" s="108">
        <f t="shared" si="984"/>
        <v>0</v>
      </c>
      <c r="T1077" s="28" t="s">
        <v>26</v>
      </c>
      <c r="V1077" s="104" t="str">
        <f>$V$71</f>
        <v>Marina</v>
      </c>
      <c r="W1077" s="108">
        <f t="shared" si="951"/>
        <v>-1</v>
      </c>
      <c r="X1077" s="108">
        <f t="shared" si="952"/>
        <v>-1</v>
      </c>
      <c r="Y1077" s="108">
        <f t="shared" si="953"/>
        <v>-1</v>
      </c>
      <c r="Z1077" s="108">
        <f t="shared" si="954"/>
        <v>-1</v>
      </c>
      <c r="AA1077" s="108">
        <f t="shared" si="955"/>
        <v>-1</v>
      </c>
      <c r="AB1077" s="108">
        <f t="shared" si="956"/>
        <v>-1</v>
      </c>
      <c r="AC1077" s="108">
        <f t="shared" si="957"/>
        <v>-1</v>
      </c>
      <c r="AD1077" s="108">
        <f t="shared" si="958"/>
        <v>-1</v>
      </c>
      <c r="AE1077" s="108">
        <f t="shared" si="959"/>
        <v>-1</v>
      </c>
      <c r="AF1077" s="108">
        <f t="shared" si="960"/>
        <v>-1</v>
      </c>
      <c r="AG1077" s="108">
        <f t="shared" si="961"/>
        <v>-1</v>
      </c>
      <c r="AH1077" s="108">
        <f t="shared" si="962"/>
        <v>-1</v>
      </c>
      <c r="AI1077" s="108">
        <f t="shared" si="963"/>
        <v>-1</v>
      </c>
      <c r="AJ1077" s="108">
        <f t="shared" si="964"/>
        <v>-1</v>
      </c>
      <c r="AK1077" s="108">
        <f t="shared" si="965"/>
        <v>-1</v>
      </c>
      <c r="AL1077" s="108">
        <f t="shared" si="966"/>
        <v>-1</v>
      </c>
    </row>
    <row r="1078" spans="3:38" x14ac:dyDescent="0.55000000000000004">
      <c r="C1078" s="104" t="str">
        <f>$V$72</f>
        <v>Michel</v>
      </c>
      <c r="D1078" s="108">
        <f t="shared" ref="D1078:S1078" si="985">D72</f>
        <v>0</v>
      </c>
      <c r="E1078" s="108">
        <f t="shared" si="985"/>
        <v>0</v>
      </c>
      <c r="F1078" s="108">
        <f t="shared" si="985"/>
        <v>0</v>
      </c>
      <c r="G1078" s="108">
        <f t="shared" si="985"/>
        <v>0</v>
      </c>
      <c r="H1078" s="108">
        <f t="shared" si="985"/>
        <v>0</v>
      </c>
      <c r="I1078" s="108">
        <f t="shared" si="985"/>
        <v>0</v>
      </c>
      <c r="J1078" s="108">
        <f t="shared" si="985"/>
        <v>0</v>
      </c>
      <c r="K1078" s="108">
        <f t="shared" si="985"/>
        <v>0</v>
      </c>
      <c r="L1078" s="108">
        <f t="shared" si="985"/>
        <v>0</v>
      </c>
      <c r="M1078" s="108">
        <f t="shared" si="985"/>
        <v>0</v>
      </c>
      <c r="N1078" s="108">
        <f t="shared" si="985"/>
        <v>0</v>
      </c>
      <c r="O1078" s="108">
        <f t="shared" si="985"/>
        <v>0</v>
      </c>
      <c r="P1078" s="108">
        <f t="shared" si="985"/>
        <v>0</v>
      </c>
      <c r="Q1078" s="108">
        <f t="shared" si="985"/>
        <v>0</v>
      </c>
      <c r="R1078" s="108">
        <f t="shared" si="985"/>
        <v>0</v>
      </c>
      <c r="S1078" s="108">
        <f t="shared" si="985"/>
        <v>0</v>
      </c>
      <c r="T1078" s="28" t="s">
        <v>26</v>
      </c>
      <c r="V1078" s="104" t="str">
        <f>$V$72</f>
        <v>Michel</v>
      </c>
      <c r="W1078" s="108">
        <f t="shared" si="951"/>
        <v>-1</v>
      </c>
      <c r="X1078" s="108">
        <f t="shared" si="952"/>
        <v>-1</v>
      </c>
      <c r="Y1078" s="108">
        <f t="shared" si="953"/>
        <v>-1</v>
      </c>
      <c r="Z1078" s="108">
        <f t="shared" si="954"/>
        <v>-1</v>
      </c>
      <c r="AA1078" s="108">
        <f t="shared" si="955"/>
        <v>-1</v>
      </c>
      <c r="AB1078" s="108">
        <f t="shared" si="956"/>
        <v>-1</v>
      </c>
      <c r="AC1078" s="108">
        <f t="shared" si="957"/>
        <v>-1</v>
      </c>
      <c r="AD1078" s="108">
        <f t="shared" si="958"/>
        <v>-1</v>
      </c>
      <c r="AE1078" s="108">
        <f t="shared" si="959"/>
        <v>-1</v>
      </c>
      <c r="AF1078" s="108">
        <f t="shared" si="960"/>
        <v>-1</v>
      </c>
      <c r="AG1078" s="108">
        <f t="shared" si="961"/>
        <v>-1</v>
      </c>
      <c r="AH1078" s="108">
        <f t="shared" si="962"/>
        <v>-1</v>
      </c>
      <c r="AI1078" s="108">
        <f t="shared" si="963"/>
        <v>-1</v>
      </c>
      <c r="AJ1078" s="108">
        <f t="shared" si="964"/>
        <v>-1</v>
      </c>
      <c r="AK1078" s="108">
        <f t="shared" si="965"/>
        <v>-1</v>
      </c>
      <c r="AL1078" s="108">
        <f t="shared" si="966"/>
        <v>-1</v>
      </c>
    </row>
    <row r="1079" spans="3:38" x14ac:dyDescent="0.55000000000000004">
      <c r="C1079" s="104" t="str">
        <f>$V$73</f>
        <v>Nour</v>
      </c>
      <c r="D1079" s="108">
        <f t="shared" ref="D1079:S1079" si="986">D73</f>
        <v>0</v>
      </c>
      <c r="E1079" s="108">
        <f t="shared" si="986"/>
        <v>0</v>
      </c>
      <c r="F1079" s="108">
        <f t="shared" si="986"/>
        <v>0</v>
      </c>
      <c r="G1079" s="108">
        <f t="shared" si="986"/>
        <v>0</v>
      </c>
      <c r="H1079" s="108">
        <f t="shared" si="986"/>
        <v>0</v>
      </c>
      <c r="I1079" s="108">
        <f t="shared" si="986"/>
        <v>0</v>
      </c>
      <c r="J1079" s="108">
        <f t="shared" si="986"/>
        <v>0</v>
      </c>
      <c r="K1079" s="108">
        <f t="shared" si="986"/>
        <v>0</v>
      </c>
      <c r="L1079" s="108">
        <f t="shared" si="986"/>
        <v>0</v>
      </c>
      <c r="M1079" s="108">
        <f t="shared" si="986"/>
        <v>0</v>
      </c>
      <c r="N1079" s="108">
        <f t="shared" si="986"/>
        <v>0</v>
      </c>
      <c r="O1079" s="108">
        <f t="shared" si="986"/>
        <v>0</v>
      </c>
      <c r="P1079" s="108">
        <f t="shared" si="986"/>
        <v>0</v>
      </c>
      <c r="Q1079" s="108">
        <f t="shared" si="986"/>
        <v>0</v>
      </c>
      <c r="R1079" s="108">
        <f t="shared" si="986"/>
        <v>0</v>
      </c>
      <c r="S1079" s="108">
        <f t="shared" si="986"/>
        <v>0</v>
      </c>
      <c r="T1079" s="28" t="s">
        <v>26</v>
      </c>
      <c r="V1079" s="104" t="str">
        <f>$V$73</f>
        <v>Nour</v>
      </c>
      <c r="W1079" s="108">
        <f t="shared" si="951"/>
        <v>-1</v>
      </c>
      <c r="X1079" s="108">
        <f t="shared" si="952"/>
        <v>-1</v>
      </c>
      <c r="Y1079" s="108">
        <f t="shared" si="953"/>
        <v>-1</v>
      </c>
      <c r="Z1079" s="108">
        <f t="shared" si="954"/>
        <v>-1</v>
      </c>
      <c r="AA1079" s="108">
        <f t="shared" si="955"/>
        <v>-1</v>
      </c>
      <c r="AB1079" s="108">
        <f t="shared" si="956"/>
        <v>-1</v>
      </c>
      <c r="AC1079" s="108">
        <f t="shared" si="957"/>
        <v>-1</v>
      </c>
      <c r="AD1079" s="108">
        <f t="shared" si="958"/>
        <v>-1</v>
      </c>
      <c r="AE1079" s="108">
        <f t="shared" si="959"/>
        <v>-1</v>
      </c>
      <c r="AF1079" s="108">
        <f t="shared" si="960"/>
        <v>-1</v>
      </c>
      <c r="AG1079" s="108">
        <f t="shared" si="961"/>
        <v>-1</v>
      </c>
      <c r="AH1079" s="108">
        <f t="shared" si="962"/>
        <v>-1</v>
      </c>
      <c r="AI1079" s="108">
        <f t="shared" si="963"/>
        <v>-1</v>
      </c>
      <c r="AJ1079" s="108">
        <f t="shared" si="964"/>
        <v>-1</v>
      </c>
      <c r="AK1079" s="108">
        <f t="shared" si="965"/>
        <v>-1</v>
      </c>
      <c r="AL1079" s="108">
        <f t="shared" si="966"/>
        <v>-1</v>
      </c>
    </row>
    <row r="1080" spans="3:38" x14ac:dyDescent="0.55000000000000004">
      <c r="C1080" s="104" t="str">
        <f>$V$74</f>
        <v>Samuel</v>
      </c>
      <c r="D1080" s="108">
        <f t="shared" ref="D1080:S1080" si="987">D74</f>
        <v>0</v>
      </c>
      <c r="E1080" s="108">
        <f t="shared" si="987"/>
        <v>0</v>
      </c>
      <c r="F1080" s="108">
        <f t="shared" si="987"/>
        <v>0</v>
      </c>
      <c r="G1080" s="108">
        <f t="shared" si="987"/>
        <v>0</v>
      </c>
      <c r="H1080" s="108">
        <f t="shared" si="987"/>
        <v>0</v>
      </c>
      <c r="I1080" s="108">
        <f t="shared" si="987"/>
        <v>0</v>
      </c>
      <c r="J1080" s="108">
        <f t="shared" si="987"/>
        <v>0</v>
      </c>
      <c r="K1080" s="108">
        <f t="shared" si="987"/>
        <v>0</v>
      </c>
      <c r="L1080" s="108">
        <f t="shared" si="987"/>
        <v>0</v>
      </c>
      <c r="M1080" s="108">
        <f t="shared" si="987"/>
        <v>0</v>
      </c>
      <c r="N1080" s="108">
        <f t="shared" si="987"/>
        <v>0</v>
      </c>
      <c r="O1080" s="108">
        <f t="shared" si="987"/>
        <v>0</v>
      </c>
      <c r="P1080" s="108">
        <f t="shared" si="987"/>
        <v>0</v>
      </c>
      <c r="Q1080" s="108">
        <f t="shared" si="987"/>
        <v>0</v>
      </c>
      <c r="R1080" s="108">
        <f t="shared" si="987"/>
        <v>0</v>
      </c>
      <c r="S1080" s="108">
        <f t="shared" si="987"/>
        <v>0</v>
      </c>
      <c r="T1080" s="28" t="s">
        <v>26</v>
      </c>
      <c r="V1080" s="104" t="str">
        <f>$V$74</f>
        <v>Samuel</v>
      </c>
      <c r="W1080" s="108">
        <f t="shared" si="951"/>
        <v>-1</v>
      </c>
      <c r="X1080" s="108">
        <f t="shared" si="952"/>
        <v>-1</v>
      </c>
      <c r="Y1080" s="108">
        <f t="shared" si="953"/>
        <v>-1</v>
      </c>
      <c r="Z1080" s="108">
        <f t="shared" si="954"/>
        <v>-1</v>
      </c>
      <c r="AA1080" s="108">
        <f t="shared" si="955"/>
        <v>-1</v>
      </c>
      <c r="AB1080" s="108">
        <f t="shared" si="956"/>
        <v>-1</v>
      </c>
      <c r="AC1080" s="108">
        <f t="shared" si="957"/>
        <v>-1</v>
      </c>
      <c r="AD1080" s="108">
        <f t="shared" si="958"/>
        <v>-1</v>
      </c>
      <c r="AE1080" s="108">
        <f t="shared" si="959"/>
        <v>-1</v>
      </c>
      <c r="AF1080" s="108">
        <f t="shared" si="960"/>
        <v>-1</v>
      </c>
      <c r="AG1080" s="108">
        <f t="shared" si="961"/>
        <v>-1</v>
      </c>
      <c r="AH1080" s="108">
        <f t="shared" si="962"/>
        <v>-1</v>
      </c>
      <c r="AI1080" s="108">
        <f t="shared" si="963"/>
        <v>-1</v>
      </c>
      <c r="AJ1080" s="108">
        <f t="shared" si="964"/>
        <v>-1</v>
      </c>
      <c r="AK1080" s="108">
        <f t="shared" si="965"/>
        <v>-1</v>
      </c>
      <c r="AL1080" s="108">
        <f t="shared" si="966"/>
        <v>-1</v>
      </c>
    </row>
    <row r="1081" spans="3:38" x14ac:dyDescent="0.55000000000000004">
      <c r="C1081" s="104" t="str">
        <f>$V$75</f>
        <v>Yassin</v>
      </c>
      <c r="D1081" s="108">
        <f t="shared" ref="D1081:S1081" si="988">D75</f>
        <v>0</v>
      </c>
      <c r="E1081" s="108">
        <f t="shared" si="988"/>
        <v>0</v>
      </c>
      <c r="F1081" s="108">
        <f t="shared" si="988"/>
        <v>0</v>
      </c>
      <c r="G1081" s="108">
        <f t="shared" si="988"/>
        <v>0</v>
      </c>
      <c r="H1081" s="108">
        <f t="shared" si="988"/>
        <v>0</v>
      </c>
      <c r="I1081" s="108">
        <f t="shared" si="988"/>
        <v>0</v>
      </c>
      <c r="J1081" s="108">
        <f t="shared" si="988"/>
        <v>0</v>
      </c>
      <c r="K1081" s="108">
        <f t="shared" si="988"/>
        <v>0</v>
      </c>
      <c r="L1081" s="108">
        <f t="shared" si="988"/>
        <v>0</v>
      </c>
      <c r="M1081" s="108">
        <f t="shared" si="988"/>
        <v>0</v>
      </c>
      <c r="N1081" s="108">
        <f t="shared" si="988"/>
        <v>0</v>
      </c>
      <c r="O1081" s="108">
        <f t="shared" si="988"/>
        <v>0</v>
      </c>
      <c r="P1081" s="108">
        <f t="shared" si="988"/>
        <v>0</v>
      </c>
      <c r="Q1081" s="108">
        <f t="shared" si="988"/>
        <v>0</v>
      </c>
      <c r="R1081" s="108">
        <f t="shared" si="988"/>
        <v>0</v>
      </c>
      <c r="S1081" s="108">
        <f t="shared" si="988"/>
        <v>0</v>
      </c>
      <c r="T1081" s="28" t="s">
        <v>26</v>
      </c>
      <c r="V1081" s="104" t="str">
        <f>$V$75</f>
        <v>Yassin</v>
      </c>
      <c r="W1081" s="108">
        <f t="shared" si="951"/>
        <v>-1</v>
      </c>
      <c r="X1081" s="108">
        <f t="shared" si="952"/>
        <v>-1</v>
      </c>
      <c r="Y1081" s="108">
        <f t="shared" si="953"/>
        <v>-1</v>
      </c>
      <c r="Z1081" s="108">
        <f t="shared" si="954"/>
        <v>-1</v>
      </c>
      <c r="AA1081" s="108">
        <f t="shared" si="955"/>
        <v>-1</v>
      </c>
      <c r="AB1081" s="108">
        <f t="shared" si="956"/>
        <v>-1</v>
      </c>
      <c r="AC1081" s="108">
        <f t="shared" si="957"/>
        <v>-1</v>
      </c>
      <c r="AD1081" s="108">
        <f t="shared" si="958"/>
        <v>-1</v>
      </c>
      <c r="AE1081" s="108">
        <f t="shared" si="959"/>
        <v>-1</v>
      </c>
      <c r="AF1081" s="108">
        <f t="shared" si="960"/>
        <v>-1</v>
      </c>
      <c r="AG1081" s="108">
        <f t="shared" si="961"/>
        <v>-1</v>
      </c>
      <c r="AH1081" s="108">
        <f t="shared" si="962"/>
        <v>-1</v>
      </c>
      <c r="AI1081" s="108">
        <f t="shared" si="963"/>
        <v>-1</v>
      </c>
      <c r="AJ1081" s="108">
        <f t="shared" si="964"/>
        <v>-1</v>
      </c>
      <c r="AK1081" s="108">
        <f t="shared" si="965"/>
        <v>-1</v>
      </c>
      <c r="AL1081" s="108">
        <f t="shared" si="966"/>
        <v>-1</v>
      </c>
    </row>
    <row r="1082" spans="3:38" x14ac:dyDescent="0.55000000000000004">
      <c r="C1082" s="104" t="str">
        <f>$V$76</f>
        <v>Kamar</v>
      </c>
      <c r="D1082" s="108">
        <f t="shared" ref="D1082:S1082" si="989">D76</f>
        <v>0</v>
      </c>
      <c r="E1082" s="108">
        <f t="shared" si="989"/>
        <v>0</v>
      </c>
      <c r="F1082" s="108">
        <f t="shared" si="989"/>
        <v>0</v>
      </c>
      <c r="G1082" s="108">
        <f t="shared" si="989"/>
        <v>0</v>
      </c>
      <c r="H1082" s="108">
        <f t="shared" si="989"/>
        <v>0</v>
      </c>
      <c r="I1082" s="108">
        <f t="shared" si="989"/>
        <v>0</v>
      </c>
      <c r="J1082" s="108">
        <f t="shared" si="989"/>
        <v>0</v>
      </c>
      <c r="K1082" s="108">
        <f t="shared" si="989"/>
        <v>0</v>
      </c>
      <c r="L1082" s="108">
        <f t="shared" si="989"/>
        <v>0</v>
      </c>
      <c r="M1082" s="108">
        <f t="shared" si="989"/>
        <v>0</v>
      </c>
      <c r="N1082" s="108">
        <f t="shared" si="989"/>
        <v>0</v>
      </c>
      <c r="O1082" s="108">
        <f t="shared" si="989"/>
        <v>0</v>
      </c>
      <c r="P1082" s="108">
        <f t="shared" si="989"/>
        <v>0</v>
      </c>
      <c r="Q1082" s="108">
        <f t="shared" si="989"/>
        <v>0</v>
      </c>
      <c r="R1082" s="108">
        <f t="shared" si="989"/>
        <v>0</v>
      </c>
      <c r="S1082" s="108">
        <f t="shared" si="989"/>
        <v>0</v>
      </c>
      <c r="T1082" s="28" t="s">
        <v>26</v>
      </c>
      <c r="V1082" s="104" t="str">
        <f>$V$76</f>
        <v>Kamar</v>
      </c>
      <c r="W1082" s="108">
        <f t="shared" si="951"/>
        <v>-1</v>
      </c>
      <c r="X1082" s="108">
        <f t="shared" si="952"/>
        <v>-1</v>
      </c>
      <c r="Y1082" s="108">
        <f t="shared" si="953"/>
        <v>-1</v>
      </c>
      <c r="Z1082" s="108">
        <f t="shared" si="954"/>
        <v>-1</v>
      </c>
      <c r="AA1082" s="108">
        <f t="shared" si="955"/>
        <v>-1</v>
      </c>
      <c r="AB1082" s="108">
        <f t="shared" si="956"/>
        <v>-1</v>
      </c>
      <c r="AC1082" s="108">
        <f t="shared" si="957"/>
        <v>-1</v>
      </c>
      <c r="AD1082" s="108">
        <f t="shared" si="958"/>
        <v>-1</v>
      </c>
      <c r="AE1082" s="108">
        <f t="shared" si="959"/>
        <v>-1</v>
      </c>
      <c r="AF1082" s="108">
        <f t="shared" si="960"/>
        <v>-1</v>
      </c>
      <c r="AG1082" s="108">
        <f t="shared" si="961"/>
        <v>-1</v>
      </c>
      <c r="AH1082" s="108">
        <f t="shared" si="962"/>
        <v>-1</v>
      </c>
      <c r="AI1082" s="108">
        <f t="shared" si="963"/>
        <v>-1</v>
      </c>
      <c r="AJ1082" s="108">
        <f t="shared" si="964"/>
        <v>-1</v>
      </c>
      <c r="AK1082" s="108">
        <f t="shared" si="965"/>
        <v>-1</v>
      </c>
      <c r="AL1082" s="108">
        <f t="shared" si="966"/>
        <v>-1</v>
      </c>
    </row>
    <row r="1083" spans="3:38" x14ac:dyDescent="0.55000000000000004">
      <c r="C1083" s="104" t="str">
        <f>$V$77</f>
        <v>-</v>
      </c>
      <c r="D1083" s="108">
        <f t="shared" ref="D1083:S1083" si="990">D77</f>
        <v>0</v>
      </c>
      <c r="E1083" s="108">
        <f t="shared" si="990"/>
        <v>0</v>
      </c>
      <c r="F1083" s="108">
        <f t="shared" si="990"/>
        <v>0</v>
      </c>
      <c r="G1083" s="108">
        <f t="shared" si="990"/>
        <v>0</v>
      </c>
      <c r="H1083" s="108">
        <f t="shared" si="990"/>
        <v>0</v>
      </c>
      <c r="I1083" s="108">
        <f t="shared" si="990"/>
        <v>0</v>
      </c>
      <c r="J1083" s="108">
        <f t="shared" si="990"/>
        <v>0</v>
      </c>
      <c r="K1083" s="108">
        <f t="shared" si="990"/>
        <v>0</v>
      </c>
      <c r="L1083" s="108">
        <f t="shared" si="990"/>
        <v>0</v>
      </c>
      <c r="M1083" s="108">
        <f t="shared" si="990"/>
        <v>0</v>
      </c>
      <c r="N1083" s="108">
        <f t="shared" si="990"/>
        <v>0</v>
      </c>
      <c r="O1083" s="108">
        <f t="shared" si="990"/>
        <v>0</v>
      </c>
      <c r="P1083" s="108">
        <f t="shared" si="990"/>
        <v>0</v>
      </c>
      <c r="Q1083" s="108">
        <f t="shared" si="990"/>
        <v>0</v>
      </c>
      <c r="R1083" s="108">
        <f t="shared" si="990"/>
        <v>0</v>
      </c>
      <c r="S1083" s="108">
        <f t="shared" si="990"/>
        <v>0</v>
      </c>
      <c r="T1083" s="28" t="s">
        <v>26</v>
      </c>
      <c r="V1083" s="104" t="str">
        <f>$V$77</f>
        <v>-</v>
      </c>
      <c r="W1083" s="108">
        <f t="shared" si="951"/>
        <v>-1</v>
      </c>
      <c r="X1083" s="108">
        <f t="shared" si="952"/>
        <v>-1</v>
      </c>
      <c r="Y1083" s="108">
        <f t="shared" si="953"/>
        <v>-1</v>
      </c>
      <c r="Z1083" s="108">
        <f t="shared" si="954"/>
        <v>-1</v>
      </c>
      <c r="AA1083" s="108">
        <f t="shared" si="955"/>
        <v>-1</v>
      </c>
      <c r="AB1083" s="108">
        <f t="shared" si="956"/>
        <v>-1</v>
      </c>
      <c r="AC1083" s="108">
        <f t="shared" si="957"/>
        <v>-1</v>
      </c>
      <c r="AD1083" s="108">
        <f t="shared" si="958"/>
        <v>-1</v>
      </c>
      <c r="AE1083" s="108">
        <f t="shared" si="959"/>
        <v>-1</v>
      </c>
      <c r="AF1083" s="108">
        <f t="shared" si="960"/>
        <v>-1</v>
      </c>
      <c r="AG1083" s="108">
        <f t="shared" si="961"/>
        <v>-1</v>
      </c>
      <c r="AH1083" s="108">
        <f t="shared" si="962"/>
        <v>-1</v>
      </c>
      <c r="AI1083" s="108">
        <f t="shared" si="963"/>
        <v>-1</v>
      </c>
      <c r="AJ1083" s="108">
        <f t="shared" si="964"/>
        <v>-1</v>
      </c>
      <c r="AK1083" s="108">
        <f t="shared" si="965"/>
        <v>-1</v>
      </c>
      <c r="AL1083" s="108">
        <f t="shared" si="966"/>
        <v>-1</v>
      </c>
    </row>
    <row r="1084" spans="3:38" x14ac:dyDescent="0.55000000000000004">
      <c r="C1084" s="104" t="str">
        <f>$V$78</f>
        <v>-</v>
      </c>
      <c r="D1084" s="108">
        <f t="shared" ref="D1084:S1084" si="991">D78</f>
        <v>0</v>
      </c>
      <c r="E1084" s="108">
        <f t="shared" si="991"/>
        <v>0</v>
      </c>
      <c r="F1084" s="108">
        <f t="shared" si="991"/>
        <v>0</v>
      </c>
      <c r="G1084" s="108">
        <f t="shared" si="991"/>
        <v>0</v>
      </c>
      <c r="H1084" s="108">
        <f t="shared" si="991"/>
        <v>0</v>
      </c>
      <c r="I1084" s="108">
        <f t="shared" si="991"/>
        <v>0</v>
      </c>
      <c r="J1084" s="108">
        <f t="shared" si="991"/>
        <v>0</v>
      </c>
      <c r="K1084" s="108">
        <f t="shared" si="991"/>
        <v>0</v>
      </c>
      <c r="L1084" s="108">
        <f t="shared" si="991"/>
        <v>0</v>
      </c>
      <c r="M1084" s="108">
        <f t="shared" si="991"/>
        <v>0</v>
      </c>
      <c r="N1084" s="108">
        <f t="shared" si="991"/>
        <v>0</v>
      </c>
      <c r="O1084" s="108">
        <f t="shared" si="991"/>
        <v>0</v>
      </c>
      <c r="P1084" s="108">
        <f t="shared" si="991"/>
        <v>0</v>
      </c>
      <c r="Q1084" s="108">
        <f t="shared" si="991"/>
        <v>0</v>
      </c>
      <c r="R1084" s="108">
        <f t="shared" si="991"/>
        <v>0</v>
      </c>
      <c r="S1084" s="108">
        <f t="shared" si="991"/>
        <v>0</v>
      </c>
      <c r="T1084" s="28" t="s">
        <v>26</v>
      </c>
      <c r="V1084" s="104" t="str">
        <f>$V$78</f>
        <v>-</v>
      </c>
      <c r="W1084" s="108">
        <f t="shared" si="951"/>
        <v>-1</v>
      </c>
      <c r="X1084" s="108">
        <f t="shared" si="952"/>
        <v>-1</v>
      </c>
      <c r="Y1084" s="108">
        <f t="shared" si="953"/>
        <v>-1</v>
      </c>
      <c r="Z1084" s="108">
        <f t="shared" si="954"/>
        <v>-1</v>
      </c>
      <c r="AA1084" s="108">
        <f t="shared" si="955"/>
        <v>-1</v>
      </c>
      <c r="AB1084" s="108">
        <f t="shared" si="956"/>
        <v>-1</v>
      </c>
      <c r="AC1084" s="108">
        <f t="shared" si="957"/>
        <v>-1</v>
      </c>
      <c r="AD1084" s="108">
        <f t="shared" si="958"/>
        <v>-1</v>
      </c>
      <c r="AE1084" s="108">
        <f t="shared" si="959"/>
        <v>-1</v>
      </c>
      <c r="AF1084" s="108">
        <f t="shared" si="960"/>
        <v>-1</v>
      </c>
      <c r="AG1084" s="108">
        <f t="shared" si="961"/>
        <v>-1</v>
      </c>
      <c r="AH1084" s="108">
        <f t="shared" si="962"/>
        <v>-1</v>
      </c>
      <c r="AI1084" s="108">
        <f t="shared" si="963"/>
        <v>-1</v>
      </c>
      <c r="AJ1084" s="108">
        <f t="shared" si="964"/>
        <v>-1</v>
      </c>
      <c r="AK1084" s="108">
        <f t="shared" si="965"/>
        <v>-1</v>
      </c>
      <c r="AL1084" s="108">
        <f t="shared" si="966"/>
        <v>-1</v>
      </c>
    </row>
    <row r="1085" spans="3:38" x14ac:dyDescent="0.55000000000000004">
      <c r="C1085" s="104" t="str">
        <f>$V$79</f>
        <v>-</v>
      </c>
      <c r="D1085" s="108">
        <f t="shared" ref="D1085:S1085" si="992">D79</f>
        <v>0</v>
      </c>
      <c r="E1085" s="108">
        <f t="shared" si="992"/>
        <v>0</v>
      </c>
      <c r="F1085" s="108">
        <f t="shared" si="992"/>
        <v>0</v>
      </c>
      <c r="G1085" s="108">
        <f t="shared" si="992"/>
        <v>0</v>
      </c>
      <c r="H1085" s="108">
        <f t="shared" si="992"/>
        <v>0</v>
      </c>
      <c r="I1085" s="108">
        <f t="shared" si="992"/>
        <v>0</v>
      </c>
      <c r="J1085" s="108">
        <f t="shared" si="992"/>
        <v>0</v>
      </c>
      <c r="K1085" s="108">
        <f t="shared" si="992"/>
        <v>0</v>
      </c>
      <c r="L1085" s="108">
        <f t="shared" si="992"/>
        <v>0</v>
      </c>
      <c r="M1085" s="108">
        <f t="shared" si="992"/>
        <v>0</v>
      </c>
      <c r="N1085" s="108">
        <f t="shared" si="992"/>
        <v>0</v>
      </c>
      <c r="O1085" s="108">
        <f t="shared" si="992"/>
        <v>0</v>
      </c>
      <c r="P1085" s="108">
        <f t="shared" si="992"/>
        <v>0</v>
      </c>
      <c r="Q1085" s="108">
        <f t="shared" si="992"/>
        <v>0</v>
      </c>
      <c r="R1085" s="108">
        <f t="shared" si="992"/>
        <v>0</v>
      </c>
      <c r="S1085" s="108">
        <f t="shared" si="992"/>
        <v>0</v>
      </c>
      <c r="T1085" s="28" t="s">
        <v>26</v>
      </c>
      <c r="V1085" s="104" t="str">
        <f>$V$79</f>
        <v>-</v>
      </c>
      <c r="W1085" s="108">
        <f t="shared" si="951"/>
        <v>-1</v>
      </c>
      <c r="X1085" s="108">
        <f t="shared" si="952"/>
        <v>-1</v>
      </c>
      <c r="Y1085" s="108">
        <f t="shared" si="953"/>
        <v>-1</v>
      </c>
      <c r="Z1085" s="108">
        <f t="shared" si="954"/>
        <v>-1</v>
      </c>
      <c r="AA1085" s="108">
        <f t="shared" si="955"/>
        <v>-1</v>
      </c>
      <c r="AB1085" s="108">
        <f t="shared" si="956"/>
        <v>-1</v>
      </c>
      <c r="AC1085" s="108">
        <f t="shared" si="957"/>
        <v>-1</v>
      </c>
      <c r="AD1085" s="108">
        <f t="shared" si="958"/>
        <v>-1</v>
      </c>
      <c r="AE1085" s="108">
        <f t="shared" si="959"/>
        <v>-1</v>
      </c>
      <c r="AF1085" s="108">
        <f t="shared" si="960"/>
        <v>-1</v>
      </c>
      <c r="AG1085" s="108">
        <f t="shared" si="961"/>
        <v>-1</v>
      </c>
      <c r="AH1085" s="108">
        <f t="shared" si="962"/>
        <v>-1</v>
      </c>
      <c r="AI1085" s="108">
        <f t="shared" si="963"/>
        <v>-1</v>
      </c>
      <c r="AJ1085" s="108">
        <f t="shared" si="964"/>
        <v>-1</v>
      </c>
      <c r="AK1085" s="108">
        <f t="shared" si="965"/>
        <v>-1</v>
      </c>
      <c r="AL1085" s="108">
        <f t="shared" si="966"/>
        <v>-1</v>
      </c>
    </row>
    <row r="1086" spans="3:38" x14ac:dyDescent="0.55000000000000004">
      <c r="C1086" s="104" t="str">
        <f>$V$80</f>
        <v>-</v>
      </c>
      <c r="D1086" s="108">
        <f t="shared" ref="D1086:S1086" si="993">D80</f>
        <v>0</v>
      </c>
      <c r="E1086" s="108">
        <f t="shared" si="993"/>
        <v>0</v>
      </c>
      <c r="F1086" s="108">
        <f t="shared" si="993"/>
        <v>0</v>
      </c>
      <c r="G1086" s="108">
        <f t="shared" si="993"/>
        <v>0</v>
      </c>
      <c r="H1086" s="108">
        <f t="shared" si="993"/>
        <v>0</v>
      </c>
      <c r="I1086" s="108">
        <f t="shared" si="993"/>
        <v>0</v>
      </c>
      <c r="J1086" s="108">
        <f t="shared" si="993"/>
        <v>0</v>
      </c>
      <c r="K1086" s="108">
        <f t="shared" si="993"/>
        <v>0</v>
      </c>
      <c r="L1086" s="108">
        <f t="shared" si="993"/>
        <v>0</v>
      </c>
      <c r="M1086" s="108">
        <f t="shared" si="993"/>
        <v>0</v>
      </c>
      <c r="N1086" s="108">
        <f t="shared" si="993"/>
        <v>0</v>
      </c>
      <c r="O1086" s="108">
        <f t="shared" si="993"/>
        <v>0</v>
      </c>
      <c r="P1086" s="108">
        <f t="shared" si="993"/>
        <v>0</v>
      </c>
      <c r="Q1086" s="108">
        <f t="shared" si="993"/>
        <v>0</v>
      </c>
      <c r="R1086" s="108">
        <f t="shared" si="993"/>
        <v>0</v>
      </c>
      <c r="S1086" s="108">
        <f t="shared" si="993"/>
        <v>0</v>
      </c>
      <c r="T1086" s="28" t="s">
        <v>26</v>
      </c>
      <c r="V1086" s="104" t="str">
        <f>$V$80</f>
        <v>-</v>
      </c>
      <c r="W1086" s="108">
        <f t="shared" si="951"/>
        <v>-1</v>
      </c>
      <c r="X1086" s="108">
        <f t="shared" si="952"/>
        <v>-1</v>
      </c>
      <c r="Y1086" s="108">
        <f t="shared" si="953"/>
        <v>-1</v>
      </c>
      <c r="Z1086" s="108">
        <f t="shared" si="954"/>
        <v>-1</v>
      </c>
      <c r="AA1086" s="108">
        <f t="shared" si="955"/>
        <v>-1</v>
      </c>
      <c r="AB1086" s="108">
        <f t="shared" si="956"/>
        <v>-1</v>
      </c>
      <c r="AC1086" s="108">
        <f t="shared" si="957"/>
        <v>-1</v>
      </c>
      <c r="AD1086" s="108">
        <f t="shared" si="958"/>
        <v>-1</v>
      </c>
      <c r="AE1086" s="108">
        <f t="shared" si="959"/>
        <v>-1</v>
      </c>
      <c r="AF1086" s="108">
        <f t="shared" si="960"/>
        <v>-1</v>
      </c>
      <c r="AG1086" s="108">
        <f t="shared" si="961"/>
        <v>-1</v>
      </c>
      <c r="AH1086" s="108">
        <f t="shared" si="962"/>
        <v>-1</v>
      </c>
      <c r="AI1086" s="108">
        <f t="shared" si="963"/>
        <v>-1</v>
      </c>
      <c r="AJ1086" s="108">
        <f t="shared" si="964"/>
        <v>-1</v>
      </c>
      <c r="AK1086" s="108">
        <f t="shared" si="965"/>
        <v>-1</v>
      </c>
      <c r="AL1086" s="108">
        <f t="shared" si="966"/>
        <v>-1</v>
      </c>
    </row>
    <row r="1087" spans="3:38" x14ac:dyDescent="0.55000000000000004">
      <c r="C1087" s="104" t="str">
        <f>$V$81</f>
        <v>-</v>
      </c>
      <c r="D1087" s="108">
        <f t="shared" ref="D1087:S1087" si="994">D81</f>
        <v>0</v>
      </c>
      <c r="E1087" s="108">
        <f t="shared" si="994"/>
        <v>0</v>
      </c>
      <c r="F1087" s="108">
        <f t="shared" si="994"/>
        <v>0</v>
      </c>
      <c r="G1087" s="108">
        <f t="shared" si="994"/>
        <v>0</v>
      </c>
      <c r="H1087" s="108">
        <f t="shared" si="994"/>
        <v>0</v>
      </c>
      <c r="I1087" s="108">
        <f t="shared" si="994"/>
        <v>0</v>
      </c>
      <c r="J1087" s="108">
        <f t="shared" si="994"/>
        <v>0</v>
      </c>
      <c r="K1087" s="108">
        <f t="shared" si="994"/>
        <v>0</v>
      </c>
      <c r="L1087" s="108">
        <f t="shared" si="994"/>
        <v>0</v>
      </c>
      <c r="M1087" s="108">
        <f t="shared" si="994"/>
        <v>0</v>
      </c>
      <c r="N1087" s="108">
        <f t="shared" si="994"/>
        <v>0</v>
      </c>
      <c r="O1087" s="108">
        <f t="shared" si="994"/>
        <v>0</v>
      </c>
      <c r="P1087" s="108">
        <f t="shared" si="994"/>
        <v>0</v>
      </c>
      <c r="Q1087" s="108">
        <f t="shared" si="994"/>
        <v>0</v>
      </c>
      <c r="R1087" s="108">
        <f t="shared" si="994"/>
        <v>0</v>
      </c>
      <c r="S1087" s="108">
        <f t="shared" si="994"/>
        <v>0</v>
      </c>
      <c r="T1087" s="28" t="s">
        <v>26</v>
      </c>
      <c r="V1087" s="104" t="str">
        <f>$V$81</f>
        <v>-</v>
      </c>
      <c r="W1087" s="108">
        <f t="shared" si="951"/>
        <v>-1</v>
      </c>
      <c r="X1087" s="108">
        <f t="shared" si="952"/>
        <v>-1</v>
      </c>
      <c r="Y1087" s="108">
        <f t="shared" si="953"/>
        <v>-1</v>
      </c>
      <c r="Z1087" s="108">
        <f t="shared" si="954"/>
        <v>-1</v>
      </c>
      <c r="AA1087" s="108">
        <f t="shared" si="955"/>
        <v>-1</v>
      </c>
      <c r="AB1087" s="108">
        <f t="shared" si="956"/>
        <v>-1</v>
      </c>
      <c r="AC1087" s="108">
        <f t="shared" si="957"/>
        <v>-1</v>
      </c>
      <c r="AD1087" s="108">
        <f t="shared" si="958"/>
        <v>-1</v>
      </c>
      <c r="AE1087" s="108">
        <f t="shared" si="959"/>
        <v>-1</v>
      </c>
      <c r="AF1087" s="108">
        <f t="shared" si="960"/>
        <v>-1</v>
      </c>
      <c r="AG1087" s="108">
        <f t="shared" si="961"/>
        <v>-1</v>
      </c>
      <c r="AH1087" s="108">
        <f t="shared" si="962"/>
        <v>-1</v>
      </c>
      <c r="AI1087" s="108">
        <f t="shared" si="963"/>
        <v>-1</v>
      </c>
      <c r="AJ1087" s="108">
        <f t="shared" si="964"/>
        <v>-1</v>
      </c>
      <c r="AK1087" s="108">
        <f t="shared" si="965"/>
        <v>-1</v>
      </c>
      <c r="AL1087" s="108">
        <f t="shared" si="966"/>
        <v>-1</v>
      </c>
    </row>
    <row r="1088" spans="3:38" x14ac:dyDescent="0.55000000000000004">
      <c r="C1088" s="104" t="str">
        <f>$V$82</f>
        <v>-</v>
      </c>
      <c r="D1088" s="108">
        <f t="shared" ref="D1088:S1088" si="995">D82</f>
        <v>0</v>
      </c>
      <c r="E1088" s="108">
        <f t="shared" si="995"/>
        <v>0</v>
      </c>
      <c r="F1088" s="108">
        <f t="shared" si="995"/>
        <v>0</v>
      </c>
      <c r="G1088" s="108">
        <f t="shared" si="995"/>
        <v>0</v>
      </c>
      <c r="H1088" s="108">
        <f t="shared" si="995"/>
        <v>0</v>
      </c>
      <c r="I1088" s="108">
        <f t="shared" si="995"/>
        <v>0</v>
      </c>
      <c r="J1088" s="108">
        <f t="shared" si="995"/>
        <v>0</v>
      </c>
      <c r="K1088" s="108">
        <f t="shared" si="995"/>
        <v>0</v>
      </c>
      <c r="L1088" s="108">
        <f t="shared" si="995"/>
        <v>0</v>
      </c>
      <c r="M1088" s="108">
        <f t="shared" si="995"/>
        <v>0</v>
      </c>
      <c r="N1088" s="108">
        <f t="shared" si="995"/>
        <v>0</v>
      </c>
      <c r="O1088" s="108">
        <f t="shared" si="995"/>
        <v>0</v>
      </c>
      <c r="P1088" s="108">
        <f t="shared" si="995"/>
        <v>0</v>
      </c>
      <c r="Q1088" s="108">
        <f t="shared" si="995"/>
        <v>0</v>
      </c>
      <c r="R1088" s="108">
        <f t="shared" si="995"/>
        <v>0</v>
      </c>
      <c r="S1088" s="108">
        <f t="shared" si="995"/>
        <v>0</v>
      </c>
      <c r="T1088" s="28" t="s">
        <v>26</v>
      </c>
      <c r="V1088" s="104" t="str">
        <f>$V$82</f>
        <v>-</v>
      </c>
      <c r="W1088" s="108">
        <f t="shared" si="951"/>
        <v>-1</v>
      </c>
      <c r="X1088" s="108">
        <f t="shared" si="952"/>
        <v>-1</v>
      </c>
      <c r="Y1088" s="108">
        <f t="shared" si="953"/>
        <v>-1</v>
      </c>
      <c r="Z1088" s="108">
        <f t="shared" si="954"/>
        <v>-1</v>
      </c>
      <c r="AA1088" s="108">
        <f t="shared" si="955"/>
        <v>-1</v>
      </c>
      <c r="AB1088" s="108">
        <f t="shared" si="956"/>
        <v>-1</v>
      </c>
      <c r="AC1088" s="108">
        <f t="shared" si="957"/>
        <v>-1</v>
      </c>
      <c r="AD1088" s="108">
        <f t="shared" si="958"/>
        <v>-1</v>
      </c>
      <c r="AE1088" s="108">
        <f t="shared" si="959"/>
        <v>-1</v>
      </c>
      <c r="AF1088" s="108">
        <f t="shared" si="960"/>
        <v>-1</v>
      </c>
      <c r="AG1088" s="108">
        <f t="shared" si="961"/>
        <v>-1</v>
      </c>
      <c r="AH1088" s="108">
        <f t="shared" si="962"/>
        <v>-1</v>
      </c>
      <c r="AI1088" s="108">
        <f t="shared" si="963"/>
        <v>-1</v>
      </c>
      <c r="AJ1088" s="108">
        <f t="shared" si="964"/>
        <v>-1</v>
      </c>
      <c r="AK1088" s="108">
        <f t="shared" si="965"/>
        <v>-1</v>
      </c>
      <c r="AL1088" s="108">
        <f t="shared" si="966"/>
        <v>-1</v>
      </c>
    </row>
    <row r="1089" spans="3:38" x14ac:dyDescent="0.55000000000000004">
      <c r="C1089" s="104" t="str">
        <f>$V$83</f>
        <v>-</v>
      </c>
      <c r="D1089" s="108">
        <f t="shared" ref="D1089:S1089" si="996">D83</f>
        <v>0</v>
      </c>
      <c r="E1089" s="108">
        <f t="shared" si="996"/>
        <v>0</v>
      </c>
      <c r="F1089" s="108">
        <f t="shared" si="996"/>
        <v>0</v>
      </c>
      <c r="G1089" s="108">
        <f t="shared" si="996"/>
        <v>0</v>
      </c>
      <c r="H1089" s="108">
        <f t="shared" si="996"/>
        <v>0</v>
      </c>
      <c r="I1089" s="108">
        <f t="shared" si="996"/>
        <v>0</v>
      </c>
      <c r="J1089" s="108">
        <f t="shared" si="996"/>
        <v>0</v>
      </c>
      <c r="K1089" s="108">
        <f t="shared" si="996"/>
        <v>0</v>
      </c>
      <c r="L1089" s="108">
        <f t="shared" si="996"/>
        <v>0</v>
      </c>
      <c r="M1089" s="108">
        <f t="shared" si="996"/>
        <v>0</v>
      </c>
      <c r="N1089" s="108">
        <f t="shared" si="996"/>
        <v>0</v>
      </c>
      <c r="O1089" s="108">
        <f t="shared" si="996"/>
        <v>0</v>
      </c>
      <c r="P1089" s="108">
        <f t="shared" si="996"/>
        <v>0</v>
      </c>
      <c r="Q1089" s="108">
        <f t="shared" si="996"/>
        <v>0</v>
      </c>
      <c r="R1089" s="108">
        <f t="shared" si="996"/>
        <v>0</v>
      </c>
      <c r="S1089" s="108">
        <f t="shared" si="996"/>
        <v>0</v>
      </c>
      <c r="T1089" s="28" t="s">
        <v>26</v>
      </c>
      <c r="V1089" s="104" t="str">
        <f>$V$83</f>
        <v>-</v>
      </c>
      <c r="W1089" s="108">
        <f t="shared" si="951"/>
        <v>-1</v>
      </c>
      <c r="X1089" s="108">
        <f t="shared" si="952"/>
        <v>-1</v>
      </c>
      <c r="Y1089" s="108">
        <f t="shared" si="953"/>
        <v>-1</v>
      </c>
      <c r="Z1089" s="108">
        <f t="shared" si="954"/>
        <v>-1</v>
      </c>
      <c r="AA1089" s="108">
        <f t="shared" si="955"/>
        <v>-1</v>
      </c>
      <c r="AB1089" s="108">
        <f t="shared" si="956"/>
        <v>-1</v>
      </c>
      <c r="AC1089" s="108">
        <f t="shared" si="957"/>
        <v>-1</v>
      </c>
      <c r="AD1089" s="108">
        <f t="shared" si="958"/>
        <v>-1</v>
      </c>
      <c r="AE1089" s="108">
        <f t="shared" si="959"/>
        <v>-1</v>
      </c>
      <c r="AF1089" s="108">
        <f t="shared" si="960"/>
        <v>-1</v>
      </c>
      <c r="AG1089" s="108">
        <f t="shared" si="961"/>
        <v>-1</v>
      </c>
      <c r="AH1089" s="108">
        <f t="shared" si="962"/>
        <v>-1</v>
      </c>
      <c r="AI1089" s="108">
        <f t="shared" si="963"/>
        <v>-1</v>
      </c>
      <c r="AJ1089" s="108">
        <f t="shared" si="964"/>
        <v>-1</v>
      </c>
      <c r="AK1089" s="108">
        <f t="shared" si="965"/>
        <v>-1</v>
      </c>
      <c r="AL1089" s="108">
        <f t="shared" si="966"/>
        <v>-1</v>
      </c>
    </row>
    <row r="1090" spans="3:38" x14ac:dyDescent="0.55000000000000004">
      <c r="C1090" s="104" t="str">
        <f>$V$84</f>
        <v>-</v>
      </c>
      <c r="D1090" s="108">
        <f t="shared" ref="D1090:S1090" si="997">D84</f>
        <v>0</v>
      </c>
      <c r="E1090" s="108">
        <f t="shared" si="997"/>
        <v>0</v>
      </c>
      <c r="F1090" s="108">
        <f t="shared" si="997"/>
        <v>0</v>
      </c>
      <c r="G1090" s="108">
        <f t="shared" si="997"/>
        <v>0</v>
      </c>
      <c r="H1090" s="108">
        <f t="shared" si="997"/>
        <v>0</v>
      </c>
      <c r="I1090" s="108">
        <f t="shared" si="997"/>
        <v>0</v>
      </c>
      <c r="J1090" s="108">
        <f t="shared" si="997"/>
        <v>0</v>
      </c>
      <c r="K1090" s="108">
        <f t="shared" si="997"/>
        <v>0</v>
      </c>
      <c r="L1090" s="108">
        <f t="shared" si="997"/>
        <v>0</v>
      </c>
      <c r="M1090" s="108">
        <f t="shared" si="997"/>
        <v>0</v>
      </c>
      <c r="N1090" s="108">
        <f t="shared" si="997"/>
        <v>0</v>
      </c>
      <c r="O1090" s="108">
        <f t="shared" si="997"/>
        <v>0</v>
      </c>
      <c r="P1090" s="108">
        <f t="shared" si="997"/>
        <v>0</v>
      </c>
      <c r="Q1090" s="108">
        <f t="shared" si="997"/>
        <v>0</v>
      </c>
      <c r="R1090" s="108">
        <f t="shared" si="997"/>
        <v>0</v>
      </c>
      <c r="S1090" s="108">
        <f t="shared" si="997"/>
        <v>0</v>
      </c>
      <c r="T1090" s="28" t="s">
        <v>26</v>
      </c>
      <c r="V1090" s="104" t="str">
        <f>$V$84</f>
        <v>-</v>
      </c>
      <c r="W1090" s="108">
        <f t="shared" si="951"/>
        <v>-1</v>
      </c>
      <c r="X1090" s="108">
        <f t="shared" si="952"/>
        <v>-1</v>
      </c>
      <c r="Y1090" s="108">
        <f t="shared" si="953"/>
        <v>-1</v>
      </c>
      <c r="Z1090" s="108">
        <f t="shared" si="954"/>
        <v>-1</v>
      </c>
      <c r="AA1090" s="108">
        <f t="shared" si="955"/>
        <v>-1</v>
      </c>
      <c r="AB1090" s="108">
        <f t="shared" si="956"/>
        <v>-1</v>
      </c>
      <c r="AC1090" s="108">
        <f t="shared" si="957"/>
        <v>-1</v>
      </c>
      <c r="AD1090" s="108">
        <f t="shared" si="958"/>
        <v>-1</v>
      </c>
      <c r="AE1090" s="108">
        <f t="shared" si="959"/>
        <v>-1</v>
      </c>
      <c r="AF1090" s="108">
        <f t="shared" si="960"/>
        <v>-1</v>
      </c>
      <c r="AG1090" s="108">
        <f t="shared" si="961"/>
        <v>-1</v>
      </c>
      <c r="AH1090" s="108">
        <f t="shared" si="962"/>
        <v>-1</v>
      </c>
      <c r="AI1090" s="108">
        <f t="shared" si="963"/>
        <v>-1</v>
      </c>
      <c r="AJ1090" s="108">
        <f t="shared" si="964"/>
        <v>-1</v>
      </c>
      <c r="AK1090" s="108">
        <f t="shared" si="965"/>
        <v>-1</v>
      </c>
      <c r="AL1090" s="108">
        <f t="shared" si="966"/>
        <v>-1</v>
      </c>
    </row>
    <row r="1091" spans="3:38" x14ac:dyDescent="0.55000000000000004">
      <c r="C1091" s="104" t="str">
        <f>$V$85</f>
        <v>-</v>
      </c>
      <c r="D1091" s="108">
        <f t="shared" ref="D1091:S1091" si="998">D85</f>
        <v>0</v>
      </c>
      <c r="E1091" s="108">
        <f t="shared" si="998"/>
        <v>0</v>
      </c>
      <c r="F1091" s="108">
        <f t="shared" si="998"/>
        <v>0</v>
      </c>
      <c r="G1091" s="108">
        <f t="shared" si="998"/>
        <v>0</v>
      </c>
      <c r="H1091" s="108">
        <f t="shared" si="998"/>
        <v>0</v>
      </c>
      <c r="I1091" s="108">
        <f t="shared" si="998"/>
        <v>0</v>
      </c>
      <c r="J1091" s="108">
        <f t="shared" si="998"/>
        <v>0</v>
      </c>
      <c r="K1091" s="108">
        <f t="shared" si="998"/>
        <v>0</v>
      </c>
      <c r="L1091" s="108">
        <f t="shared" si="998"/>
        <v>0</v>
      </c>
      <c r="M1091" s="108">
        <f t="shared" si="998"/>
        <v>0</v>
      </c>
      <c r="N1091" s="108">
        <f t="shared" si="998"/>
        <v>0</v>
      </c>
      <c r="O1091" s="108">
        <f t="shared" si="998"/>
        <v>0</v>
      </c>
      <c r="P1091" s="108">
        <f t="shared" si="998"/>
        <v>0</v>
      </c>
      <c r="Q1091" s="108">
        <f t="shared" si="998"/>
        <v>0</v>
      </c>
      <c r="R1091" s="108">
        <f t="shared" si="998"/>
        <v>0</v>
      </c>
      <c r="S1091" s="108">
        <f t="shared" si="998"/>
        <v>0</v>
      </c>
      <c r="T1091" s="28" t="s">
        <v>26</v>
      </c>
      <c r="V1091" s="104" t="str">
        <f>$V$85</f>
        <v>-</v>
      </c>
      <c r="W1091" s="108">
        <f t="shared" si="951"/>
        <v>-1</v>
      </c>
      <c r="X1091" s="108">
        <f t="shared" si="952"/>
        <v>-1</v>
      </c>
      <c r="Y1091" s="108">
        <f t="shared" si="953"/>
        <v>-1</v>
      </c>
      <c r="Z1091" s="108">
        <f t="shared" si="954"/>
        <v>-1</v>
      </c>
      <c r="AA1091" s="108">
        <f t="shared" si="955"/>
        <v>-1</v>
      </c>
      <c r="AB1091" s="108">
        <f t="shared" si="956"/>
        <v>-1</v>
      </c>
      <c r="AC1091" s="108">
        <f t="shared" si="957"/>
        <v>-1</v>
      </c>
      <c r="AD1091" s="108">
        <f t="shared" si="958"/>
        <v>-1</v>
      </c>
      <c r="AE1091" s="108">
        <f t="shared" si="959"/>
        <v>-1</v>
      </c>
      <c r="AF1091" s="108">
        <f t="shared" si="960"/>
        <v>-1</v>
      </c>
      <c r="AG1091" s="108">
        <f t="shared" si="961"/>
        <v>-1</v>
      </c>
      <c r="AH1091" s="108">
        <f t="shared" si="962"/>
        <v>-1</v>
      </c>
      <c r="AI1091" s="108">
        <f t="shared" si="963"/>
        <v>-1</v>
      </c>
      <c r="AJ1091" s="108">
        <f t="shared" si="964"/>
        <v>-1</v>
      </c>
      <c r="AK1091" s="108">
        <f t="shared" si="965"/>
        <v>-1</v>
      </c>
      <c r="AL1091" s="108">
        <f t="shared" si="966"/>
        <v>-1</v>
      </c>
    </row>
    <row r="1092" spans="3:38" x14ac:dyDescent="0.55000000000000004">
      <c r="C1092" s="104" t="str">
        <f>$V$86</f>
        <v>-</v>
      </c>
      <c r="D1092" s="108">
        <f t="shared" ref="D1092:S1092" si="999">D86</f>
        <v>0</v>
      </c>
      <c r="E1092" s="108">
        <f t="shared" si="999"/>
        <v>0</v>
      </c>
      <c r="F1092" s="108">
        <f t="shared" si="999"/>
        <v>0</v>
      </c>
      <c r="G1092" s="108">
        <f t="shared" si="999"/>
        <v>0</v>
      </c>
      <c r="H1092" s="108">
        <f t="shared" si="999"/>
        <v>0</v>
      </c>
      <c r="I1092" s="108">
        <f t="shared" si="999"/>
        <v>0</v>
      </c>
      <c r="J1092" s="108">
        <f t="shared" si="999"/>
        <v>0</v>
      </c>
      <c r="K1092" s="108">
        <f t="shared" si="999"/>
        <v>0</v>
      </c>
      <c r="L1092" s="108">
        <f t="shared" si="999"/>
        <v>0</v>
      </c>
      <c r="M1092" s="108">
        <f t="shared" si="999"/>
        <v>0</v>
      </c>
      <c r="N1092" s="108">
        <f t="shared" si="999"/>
        <v>0</v>
      </c>
      <c r="O1092" s="108">
        <f t="shared" si="999"/>
        <v>0</v>
      </c>
      <c r="P1092" s="108">
        <f t="shared" si="999"/>
        <v>0</v>
      </c>
      <c r="Q1092" s="108">
        <f t="shared" si="999"/>
        <v>0</v>
      </c>
      <c r="R1092" s="108">
        <f t="shared" si="999"/>
        <v>0</v>
      </c>
      <c r="S1092" s="108">
        <f t="shared" si="999"/>
        <v>0</v>
      </c>
      <c r="T1092" s="28" t="s">
        <v>26</v>
      </c>
      <c r="V1092" s="104" t="str">
        <f>$V$86</f>
        <v>-</v>
      </c>
      <c r="W1092" s="108">
        <f t="shared" si="951"/>
        <v>-1</v>
      </c>
      <c r="X1092" s="108">
        <f t="shared" si="952"/>
        <v>-1</v>
      </c>
      <c r="Y1092" s="108">
        <f t="shared" si="953"/>
        <v>-1</v>
      </c>
      <c r="Z1092" s="108">
        <f t="shared" si="954"/>
        <v>-1</v>
      </c>
      <c r="AA1092" s="108">
        <f t="shared" si="955"/>
        <v>-1</v>
      </c>
      <c r="AB1092" s="108">
        <f t="shared" si="956"/>
        <v>-1</v>
      </c>
      <c r="AC1092" s="108">
        <f t="shared" si="957"/>
        <v>-1</v>
      </c>
      <c r="AD1092" s="108">
        <f t="shared" si="958"/>
        <v>-1</v>
      </c>
      <c r="AE1092" s="108">
        <f t="shared" si="959"/>
        <v>-1</v>
      </c>
      <c r="AF1092" s="108">
        <f t="shared" si="960"/>
        <v>-1</v>
      </c>
      <c r="AG1092" s="108">
        <f t="shared" si="961"/>
        <v>-1</v>
      </c>
      <c r="AH1092" s="108">
        <f t="shared" si="962"/>
        <v>-1</v>
      </c>
      <c r="AI1092" s="108">
        <f t="shared" si="963"/>
        <v>-1</v>
      </c>
      <c r="AJ1092" s="108">
        <f t="shared" si="964"/>
        <v>-1</v>
      </c>
      <c r="AK1092" s="108">
        <f t="shared" si="965"/>
        <v>-1</v>
      </c>
      <c r="AL1092" s="108">
        <f t="shared" si="966"/>
        <v>-1</v>
      </c>
    </row>
    <row r="1093" spans="3:38" x14ac:dyDescent="0.55000000000000004">
      <c r="C1093" s="104" t="str">
        <f>$V$87</f>
        <v>-</v>
      </c>
      <c r="D1093" s="108">
        <f t="shared" ref="D1093:S1093" si="1000">D87</f>
        <v>0</v>
      </c>
      <c r="E1093" s="108">
        <f t="shared" si="1000"/>
        <v>0</v>
      </c>
      <c r="F1093" s="108">
        <f t="shared" si="1000"/>
        <v>0</v>
      </c>
      <c r="G1093" s="108">
        <f t="shared" si="1000"/>
        <v>0</v>
      </c>
      <c r="H1093" s="108">
        <f t="shared" si="1000"/>
        <v>0</v>
      </c>
      <c r="I1093" s="108">
        <f t="shared" si="1000"/>
        <v>0</v>
      </c>
      <c r="J1093" s="108">
        <f t="shared" si="1000"/>
        <v>0</v>
      </c>
      <c r="K1093" s="108">
        <f t="shared" si="1000"/>
        <v>0</v>
      </c>
      <c r="L1093" s="108">
        <f t="shared" si="1000"/>
        <v>0</v>
      </c>
      <c r="M1093" s="108">
        <f t="shared" si="1000"/>
        <v>0</v>
      </c>
      <c r="N1093" s="108">
        <f t="shared" si="1000"/>
        <v>0</v>
      </c>
      <c r="O1093" s="108">
        <f t="shared" si="1000"/>
        <v>0</v>
      </c>
      <c r="P1093" s="108">
        <f t="shared" si="1000"/>
        <v>0</v>
      </c>
      <c r="Q1093" s="108">
        <f t="shared" si="1000"/>
        <v>0</v>
      </c>
      <c r="R1093" s="108">
        <f t="shared" si="1000"/>
        <v>0</v>
      </c>
      <c r="S1093" s="108">
        <f t="shared" si="1000"/>
        <v>0</v>
      </c>
      <c r="T1093" s="28" t="s">
        <v>26</v>
      </c>
      <c r="V1093" s="104" t="str">
        <f>$V$87</f>
        <v>-</v>
      </c>
      <c r="W1093" s="108">
        <f t="shared" si="951"/>
        <v>-1</v>
      </c>
      <c r="X1093" s="108">
        <f t="shared" si="952"/>
        <v>-1</v>
      </c>
      <c r="Y1093" s="108">
        <f t="shared" si="953"/>
        <v>-1</v>
      </c>
      <c r="Z1093" s="108">
        <f t="shared" si="954"/>
        <v>-1</v>
      </c>
      <c r="AA1093" s="108">
        <f t="shared" si="955"/>
        <v>-1</v>
      </c>
      <c r="AB1093" s="108">
        <f t="shared" si="956"/>
        <v>-1</v>
      </c>
      <c r="AC1093" s="108">
        <f t="shared" si="957"/>
        <v>-1</v>
      </c>
      <c r="AD1093" s="108">
        <f t="shared" si="958"/>
        <v>-1</v>
      </c>
      <c r="AE1093" s="108">
        <f t="shared" si="959"/>
        <v>-1</v>
      </c>
      <c r="AF1093" s="108">
        <f t="shared" si="960"/>
        <v>-1</v>
      </c>
      <c r="AG1093" s="108">
        <f t="shared" si="961"/>
        <v>-1</v>
      </c>
      <c r="AH1093" s="108">
        <f t="shared" si="962"/>
        <v>-1</v>
      </c>
      <c r="AI1093" s="108">
        <f t="shared" si="963"/>
        <v>-1</v>
      </c>
      <c r="AJ1093" s="108">
        <f t="shared" si="964"/>
        <v>-1</v>
      </c>
      <c r="AK1093" s="108">
        <f t="shared" si="965"/>
        <v>-1</v>
      </c>
      <c r="AL1093" s="108">
        <f t="shared" si="966"/>
        <v>-1</v>
      </c>
    </row>
    <row r="1094" spans="3:38" x14ac:dyDescent="0.55000000000000004">
      <c r="C1094" s="104" t="str">
        <f>$V$88</f>
        <v>-</v>
      </c>
      <c r="D1094" s="108">
        <f t="shared" ref="D1094:S1094" si="1001">D88</f>
        <v>0</v>
      </c>
      <c r="E1094" s="108">
        <f t="shared" si="1001"/>
        <v>0</v>
      </c>
      <c r="F1094" s="108">
        <f t="shared" si="1001"/>
        <v>0</v>
      </c>
      <c r="G1094" s="108">
        <f t="shared" si="1001"/>
        <v>0</v>
      </c>
      <c r="H1094" s="108">
        <f t="shared" si="1001"/>
        <v>0</v>
      </c>
      <c r="I1094" s="108">
        <f t="shared" si="1001"/>
        <v>0</v>
      </c>
      <c r="J1094" s="108">
        <f t="shared" si="1001"/>
        <v>0</v>
      </c>
      <c r="K1094" s="108">
        <f t="shared" si="1001"/>
        <v>0</v>
      </c>
      <c r="L1094" s="108">
        <f t="shared" si="1001"/>
        <v>0</v>
      </c>
      <c r="M1094" s="108">
        <f t="shared" si="1001"/>
        <v>0</v>
      </c>
      <c r="N1094" s="108">
        <f t="shared" si="1001"/>
        <v>0</v>
      </c>
      <c r="O1094" s="108">
        <f t="shared" si="1001"/>
        <v>0</v>
      </c>
      <c r="P1094" s="108">
        <f t="shared" si="1001"/>
        <v>0</v>
      </c>
      <c r="Q1094" s="108">
        <f t="shared" si="1001"/>
        <v>0</v>
      </c>
      <c r="R1094" s="108">
        <f t="shared" si="1001"/>
        <v>0</v>
      </c>
      <c r="S1094" s="108">
        <f t="shared" si="1001"/>
        <v>0</v>
      </c>
      <c r="T1094" s="28" t="s">
        <v>26</v>
      </c>
      <c r="V1094" s="104" t="str">
        <f>$V$88</f>
        <v>-</v>
      </c>
      <c r="W1094" s="108">
        <f t="shared" si="951"/>
        <v>-1</v>
      </c>
      <c r="X1094" s="108">
        <f t="shared" si="952"/>
        <v>-1</v>
      </c>
      <c r="Y1094" s="108">
        <f t="shared" si="953"/>
        <v>-1</v>
      </c>
      <c r="Z1094" s="108">
        <f t="shared" si="954"/>
        <v>-1</v>
      </c>
      <c r="AA1094" s="108">
        <f t="shared" si="955"/>
        <v>-1</v>
      </c>
      <c r="AB1094" s="108">
        <f t="shared" si="956"/>
        <v>-1</v>
      </c>
      <c r="AC1094" s="108">
        <f t="shared" si="957"/>
        <v>-1</v>
      </c>
      <c r="AD1094" s="108">
        <f t="shared" si="958"/>
        <v>-1</v>
      </c>
      <c r="AE1094" s="108">
        <f t="shared" si="959"/>
        <v>-1</v>
      </c>
      <c r="AF1094" s="108">
        <f t="shared" si="960"/>
        <v>-1</v>
      </c>
      <c r="AG1094" s="108">
        <f t="shared" si="961"/>
        <v>-1</v>
      </c>
      <c r="AH1094" s="108">
        <f t="shared" si="962"/>
        <v>-1</v>
      </c>
      <c r="AI1094" s="108">
        <f t="shared" si="963"/>
        <v>-1</v>
      </c>
      <c r="AJ1094" s="108">
        <f t="shared" si="964"/>
        <v>-1</v>
      </c>
      <c r="AK1094" s="108">
        <f t="shared" si="965"/>
        <v>-1</v>
      </c>
      <c r="AL1094" s="108">
        <f t="shared" si="966"/>
        <v>-1</v>
      </c>
    </row>
    <row r="1095" spans="3:38" x14ac:dyDescent="0.55000000000000004">
      <c r="C1095" s="104" t="str">
        <f>$V$89</f>
        <v>-</v>
      </c>
      <c r="D1095" s="108">
        <f t="shared" ref="D1095:S1095" si="1002">D89</f>
        <v>0</v>
      </c>
      <c r="E1095" s="108">
        <f t="shared" si="1002"/>
        <v>0</v>
      </c>
      <c r="F1095" s="108">
        <f t="shared" si="1002"/>
        <v>0</v>
      </c>
      <c r="G1095" s="108">
        <f t="shared" si="1002"/>
        <v>0</v>
      </c>
      <c r="H1095" s="108">
        <f t="shared" si="1002"/>
        <v>0</v>
      </c>
      <c r="I1095" s="108">
        <f t="shared" si="1002"/>
        <v>0</v>
      </c>
      <c r="J1095" s="108">
        <f t="shared" si="1002"/>
        <v>0</v>
      </c>
      <c r="K1095" s="108">
        <f t="shared" si="1002"/>
        <v>0</v>
      </c>
      <c r="L1095" s="108">
        <f t="shared" si="1002"/>
        <v>0</v>
      </c>
      <c r="M1095" s="108">
        <f t="shared" si="1002"/>
        <v>0</v>
      </c>
      <c r="N1095" s="108">
        <f t="shared" si="1002"/>
        <v>0</v>
      </c>
      <c r="O1095" s="108">
        <f t="shared" si="1002"/>
        <v>0</v>
      </c>
      <c r="P1095" s="108">
        <f t="shared" si="1002"/>
        <v>0</v>
      </c>
      <c r="Q1095" s="108">
        <f t="shared" si="1002"/>
        <v>0</v>
      </c>
      <c r="R1095" s="108">
        <f t="shared" si="1002"/>
        <v>0</v>
      </c>
      <c r="S1095" s="108">
        <f t="shared" si="1002"/>
        <v>0</v>
      </c>
      <c r="T1095" s="28" t="s">
        <v>26</v>
      </c>
      <c r="V1095" s="104" t="str">
        <f>$V$89</f>
        <v>-</v>
      </c>
      <c r="W1095" s="108">
        <f t="shared" si="951"/>
        <v>-1</v>
      </c>
      <c r="X1095" s="108">
        <f t="shared" si="952"/>
        <v>-1</v>
      </c>
      <c r="Y1095" s="108">
        <f t="shared" si="953"/>
        <v>-1</v>
      </c>
      <c r="Z1095" s="108">
        <f t="shared" si="954"/>
        <v>-1</v>
      </c>
      <c r="AA1095" s="108">
        <f t="shared" si="955"/>
        <v>-1</v>
      </c>
      <c r="AB1095" s="108">
        <f t="shared" si="956"/>
        <v>-1</v>
      </c>
      <c r="AC1095" s="108">
        <f t="shared" si="957"/>
        <v>-1</v>
      </c>
      <c r="AD1095" s="108">
        <f t="shared" si="958"/>
        <v>-1</v>
      </c>
      <c r="AE1095" s="108">
        <f t="shared" si="959"/>
        <v>-1</v>
      </c>
      <c r="AF1095" s="108">
        <f t="shared" si="960"/>
        <v>-1</v>
      </c>
      <c r="AG1095" s="108">
        <f t="shared" si="961"/>
        <v>-1</v>
      </c>
      <c r="AH1095" s="108">
        <f t="shared" si="962"/>
        <v>-1</v>
      </c>
      <c r="AI1095" s="108">
        <f t="shared" si="963"/>
        <v>-1</v>
      </c>
      <c r="AJ1095" s="108">
        <f t="shared" si="964"/>
        <v>-1</v>
      </c>
      <c r="AK1095" s="108">
        <f t="shared" si="965"/>
        <v>-1</v>
      </c>
      <c r="AL1095" s="108">
        <f t="shared" si="966"/>
        <v>-1</v>
      </c>
    </row>
    <row r="1096" spans="3:38" x14ac:dyDescent="0.55000000000000004">
      <c r="C1096" s="104" t="str">
        <f>$V$90</f>
        <v>-</v>
      </c>
      <c r="D1096" s="108">
        <f t="shared" ref="D1096:S1096" si="1003">D90</f>
        <v>0</v>
      </c>
      <c r="E1096" s="108">
        <f t="shared" si="1003"/>
        <v>0</v>
      </c>
      <c r="F1096" s="108">
        <f t="shared" si="1003"/>
        <v>0</v>
      </c>
      <c r="G1096" s="108">
        <f t="shared" si="1003"/>
        <v>0</v>
      </c>
      <c r="H1096" s="108">
        <f t="shared" si="1003"/>
        <v>0</v>
      </c>
      <c r="I1096" s="108">
        <f t="shared" si="1003"/>
        <v>0</v>
      </c>
      <c r="J1096" s="108">
        <f t="shared" si="1003"/>
        <v>0</v>
      </c>
      <c r="K1096" s="108">
        <f t="shared" si="1003"/>
        <v>0</v>
      </c>
      <c r="L1096" s="108">
        <f t="shared" si="1003"/>
        <v>0</v>
      </c>
      <c r="M1096" s="108">
        <f t="shared" si="1003"/>
        <v>0</v>
      </c>
      <c r="N1096" s="108">
        <f t="shared" si="1003"/>
        <v>0</v>
      </c>
      <c r="O1096" s="108">
        <f t="shared" si="1003"/>
        <v>0</v>
      </c>
      <c r="P1096" s="108">
        <f t="shared" si="1003"/>
        <v>0</v>
      </c>
      <c r="Q1096" s="108">
        <f t="shared" si="1003"/>
        <v>0</v>
      </c>
      <c r="R1096" s="108">
        <f t="shared" si="1003"/>
        <v>0</v>
      </c>
      <c r="S1096" s="108">
        <f t="shared" si="1003"/>
        <v>0</v>
      </c>
      <c r="T1096" s="28" t="s">
        <v>26</v>
      </c>
      <c r="V1096" s="104" t="str">
        <f>$V$90</f>
        <v>-</v>
      </c>
      <c r="W1096" s="108">
        <f t="shared" si="951"/>
        <v>-1</v>
      </c>
      <c r="X1096" s="108">
        <f t="shared" si="952"/>
        <v>-1</v>
      </c>
      <c r="Y1096" s="108">
        <f t="shared" si="953"/>
        <v>-1</v>
      </c>
      <c r="Z1096" s="108">
        <f t="shared" si="954"/>
        <v>-1</v>
      </c>
      <c r="AA1096" s="108">
        <f t="shared" si="955"/>
        <v>-1</v>
      </c>
      <c r="AB1096" s="108">
        <f t="shared" si="956"/>
        <v>-1</v>
      </c>
      <c r="AC1096" s="108">
        <f t="shared" si="957"/>
        <v>-1</v>
      </c>
      <c r="AD1096" s="108">
        <f t="shared" si="958"/>
        <v>-1</v>
      </c>
      <c r="AE1096" s="108">
        <f t="shared" si="959"/>
        <v>-1</v>
      </c>
      <c r="AF1096" s="108">
        <f t="shared" si="960"/>
        <v>-1</v>
      </c>
      <c r="AG1096" s="108">
        <f t="shared" si="961"/>
        <v>-1</v>
      </c>
      <c r="AH1096" s="108">
        <f t="shared" si="962"/>
        <v>-1</v>
      </c>
      <c r="AI1096" s="108">
        <f t="shared" si="963"/>
        <v>-1</v>
      </c>
      <c r="AJ1096" s="108">
        <f t="shared" si="964"/>
        <v>-1</v>
      </c>
      <c r="AK1096" s="108">
        <f t="shared" si="965"/>
        <v>-1</v>
      </c>
      <c r="AL1096" s="108">
        <f t="shared" si="966"/>
        <v>-1</v>
      </c>
    </row>
    <row r="1097" spans="3:38" x14ac:dyDescent="0.55000000000000004">
      <c r="C1097" s="104" t="str">
        <f>$V$91</f>
        <v>-</v>
      </c>
      <c r="D1097" s="108">
        <f t="shared" ref="D1097:S1097" si="1004">D91</f>
        <v>0</v>
      </c>
      <c r="E1097" s="108">
        <f t="shared" si="1004"/>
        <v>0</v>
      </c>
      <c r="F1097" s="108">
        <f t="shared" si="1004"/>
        <v>0</v>
      </c>
      <c r="G1097" s="108">
        <f t="shared" si="1004"/>
        <v>0</v>
      </c>
      <c r="H1097" s="108">
        <f t="shared" si="1004"/>
        <v>0</v>
      </c>
      <c r="I1097" s="108">
        <f t="shared" si="1004"/>
        <v>0</v>
      </c>
      <c r="J1097" s="108">
        <f t="shared" si="1004"/>
        <v>0</v>
      </c>
      <c r="K1097" s="108">
        <f t="shared" si="1004"/>
        <v>0</v>
      </c>
      <c r="L1097" s="108">
        <f t="shared" si="1004"/>
        <v>0</v>
      </c>
      <c r="M1097" s="108">
        <f t="shared" si="1004"/>
        <v>0</v>
      </c>
      <c r="N1097" s="108">
        <f t="shared" si="1004"/>
        <v>0</v>
      </c>
      <c r="O1097" s="108">
        <f t="shared" si="1004"/>
        <v>0</v>
      </c>
      <c r="P1097" s="108">
        <f t="shared" si="1004"/>
        <v>0</v>
      </c>
      <c r="Q1097" s="108">
        <f t="shared" si="1004"/>
        <v>0</v>
      </c>
      <c r="R1097" s="108">
        <f t="shared" si="1004"/>
        <v>0</v>
      </c>
      <c r="S1097" s="108">
        <f t="shared" si="1004"/>
        <v>0</v>
      </c>
      <c r="T1097" s="28" t="s">
        <v>26</v>
      </c>
      <c r="V1097" s="104" t="str">
        <f>$V$91</f>
        <v>-</v>
      </c>
      <c r="W1097" s="108">
        <f t="shared" si="951"/>
        <v>-1</v>
      </c>
      <c r="X1097" s="108">
        <f t="shared" si="952"/>
        <v>-1</v>
      </c>
      <c r="Y1097" s="108">
        <f t="shared" si="953"/>
        <v>-1</v>
      </c>
      <c r="Z1097" s="108">
        <f t="shared" si="954"/>
        <v>-1</v>
      </c>
      <c r="AA1097" s="108">
        <f t="shared" si="955"/>
        <v>-1</v>
      </c>
      <c r="AB1097" s="108">
        <f t="shared" si="956"/>
        <v>-1</v>
      </c>
      <c r="AC1097" s="108">
        <f t="shared" si="957"/>
        <v>-1</v>
      </c>
      <c r="AD1097" s="108">
        <f t="shared" si="958"/>
        <v>-1</v>
      </c>
      <c r="AE1097" s="108">
        <f t="shared" si="959"/>
        <v>-1</v>
      </c>
      <c r="AF1097" s="108">
        <f t="shared" si="960"/>
        <v>-1</v>
      </c>
      <c r="AG1097" s="108">
        <f t="shared" si="961"/>
        <v>-1</v>
      </c>
      <c r="AH1097" s="108">
        <f t="shared" si="962"/>
        <v>-1</v>
      </c>
      <c r="AI1097" s="108">
        <f t="shared" si="963"/>
        <v>-1</v>
      </c>
      <c r="AJ1097" s="108">
        <f t="shared" si="964"/>
        <v>-1</v>
      </c>
      <c r="AK1097" s="108">
        <f t="shared" si="965"/>
        <v>-1</v>
      </c>
      <c r="AL1097" s="108">
        <f t="shared" si="966"/>
        <v>-1</v>
      </c>
    </row>
    <row r="1098" spans="3:38" x14ac:dyDescent="0.55000000000000004">
      <c r="C1098" s="104" t="str">
        <f>$V$92</f>
        <v>-</v>
      </c>
      <c r="D1098" s="108">
        <f t="shared" ref="D1098:S1098" si="1005">D92</f>
        <v>0</v>
      </c>
      <c r="E1098" s="108">
        <f t="shared" si="1005"/>
        <v>0</v>
      </c>
      <c r="F1098" s="108">
        <f t="shared" si="1005"/>
        <v>0</v>
      </c>
      <c r="G1098" s="108">
        <f t="shared" si="1005"/>
        <v>0</v>
      </c>
      <c r="H1098" s="108">
        <f t="shared" si="1005"/>
        <v>0</v>
      </c>
      <c r="I1098" s="108">
        <f t="shared" si="1005"/>
        <v>0</v>
      </c>
      <c r="J1098" s="108">
        <f t="shared" si="1005"/>
        <v>0</v>
      </c>
      <c r="K1098" s="108">
        <f t="shared" si="1005"/>
        <v>0</v>
      </c>
      <c r="L1098" s="108">
        <f t="shared" si="1005"/>
        <v>0</v>
      </c>
      <c r="M1098" s="108">
        <f t="shared" si="1005"/>
        <v>0</v>
      </c>
      <c r="N1098" s="108">
        <f t="shared" si="1005"/>
        <v>0</v>
      </c>
      <c r="O1098" s="108">
        <f t="shared" si="1005"/>
        <v>0</v>
      </c>
      <c r="P1098" s="108">
        <f t="shared" si="1005"/>
        <v>0</v>
      </c>
      <c r="Q1098" s="108">
        <f t="shared" si="1005"/>
        <v>0</v>
      </c>
      <c r="R1098" s="108">
        <f t="shared" si="1005"/>
        <v>0</v>
      </c>
      <c r="S1098" s="108">
        <f t="shared" si="1005"/>
        <v>0</v>
      </c>
      <c r="T1098" s="28" t="s">
        <v>26</v>
      </c>
      <c r="V1098" s="104" t="str">
        <f>$V$92</f>
        <v>-</v>
      </c>
      <c r="W1098" s="108">
        <f t="shared" si="951"/>
        <v>-1</v>
      </c>
      <c r="X1098" s="108">
        <f t="shared" si="952"/>
        <v>-1</v>
      </c>
      <c r="Y1098" s="108">
        <f t="shared" si="953"/>
        <v>-1</v>
      </c>
      <c r="Z1098" s="108">
        <f t="shared" si="954"/>
        <v>-1</v>
      </c>
      <c r="AA1098" s="108">
        <f t="shared" si="955"/>
        <v>-1</v>
      </c>
      <c r="AB1098" s="108">
        <f t="shared" si="956"/>
        <v>-1</v>
      </c>
      <c r="AC1098" s="108">
        <f t="shared" si="957"/>
        <v>-1</v>
      </c>
      <c r="AD1098" s="108">
        <f t="shared" si="958"/>
        <v>-1</v>
      </c>
      <c r="AE1098" s="108">
        <f t="shared" si="959"/>
        <v>-1</v>
      </c>
      <c r="AF1098" s="108">
        <f t="shared" si="960"/>
        <v>-1</v>
      </c>
      <c r="AG1098" s="108">
        <f t="shared" si="961"/>
        <v>-1</v>
      </c>
      <c r="AH1098" s="108">
        <f t="shared" si="962"/>
        <v>-1</v>
      </c>
      <c r="AI1098" s="108">
        <f t="shared" si="963"/>
        <v>-1</v>
      </c>
      <c r="AJ1098" s="108">
        <f t="shared" si="964"/>
        <v>-1</v>
      </c>
      <c r="AK1098" s="108">
        <f t="shared" si="965"/>
        <v>-1</v>
      </c>
      <c r="AL1098" s="108">
        <f t="shared" si="966"/>
        <v>-1</v>
      </c>
    </row>
  </sheetData>
  <conditionalFormatting sqref="C99:S138">
    <cfRule type="cellIs" dxfId="160" priority="1" operator="equal">
      <formula>0</formula>
    </cfRule>
    <cfRule type="cellIs" dxfId="159" priority="2" operator="equal">
      <formula>1</formula>
    </cfRule>
  </conditionalFormatting>
  <conditionalFormatting sqref="D53:S92">
    <cfRule type="cellIs" dxfId="158" priority="3" operator="equal">
      <formula>0</formula>
    </cfRule>
    <cfRule type="cellIs" dxfId="157" priority="4" operator="equal">
      <formula>1</formula>
    </cfRule>
  </conditionalFormatting>
  <conditionalFormatting sqref="W98:AK137">
    <cfRule type="cellIs" dxfId="156" priority="98" operator="equal">
      <formula>1</formula>
    </cfRule>
    <cfRule type="cellIs" dxfId="155" priority="99" operator="equal">
      <formula>0</formula>
    </cfRule>
  </conditionalFormatting>
  <conditionalFormatting sqref="W34:AM48">
    <cfRule type="cellIs" dxfId="154" priority="101" operator="notEqual">
      <formula>0</formula>
    </cfRule>
    <cfRule type="cellIs" dxfId="153" priority="102" operator="equal">
      <formula>0</formula>
    </cfRule>
    <cfRule type="colorScale" priority="103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  <cfRule type="expression" dxfId="152" priority="393" stopIfTrue="1">
      <formula>W$93&lt;SUM(W$34:W$48)</formula>
    </cfRule>
  </conditionalFormatting>
  <conditionalFormatting sqref="W53:AM92">
    <cfRule type="cellIs" dxfId="151" priority="96" operator="equal">
      <formula>1</formula>
    </cfRule>
    <cfRule type="cellIs" dxfId="150" priority="97" operator="equal">
      <formula>0</formula>
    </cfRule>
  </conditionalFormatting>
  <conditionalFormatting sqref="AR34:BH633">
    <cfRule type="cellIs" dxfId="149" priority="5" operator="equal">
      <formula>0</formula>
    </cfRule>
    <cfRule type="cellIs" dxfId="148" priority="6" operator="equal">
      <formula>1</formula>
    </cfRule>
  </conditionalFormatting>
  <conditionalFormatting sqref="BL34:CB73">
    <cfRule type="cellIs" dxfId="147" priority="345" stopIfTrue="1" operator="equal">
      <formula>1</formula>
    </cfRule>
    <cfRule type="expression" dxfId="146" priority="346">
      <formula>W53=0</formula>
    </cfRule>
    <cfRule type="expression" dxfId="145" priority="347">
      <formula>W53=1</formula>
    </cfRule>
  </conditionalFormatting>
  <conditionalFormatting sqref="BL77:CB116">
    <cfRule type="expression" dxfId="144" priority="350">
      <formula>W53=1</formula>
    </cfRule>
    <cfRule type="expression" dxfId="143" priority="349">
      <formula>W53=0</formula>
    </cfRule>
    <cfRule type="cellIs" dxfId="142" priority="348" stopIfTrue="1" operator="equal">
      <formula>1</formula>
    </cfRule>
  </conditionalFormatting>
  <conditionalFormatting sqref="BL121:CB160">
    <cfRule type="expression" dxfId="141" priority="353">
      <formula>W53=1</formula>
    </cfRule>
    <cfRule type="expression" dxfId="140" priority="352">
      <formula>W53=0</formula>
    </cfRule>
    <cfRule type="cellIs" dxfId="139" priority="351" stopIfTrue="1" operator="equal">
      <formula>1</formula>
    </cfRule>
  </conditionalFormatting>
  <conditionalFormatting sqref="BL165:CB204">
    <cfRule type="expression" dxfId="138" priority="356">
      <formula>W53=1</formula>
    </cfRule>
    <cfRule type="expression" dxfId="137" priority="355">
      <formula>W53=0</formula>
    </cfRule>
    <cfRule type="cellIs" dxfId="136" priority="354" stopIfTrue="1" operator="equal">
      <formula>1</formula>
    </cfRule>
  </conditionalFormatting>
  <conditionalFormatting sqref="BL209:CB248">
    <cfRule type="cellIs" dxfId="135" priority="360" stopIfTrue="1" operator="equal">
      <formula>1</formula>
    </cfRule>
    <cfRule type="expression" dxfId="134" priority="362">
      <formula>W53=1</formula>
    </cfRule>
    <cfRule type="expression" dxfId="133" priority="361">
      <formula>W53=0</formula>
    </cfRule>
  </conditionalFormatting>
  <conditionalFormatting sqref="BL253:CB292">
    <cfRule type="cellIs" dxfId="132" priority="363" stopIfTrue="1" operator="equal">
      <formula>1</formula>
    </cfRule>
    <cfRule type="expression" dxfId="131" priority="364">
      <formula>W53=0</formula>
    </cfRule>
    <cfRule type="expression" dxfId="130" priority="365">
      <formula>W53=1</formula>
    </cfRule>
  </conditionalFormatting>
  <conditionalFormatting sqref="BL297:CB336">
    <cfRule type="expression" dxfId="129" priority="368">
      <formula>W53=1</formula>
    </cfRule>
    <cfRule type="expression" dxfId="128" priority="367">
      <formula>W53=0</formula>
    </cfRule>
    <cfRule type="cellIs" dxfId="127" priority="366" stopIfTrue="1" operator="equal">
      <formula>1</formula>
    </cfRule>
  </conditionalFormatting>
  <conditionalFormatting sqref="BL341:CB380">
    <cfRule type="expression" dxfId="126" priority="371">
      <formula>W53=1</formula>
    </cfRule>
    <cfRule type="expression" dxfId="125" priority="370">
      <formula>W53=0</formula>
    </cfRule>
    <cfRule type="cellIs" dxfId="124" priority="369" stopIfTrue="1" operator="equal">
      <formula>1</formula>
    </cfRule>
  </conditionalFormatting>
  <conditionalFormatting sqref="BL385:CB424">
    <cfRule type="cellIs" dxfId="123" priority="372" stopIfTrue="1" operator="equal">
      <formula>1</formula>
    </cfRule>
    <cfRule type="expression" dxfId="122" priority="374">
      <formula>W53=1</formula>
    </cfRule>
    <cfRule type="expression" dxfId="121" priority="373">
      <formula>W53=0</formula>
    </cfRule>
  </conditionalFormatting>
  <conditionalFormatting sqref="BL429:CB468">
    <cfRule type="expression" dxfId="120" priority="376">
      <formula>W53=0</formula>
    </cfRule>
    <cfRule type="cellIs" dxfId="119" priority="375" stopIfTrue="1" operator="equal">
      <formula>1</formula>
    </cfRule>
    <cfRule type="expression" dxfId="118" priority="377">
      <formula>W53=1</formula>
    </cfRule>
  </conditionalFormatting>
  <conditionalFormatting sqref="BL473:CB512">
    <cfRule type="cellIs" dxfId="117" priority="378" stopIfTrue="1" operator="equal">
      <formula>1</formula>
    </cfRule>
    <cfRule type="expression" dxfId="116" priority="379">
      <formula>W53=0</formula>
    </cfRule>
    <cfRule type="expression" dxfId="115" priority="380">
      <formula>W53=1</formula>
    </cfRule>
  </conditionalFormatting>
  <conditionalFormatting sqref="BL517:CB556">
    <cfRule type="cellIs" dxfId="114" priority="381" stopIfTrue="1" operator="equal">
      <formula>1</formula>
    </cfRule>
    <cfRule type="expression" dxfId="113" priority="382">
      <formula>W53=0</formula>
    </cfRule>
    <cfRule type="expression" dxfId="112" priority="383">
      <formula>W53=1</formula>
    </cfRule>
  </conditionalFormatting>
  <conditionalFormatting sqref="BL561:CB600">
    <cfRule type="cellIs" dxfId="111" priority="384" stopIfTrue="1" operator="equal">
      <formula>1</formula>
    </cfRule>
    <cfRule type="expression" dxfId="110" priority="385">
      <formula>W53=0</formula>
    </cfRule>
    <cfRule type="expression" dxfId="109" priority="386">
      <formula>W53=1</formula>
    </cfRule>
  </conditionalFormatting>
  <conditionalFormatting sqref="BL605:CB644">
    <cfRule type="expression" dxfId="108" priority="388">
      <formula>W53=0</formula>
    </cfRule>
    <cfRule type="cellIs" dxfId="107" priority="387" stopIfTrue="1" operator="equal">
      <formula>1</formula>
    </cfRule>
    <cfRule type="expression" dxfId="106" priority="389">
      <formula>W53=1</formula>
    </cfRule>
  </conditionalFormatting>
  <conditionalFormatting sqref="BL649:CB688">
    <cfRule type="cellIs" dxfId="105" priority="390" stopIfTrue="1" operator="equal">
      <formula>1</formula>
    </cfRule>
    <cfRule type="expression" dxfId="104" priority="391">
      <formula>W53=0</formula>
    </cfRule>
    <cfRule type="expression" dxfId="103" priority="392">
      <formula>W53=1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A7C2-8AEA-4AEB-B983-3903642031C5}">
  <sheetPr>
    <tabColor rgb="FFFF0000"/>
  </sheetPr>
  <dimension ref="A2:S42"/>
  <sheetViews>
    <sheetView zoomScale="55" zoomScaleNormal="55" workbookViewId="0">
      <selection activeCell="V19" sqref="V19"/>
    </sheetView>
  </sheetViews>
  <sheetFormatPr baseColWidth="10" defaultRowHeight="14.4" x14ac:dyDescent="0.55000000000000004"/>
  <sheetData>
    <row r="2" spans="1:19" x14ac:dyDescent="0.55000000000000004"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142</v>
      </c>
      <c r="Q2" t="s">
        <v>143</v>
      </c>
      <c r="R2" t="s">
        <v>144</v>
      </c>
      <c r="S2" t="s">
        <v>145</v>
      </c>
    </row>
    <row r="3" spans="1:19" x14ac:dyDescent="0.55000000000000004">
      <c r="A3">
        <v>1</v>
      </c>
      <c r="B3" t="s">
        <v>46</v>
      </c>
      <c r="C3" s="54" t="str" cm="1">
        <f t="array" ref="C3">IF(PER!W53=0,"",IF((PER!AR34+PER!AR74+PER!AR114+PER!AR154+PER!AR194+PER!AR234+PER!AR274+PER!AR314+PER!AR354+PER!AR394+PER!AR434+PER!AR474+PER!AR514+PER!AR554+PER!AR594)=0,"",_xlfn.IFS(PER!AR34=1,PER!$V$34,PER!AR74=1,PER!$V$35,PER!AR114=1,PER!$V$36,PER!AR154=1,PER!$V$37,PER!AR194=1,PER!$V$38,PER!AR234=1,PER!$V$39,PER!AR274=1,PER!$V$40,PER!AR314=1,PER!$V$41,PER!AR354=1,PER!$V$42,PER!AR394=1,PER!$V$43,PER!AR434=1,PER!$V$44,PER!AR474=1,PER!$V$45,PER!AR514=1,PER!$V$46,PER!AR554=1,PER!$V$47,PER!AR594=1,PER!$V$48)))</f>
        <v>Entry</v>
      </c>
      <c r="D3" s="54" t="str" cm="1">
        <f t="array" ref="D3">IF(PER!X53=0,"",IF((PER!AS34+PER!AS74+PER!AS114+PER!AS154+PER!AS194+PER!AS234+PER!AS274+PER!AS314+PER!AS354+PER!AS394+PER!AS434+PER!AS474+PER!AS514+PER!AS554+PER!AS594)=0,"",_xlfn.IFS(PER!AS34=1,PER!$V$34,PER!AS74=1,PER!$V$35,PER!AS114=1,PER!$V$36,PER!AS154=1,PER!$V$37,PER!AS194=1,PER!$V$38,PER!AS234=1,PER!$V$39,PER!AS274=1,PER!$V$40,PER!AS314=1,PER!$V$41,PER!AS354=1,PER!$V$42,PER!AS394=1,PER!$V$43,PER!AS434=1,PER!$V$44,PER!AS474=1,PER!$V$45,PER!AS514=1,PER!$V$46,PER!AS554=1,PER!$V$47,PER!AS594=1,PER!$V$48)))</f>
        <v>Set up</v>
      </c>
      <c r="E3" s="54" t="str" cm="1">
        <f t="array" ref="E3">IF(PER!Y53=0,"",IF((PER!AT34+PER!AT74+PER!AT114+PER!AT154+PER!AT194+PER!AT234+PER!AT274+PER!AT314+PER!AT354+PER!AT394+PER!AT434+PER!AT474+PER!AT514+PER!AT554+PER!AT594)=0,"",_xlfn.IFS(PER!AT34=1,PER!$V$34,PER!AT74=1,PER!$V$35,PER!AT114=1,PER!$V$36,PER!AT154=1,PER!$V$37,PER!AT194=1,PER!$V$38,PER!AT234=1,PER!$V$39,PER!AT274=1,PER!$V$40,PER!AT314=1,PER!$V$41,PER!AT354=1,PER!$V$42,PER!AT394=1,PER!$V$43,PER!AT434=1,PER!$V$44,PER!AT474=1,PER!$V$45,PER!AT514=1,PER!$V$46,PER!AT554=1,PER!$V$47,PER!AT594=1,PER!$V$48)))</f>
        <v>Bar</v>
      </c>
      <c r="F3" s="54" t="str" cm="1">
        <f t="array" ref="F3">IF(PER!Z53=0,"",IF((PER!AU34+PER!AU74+PER!AU114+PER!AU154+PER!AU194+PER!AU234+PER!AU274+PER!AU314+PER!AU354+PER!AU394+PER!AU434+PER!AU474+PER!AU514+PER!AU554+PER!AU594)=0,"",_xlfn.IFS(PER!AU34=1,PER!$V$34,PER!AU74=1,PER!$V$35,PER!AU114=1,PER!$V$36,PER!AU154=1,PER!$V$37,PER!AU194=1,PER!$V$38,PER!AU234=1,PER!$V$39,PER!AU274=1,PER!$V$40,PER!AU314=1,PER!$V$41,PER!AU354=1,PER!$V$42,PER!AU394=1,PER!$V$43,PER!AU434=1,PER!$V$44,PER!AU474=1,PER!$V$45,PER!AU514=1,PER!$V$46,PER!AU554=1,PER!$V$47,PER!AU594=1,PER!$V$48)))</f>
        <v>Entry</v>
      </c>
      <c r="G3" s="54" t="str" cm="1">
        <f t="array" ref="G3">IF(PER!AA53=0,"",IF((PER!AV34+PER!AV74+PER!AV114+PER!AV154+PER!AV194+PER!AV234+PER!AV274+PER!AV314+PER!AV354+PER!AV394+PER!AV434+PER!AV474+PER!AV514+PER!AV554+PER!AV594)=0,"",_xlfn.IFS(PER!AV34=1,PER!$V$34,PER!AV74=1,PER!$V$35,PER!AV114=1,PER!$V$36,PER!AV154=1,PER!$V$37,PER!AV194=1,PER!$V$38,PER!AV234=1,PER!$V$39,PER!AV274=1,PER!$V$40,PER!AV314=1,PER!$V$41,PER!AV354=1,PER!$V$42,PER!AV394=1,PER!$V$43,PER!AV434=1,PER!$V$44,PER!AV474=1,PER!$V$45,PER!AV514=1,PER!$V$46,PER!AV554=1,PER!$V$47,PER!AV594=1,PER!$V$48)))</f>
        <v>Set up</v>
      </c>
      <c r="H3" s="54" t="str" cm="1">
        <f t="array" ref="H3">IF(PER!AB53=0,"",IF((PER!AW34+PER!AW74+PER!AW114+PER!AW154+PER!AW194+PER!AW234+PER!AW274+PER!AW314+PER!AW354+PER!AW394+PER!AW434+PER!AW474+PER!AW514+PER!AW554+PER!AW594)=0,"",_xlfn.IFS(PER!AW34=1,PER!$V$34,PER!AW74=1,PER!$V$35,PER!AW114=1,PER!$V$36,PER!AW154=1,PER!$V$37,PER!AW194=1,PER!$V$38,PER!AW234=1,PER!$V$39,PER!AW274=1,PER!$V$40,PER!AW314=1,PER!$V$41,PER!AW354=1,PER!$V$42,PER!AW394=1,PER!$V$43,PER!AW434=1,PER!$V$44,PER!AW474=1,PER!$V$45,PER!AW514=1,PER!$V$46,PER!AW554=1,PER!$V$47,PER!AW594=1,PER!$V$48)))</f>
        <v>Rez</v>
      </c>
      <c r="I3" s="54" t="str" cm="1">
        <f t="array" ref="I3">IF(PER!AC53=0,"",IF((PER!AX34+PER!AX74+PER!AX114+PER!AX154+PER!AX194+PER!AX234+PER!AX274+PER!AX314+PER!AX354+PER!AX394+PER!AX434+PER!AX474+PER!AX514+PER!AX554+PER!AX594)=0,"",_xlfn.IFS(PER!AX34=1,PER!$V$34,PER!AX74=1,PER!$V$35,PER!AX114=1,PER!$V$36,PER!AX154=1,PER!$V$37,PER!AX194=1,PER!$V$38,PER!AX234=1,PER!$V$39,PER!AX274=1,PER!$V$40,PER!AX314=1,PER!$V$41,PER!AX354=1,PER!$V$42,PER!AX394=1,PER!$V$43,PER!AX434=1,PER!$V$44,PER!AX474=1,PER!$V$45,PER!AX514=1,PER!$V$46,PER!AX554=1,PER!$V$47,PER!AX594=1,PER!$V$48)))</f>
        <v>Set up</v>
      </c>
      <c r="J3" s="54" t="str" cm="1">
        <f t="array" ref="J3">IF(PER!AD53=0,"",IF((PER!AY34+PER!AY74+PER!AY114+PER!AY154+PER!AY194+PER!AY234+PER!AY274+PER!AY314+PER!AY354+PER!AY394+PER!AY434+PER!AY474+PER!AY514+PER!AY554+PER!AY594)=0,"",_xlfn.IFS(PER!AY34=1,PER!$V$34,PER!AY74=1,PER!$V$35,PER!AY114=1,PER!$V$36,PER!AY154=1,PER!$V$37,PER!AY194=1,PER!$V$38,PER!AY234=1,PER!$V$39,PER!AY274=1,PER!$V$40,PER!AY314=1,PER!$V$41,PER!AY354=1,PER!$V$42,PER!AY394=1,PER!$V$43,PER!AY434=1,PER!$V$44,PER!AY474=1,PER!$V$45,PER!AY514=1,PER!$V$46,PER!AY554=1,PER!$V$47,PER!AY594=1,PER!$V$48)))</f>
        <v>Rez</v>
      </c>
      <c r="K3" s="54" t="str" cm="1">
        <f t="array" ref="K3">IF(PER!AE53=0,"",IF((PER!AZ34+PER!AZ74+PER!AZ114+PER!AZ154+PER!AZ194+PER!AZ234+PER!AZ274+PER!AZ314+PER!AZ354+PER!AZ394+PER!AZ434+PER!AZ474+PER!AZ514+PER!AZ554+PER!AZ594)=0,"",_xlfn.IFS(PER!AZ34=1,PER!$V$34,PER!AZ74=1,PER!$V$35,PER!AZ114=1,PER!$V$36,PER!AZ154=1,PER!$V$37,PER!AZ194=1,PER!$V$38,PER!AZ234=1,PER!$V$39,PER!AZ274=1,PER!$V$40,PER!AZ314=1,PER!$V$41,PER!AZ354=1,PER!$V$42,PER!AZ394=1,PER!$V$43,PER!AZ434=1,PER!$V$44,PER!AZ474=1,PER!$V$45,PER!AZ514=1,PER!$V$46,PER!AZ554=1,PER!$V$47,PER!AZ594=1,PER!$V$48)))</f>
        <v>Entry</v>
      </c>
      <c r="L3" s="54" t="str" cm="1">
        <f t="array" ref="L3">IF(PER!AF53=0,"",IF((PER!BA34+PER!BA74+PER!BA114+PER!BA154+PER!BA194+PER!BA234+PER!BA274+PER!BA314+PER!BA354+PER!BA394+PER!BA434+PER!BA474+PER!BA514+PER!BA554+PER!BA594)=0,"",_xlfn.IFS(PER!BA34=1,PER!$V$34,PER!BA74=1,PER!$V$35,PER!BA114=1,PER!$V$36,PER!BA154=1,PER!$V$37,PER!BA194=1,PER!$V$38,PER!BA234=1,PER!$V$39,PER!BA274=1,PER!$V$40,PER!BA314=1,PER!$V$41,PER!BA354=1,PER!$V$42,PER!BA394=1,PER!$V$43,PER!BA434=1,PER!$V$44,PER!BA474=1,PER!$V$45,PER!BA514=1,PER!$V$46,PER!BA554=1,PER!$V$47,PER!BA594=1,PER!$V$48)))</f>
        <v>Set up</v>
      </c>
      <c r="M3" s="54" t="str" cm="1">
        <f t="array" ref="M3">IF(PER!AG53=0,"",IF((PER!BB34+PER!BB74+PER!BB114+PER!BB154+PER!BB194+PER!BB234+PER!BB274+PER!BB314+PER!BB354+PER!BB394+PER!BB434+PER!BB474+PER!BB514+PER!BB554+PER!BB594)=0,"",_xlfn.IFS(PER!BB34=1,PER!$V$34,PER!BB74=1,PER!$V$35,PER!BB114=1,PER!$V$36,PER!BB154=1,PER!$V$37,PER!BB194=1,PER!$V$38,PER!BB234=1,PER!$V$39,PER!BB274=1,PER!$V$40,PER!BB314=1,PER!$V$41,PER!BB354=1,PER!$V$42,PER!BB394=1,PER!$V$43,PER!BB434=1,PER!$V$44,PER!BB474=1,PER!$V$45,PER!BB514=1,PER!$V$46,PER!BB554=1,PER!$V$47,PER!BB594=1,PER!$V$48)))</f>
        <v>Rez</v>
      </c>
      <c r="N3" s="54" t="str" cm="1">
        <f t="array" ref="N3">IF(PER!AH53=0,"",IF((PER!BC34+PER!BC74+PER!BC114+PER!BC154+PER!BC194+PER!BC234+PER!BC274+PER!BC314+PER!BC354+PER!BC394+PER!BC434+PER!BC474+PER!BC514+PER!BC554+PER!BC594)=0,"",_xlfn.IFS(PER!BC34=1,PER!$V$34,PER!BC74=1,PER!$V$35,PER!BC114=1,PER!$V$36,PER!BC154=1,PER!$V$37,PER!BC194=1,PER!$V$38,PER!BC234=1,PER!$V$39,PER!BC274=1,PER!$V$40,PER!BC314=1,PER!$V$41,PER!BC354=1,PER!$V$42,PER!BC394=1,PER!$V$43,PER!BC434=1,PER!$V$44,PER!BC474=1,PER!$V$45,PER!BC514=1,PER!$V$46,PER!BC554=1,PER!$V$47,PER!BC594=1,PER!$V$48)))</f>
        <v>Bar</v>
      </c>
      <c r="O3" s="54" t="str" cm="1">
        <f t="array" ref="O3">IF(PER!AI53=0,"",IF((PER!BD34+PER!BD74+PER!BD114+PER!BD154+PER!BD194+PER!BD234+PER!BD274+PER!BD314+PER!BD354+PER!BD394+PER!BD434+PER!BD474+PER!BD514+PER!BD554+PER!BD594)=0,"",_xlfn.IFS(PER!BD34=1,PER!$V$34,PER!BD74=1,PER!$V$35,PER!BD114=1,PER!$V$36,PER!BD154=1,PER!$V$37,PER!BD194=1,PER!$V$38,PER!BD234=1,PER!$V$39,PER!BD274=1,PER!$V$40,PER!BD314=1,PER!$V$41,PER!BD354=1,PER!$V$42,PER!BD394=1,PER!$V$43,PER!BD434=1,PER!$V$44,PER!BD474=1,PER!$V$45,PER!BD514=1,PER!$V$46,PER!BD554=1,PER!$V$47,PER!BD594=1,PER!$V$48)))</f>
        <v/>
      </c>
      <c r="P3" s="54" t="str" cm="1">
        <f t="array" ref="P3">IF(PER!AJ53=0,"",IF((PER!BE34+PER!BE74+PER!BE114+PER!BE154+PER!BE194+PER!BE234+PER!BE274+PER!BE314+PER!BE354+PER!BE394+PER!BE434+PER!BE474+PER!BE514+PER!BE554+PER!BE594)=0,"",_xlfn.IFS(PER!BE34=1,PER!$V$34,PER!BE74=1,PER!$V$35,PER!BE114=1,PER!$V$36,PER!BE154=1,PER!$V$37,PER!BE194=1,PER!$V$38,PER!BE234=1,PER!$V$39,PER!BE274=1,PER!$V$40,PER!BE314=1,PER!$V$41,PER!BE354=1,PER!$V$42,PER!BE394=1,PER!$V$43,PER!BE434=1,PER!$V$44,PER!BE474=1,PER!$V$45,PER!BE514=1,PER!$V$46,PER!BE554=1,PER!$V$47,PER!BE594=1,PER!$V$48)))</f>
        <v/>
      </c>
      <c r="Q3" s="54" t="str" cm="1">
        <f t="array" ref="Q3">IF(PER!AK53=0,"",IF((PER!BF34+PER!BF74+PER!BF114+PER!BF154+PER!BF194+PER!BF234+PER!BF274+PER!BF314+PER!BF354+PER!BF394+PER!BF434+PER!BF474+PER!BF514+PER!BF554+PER!BF594)=0,"",_xlfn.IFS(PER!BF34=1,PER!$V$34,PER!BF74=1,PER!$V$35,PER!BF114=1,PER!$V$36,PER!BF154=1,PER!$V$37,PER!BF194=1,PER!$V$38,PER!BF234=1,PER!$V$39,PER!BF274=1,PER!$V$40,PER!BF314=1,PER!$V$41,PER!BF354=1,PER!$V$42,PER!BF394=1,PER!$V$43,PER!BF434=1,PER!$V$44,PER!BF474=1,PER!$V$45,PER!BF514=1,PER!$V$46,PER!BF554=1,PER!$V$47,PER!BF594=1,PER!$V$48)))</f>
        <v/>
      </c>
      <c r="R3" s="54" t="str" cm="1">
        <f t="array" ref="R3">IF(PER!AL53=0,"",IF((PER!BG34+PER!BG74+PER!BG114+PER!BG154+PER!BG194+PER!BG234+PER!BG274+PER!BG314+PER!BG354+PER!BG394+PER!BG434+PER!BG474+PER!BG514+PER!BG554+PER!BG594)=0,"",_xlfn.IFS(PER!BG34=1,PER!$V$34,PER!BG74=1,PER!$V$35,PER!BG114=1,PER!$V$36,PER!BG154=1,PER!$V$37,PER!BG194=1,PER!$V$38,PER!BG234=1,PER!$V$39,PER!BG274=1,PER!$V$40,PER!BG314=1,PER!$V$41,PER!BG354=1,PER!$V$42,PER!BG394=1,PER!$V$43,PER!BG434=1,PER!$V$44,PER!BG474=1,PER!$V$45,PER!BG514=1,PER!$V$46,PER!BG554=1,PER!$V$47,PER!BG594=1,PER!$V$48)))</f>
        <v/>
      </c>
      <c r="S3" s="54" t="str" cm="1">
        <f t="array" ref="S3">IF(PER!AM53=0,"",IF((PER!BH34+PER!BH74+PER!BH114+PER!BH154+PER!BH194+PER!BH234+PER!BH274+PER!BH314+PER!BH354+PER!BH394+PER!BH434+PER!BH474+PER!BH514+PER!BH554+PER!BH594)=0,"",_xlfn.IFS(PER!BH34=1,PER!$V$34,PER!BH74=1,PER!$V$35,PER!BH114=1,PER!$V$36,PER!BH154=1,PER!$V$37,PER!BH194=1,PER!$V$38,PER!BH234=1,PER!$V$39,PER!BH274=1,PER!$V$40,PER!BH314=1,PER!$V$41,PER!BH354=1,PER!$V$42,PER!BH394=1,PER!$V$43,PER!BH434=1,PER!$V$44,PER!BH474=1,PER!$V$45,PER!BH514=1,PER!$V$46,PER!BH554=1,PER!$V$47,PER!BH594=1,PER!$V$48)))</f>
        <v/>
      </c>
    </row>
    <row r="4" spans="1:19" x14ac:dyDescent="0.55000000000000004">
      <c r="A4">
        <v>2</v>
      </c>
      <c r="B4" t="s">
        <v>47</v>
      </c>
      <c r="C4" s="54" t="str" cm="1">
        <f t="array" ref="C4">IF(PER!W54=0,"",IF((PER!AR35+PER!AR75+PER!AR115+PER!AR155+PER!AR195+PER!AR235+PER!AR275+PER!AR315+PER!AR355+PER!AR395+PER!AR435+PER!AR475+PER!AR515+PER!AR555+PER!AR595)=0,"",_xlfn.IFS(PER!AR35=1,PER!$V$34,PER!AR75=1,PER!$V$35,PER!AR115=1,PER!$V$36,PER!AR155=1,PER!$V$37,PER!AR195=1,PER!$V$38,PER!AR235=1,PER!$V$39,PER!AR275=1,PER!$V$40,PER!AR315=1,PER!$V$41,PER!AR355=1,PER!$V$42,PER!AR395=1,PER!$V$43,PER!AR435=1,PER!$V$44,PER!AR475=1,PER!$V$45,PER!AR515=1,PER!$V$46,PER!AR555=1,PER!$V$47,PER!AR595=1,PER!$V$48)))</f>
        <v>C-mix</v>
      </c>
      <c r="D4" s="54" t="str" cm="1">
        <f t="array" ref="D4">IF(PER!X54=0,"",IF((PER!AS35+PER!AS75+PER!AS115+PER!AS155+PER!AS195+PER!AS235+PER!AS275+PER!AS315+PER!AS355+PER!AS395+PER!AS435+PER!AS475+PER!AS515+PER!AS555+PER!AS595)=0,"",_xlfn.IFS(PER!AS35=1,PER!$V$34,PER!AS75=1,PER!$V$35,PER!AS115=1,PER!$V$36,PER!AS155=1,PER!$V$37,PER!AS195=1,PER!$V$38,PER!AS235=1,PER!$V$39,PER!AS275=1,PER!$V$40,PER!AS315=1,PER!$V$41,PER!AS355=1,PER!$V$42,PER!AS395=1,PER!$V$43,PER!AS435=1,PER!$V$44,PER!AS475=1,PER!$V$45,PER!AS515=1,PER!$V$46,PER!AS555=1,PER!$V$47,PER!AS595=1,PER!$V$48)))</f>
        <v>Entry</v>
      </c>
      <c r="E4" s="54" t="str" cm="1">
        <f t="array" ref="E4">IF(PER!Y54=0,"",IF((PER!AT35+PER!AT75+PER!AT115+PER!AT155+PER!AT195+PER!AT235+PER!AT275+PER!AT315+PER!AT355+PER!AT395+PER!AT435+PER!AT475+PER!AT515+PER!AT555+PER!AT595)=0,"",_xlfn.IFS(PER!AT35=1,PER!$V$34,PER!AT75=1,PER!$V$35,PER!AT115=1,PER!$V$36,PER!AT155=1,PER!$V$37,PER!AT195=1,PER!$V$38,PER!AT235=1,PER!$V$39,PER!AT275=1,PER!$V$40,PER!AT315=1,PER!$V$41,PER!AT355=1,PER!$V$42,PER!AT395=1,PER!$V$43,PER!AT435=1,PER!$V$44,PER!AT475=1,PER!$V$45,PER!AT515=1,PER!$V$46,PER!AT555=1,PER!$V$47,PER!AT595=1,PER!$V$48)))</f>
        <v>C-mix</v>
      </c>
      <c r="F4" s="54" t="str" cm="1">
        <f t="array" ref="F4">IF(PER!Z54=0,"",IF((PER!AU35+PER!AU75+PER!AU115+PER!AU155+PER!AU195+PER!AU235+PER!AU275+PER!AU315+PER!AU355+PER!AU395+PER!AU435+PER!AU475+PER!AU515+PER!AU555+PER!AU595)=0,"",_xlfn.IFS(PER!AU35=1,PER!$V$34,PER!AU75=1,PER!$V$35,PER!AU115=1,PER!$V$36,PER!AU155=1,PER!$V$37,PER!AU195=1,PER!$V$38,PER!AU235=1,PER!$V$39,PER!AU275=1,PER!$V$40,PER!AU315=1,PER!$V$41,PER!AU355=1,PER!$V$42,PER!AU395=1,PER!$V$43,PER!AU435=1,PER!$V$44,PER!AU475=1,PER!$V$45,PER!AU515=1,PER!$V$46,PER!AU555=1,PER!$V$47,PER!AU595=1,PER!$V$48)))</f>
        <v>Bar</v>
      </c>
      <c r="G4" s="54" t="str" cm="1">
        <f t="array" ref="G4">IF(PER!AA54=0,"",IF((PER!AV35+PER!AV75+PER!AV115+PER!AV155+PER!AV195+PER!AV235+PER!AV275+PER!AV315+PER!AV355+PER!AV395+PER!AV435+PER!AV475+PER!AV515+PER!AV555+PER!AV595)=0,"",_xlfn.IFS(PER!AV35=1,PER!$V$34,PER!AV75=1,PER!$V$35,PER!AV115=1,PER!$V$36,PER!AV155=1,PER!$V$37,PER!AV195=1,PER!$V$38,PER!AV235=1,PER!$V$39,PER!AV275=1,PER!$V$40,PER!AV315=1,PER!$V$41,PER!AV355=1,PER!$V$42,PER!AV395=1,PER!$V$43,PER!AV435=1,PER!$V$44,PER!AV475=1,PER!$V$45,PER!AV515=1,PER!$V$46,PER!AV555=1,PER!$V$47,PER!AV595=1,PER!$V$48)))</f>
        <v>Level</v>
      </c>
      <c r="H4" s="54" t="str" cm="1">
        <f t="array" ref="H4">IF(PER!AB54=0,"",IF((PER!AW35+PER!AW75+PER!AW115+PER!AW155+PER!AW195+PER!AW235+PER!AW275+PER!AW315+PER!AW355+PER!AW395+PER!AW435+PER!AW475+PER!AW515+PER!AW555+PER!AW595)=0,"",_xlfn.IFS(PER!AW35=1,PER!$V$34,PER!AW75=1,PER!$V$35,PER!AW115=1,PER!$V$36,PER!AW155=1,PER!$V$37,PER!AW195=1,PER!$V$38,PER!AW235=1,PER!$V$39,PER!AW275=1,PER!$V$40,PER!AW315=1,PER!$V$41,PER!AW355=1,PER!$V$42,PER!AW395=1,PER!$V$43,PER!AW435=1,PER!$V$44,PER!AW475=1,PER!$V$45,PER!AW515=1,PER!$V$46,PER!AW555=1,PER!$V$47,PER!AW595=1,PER!$V$48)))</f>
        <v>Bar</v>
      </c>
      <c r="I4" s="54" t="str" cm="1">
        <f t="array" ref="I4">IF(PER!AC54=0,"",IF((PER!AX35+PER!AX75+PER!AX115+PER!AX155+PER!AX195+PER!AX235+PER!AX275+PER!AX315+PER!AX355+PER!AX395+PER!AX435+PER!AX475+PER!AX515+PER!AX555+PER!AX595)=0,"",_xlfn.IFS(PER!AX35=1,PER!$V$34,PER!AX75=1,PER!$V$35,PER!AX115=1,PER!$V$36,PER!AX155=1,PER!$V$37,PER!AX195=1,PER!$V$38,PER!AX235=1,PER!$V$39,PER!AX275=1,PER!$V$40,PER!AX315=1,PER!$V$41,PER!AX355=1,PER!$V$42,PER!AX395=1,PER!$V$43,PER!AX435=1,PER!$V$44,PER!AX475=1,PER!$V$45,PER!AX515=1,PER!$V$46,PER!AX555=1,PER!$V$47,PER!AX595=1,PER!$V$48)))</f>
        <v>Rez</v>
      </c>
      <c r="J4" s="54" t="str" cm="1">
        <f t="array" ref="J4">IF(PER!AD54=0,"",IF((PER!AY35+PER!AY75+PER!AY115+PER!AY155+PER!AY195+PER!AY235+PER!AY275+PER!AY315+PER!AY355+PER!AY395+PER!AY435+PER!AY475+PER!AY515+PER!AY555+PER!AY595)=0,"",_xlfn.IFS(PER!AY35=1,PER!$V$34,PER!AY75=1,PER!$V$35,PER!AY115=1,PER!$V$36,PER!AY155=1,PER!$V$37,PER!AY195=1,PER!$V$38,PER!AY235=1,PER!$V$39,PER!AY275=1,PER!$V$40,PER!AY315=1,PER!$V$41,PER!AY355=1,PER!$V$42,PER!AY395=1,PER!$V$43,PER!AY435=1,PER!$V$44,PER!AY475=1,PER!$V$45,PER!AY515=1,PER!$V$46,PER!AY555=1,PER!$V$47,PER!AY595=1,PER!$V$48)))</f>
        <v>C-mix</v>
      </c>
      <c r="K4" s="54" t="str" cm="1">
        <f t="array" ref="K4">IF(PER!AE54=0,"",IF((PER!AZ35+PER!AZ75+PER!AZ115+PER!AZ155+PER!AZ195+PER!AZ235+PER!AZ275+PER!AZ315+PER!AZ355+PER!AZ395+PER!AZ435+PER!AZ475+PER!AZ515+PER!AZ555+PER!AZ595)=0,"",_xlfn.IFS(PER!AZ35=1,PER!$V$34,PER!AZ75=1,PER!$V$35,PER!AZ115=1,PER!$V$36,PER!AZ155=1,PER!$V$37,PER!AZ195=1,PER!$V$38,PER!AZ235=1,PER!$V$39,PER!AZ275=1,PER!$V$40,PER!AZ315=1,PER!$V$41,PER!AZ355=1,PER!$V$42,PER!AZ395=1,PER!$V$43,PER!AZ435=1,PER!$V$44,PER!AZ475=1,PER!$V$45,PER!AZ515=1,PER!$V$46,PER!AZ555=1,PER!$V$47,PER!AZ595=1,PER!$V$48)))</f>
        <v>Set up</v>
      </c>
      <c r="L4" s="54" t="str" cm="1">
        <f t="array" ref="L4">IF(PER!AF54=0,"",IF((PER!BA35+PER!BA75+PER!BA115+PER!BA155+PER!BA195+PER!BA235+PER!BA275+PER!BA315+PER!BA355+PER!BA395+PER!BA435+PER!BA475+PER!BA515+PER!BA555+PER!BA595)=0,"",_xlfn.IFS(PER!BA35=1,PER!$V$34,PER!BA75=1,PER!$V$35,PER!BA115=1,PER!$V$36,PER!BA155=1,PER!$V$37,PER!BA195=1,PER!$V$38,PER!BA235=1,PER!$V$39,PER!BA275=1,PER!$V$40,PER!BA315=1,PER!$V$41,PER!BA355=1,PER!$V$42,PER!BA395=1,PER!$V$43,PER!BA435=1,PER!$V$44,PER!BA475=1,PER!$V$45,PER!BA515=1,PER!$V$46,PER!BA555=1,PER!$V$47,PER!BA595=1,PER!$V$48)))</f>
        <v>Rez</v>
      </c>
      <c r="M4" s="54" t="str" cm="1">
        <f t="array" ref="M4">IF(PER!AG54=0,"",IF((PER!BB35+PER!BB75+PER!BB115+PER!BB155+PER!BB195+PER!BB235+PER!BB275+PER!BB315+PER!BB355+PER!BB395+PER!BB435+PER!BB475+PER!BB515+PER!BB555+PER!BB595)=0,"",_xlfn.IFS(PER!BB35=1,PER!$V$34,PER!BB75=1,PER!$V$35,PER!BB115=1,PER!$V$36,PER!BB155=1,PER!$V$37,PER!BB195=1,PER!$V$38,PER!BB235=1,PER!$V$39,PER!BB275=1,PER!$V$40,PER!BB315=1,PER!$V$41,PER!BB355=1,PER!$V$42,PER!BB395=1,PER!$V$43,PER!BB435=1,PER!$V$44,PER!BB475=1,PER!$V$45,PER!BB515=1,PER!$V$46,PER!BB555=1,PER!$V$47,PER!BB595=1,PER!$V$48)))</f>
        <v>Bar</v>
      </c>
      <c r="N4" s="54" t="str" cm="1">
        <f t="array" ref="N4">IF(PER!AH54=0,"",IF((PER!BC35+PER!BC75+PER!BC115+PER!BC155+PER!BC195+PER!BC235+PER!BC275+PER!BC315+PER!BC355+PER!BC395+PER!BC435+PER!BC475+PER!BC515+PER!BC555+PER!BC595)=0,"",_xlfn.IFS(PER!BC35=1,PER!$V$34,PER!BC75=1,PER!$V$35,PER!BC115=1,PER!$V$36,PER!BC155=1,PER!$V$37,PER!BC195=1,PER!$V$38,PER!BC235=1,PER!$V$39,PER!BC275=1,PER!$V$40,PER!BC315=1,PER!$V$41,PER!BC355=1,PER!$V$42,PER!BC395=1,PER!$V$43,PER!BC435=1,PER!$V$44,PER!BC475=1,PER!$V$45,PER!BC515=1,PER!$V$46,PER!BC555=1,PER!$V$47,PER!BC595=1,PER!$V$48)))</f>
        <v>C-mix</v>
      </c>
      <c r="O4" s="54" t="str" cm="1">
        <f t="array" ref="O4">IF(PER!AI54=0,"",IF((PER!BD35+PER!BD75+PER!BD115+PER!BD155+PER!BD195+PER!BD235+PER!BD275+PER!BD315+PER!BD355+PER!BD395+PER!BD435+PER!BD475+PER!BD515+PER!BD555+PER!BD595)=0,"",_xlfn.IFS(PER!BD35=1,PER!$V$34,PER!BD75=1,PER!$V$35,PER!BD115=1,PER!$V$36,PER!BD155=1,PER!$V$37,PER!BD195=1,PER!$V$38,PER!BD235=1,PER!$V$39,PER!BD275=1,PER!$V$40,PER!BD315=1,PER!$V$41,PER!BD355=1,PER!$V$42,PER!BD395=1,PER!$V$43,PER!BD435=1,PER!$V$44,PER!BD475=1,PER!$V$45,PER!BD515=1,PER!$V$46,PER!BD555=1,PER!$V$47,PER!BD595=1,PER!$V$48)))</f>
        <v/>
      </c>
      <c r="P4" s="54" t="str" cm="1">
        <f t="array" ref="P4">IF(PER!AJ54=0,"",IF((PER!BE35+PER!BE75+PER!BE115+PER!BE155+PER!BE195+PER!BE235+PER!BE275+PER!BE315+PER!BE355+PER!BE395+PER!BE435+PER!BE475+PER!BE515+PER!BE555+PER!BE595)=0,"",_xlfn.IFS(PER!BE35=1,PER!$V$34,PER!BE75=1,PER!$V$35,PER!BE115=1,PER!$V$36,PER!BE155=1,PER!$V$37,PER!BE195=1,PER!$V$38,PER!BE235=1,PER!$V$39,PER!BE275=1,PER!$V$40,PER!BE315=1,PER!$V$41,PER!BE355=1,PER!$V$42,PER!BE395=1,PER!$V$43,PER!BE435=1,PER!$V$44,PER!BE475=1,PER!$V$45,PER!BE515=1,PER!$V$46,PER!BE555=1,PER!$V$47,PER!BE595=1,PER!$V$48)))</f>
        <v/>
      </c>
      <c r="Q4" s="54" t="str" cm="1">
        <f t="array" ref="Q4">IF(PER!AK54=0,"",IF((PER!BF35+PER!BF75+PER!BF115+PER!BF155+PER!BF195+PER!BF235+PER!BF275+PER!BF315+PER!BF355+PER!BF395+PER!BF435+PER!BF475+PER!BF515+PER!BF555+PER!BF595)=0,"",_xlfn.IFS(PER!BF35=1,PER!$V$34,PER!BF75=1,PER!$V$35,PER!BF115=1,PER!$V$36,PER!BF155=1,PER!$V$37,PER!BF195=1,PER!$V$38,PER!BF235=1,PER!$V$39,PER!BF275=1,PER!$V$40,PER!BF315=1,PER!$V$41,PER!BF355=1,PER!$V$42,PER!BF395=1,PER!$V$43,PER!BF435=1,PER!$V$44,PER!BF475=1,PER!$V$45,PER!BF515=1,PER!$V$46,PER!BF555=1,PER!$V$47,PER!BF595=1,PER!$V$48)))</f>
        <v/>
      </c>
      <c r="R4" s="54" t="str" cm="1">
        <f t="array" ref="R4">IF(PER!AL54=0,"",IF((PER!BG35+PER!BG75+PER!BG115+PER!BG155+PER!BG195+PER!BG235+PER!BG275+PER!BG315+PER!BG355+PER!BG395+PER!BG435+PER!BG475+PER!BG515+PER!BG555+PER!BG595)=0,"",_xlfn.IFS(PER!BG35=1,PER!$V$34,PER!BG75=1,PER!$V$35,PER!BG115=1,PER!$V$36,PER!BG155=1,PER!$V$37,PER!BG195=1,PER!$V$38,PER!BG235=1,PER!$V$39,PER!BG275=1,PER!$V$40,PER!BG315=1,PER!$V$41,PER!BG355=1,PER!$V$42,PER!BG395=1,PER!$V$43,PER!BG435=1,PER!$V$44,PER!BG475=1,PER!$V$45,PER!BG515=1,PER!$V$46,PER!BG555=1,PER!$V$47,PER!BG595=1,PER!$V$48)))</f>
        <v/>
      </c>
      <c r="S4" s="54" t="str" cm="1">
        <f t="array" ref="S4">IF(PER!AM54=0,"",IF((PER!BH35+PER!BH75+PER!BH115+PER!BH155+PER!BH195+PER!BH235+PER!BH275+PER!BH315+PER!BH355+PER!BH395+PER!BH435+PER!BH475+PER!BH515+PER!BH555+PER!BH595)=0,"",_xlfn.IFS(PER!BH35=1,PER!$V$34,PER!BH75=1,PER!$V$35,PER!BH115=1,PER!$V$36,PER!BH155=1,PER!$V$37,PER!BH195=1,PER!$V$38,PER!BH235=1,PER!$V$39,PER!BH275=1,PER!$V$40,PER!BH315=1,PER!$V$41,PER!BH355=1,PER!$V$42,PER!BH395=1,PER!$V$43,PER!BH435=1,PER!$V$44,PER!BH475=1,PER!$V$45,PER!BH515=1,PER!$V$46,PER!BH555=1,PER!$V$47,PER!BH595=1,PER!$V$48)))</f>
        <v/>
      </c>
    </row>
    <row r="5" spans="1:19" x14ac:dyDescent="0.55000000000000004">
      <c r="A5">
        <v>3</v>
      </c>
      <c r="B5" t="s">
        <v>48</v>
      </c>
      <c r="C5" s="54" t="str" cm="1">
        <f t="array" ref="C5">IF(PER!W55=0,"",IF((PER!AR36+PER!AR76+PER!AR116+PER!AR156+PER!AR196+PER!AR236+PER!AR276+PER!AR316+PER!AR356+PER!AR396+PER!AR436+PER!AR476+PER!AR516+PER!AR556+PER!AR596)=0,"",_xlfn.IFS(PER!AR36=1,PER!$V$34,PER!AR76=1,PER!$V$35,PER!AR116=1,PER!$V$36,PER!AR156=1,PER!$V$37,PER!AR196=1,PER!$V$38,PER!AR236=1,PER!$V$39,PER!AR276=1,PER!$V$40,PER!AR316=1,PER!$V$41,PER!AR356=1,PER!$V$42,PER!AR396=1,PER!$V$43,PER!AR436=1,PER!$V$44,PER!AR476=1,PER!$V$45,PER!AR516=1,PER!$V$46,PER!AR556=1,PER!$V$47,PER!AR596=1,PER!$V$48)))</f>
        <v>Çapèse</v>
      </c>
      <c r="D5" s="54" t="str" cm="1">
        <f t="array" ref="D5">IF(PER!X55=0,"",IF((PER!AS36+PER!AS76+PER!AS116+PER!AS156+PER!AS196+PER!AS236+PER!AS276+PER!AS316+PER!AS356+PER!AS396+PER!AS436+PER!AS476+PER!AS516+PER!AS556+PER!AS596)=0,"",_xlfn.IFS(PER!AS36=1,PER!$V$34,PER!AS76=1,PER!$V$35,PER!AS116=1,PER!$V$36,PER!AS156=1,PER!$V$37,PER!AS196=1,PER!$V$38,PER!AS236=1,PER!$V$39,PER!AS276=1,PER!$V$40,PER!AS316=1,PER!$V$41,PER!AS356=1,PER!$V$42,PER!AS396=1,PER!$V$43,PER!AS436=1,PER!$V$44,PER!AS476=1,PER!$V$45,PER!AS516=1,PER!$V$46,PER!AS556=1,PER!$V$47,PER!AS596=1,PER!$V$48)))</f>
        <v>Rez</v>
      </c>
      <c r="E5" s="54" t="str" cm="1">
        <f t="array" ref="E5">IF(PER!Y55=0,"",IF((PER!AT36+PER!AT76+PER!AT116+PER!AT156+PER!AT196+PER!AT236+PER!AT276+PER!AT316+PER!AT356+PER!AT396+PER!AT436+PER!AT476+PER!AT516+PER!AT556+PER!AT596)=0,"",_xlfn.IFS(PER!AT36=1,PER!$V$34,PER!AT76=1,PER!$V$35,PER!AT116=1,PER!$V$36,PER!AT156=1,PER!$V$37,PER!AT196=1,PER!$V$38,PER!AT236=1,PER!$V$39,PER!AT276=1,PER!$V$40,PER!AT316=1,PER!$V$41,PER!AT356=1,PER!$V$42,PER!AT396=1,PER!$V$43,PER!AT436=1,PER!$V$44,PER!AT476=1,PER!$V$45,PER!AT516=1,PER!$V$46,PER!AT556=1,PER!$V$47,PER!AT596=1,PER!$V$48)))</f>
        <v>Entry</v>
      </c>
      <c r="F5" s="54" t="str" cm="1">
        <f t="array" ref="F5">IF(PER!Z55=0,"",IF((PER!AU36+PER!AU76+PER!AU116+PER!AU156+PER!AU196+PER!AU236+PER!AU276+PER!AU316+PER!AU356+PER!AU396+PER!AU436+PER!AU476+PER!AU516+PER!AU556+PER!AU596)=0,"",_xlfn.IFS(PER!AU36=1,PER!$V$34,PER!AU76=1,PER!$V$35,PER!AU116=1,PER!$V$36,PER!AU156=1,PER!$V$37,PER!AU196=1,PER!$V$38,PER!AU236=1,PER!$V$39,PER!AU276=1,PER!$V$40,PER!AU316=1,PER!$V$41,PER!AU356=1,PER!$V$42,PER!AU396=1,PER!$V$43,PER!AU436=1,PER!$V$44,PER!AU476=1,PER!$V$45,PER!AU516=1,PER!$V$46,PER!AU556=1,PER!$V$47,PER!AU596=1,PER!$V$48)))</f>
        <v>Rez</v>
      </c>
      <c r="G5" s="54" t="str" cm="1">
        <f t="array" ref="G5">IF(PER!AA55=0,"",IF((PER!AV36+PER!AV76+PER!AV116+PER!AV156+PER!AV196+PER!AV236+PER!AV276+PER!AV316+PER!AV356+PER!AV396+PER!AV436+PER!AV476+PER!AV516+PER!AV556+PER!AV596)=0,"",_xlfn.IFS(PER!AV36=1,PER!$V$34,PER!AV76=1,PER!$V$35,PER!AV116=1,PER!$V$36,PER!AV156=1,PER!$V$37,PER!AV196=1,PER!$V$38,PER!AV236=1,PER!$V$39,PER!AV276=1,PER!$V$40,PER!AV316=1,PER!$V$41,PER!AV356=1,PER!$V$42,PER!AV396=1,PER!$V$43,PER!AV436=1,PER!$V$44,PER!AV476=1,PER!$V$45,PER!AV516=1,PER!$V$46,PER!AV556=1,PER!$V$47,PER!AV596=1,PER!$V$48)))</f>
        <v>C-mix</v>
      </c>
      <c r="H5" s="54" t="str" cm="1">
        <f t="array" ref="H5">IF(PER!AB55=0,"",IF((PER!AW36+PER!AW76+PER!AW116+PER!AW156+PER!AW196+PER!AW236+PER!AW276+PER!AW316+PER!AW356+PER!AW396+PER!AW436+PER!AW476+PER!AW516+PER!AW556+PER!AW596)=0,"",_xlfn.IFS(PER!AW36=1,PER!$V$34,PER!AW76=1,PER!$V$35,PER!AW116=1,PER!$V$36,PER!AW156=1,PER!$V$37,PER!AW196=1,PER!$V$38,PER!AW236=1,PER!$V$39,PER!AW276=1,PER!$V$40,PER!AW316=1,PER!$V$41,PER!AW356=1,PER!$V$42,PER!AW396=1,PER!$V$43,PER!AW436=1,PER!$V$44,PER!AW476=1,PER!$V$45,PER!AW516=1,PER!$V$46,PER!AW556=1,PER!$V$47,PER!AW596=1,PER!$V$48)))</f>
        <v>Level</v>
      </c>
      <c r="I5" s="54" t="str" cm="1">
        <f t="array" ref="I5">IF(PER!AC55=0,"",IF((PER!AX36+PER!AX76+PER!AX116+PER!AX156+PER!AX196+PER!AX236+PER!AX276+PER!AX316+PER!AX356+PER!AX396+PER!AX436+PER!AX476+PER!AX516+PER!AX556+PER!AX596)=0,"",_xlfn.IFS(PER!AX36=1,PER!$V$34,PER!AX76=1,PER!$V$35,PER!AX116=1,PER!$V$36,PER!AX156=1,PER!$V$37,PER!AX196=1,PER!$V$38,PER!AX236=1,PER!$V$39,PER!AX276=1,PER!$V$40,PER!AX316=1,PER!$V$41,PER!AX356=1,PER!$V$42,PER!AX396=1,PER!$V$43,PER!AX436=1,PER!$V$44,PER!AX476=1,PER!$V$45,PER!AX516=1,PER!$V$46,PER!AX556=1,PER!$V$47,PER!AX596=1,PER!$V$48)))</f>
        <v>C-mix</v>
      </c>
      <c r="J5" s="54" t="str" cm="1">
        <f t="array" ref="J5">IF(PER!AD55=0,"",IF((PER!AY36+PER!AY76+PER!AY116+PER!AY156+PER!AY196+PER!AY236+PER!AY276+PER!AY316+PER!AY356+PER!AY396+PER!AY436+PER!AY476+PER!AY516+PER!AY556+PER!AY596)=0,"",_xlfn.IFS(PER!AY36=1,PER!$V$34,PER!AY76=1,PER!$V$35,PER!AY116=1,PER!$V$36,PER!AY156=1,PER!$V$37,PER!AY196=1,PER!$V$38,PER!AY236=1,PER!$V$39,PER!AY276=1,PER!$V$40,PER!AY316=1,PER!$V$41,PER!AY356=1,PER!$V$42,PER!AY396=1,PER!$V$43,PER!AY436=1,PER!$V$44,PER!AY476=1,PER!$V$45,PER!AY516=1,PER!$V$46,PER!AY556=1,PER!$V$47,PER!AY596=1,PER!$V$48)))</f>
        <v>Bar</v>
      </c>
      <c r="K5" s="54" t="str" cm="1">
        <f t="array" ref="K5">IF(PER!AE55=0,"",IF((PER!AZ36+PER!AZ76+PER!AZ116+PER!AZ156+PER!AZ196+PER!AZ236+PER!AZ276+PER!AZ316+PER!AZ356+PER!AZ396+PER!AZ436+PER!AZ476+PER!AZ516+PER!AZ556+PER!AZ596)=0,"",_xlfn.IFS(PER!AZ36=1,PER!$V$34,PER!AZ76=1,PER!$V$35,PER!AZ116=1,PER!$V$36,PER!AZ156=1,PER!$V$37,PER!AZ196=1,PER!$V$38,PER!AZ236=1,PER!$V$39,PER!AZ276=1,PER!$V$40,PER!AZ316=1,PER!$V$41,PER!AZ356=1,PER!$V$42,PER!AZ396=1,PER!$V$43,PER!AZ436=1,PER!$V$44,PER!AZ476=1,PER!$V$45,PER!AZ516=1,PER!$V$46,PER!AZ556=1,PER!$V$47,PER!AZ596=1,PER!$V$48)))</f>
        <v>Dummy 2</v>
      </c>
      <c r="L5" s="54" t="str" cm="1">
        <f t="array" ref="L5">IF(PER!AF55=0,"",IF((PER!BA36+PER!BA76+PER!BA116+PER!BA156+PER!BA196+PER!BA236+PER!BA276+PER!BA316+PER!BA356+PER!BA396+PER!BA436+PER!BA476+PER!BA516+PER!BA556+PER!BA596)=0,"",_xlfn.IFS(PER!BA36=1,PER!$V$34,PER!BA76=1,PER!$V$35,PER!BA116=1,PER!$V$36,PER!BA156=1,PER!$V$37,PER!BA196=1,PER!$V$38,PER!BA236=1,PER!$V$39,PER!BA276=1,PER!$V$40,PER!BA316=1,PER!$V$41,PER!BA356=1,PER!$V$42,PER!BA396=1,PER!$V$43,PER!BA436=1,PER!$V$44,PER!BA476=1,PER!$V$45,PER!BA516=1,PER!$V$46,PER!BA556=1,PER!$V$47,PER!BA596=1,PER!$V$48)))</f>
        <v>C-mix</v>
      </c>
      <c r="M5" s="54" t="str" cm="1">
        <f t="array" ref="M5">IF(PER!AG55=0,"",IF((PER!BB36+PER!BB76+PER!BB116+PER!BB156+PER!BB196+PER!BB236+PER!BB276+PER!BB316+PER!BB356+PER!BB396+PER!BB436+PER!BB476+PER!BB516+PER!BB556+PER!BB596)=0,"",_xlfn.IFS(PER!BB36=1,PER!$V$34,PER!BB76=1,PER!$V$35,PER!BB116=1,PER!$V$36,PER!BB156=1,PER!$V$37,PER!BB196=1,PER!$V$38,PER!BB236=1,PER!$V$39,PER!BB276=1,PER!$V$40,PER!BB316=1,PER!$V$41,PER!BB356=1,PER!$V$42,PER!BB396=1,PER!$V$43,PER!BB436=1,PER!$V$44,PER!BB476=1,PER!$V$45,PER!BB516=1,PER!$V$46,PER!BB556=1,PER!$V$47,PER!BB596=1,PER!$V$48)))</f>
        <v>Set up</v>
      </c>
      <c r="N5" s="54" t="str" cm="1">
        <f t="array" ref="N5">IF(PER!AH55=0,"",IF((PER!BC36+PER!BC76+PER!BC116+PER!BC156+PER!BC196+PER!BC236+PER!BC276+PER!BC316+PER!BC356+PER!BC396+PER!BC436+PER!BC476+PER!BC516+PER!BC556+PER!BC596)=0,"",_xlfn.IFS(PER!BC36=1,PER!$V$34,PER!BC76=1,PER!$V$35,PER!BC116=1,PER!$V$36,PER!BC156=1,PER!$V$37,PER!BC196=1,PER!$V$38,PER!BC236=1,PER!$V$39,PER!BC276=1,PER!$V$40,PER!BC316=1,PER!$V$41,PER!BC356=1,PER!$V$42,PER!BC396=1,PER!$V$43,PER!BC436=1,PER!$V$44,PER!BC476=1,PER!$V$45,PER!BC516=1,PER!$V$46,PER!BC556=1,PER!$V$47,PER!BC596=1,PER!$V$48)))</f>
        <v>Dummy 1</v>
      </c>
      <c r="O5" s="54" t="str" cm="1">
        <f t="array" ref="O5">IF(PER!AI55=0,"",IF((PER!BD36+PER!BD76+PER!BD116+PER!BD156+PER!BD196+PER!BD236+PER!BD276+PER!BD316+PER!BD356+PER!BD396+PER!BD436+PER!BD476+PER!BD516+PER!BD556+PER!BD596)=0,"",_xlfn.IFS(PER!BD36=1,PER!$V$34,PER!BD76=1,PER!$V$35,PER!BD116=1,PER!$V$36,PER!BD156=1,PER!$V$37,PER!BD196=1,PER!$V$38,PER!BD236=1,PER!$V$39,PER!BD276=1,PER!$V$40,PER!BD316=1,PER!$V$41,PER!BD356=1,PER!$V$42,PER!BD396=1,PER!$V$43,PER!BD436=1,PER!$V$44,PER!BD476=1,PER!$V$45,PER!BD516=1,PER!$V$46,PER!BD556=1,PER!$V$47,PER!BD596=1,PER!$V$48)))</f>
        <v/>
      </c>
      <c r="P5" s="54" t="str" cm="1">
        <f t="array" ref="P5">IF(PER!AJ55=0,"",IF((PER!BE36+PER!BE76+PER!BE116+PER!BE156+PER!BE196+PER!BE236+PER!BE276+PER!BE316+PER!BE356+PER!BE396+PER!BE436+PER!BE476+PER!BE516+PER!BE556+PER!BE596)=0,"",_xlfn.IFS(PER!BE36=1,PER!$V$34,PER!BE76=1,PER!$V$35,PER!BE116=1,PER!$V$36,PER!BE156=1,PER!$V$37,PER!BE196=1,PER!$V$38,PER!BE236=1,PER!$V$39,PER!BE276=1,PER!$V$40,PER!BE316=1,PER!$V$41,PER!BE356=1,PER!$V$42,PER!BE396=1,PER!$V$43,PER!BE436=1,PER!$V$44,PER!BE476=1,PER!$V$45,PER!BE516=1,PER!$V$46,PER!BE556=1,PER!$V$47,PER!BE596=1,PER!$V$48)))</f>
        <v/>
      </c>
      <c r="Q5" s="54" t="str" cm="1">
        <f t="array" ref="Q5">IF(PER!AK55=0,"",IF((PER!BF36+PER!BF76+PER!BF116+PER!BF156+PER!BF196+PER!BF236+PER!BF276+PER!BF316+PER!BF356+PER!BF396+PER!BF436+PER!BF476+PER!BF516+PER!BF556+PER!BF596)=0,"",_xlfn.IFS(PER!BF36=1,PER!$V$34,PER!BF76=1,PER!$V$35,PER!BF116=1,PER!$V$36,PER!BF156=1,PER!$V$37,PER!BF196=1,PER!$V$38,PER!BF236=1,PER!$V$39,PER!BF276=1,PER!$V$40,PER!BF316=1,PER!$V$41,PER!BF356=1,PER!$V$42,PER!BF396=1,PER!$V$43,PER!BF436=1,PER!$V$44,PER!BF476=1,PER!$V$45,PER!BF516=1,PER!$V$46,PER!BF556=1,PER!$V$47,PER!BF596=1,PER!$V$48)))</f>
        <v/>
      </c>
      <c r="R5" s="54" t="str" cm="1">
        <f t="array" ref="R5">IF(PER!AL55=0,"",IF((PER!BG36+PER!BG76+PER!BG116+PER!BG156+PER!BG196+PER!BG236+PER!BG276+PER!BG316+PER!BG356+PER!BG396+PER!BG436+PER!BG476+PER!BG516+PER!BG556+PER!BG596)=0,"",_xlfn.IFS(PER!BG36=1,PER!$V$34,PER!BG76=1,PER!$V$35,PER!BG116=1,PER!$V$36,PER!BG156=1,PER!$V$37,PER!BG196=1,PER!$V$38,PER!BG236=1,PER!$V$39,PER!BG276=1,PER!$V$40,PER!BG316=1,PER!$V$41,PER!BG356=1,PER!$V$42,PER!BG396=1,PER!$V$43,PER!BG436=1,PER!$V$44,PER!BG476=1,PER!$V$45,PER!BG516=1,PER!$V$46,PER!BG556=1,PER!$V$47,PER!BG596=1,PER!$V$48)))</f>
        <v/>
      </c>
      <c r="S5" s="54" t="str" cm="1">
        <f t="array" ref="S5">IF(PER!AM55=0,"",IF((PER!BH36+PER!BH76+PER!BH116+PER!BH156+PER!BH196+PER!BH236+PER!BH276+PER!BH316+PER!BH356+PER!BH396+PER!BH436+PER!BH476+PER!BH516+PER!BH556+PER!BH596)=0,"",_xlfn.IFS(PER!BH36=1,PER!$V$34,PER!BH76=1,PER!$V$35,PER!BH116=1,PER!$V$36,PER!BH156=1,PER!$V$37,PER!BH196=1,PER!$V$38,PER!BH236=1,PER!$V$39,PER!BH276=1,PER!$V$40,PER!BH316=1,PER!$V$41,PER!BH356=1,PER!$V$42,PER!BH396=1,PER!$V$43,PER!BH436=1,PER!$V$44,PER!BH476=1,PER!$V$45,PER!BH516=1,PER!$V$46,PER!BH556=1,PER!$V$47,PER!BH596=1,PER!$V$48)))</f>
        <v/>
      </c>
    </row>
    <row r="6" spans="1:19" x14ac:dyDescent="0.55000000000000004">
      <c r="A6">
        <v>4</v>
      </c>
      <c r="B6" t="s">
        <v>49</v>
      </c>
      <c r="C6" s="54" t="str" cm="1">
        <f t="array" ref="C6">IF(PER!W56=0,"",IF((PER!AR37+PER!AR77+PER!AR117+PER!AR157+PER!AR197+PER!AR237+PER!AR277+PER!AR317+PER!AR357+PER!AR397+PER!AR437+PER!AR477+PER!AR517+PER!AR557+PER!AR597)=0,"",_xlfn.IFS(PER!AR37=1,PER!$V$34,PER!AR77=1,PER!$V$35,PER!AR117=1,PER!$V$36,PER!AR157=1,PER!$V$37,PER!AR197=1,PER!$V$38,PER!AR237=1,PER!$V$39,PER!AR277=1,PER!$V$40,PER!AR317=1,PER!$V$41,PER!AR357=1,PER!$V$42,PER!AR397=1,PER!$V$43,PER!AR437=1,PER!$V$44,PER!AR477=1,PER!$V$45,PER!AR517=1,PER!$V$46,PER!AR557=1,PER!$V$47,PER!AR597=1,PER!$V$48)))</f>
        <v>Rez</v>
      </c>
      <c r="D6" s="54" t="str" cm="1">
        <f t="array" ref="D6">IF(PER!X56=0,"",IF((PER!AS37+PER!AS77+PER!AS117+PER!AS157+PER!AS197+PER!AS237+PER!AS277+PER!AS317+PER!AS357+PER!AS397+PER!AS437+PER!AS477+PER!AS517+PER!AS557+PER!AS597)=0,"",_xlfn.IFS(PER!AS37=1,PER!$V$34,PER!AS77=1,PER!$V$35,PER!AS117=1,PER!$V$36,PER!AS157=1,PER!$V$37,PER!AS197=1,PER!$V$38,PER!AS237=1,PER!$V$39,PER!AS277=1,PER!$V$40,PER!AS317=1,PER!$V$41,PER!AS357=1,PER!$V$42,PER!AS397=1,PER!$V$43,PER!AS437=1,PER!$V$44,PER!AS477=1,PER!$V$45,PER!AS517=1,PER!$V$46,PER!AS557=1,PER!$V$47,PER!AS597=1,PER!$V$48)))</f>
        <v>Bar</v>
      </c>
      <c r="E6" s="54" t="str" cm="1">
        <f t="array" ref="E6">IF(PER!Y56=0,"",IF((PER!AT37+PER!AT77+PER!AT117+PER!AT157+PER!AT197+PER!AT237+PER!AT277+PER!AT317+PER!AT357+PER!AT397+PER!AT437+PER!AT477+PER!AT517+PER!AT557+PER!AT597)=0,"",_xlfn.IFS(PER!AT37=1,PER!$V$34,PER!AT77=1,PER!$V$35,PER!AT117=1,PER!$V$36,PER!AT157=1,PER!$V$37,PER!AT197=1,PER!$V$38,PER!AT237=1,PER!$V$39,PER!AT277=1,PER!$V$40,PER!AT317=1,PER!$V$41,PER!AT357=1,PER!$V$42,PER!AT397=1,PER!$V$43,PER!AT437=1,PER!$V$44,PER!AT477=1,PER!$V$45,PER!AT517=1,PER!$V$46,PER!AT557=1,PER!$V$47,PER!AT597=1,PER!$V$48)))</f>
        <v>Rez</v>
      </c>
      <c r="F6" s="54" t="str" cm="1">
        <f t="array" ref="F6">IF(PER!Z56=0,"",IF((PER!AU37+PER!AU77+PER!AU117+PER!AU157+PER!AU197+PER!AU237+PER!AU277+PER!AU317+PER!AU357+PER!AU397+PER!AU437+PER!AU477+PER!AU517+PER!AU557+PER!AU597)=0,"",_xlfn.IFS(PER!AU37=1,PER!$V$34,PER!AU77=1,PER!$V$35,PER!AU117=1,PER!$V$36,PER!AU157=1,PER!$V$37,PER!AU197=1,PER!$V$38,PER!AU237=1,PER!$V$39,PER!AU277=1,PER!$V$40,PER!AU317=1,PER!$V$41,PER!AU357=1,PER!$V$42,PER!AU397=1,PER!$V$43,PER!AU437=1,PER!$V$44,PER!AU477=1,PER!$V$45,PER!AU517=1,PER!$V$46,PER!AU557=1,PER!$V$47,PER!AU597=1,PER!$V$48)))</f>
        <v>Dummy 1</v>
      </c>
      <c r="G6" s="54" t="str" cm="1">
        <f t="array" ref="G6">IF(PER!AA56=0,"",IF((PER!AV37+PER!AV77+PER!AV117+PER!AV157+PER!AV197+PER!AV237+PER!AV277+PER!AV317+PER!AV357+PER!AV397+PER!AV437+PER!AV477+PER!AV517+PER!AV557+PER!AV597)=0,"",_xlfn.IFS(PER!AV37=1,PER!$V$34,PER!AV77=1,PER!$V$35,PER!AV117=1,PER!$V$36,PER!AV157=1,PER!$V$37,PER!AV197=1,PER!$V$38,PER!AV237=1,PER!$V$39,PER!AV277=1,PER!$V$40,PER!AV317=1,PER!$V$41,PER!AV357=1,PER!$V$42,PER!AV397=1,PER!$V$43,PER!AV437=1,PER!$V$44,PER!AV477=1,PER!$V$45,PER!AV517=1,PER!$V$46,PER!AV557=1,PER!$V$47,PER!AV597=1,PER!$V$48)))</f>
        <v>Level</v>
      </c>
      <c r="H6" s="54" t="str" cm="1">
        <f t="array" ref="H6">IF(PER!AB56=0,"",IF((PER!AW37+PER!AW77+PER!AW117+PER!AW157+PER!AW197+PER!AW237+PER!AW277+PER!AW317+PER!AW357+PER!AW397+PER!AW437+PER!AW477+PER!AW517+PER!AW557+PER!AW597)=0,"",_xlfn.IFS(PER!AW37=1,PER!$V$34,PER!AW77=1,PER!$V$35,PER!AW117=1,PER!$V$36,PER!AW157=1,PER!$V$37,PER!AW197=1,PER!$V$38,PER!AW237=1,PER!$V$39,PER!AW277=1,PER!$V$40,PER!AW317=1,PER!$V$41,PER!AW357=1,PER!$V$42,PER!AW397=1,PER!$V$43,PER!AW437=1,PER!$V$44,PER!AW477=1,PER!$V$45,PER!AW517=1,PER!$V$46,PER!AW557=1,PER!$V$47,PER!AW597=1,PER!$V$48)))</f>
        <v>Entry</v>
      </c>
      <c r="I6" s="54" t="str" cm="1">
        <f t="array" ref="I6">IF(PER!AC56=0,"",IF((PER!AX37+PER!AX77+PER!AX117+PER!AX157+PER!AX197+PER!AX237+PER!AX277+PER!AX317+PER!AX357+PER!AX397+PER!AX437+PER!AX477+PER!AX517+PER!AX557+PER!AX597)=0,"",_xlfn.IFS(PER!AX37=1,PER!$V$34,PER!AX77=1,PER!$V$35,PER!AX117=1,PER!$V$36,PER!AX157=1,PER!$V$37,PER!AX197=1,PER!$V$38,PER!AX237=1,PER!$V$39,PER!AX277=1,PER!$V$40,PER!AX317=1,PER!$V$41,PER!AX357=1,PER!$V$42,PER!AX397=1,PER!$V$43,PER!AX437=1,PER!$V$44,PER!AX477=1,PER!$V$45,PER!AX517=1,PER!$V$46,PER!AX557=1,PER!$V$47,PER!AX597=1,PER!$V$48)))</f>
        <v>Dummy 4</v>
      </c>
      <c r="J6" s="54" t="str" cm="1">
        <f t="array" ref="J6">IF(PER!AD56=0,"",IF((PER!AY37+PER!AY77+PER!AY117+PER!AY157+PER!AY197+PER!AY237+PER!AY277+PER!AY317+PER!AY357+PER!AY397+PER!AY437+PER!AY477+PER!AY517+PER!AY557+PER!AY597)=0,"",_xlfn.IFS(PER!AY37=1,PER!$V$34,PER!AY77=1,PER!$V$35,PER!AY117=1,PER!$V$36,PER!AY157=1,PER!$V$37,PER!AY197=1,PER!$V$38,PER!AY237=1,PER!$V$39,PER!AY277=1,PER!$V$40,PER!AY317=1,PER!$V$41,PER!AY357=1,PER!$V$42,PER!AY397=1,PER!$V$43,PER!AY437=1,PER!$V$44,PER!AY477=1,PER!$V$45,PER!AY517=1,PER!$V$46,PER!AY557=1,PER!$V$47,PER!AY597=1,PER!$V$48)))</f>
        <v>Entry</v>
      </c>
      <c r="K6" s="54" t="str" cm="1">
        <f t="array" ref="K6">IF(PER!AE56=0,"",IF((PER!AZ37+PER!AZ77+PER!AZ117+PER!AZ157+PER!AZ197+PER!AZ237+PER!AZ277+PER!AZ317+PER!AZ357+PER!AZ397+PER!AZ437+PER!AZ477+PER!AZ517+PER!AZ557+PER!AZ597)=0,"",_xlfn.IFS(PER!AZ37=1,PER!$V$34,PER!AZ77=1,PER!$V$35,PER!AZ117=1,PER!$V$36,PER!AZ157=1,PER!$V$37,PER!AZ197=1,PER!$V$38,PER!AZ237=1,PER!$V$39,PER!AZ277=1,PER!$V$40,PER!AZ317=1,PER!$V$41,PER!AZ357=1,PER!$V$42,PER!AZ397=1,PER!$V$43,PER!AZ437=1,PER!$V$44,PER!AZ477=1,PER!$V$45,PER!AZ517=1,PER!$V$46,PER!AZ557=1,PER!$V$47,PER!AZ597=1,PER!$V$48)))</f>
        <v>C-mix</v>
      </c>
      <c r="L6" s="54" t="str" cm="1">
        <f t="array" ref="L6">IF(PER!AF56=0,"",IF((PER!BA37+PER!BA77+PER!BA117+PER!BA157+PER!BA197+PER!BA237+PER!BA277+PER!BA317+PER!BA357+PER!BA397+PER!BA437+PER!BA477+PER!BA517+PER!BA557+PER!BA597)=0,"",_xlfn.IFS(PER!BA37=1,PER!$V$34,PER!BA77=1,PER!$V$35,PER!BA117=1,PER!$V$36,PER!BA157=1,PER!$V$37,PER!BA197=1,PER!$V$38,PER!BA237=1,PER!$V$39,PER!BA277=1,PER!$V$40,PER!BA317=1,PER!$V$41,PER!BA357=1,PER!$V$42,PER!BA397=1,PER!$V$43,PER!BA437=1,PER!$V$44,PER!BA477=1,PER!$V$45,PER!BA517=1,PER!$V$46,PER!BA557=1,PER!$V$47,PER!BA597=1,PER!$V$48)))</f>
        <v>Bar</v>
      </c>
      <c r="M6" s="54" t="str" cm="1">
        <f t="array" ref="M6">IF(PER!AG56=0,"",IF((PER!BB37+PER!BB77+PER!BB117+PER!BB157+PER!BB197+PER!BB237+PER!BB277+PER!BB317+PER!BB357+PER!BB397+PER!BB437+PER!BB477+PER!BB517+PER!BB557+PER!BB597)=0,"",_xlfn.IFS(PER!BB37=1,PER!$V$34,PER!BB77=1,PER!$V$35,PER!BB117=1,PER!$V$36,PER!BB157=1,PER!$V$37,PER!BB197=1,PER!$V$38,PER!BB237=1,PER!$V$39,PER!BB277=1,PER!$V$40,PER!BB317=1,PER!$V$41,PER!BB357=1,PER!$V$42,PER!BB397=1,PER!$V$43,PER!BB437=1,PER!$V$44,PER!BB477=1,PER!$V$45,PER!BB517=1,PER!$V$46,PER!BB557=1,PER!$V$47,PER!BB597=1,PER!$V$48)))</f>
        <v>C-mix</v>
      </c>
      <c r="N6" s="54" t="str" cm="1">
        <f t="array" ref="N6">IF(PER!AH56=0,"",IF((PER!BC37+PER!BC77+PER!BC117+PER!BC157+PER!BC197+PER!BC237+PER!BC277+PER!BC317+PER!BC357+PER!BC397+PER!BC437+PER!BC477+PER!BC517+PER!BC557+PER!BC597)=0,"",_xlfn.IFS(PER!BC37=1,PER!$V$34,PER!BC77=1,PER!$V$35,PER!BC117=1,PER!$V$36,PER!BC157=1,PER!$V$37,PER!BC197=1,PER!$V$38,PER!BC237=1,PER!$V$39,PER!BC277=1,PER!$V$40,PER!BC317=1,PER!$V$41,PER!BC357=1,PER!$V$42,PER!BC397=1,PER!$V$43,PER!BC437=1,PER!$V$44,PER!BC477=1,PER!$V$45,PER!BC517=1,PER!$V$46,PER!BC557=1,PER!$V$47,PER!BC597=1,PER!$V$48)))</f>
        <v>Entry</v>
      </c>
      <c r="O6" s="54" t="str" cm="1">
        <f t="array" ref="O6">IF(PER!AI56=0,"",IF((PER!BD37+PER!BD77+PER!BD117+PER!BD157+PER!BD197+PER!BD237+PER!BD277+PER!BD317+PER!BD357+PER!BD397+PER!BD437+PER!BD477+PER!BD517+PER!BD557+PER!BD597)=0,"",_xlfn.IFS(PER!BD37=1,PER!$V$34,PER!BD77=1,PER!$V$35,PER!BD117=1,PER!$V$36,PER!BD157=1,PER!$V$37,PER!BD197=1,PER!$V$38,PER!BD237=1,PER!$V$39,PER!BD277=1,PER!$V$40,PER!BD317=1,PER!$V$41,PER!BD357=1,PER!$V$42,PER!BD397=1,PER!$V$43,PER!BD437=1,PER!$V$44,PER!BD477=1,PER!$V$45,PER!BD517=1,PER!$V$46,PER!BD557=1,PER!$V$47,PER!BD597=1,PER!$V$48)))</f>
        <v/>
      </c>
      <c r="P6" s="54" t="str" cm="1">
        <f t="array" ref="P6">IF(PER!AJ56=0,"",IF((PER!BE37+PER!BE77+PER!BE117+PER!BE157+PER!BE197+PER!BE237+PER!BE277+PER!BE317+PER!BE357+PER!BE397+PER!BE437+PER!BE477+PER!BE517+PER!BE557+PER!BE597)=0,"",_xlfn.IFS(PER!BE37=1,PER!$V$34,PER!BE77=1,PER!$V$35,PER!BE117=1,PER!$V$36,PER!BE157=1,PER!$V$37,PER!BE197=1,PER!$V$38,PER!BE237=1,PER!$V$39,PER!BE277=1,PER!$V$40,PER!BE317=1,PER!$V$41,PER!BE357=1,PER!$V$42,PER!BE397=1,PER!$V$43,PER!BE437=1,PER!$V$44,PER!BE477=1,PER!$V$45,PER!BE517=1,PER!$V$46,PER!BE557=1,PER!$V$47,PER!BE597=1,PER!$V$48)))</f>
        <v/>
      </c>
      <c r="Q6" s="54" t="str" cm="1">
        <f t="array" ref="Q6">IF(PER!AK56=0,"",IF((PER!BF37+PER!BF77+PER!BF117+PER!BF157+PER!BF197+PER!BF237+PER!BF277+PER!BF317+PER!BF357+PER!BF397+PER!BF437+PER!BF477+PER!BF517+PER!BF557+PER!BF597)=0,"",_xlfn.IFS(PER!BF37=1,PER!$V$34,PER!BF77=1,PER!$V$35,PER!BF117=1,PER!$V$36,PER!BF157=1,PER!$V$37,PER!BF197=1,PER!$V$38,PER!BF237=1,PER!$V$39,PER!BF277=1,PER!$V$40,PER!BF317=1,PER!$V$41,PER!BF357=1,PER!$V$42,PER!BF397=1,PER!$V$43,PER!BF437=1,PER!$V$44,PER!BF477=1,PER!$V$45,PER!BF517=1,PER!$V$46,PER!BF557=1,PER!$V$47,PER!BF597=1,PER!$V$48)))</f>
        <v/>
      </c>
      <c r="R6" s="54" t="str" cm="1">
        <f t="array" ref="R6">IF(PER!AL56=0,"",IF((PER!BG37+PER!BG77+PER!BG117+PER!BG157+PER!BG197+PER!BG237+PER!BG277+PER!BG317+PER!BG357+PER!BG397+PER!BG437+PER!BG477+PER!BG517+PER!BG557+PER!BG597)=0,"",_xlfn.IFS(PER!BG37=1,PER!$V$34,PER!BG77=1,PER!$V$35,PER!BG117=1,PER!$V$36,PER!BG157=1,PER!$V$37,PER!BG197=1,PER!$V$38,PER!BG237=1,PER!$V$39,PER!BG277=1,PER!$V$40,PER!BG317=1,PER!$V$41,PER!BG357=1,PER!$V$42,PER!BG397=1,PER!$V$43,PER!BG437=1,PER!$V$44,PER!BG477=1,PER!$V$45,PER!BG517=1,PER!$V$46,PER!BG557=1,PER!$V$47,PER!BG597=1,PER!$V$48)))</f>
        <v/>
      </c>
      <c r="S6" s="54" t="str" cm="1">
        <f t="array" ref="S6">IF(PER!AM56=0,"",IF((PER!BH37+PER!BH77+PER!BH117+PER!BH157+PER!BH197+PER!BH237+PER!BH277+PER!BH317+PER!BH357+PER!BH397+PER!BH437+PER!BH477+PER!BH517+PER!BH557+PER!BH597)=0,"",_xlfn.IFS(PER!BH37=1,PER!$V$34,PER!BH77=1,PER!$V$35,PER!BH117=1,PER!$V$36,PER!BH157=1,PER!$V$37,PER!BH197=1,PER!$V$38,PER!BH237=1,PER!$V$39,PER!BH277=1,PER!$V$40,PER!BH317=1,PER!$V$41,PER!BH357=1,PER!$V$42,PER!BH397=1,PER!$V$43,PER!BH437=1,PER!$V$44,PER!BH477=1,PER!$V$45,PER!BH517=1,PER!$V$46,PER!BH557=1,PER!$V$47,PER!BH597=1,PER!$V$48)))</f>
        <v/>
      </c>
    </row>
    <row r="7" spans="1:19" x14ac:dyDescent="0.55000000000000004">
      <c r="A7">
        <v>5</v>
      </c>
      <c r="B7" t="s">
        <v>50</v>
      </c>
      <c r="C7" s="54" t="str" cm="1">
        <f t="array" ref="C7">IF(PER!W57=0,"",IF((PER!AR38+PER!AR78+PER!AR118+PER!AR158+PER!AR198+PER!AR238+PER!AR278+PER!AR318+PER!AR358+PER!AR398+PER!AR438+PER!AR478+PER!AR518+PER!AR558+PER!AR598)=0,"",_xlfn.IFS(PER!AR38=1,PER!$V$34,PER!AR78=1,PER!$V$35,PER!AR118=1,PER!$V$36,PER!AR158=1,PER!$V$37,PER!AR198=1,PER!$V$38,PER!AR238=1,PER!$V$39,PER!AR278=1,PER!$V$40,PER!AR318=1,PER!$V$41,PER!AR358=1,PER!$V$42,PER!AR398=1,PER!$V$43,PER!AR438=1,PER!$V$44,PER!AR478=1,PER!$V$45,PER!AR518=1,PER!$V$46,PER!AR558=1,PER!$V$47,PER!AR598=1,PER!$V$48)))</f>
        <v>Bar</v>
      </c>
      <c r="D7" s="54" t="str" cm="1">
        <f t="array" ref="D7">IF(PER!X57=0,"",IF((PER!AS38+PER!AS78+PER!AS118+PER!AS158+PER!AS198+PER!AS238+PER!AS278+PER!AS318+PER!AS358+PER!AS398+PER!AS438+PER!AS478+PER!AS518+PER!AS558+PER!AS598)=0,"",_xlfn.IFS(PER!AS38=1,PER!$V$34,PER!AS78=1,PER!$V$35,PER!AS118=1,PER!$V$36,PER!AS158=1,PER!$V$37,PER!AS198=1,PER!$V$38,PER!AS238=1,PER!$V$39,PER!AS278=1,PER!$V$40,PER!AS318=1,PER!$V$41,PER!AS358=1,PER!$V$42,PER!AS398=1,PER!$V$43,PER!AS438=1,PER!$V$44,PER!AS478=1,PER!$V$45,PER!AS518=1,PER!$V$46,PER!AS558=1,PER!$V$47,PER!AS598=1,PER!$V$48)))</f>
        <v>C-mix</v>
      </c>
      <c r="E7" s="54" t="str" cm="1">
        <f t="array" ref="E7">IF(PER!Y57=0,"",IF((PER!AT38+PER!AT78+PER!AT118+PER!AT158+PER!AT198+PER!AT238+PER!AT278+PER!AT318+PER!AT358+PER!AT398+PER!AT438+PER!AT478+PER!AT518+PER!AT558+PER!AT598)=0,"",_xlfn.IFS(PER!AT38=1,PER!$V$34,PER!AT78=1,PER!$V$35,PER!AT118=1,PER!$V$36,PER!AT158=1,PER!$V$37,PER!AT198=1,PER!$V$38,PER!AT238=1,PER!$V$39,PER!AT278=1,PER!$V$40,PER!AT318=1,PER!$V$41,PER!AT358=1,PER!$V$42,PER!AT398=1,PER!$V$43,PER!AT438=1,PER!$V$44,PER!AT478=1,PER!$V$45,PER!AT518=1,PER!$V$46,PER!AT558=1,PER!$V$47,PER!AT598=1,PER!$V$48)))</f>
        <v>Rez</v>
      </c>
      <c r="F7" s="54" t="str" cm="1">
        <f t="array" ref="F7">IF(PER!Z57=0,"",IF((PER!AU38+PER!AU78+PER!AU118+PER!AU158+PER!AU198+PER!AU238+PER!AU278+PER!AU318+PER!AU358+PER!AU398+PER!AU438+PER!AU478+PER!AU518+PER!AU558+PER!AU598)=0,"",_xlfn.IFS(PER!AU38=1,PER!$V$34,PER!AU78=1,PER!$V$35,PER!AU118=1,PER!$V$36,PER!AU158=1,PER!$V$37,PER!AU198=1,PER!$V$38,PER!AU238=1,PER!$V$39,PER!AU278=1,PER!$V$40,PER!AU318=1,PER!$V$41,PER!AU358=1,PER!$V$42,PER!AU398=1,PER!$V$43,PER!AU438=1,PER!$V$44,PER!AU478=1,PER!$V$45,PER!AU518=1,PER!$V$46,PER!AU558=1,PER!$V$47,PER!AU598=1,PER!$V$48)))</f>
        <v>Dummy 1</v>
      </c>
      <c r="G7" s="54" t="str" cm="1">
        <f t="array" ref="G7">IF(PER!AA57=0,"",IF((PER!AV38+PER!AV78+PER!AV118+PER!AV158+PER!AV198+PER!AV238+PER!AV278+PER!AV318+PER!AV358+PER!AV398+PER!AV438+PER!AV478+PER!AV518+PER!AV558+PER!AV598)=0,"",_xlfn.IFS(PER!AV38=1,PER!$V$34,PER!AV78=1,PER!$V$35,PER!AV118=1,PER!$V$36,PER!AV158=1,PER!$V$37,PER!AV198=1,PER!$V$38,PER!AV238=1,PER!$V$39,PER!AV278=1,PER!$V$40,PER!AV318=1,PER!$V$41,PER!AV358=1,PER!$V$42,PER!AV398=1,PER!$V$43,PER!AV438=1,PER!$V$44,PER!AV478=1,PER!$V$45,PER!AV518=1,PER!$V$46,PER!AV558=1,PER!$V$47,PER!AV598=1,PER!$V$48)))</f>
        <v>Rez</v>
      </c>
      <c r="H7" s="54" t="str" cm="1">
        <f t="array" ref="H7">IF(PER!AB57=0,"",IF((PER!AW38+PER!AW78+PER!AW118+PER!AW158+PER!AW198+PER!AW238+PER!AW278+PER!AW318+PER!AW358+PER!AW398+PER!AW438+PER!AW478+PER!AW518+PER!AW558+PER!AW598)=0,"",_xlfn.IFS(PER!AW38=1,PER!$V$34,PER!AW78=1,PER!$V$35,PER!AW118=1,PER!$V$36,PER!AW158=1,PER!$V$37,PER!AW198=1,PER!$V$38,PER!AW238=1,PER!$V$39,PER!AW278=1,PER!$V$40,PER!AW318=1,PER!$V$41,PER!AW358=1,PER!$V$42,PER!AW398=1,PER!$V$43,PER!AW438=1,PER!$V$44,PER!AW478=1,PER!$V$45,PER!AW518=1,PER!$V$46,PER!AW558=1,PER!$V$47,PER!AW598=1,PER!$V$48)))</f>
        <v>C-mix</v>
      </c>
      <c r="I7" s="54" t="str" cm="1">
        <f t="array" ref="I7">IF(PER!AC57=0,"",IF((PER!AX38+PER!AX78+PER!AX118+PER!AX158+PER!AX198+PER!AX238+PER!AX278+PER!AX318+PER!AX358+PER!AX398+PER!AX438+PER!AX478+PER!AX518+PER!AX558+PER!AX598)=0,"",_xlfn.IFS(PER!AX38=1,PER!$V$34,PER!AX78=1,PER!$V$35,PER!AX118=1,PER!$V$36,PER!AX158=1,PER!$V$37,PER!AX198=1,PER!$V$38,PER!AX238=1,PER!$V$39,PER!AX278=1,PER!$V$40,PER!AX318=1,PER!$V$41,PER!AX358=1,PER!$V$42,PER!AX398=1,PER!$V$43,PER!AX438=1,PER!$V$44,PER!AX478=1,PER!$V$45,PER!AX518=1,PER!$V$46,PER!AX558=1,PER!$V$47,PER!AX598=1,PER!$V$48)))</f>
        <v>Dummy 4</v>
      </c>
      <c r="J7" s="54" t="str" cm="1">
        <f t="array" ref="J7">IF(PER!AD57=0,"",IF((PER!AY38+PER!AY78+PER!AY118+PER!AY158+PER!AY198+PER!AY238+PER!AY278+PER!AY318+PER!AY358+PER!AY398+PER!AY438+PER!AY478+PER!AY518+PER!AY558+PER!AY598)=0,"",_xlfn.IFS(PER!AY38=1,PER!$V$34,PER!AY78=1,PER!$V$35,PER!AY118=1,PER!$V$36,PER!AY158=1,PER!$V$37,PER!AY198=1,PER!$V$38,PER!AY238=1,PER!$V$39,PER!AY278=1,PER!$V$40,PER!AY318=1,PER!$V$41,PER!AY358=1,PER!$V$42,PER!AY398=1,PER!$V$43,PER!AY438=1,PER!$V$44,PER!AY478=1,PER!$V$45,PER!AY518=1,PER!$V$46,PER!AY558=1,PER!$V$47,PER!AY598=1,PER!$V$48)))</f>
        <v>Set up</v>
      </c>
      <c r="K7" s="54" t="str" cm="1">
        <f t="array" ref="K7">IF(PER!AE57=0,"",IF((PER!AZ38+PER!AZ78+PER!AZ118+PER!AZ158+PER!AZ198+PER!AZ238+PER!AZ278+PER!AZ318+PER!AZ358+PER!AZ398+PER!AZ438+PER!AZ478+PER!AZ518+PER!AZ558+PER!AZ598)=0,"",_xlfn.IFS(PER!AZ38=1,PER!$V$34,PER!AZ78=1,PER!$V$35,PER!AZ118=1,PER!$V$36,PER!AZ158=1,PER!$V$37,PER!AZ198=1,PER!$V$38,PER!AZ238=1,PER!$V$39,PER!AZ278=1,PER!$V$40,PER!AZ318=1,PER!$V$41,PER!AZ358=1,PER!$V$42,PER!AZ398=1,PER!$V$43,PER!AZ438=1,PER!$V$44,PER!AZ478=1,PER!$V$45,PER!AZ518=1,PER!$V$46,PER!AZ558=1,PER!$V$47,PER!AZ598=1,PER!$V$48)))</f>
        <v>Bar</v>
      </c>
      <c r="L7" s="54" t="str" cm="1">
        <f t="array" ref="L7">IF(PER!AF57=0,"",IF((PER!BA38+PER!BA78+PER!BA118+PER!BA158+PER!BA198+PER!BA238+PER!BA278+PER!BA318+PER!BA358+PER!BA398+PER!BA438+PER!BA478+PER!BA518+PER!BA558+PER!BA598)=0,"",_xlfn.IFS(PER!BA38=1,PER!$V$34,PER!BA78=1,PER!$V$35,PER!BA118=1,PER!$V$36,PER!BA158=1,PER!$V$37,PER!BA198=1,PER!$V$38,PER!BA238=1,PER!$V$39,PER!BA278=1,PER!$V$40,PER!BA318=1,PER!$V$41,PER!BA358=1,PER!$V$42,PER!BA398=1,PER!$V$43,PER!BA438=1,PER!$V$44,PER!BA478=1,PER!$V$45,PER!BA518=1,PER!$V$46,PER!BA558=1,PER!$V$47,PER!BA598=1,PER!$V$48)))</f>
        <v>Volante</v>
      </c>
      <c r="M7" s="54" t="str" cm="1">
        <f t="array" ref="M7">IF(PER!AG57=0,"",IF((PER!BB38+PER!BB78+PER!BB118+PER!BB158+PER!BB198+PER!BB238+PER!BB278+PER!BB318+PER!BB358+PER!BB398+PER!BB438+PER!BB478+PER!BB518+PER!BB558+PER!BB598)=0,"",_xlfn.IFS(PER!BB38=1,PER!$V$34,PER!BB78=1,PER!$V$35,PER!BB118=1,PER!$V$36,PER!BB158=1,PER!$V$37,PER!BB198=1,PER!$V$38,PER!BB238=1,PER!$V$39,PER!BB278=1,PER!$V$40,PER!BB318=1,PER!$V$41,PER!BB358=1,PER!$V$42,PER!BB398=1,PER!$V$43,PER!BB438=1,PER!$V$44,PER!BB478=1,PER!$V$45,PER!BB518=1,PER!$V$46,PER!BB558=1,PER!$V$47,PER!BB598=1,PER!$V$48)))</f>
        <v>Entry</v>
      </c>
      <c r="N7" s="54" t="str" cm="1">
        <f t="array" ref="N7">IF(PER!AH57=0,"",IF((PER!BC38+PER!BC78+PER!BC118+PER!BC158+PER!BC198+PER!BC238+PER!BC278+PER!BC318+PER!BC358+PER!BC398+PER!BC438+PER!BC478+PER!BC518+PER!BC558+PER!BC598)=0,"",_xlfn.IFS(PER!BC38=1,PER!$V$34,PER!BC78=1,PER!$V$35,PER!BC118=1,PER!$V$36,PER!BC158=1,PER!$V$37,PER!BC198=1,PER!$V$38,PER!BC238=1,PER!$V$39,PER!BC278=1,PER!$V$40,PER!BC318=1,PER!$V$41,PER!BC358=1,PER!$V$42,PER!BC398=1,PER!$V$43,PER!BC438=1,PER!$V$44,PER!BC478=1,PER!$V$45,PER!BC518=1,PER!$V$46,PER!BC558=1,PER!$V$47,PER!BC598=1,PER!$V$48)))</f>
        <v>Dummy 1</v>
      </c>
      <c r="O7" s="54" t="str" cm="1">
        <f t="array" ref="O7">IF(PER!AI57=0,"",IF((PER!BD38+PER!BD78+PER!BD118+PER!BD158+PER!BD198+PER!BD238+PER!BD278+PER!BD318+PER!BD358+PER!BD398+PER!BD438+PER!BD478+PER!BD518+PER!BD558+PER!BD598)=0,"",_xlfn.IFS(PER!BD38=1,PER!$V$34,PER!BD78=1,PER!$V$35,PER!BD118=1,PER!$V$36,PER!BD158=1,PER!$V$37,PER!BD198=1,PER!$V$38,PER!BD238=1,PER!$V$39,PER!BD278=1,PER!$V$40,PER!BD318=1,PER!$V$41,PER!BD358=1,PER!$V$42,PER!BD398=1,PER!$V$43,PER!BD438=1,PER!$V$44,PER!BD478=1,PER!$V$45,PER!BD518=1,PER!$V$46,PER!BD558=1,PER!$V$47,PER!BD598=1,PER!$V$48)))</f>
        <v/>
      </c>
      <c r="P7" s="54" t="str" cm="1">
        <f t="array" ref="P7">IF(PER!AJ57=0,"",IF((PER!BE38+PER!BE78+PER!BE118+PER!BE158+PER!BE198+PER!BE238+PER!BE278+PER!BE318+PER!BE358+PER!BE398+PER!BE438+PER!BE478+PER!BE518+PER!BE558+PER!BE598)=0,"",_xlfn.IFS(PER!BE38=1,PER!$V$34,PER!BE78=1,PER!$V$35,PER!BE118=1,PER!$V$36,PER!BE158=1,PER!$V$37,PER!BE198=1,PER!$V$38,PER!BE238=1,PER!$V$39,PER!BE278=1,PER!$V$40,PER!BE318=1,PER!$V$41,PER!BE358=1,PER!$V$42,PER!BE398=1,PER!$V$43,PER!BE438=1,PER!$V$44,PER!BE478=1,PER!$V$45,PER!BE518=1,PER!$V$46,PER!BE558=1,PER!$V$47,PER!BE598=1,PER!$V$48)))</f>
        <v/>
      </c>
      <c r="Q7" s="54" t="str" cm="1">
        <f t="array" ref="Q7">IF(PER!AK57=0,"",IF((PER!BF38+PER!BF78+PER!BF118+PER!BF158+PER!BF198+PER!BF238+PER!BF278+PER!BF318+PER!BF358+PER!BF398+PER!BF438+PER!BF478+PER!BF518+PER!BF558+PER!BF598)=0,"",_xlfn.IFS(PER!BF38=1,PER!$V$34,PER!BF78=1,PER!$V$35,PER!BF118=1,PER!$V$36,PER!BF158=1,PER!$V$37,PER!BF198=1,PER!$V$38,PER!BF238=1,PER!$V$39,PER!BF278=1,PER!$V$40,PER!BF318=1,PER!$V$41,PER!BF358=1,PER!$V$42,PER!BF398=1,PER!$V$43,PER!BF438=1,PER!$V$44,PER!BF478=1,PER!$V$45,PER!BF518=1,PER!$V$46,PER!BF558=1,PER!$V$47,PER!BF598=1,PER!$V$48)))</f>
        <v/>
      </c>
      <c r="R7" s="54" t="str" cm="1">
        <f t="array" ref="R7">IF(PER!AL57=0,"",IF((PER!BG38+PER!BG78+PER!BG118+PER!BG158+PER!BG198+PER!BG238+PER!BG278+PER!BG318+PER!BG358+PER!BG398+PER!BG438+PER!BG478+PER!BG518+PER!BG558+PER!BG598)=0,"",_xlfn.IFS(PER!BG38=1,PER!$V$34,PER!BG78=1,PER!$V$35,PER!BG118=1,PER!$V$36,PER!BG158=1,PER!$V$37,PER!BG198=1,PER!$V$38,PER!BG238=1,PER!$V$39,PER!BG278=1,PER!$V$40,PER!BG318=1,PER!$V$41,PER!BG358=1,PER!$V$42,PER!BG398=1,PER!$V$43,PER!BG438=1,PER!$V$44,PER!BG478=1,PER!$V$45,PER!BG518=1,PER!$V$46,PER!BG558=1,PER!$V$47,PER!BG598=1,PER!$V$48)))</f>
        <v/>
      </c>
      <c r="S7" s="54" t="str" cm="1">
        <f t="array" ref="S7">IF(PER!AM57=0,"",IF((PER!BH38+PER!BH78+PER!BH118+PER!BH158+PER!BH198+PER!BH238+PER!BH278+PER!BH318+PER!BH358+PER!BH398+PER!BH438+PER!BH478+PER!BH518+PER!BH558+PER!BH598)=0,"",_xlfn.IFS(PER!BH38=1,PER!$V$34,PER!BH78=1,PER!$V$35,PER!BH118=1,PER!$V$36,PER!BH158=1,PER!$V$37,PER!BH198=1,PER!$V$38,PER!BH238=1,PER!$V$39,PER!BH278=1,PER!$V$40,PER!BH318=1,PER!$V$41,PER!BH358=1,PER!$V$42,PER!BH398=1,PER!$V$43,PER!BH438=1,PER!$V$44,PER!BH478=1,PER!$V$45,PER!BH518=1,PER!$V$46,PER!BH558=1,PER!$V$47,PER!BH598=1,PER!$V$48)))</f>
        <v/>
      </c>
    </row>
    <row r="8" spans="1:19" x14ac:dyDescent="0.55000000000000004">
      <c r="A8">
        <v>6</v>
      </c>
      <c r="B8" t="s">
        <v>51</v>
      </c>
      <c r="C8" s="54" t="str" cm="1">
        <f t="array" ref="C8">IF(PER!W58=0,"",IF((PER!AR39+PER!AR79+PER!AR119+PER!AR159+PER!AR199+PER!AR239+PER!AR279+PER!AR319+PER!AR359+PER!AR399+PER!AR439+PER!AR479+PER!AR519+PER!AR559+PER!AR599)=0,"",_xlfn.IFS(PER!AR39=1,PER!$V$34,PER!AR79=1,PER!$V$35,PER!AR119=1,PER!$V$36,PER!AR159=1,PER!$V$37,PER!AR199=1,PER!$V$38,PER!AR239=1,PER!$V$39,PER!AR279=1,PER!$V$40,PER!AR319=1,PER!$V$41,PER!AR359=1,PER!$V$42,PER!AR399=1,PER!$V$43,PER!AR439=1,PER!$V$44,PER!AR479=1,PER!$V$45,PER!AR519=1,PER!$V$46,PER!AR559=1,PER!$V$47,PER!AR599=1,PER!$V$48)))</f>
        <v>Çapèse</v>
      </c>
      <c r="D8" s="54" t="str" cm="1">
        <f t="array" ref="D8">IF(PER!X58=0,"",IF((PER!AS39+PER!AS79+PER!AS119+PER!AS159+PER!AS199+PER!AS239+PER!AS279+PER!AS319+PER!AS359+PER!AS399+PER!AS439+PER!AS479+PER!AS519+PER!AS559+PER!AS599)=0,"",_xlfn.IFS(PER!AS39=1,PER!$V$34,PER!AS79=1,PER!$V$35,PER!AS119=1,PER!$V$36,PER!AS159=1,PER!$V$37,PER!AS199=1,PER!$V$38,PER!AS239=1,PER!$V$39,PER!AS279=1,PER!$V$40,PER!AS319=1,PER!$V$41,PER!AS359=1,PER!$V$42,PER!AS399=1,PER!$V$43,PER!AS439=1,PER!$V$44,PER!AS479=1,PER!$V$45,PER!AS519=1,PER!$V$46,PER!AS559=1,PER!$V$47,PER!AS599=1,PER!$V$48)))</f>
        <v>Volante</v>
      </c>
      <c r="E8" s="54" t="str" cm="1">
        <f t="array" ref="E8">IF(PER!Y58=0,"",IF((PER!AT39+PER!AT79+PER!AT119+PER!AT159+PER!AT199+PER!AT239+PER!AT279+PER!AT319+PER!AT359+PER!AT399+PER!AT439+PER!AT479+PER!AT519+PER!AT559+PER!AT599)=0,"",_xlfn.IFS(PER!AT39=1,PER!$V$34,PER!AT79=1,PER!$V$35,PER!AT119=1,PER!$V$36,PER!AT159=1,PER!$V$37,PER!AT199=1,PER!$V$38,PER!AT239=1,PER!$V$39,PER!AT279=1,PER!$V$40,PER!AT319=1,PER!$V$41,PER!AT359=1,PER!$V$42,PER!AT399=1,PER!$V$43,PER!AT439=1,PER!$V$44,PER!AT479=1,PER!$V$45,PER!AT519=1,PER!$V$46,PER!AT559=1,PER!$V$47,PER!AT599=1,PER!$V$48)))</f>
        <v>Rez</v>
      </c>
      <c r="F8" s="54" t="str" cm="1">
        <f t="array" ref="F8">IF(PER!Z58=0,"",IF((PER!AU39+PER!AU79+PER!AU119+PER!AU159+PER!AU199+PER!AU239+PER!AU279+PER!AU319+PER!AU359+PER!AU399+PER!AU439+PER!AU479+PER!AU519+PER!AU559+PER!AU599)=0,"",_xlfn.IFS(PER!AU39=1,PER!$V$34,PER!AU79=1,PER!$V$35,PER!AU119=1,PER!$V$36,PER!AU159=1,PER!$V$37,PER!AU199=1,PER!$V$38,PER!AU239=1,PER!$V$39,PER!AU279=1,PER!$V$40,PER!AU319=1,PER!$V$41,PER!AU359=1,PER!$V$42,PER!AU399=1,PER!$V$43,PER!AU439=1,PER!$V$44,PER!AU479=1,PER!$V$45,PER!AU519=1,PER!$V$46,PER!AU559=1,PER!$V$47,PER!AU599=1,PER!$V$48)))</f>
        <v>Set up</v>
      </c>
      <c r="G8" s="54" t="str" cm="1">
        <f t="array" ref="G8">IF(PER!AA58=0,"",IF((PER!AV39+PER!AV79+PER!AV119+PER!AV159+PER!AV199+PER!AV239+PER!AV279+PER!AV319+PER!AV359+PER!AV399+PER!AV439+PER!AV479+PER!AV519+PER!AV559+PER!AV599)=0,"",_xlfn.IFS(PER!AV39=1,PER!$V$34,PER!AV79=1,PER!$V$35,PER!AV119=1,PER!$V$36,PER!AV159=1,PER!$V$37,PER!AV199=1,PER!$V$38,PER!AV239=1,PER!$V$39,PER!AV279=1,PER!$V$40,PER!AV319=1,PER!$V$41,PER!AV359=1,PER!$V$42,PER!AV399=1,PER!$V$43,PER!AV439=1,PER!$V$44,PER!AV479=1,PER!$V$45,PER!AV519=1,PER!$V$46,PER!AV559=1,PER!$V$47,PER!AV599=1,PER!$V$48)))</f>
        <v>Entry</v>
      </c>
      <c r="H8" s="54" t="str" cm="1">
        <f t="array" ref="H8">IF(PER!AB58=0,"",IF((PER!AW39+PER!AW79+PER!AW119+PER!AW159+PER!AW199+PER!AW239+PER!AW279+PER!AW319+PER!AW359+PER!AW399+PER!AW439+PER!AW479+PER!AW519+PER!AW559+PER!AW599)=0,"",_xlfn.IFS(PER!AW39=1,PER!$V$34,PER!AW79=1,PER!$V$35,PER!AW119=1,PER!$V$36,PER!AW159=1,PER!$V$37,PER!AW199=1,PER!$V$38,PER!AW239=1,PER!$V$39,PER!AW279=1,PER!$V$40,PER!AW319=1,PER!$V$41,PER!AW359=1,PER!$V$42,PER!AW399=1,PER!$V$43,PER!AW439=1,PER!$V$44,PER!AW479=1,PER!$V$45,PER!AW519=1,PER!$V$46,PER!AW559=1,PER!$V$47,PER!AW599=1,PER!$V$48)))</f>
        <v>Level</v>
      </c>
      <c r="I8" s="54" t="str" cm="1">
        <f t="array" ref="I8">IF(PER!AC58=0,"",IF((PER!AX39+PER!AX79+PER!AX119+PER!AX159+PER!AX199+PER!AX239+PER!AX279+PER!AX319+PER!AX359+PER!AX399+PER!AX439+PER!AX479+PER!AX519+PER!AX559+PER!AX599)=0,"",_xlfn.IFS(PER!AX39=1,PER!$V$34,PER!AX79=1,PER!$V$35,PER!AX119=1,PER!$V$36,PER!AX159=1,PER!$V$37,PER!AX199=1,PER!$V$38,PER!AX239=1,PER!$V$39,PER!AX279=1,PER!$V$40,PER!AX319=1,PER!$V$41,PER!AX359=1,PER!$V$42,PER!AX399=1,PER!$V$43,PER!AX439=1,PER!$V$44,PER!AX479=1,PER!$V$45,PER!AX519=1,PER!$V$46,PER!AX559=1,PER!$V$47,PER!AX599=1,PER!$V$48)))</f>
        <v>Entry</v>
      </c>
      <c r="J8" s="54" t="str" cm="1">
        <f t="array" ref="J8">IF(PER!AD58=0,"",IF((PER!AY39+PER!AY79+PER!AY119+PER!AY159+PER!AY199+PER!AY239+PER!AY279+PER!AY319+PER!AY359+PER!AY399+PER!AY439+PER!AY479+PER!AY519+PER!AY559+PER!AY599)=0,"",_xlfn.IFS(PER!AY39=1,PER!$V$34,PER!AY79=1,PER!$V$35,PER!AY119=1,PER!$V$36,PER!AY159=1,PER!$V$37,PER!AY199=1,PER!$V$38,PER!AY239=1,PER!$V$39,PER!AY279=1,PER!$V$40,PER!AY319=1,PER!$V$41,PER!AY359=1,PER!$V$42,PER!AY399=1,PER!$V$43,PER!AY439=1,PER!$V$44,PER!AY479=1,PER!$V$45,PER!AY519=1,PER!$V$46,PER!AY559=1,PER!$V$47,PER!AY599=1,PER!$V$48)))</f>
        <v>Toilets</v>
      </c>
      <c r="K8" s="54" t="str" cm="1">
        <f t="array" ref="K8">IF(PER!AE58=0,"",IF((PER!AZ39+PER!AZ79+PER!AZ119+PER!AZ159+PER!AZ199+PER!AZ239+PER!AZ279+PER!AZ319+PER!AZ359+PER!AZ399+PER!AZ439+PER!AZ479+PER!AZ519+PER!AZ559+PER!AZ599)=0,"",_xlfn.IFS(PER!AZ39=1,PER!$V$34,PER!AZ79=1,PER!$V$35,PER!AZ119=1,PER!$V$36,PER!AZ159=1,PER!$V$37,PER!AZ199=1,PER!$V$38,PER!AZ239=1,PER!$V$39,PER!AZ279=1,PER!$V$40,PER!AZ319=1,PER!$V$41,PER!AZ359=1,PER!$V$42,PER!AZ399=1,PER!$V$43,PER!AZ439=1,PER!$V$44,PER!AZ479=1,PER!$V$45,PER!AZ519=1,PER!$V$46,PER!AZ559=1,PER!$V$47,PER!AZ599=1,PER!$V$48)))</f>
        <v>Rez</v>
      </c>
      <c r="L8" s="54" t="str" cm="1">
        <f t="array" ref="L8">IF(PER!AF58=0,"",IF((PER!BA39+PER!BA79+PER!BA119+PER!BA159+PER!BA199+PER!BA239+PER!BA279+PER!BA319+PER!BA359+PER!BA399+PER!BA439+PER!BA479+PER!BA519+PER!BA559+PER!BA599)=0,"",_xlfn.IFS(PER!BA39=1,PER!$V$34,PER!BA79=1,PER!$V$35,PER!BA119=1,PER!$V$36,PER!BA159=1,PER!$V$37,PER!BA199=1,PER!$V$38,PER!BA239=1,PER!$V$39,PER!BA279=1,PER!$V$40,PER!BA319=1,PER!$V$41,PER!BA359=1,PER!$V$42,PER!BA399=1,PER!$V$43,PER!BA439=1,PER!$V$44,PER!BA479=1,PER!$V$45,PER!BA519=1,PER!$V$46,PER!BA559=1,PER!$V$47,PER!BA599=1,PER!$V$48)))</f>
        <v>Entry</v>
      </c>
      <c r="M8" s="54" t="str" cm="1">
        <f t="array" ref="M8">IF(PER!AG58=0,"",IF((PER!BB39+PER!BB79+PER!BB119+PER!BB159+PER!BB199+PER!BB239+PER!BB279+PER!BB319+PER!BB359+PER!BB399+PER!BB439+PER!BB479+PER!BB519+PER!BB559+PER!BB599)=0,"",_xlfn.IFS(PER!BB39=1,PER!$V$34,PER!BB79=1,PER!$V$35,PER!BB119=1,PER!$V$36,PER!BB159=1,PER!$V$37,PER!BB199=1,PER!$V$38,PER!BB239=1,PER!$V$39,PER!BB279=1,PER!$V$40,PER!BB319=1,PER!$V$41,PER!BB359=1,PER!$V$42,PER!BB399=1,PER!$V$43,PER!BB439=1,PER!$V$44,PER!BB479=1,PER!$V$45,PER!BB519=1,PER!$V$46,PER!BB559=1,PER!$V$47,PER!BB599=1,PER!$V$48)))</f>
        <v>C-mix</v>
      </c>
      <c r="N8" s="54" t="str" cm="1">
        <f t="array" ref="N8">IF(PER!AH58=0,"",IF((PER!BC39+PER!BC79+PER!BC119+PER!BC159+PER!BC199+PER!BC239+PER!BC279+PER!BC319+PER!BC359+PER!BC399+PER!BC439+PER!BC479+PER!BC519+PER!BC559+PER!BC599)=0,"",_xlfn.IFS(PER!BC39=1,PER!$V$34,PER!BC79=1,PER!$V$35,PER!BC119=1,PER!$V$36,PER!BC159=1,PER!$V$37,PER!BC199=1,PER!$V$38,PER!BC239=1,PER!$V$39,PER!BC279=1,PER!$V$40,PER!BC319=1,PER!$V$41,PER!BC359=1,PER!$V$42,PER!BC399=1,PER!$V$43,PER!BC439=1,PER!$V$44,PER!BC479=1,PER!$V$45,PER!BC519=1,PER!$V$46,PER!BC559=1,PER!$V$47,PER!BC599=1,PER!$V$48)))</f>
        <v>Rez</v>
      </c>
      <c r="O8" s="54" t="str" cm="1">
        <f t="array" ref="O8">IF(PER!AI58=0,"",IF((PER!BD39+PER!BD79+PER!BD119+PER!BD159+PER!BD199+PER!BD239+PER!BD279+PER!BD319+PER!BD359+PER!BD399+PER!BD439+PER!BD479+PER!BD519+PER!BD559+PER!BD599)=0,"",_xlfn.IFS(PER!BD39=1,PER!$V$34,PER!BD79=1,PER!$V$35,PER!BD119=1,PER!$V$36,PER!BD159=1,PER!$V$37,PER!BD199=1,PER!$V$38,PER!BD239=1,PER!$V$39,PER!BD279=1,PER!$V$40,PER!BD319=1,PER!$V$41,PER!BD359=1,PER!$V$42,PER!BD399=1,PER!$V$43,PER!BD439=1,PER!$V$44,PER!BD479=1,PER!$V$45,PER!BD519=1,PER!$V$46,PER!BD559=1,PER!$V$47,PER!BD599=1,PER!$V$48)))</f>
        <v/>
      </c>
      <c r="P8" s="54" t="str" cm="1">
        <f t="array" ref="P8">IF(PER!AJ58=0,"",IF((PER!BE39+PER!BE79+PER!BE119+PER!BE159+PER!BE199+PER!BE239+PER!BE279+PER!BE319+PER!BE359+PER!BE399+PER!BE439+PER!BE479+PER!BE519+PER!BE559+PER!BE599)=0,"",_xlfn.IFS(PER!BE39=1,PER!$V$34,PER!BE79=1,PER!$V$35,PER!BE119=1,PER!$V$36,PER!BE159=1,PER!$V$37,PER!BE199=1,PER!$V$38,PER!BE239=1,PER!$V$39,PER!BE279=1,PER!$V$40,PER!BE319=1,PER!$V$41,PER!BE359=1,PER!$V$42,PER!BE399=1,PER!$V$43,PER!BE439=1,PER!$V$44,PER!BE479=1,PER!$V$45,PER!BE519=1,PER!$V$46,PER!BE559=1,PER!$V$47,PER!BE599=1,PER!$V$48)))</f>
        <v/>
      </c>
      <c r="Q8" s="54" t="str" cm="1">
        <f t="array" ref="Q8">IF(PER!AK58=0,"",IF((PER!BF39+PER!BF79+PER!BF119+PER!BF159+PER!BF199+PER!BF239+PER!BF279+PER!BF319+PER!BF359+PER!BF399+PER!BF439+PER!BF479+PER!BF519+PER!BF559+PER!BF599)=0,"",_xlfn.IFS(PER!BF39=1,PER!$V$34,PER!BF79=1,PER!$V$35,PER!BF119=1,PER!$V$36,PER!BF159=1,PER!$V$37,PER!BF199=1,PER!$V$38,PER!BF239=1,PER!$V$39,PER!BF279=1,PER!$V$40,PER!BF319=1,PER!$V$41,PER!BF359=1,PER!$V$42,PER!BF399=1,PER!$V$43,PER!BF439=1,PER!$V$44,PER!BF479=1,PER!$V$45,PER!BF519=1,PER!$V$46,PER!BF559=1,PER!$V$47,PER!BF599=1,PER!$V$48)))</f>
        <v/>
      </c>
      <c r="R8" s="54" t="str" cm="1">
        <f t="array" ref="R8">IF(PER!AL58=0,"",IF((PER!BG39+PER!BG79+PER!BG119+PER!BG159+PER!BG199+PER!BG239+PER!BG279+PER!BG319+PER!BG359+PER!BG399+PER!BG439+PER!BG479+PER!BG519+PER!BG559+PER!BG599)=0,"",_xlfn.IFS(PER!BG39=1,PER!$V$34,PER!BG79=1,PER!$V$35,PER!BG119=1,PER!$V$36,PER!BG159=1,PER!$V$37,PER!BG199=1,PER!$V$38,PER!BG239=1,PER!$V$39,PER!BG279=1,PER!$V$40,PER!BG319=1,PER!$V$41,PER!BG359=1,PER!$V$42,PER!BG399=1,PER!$V$43,PER!BG439=1,PER!$V$44,PER!BG479=1,PER!$V$45,PER!BG519=1,PER!$V$46,PER!BG559=1,PER!$V$47,PER!BG599=1,PER!$V$48)))</f>
        <v/>
      </c>
      <c r="S8" s="54" t="str" cm="1">
        <f t="array" ref="S8">IF(PER!AM58=0,"",IF((PER!BH39+PER!BH79+PER!BH119+PER!BH159+PER!BH199+PER!BH239+PER!BH279+PER!BH319+PER!BH359+PER!BH399+PER!BH439+PER!BH479+PER!BH519+PER!BH559+PER!BH599)=0,"",_xlfn.IFS(PER!BH39=1,PER!$V$34,PER!BH79=1,PER!$V$35,PER!BH119=1,PER!$V$36,PER!BH159=1,PER!$V$37,PER!BH199=1,PER!$V$38,PER!BH239=1,PER!$V$39,PER!BH279=1,PER!$V$40,PER!BH319=1,PER!$V$41,PER!BH359=1,PER!$V$42,PER!BH399=1,PER!$V$43,PER!BH439=1,PER!$V$44,PER!BH479=1,PER!$V$45,PER!BH519=1,PER!$V$46,PER!BH559=1,PER!$V$47,PER!BH599=1,PER!$V$48)))</f>
        <v/>
      </c>
    </row>
    <row r="9" spans="1:19" x14ac:dyDescent="0.55000000000000004">
      <c r="A9">
        <v>7</v>
      </c>
      <c r="B9" t="s">
        <v>52</v>
      </c>
      <c r="C9" s="54" t="str" cm="1">
        <f t="array" ref="C9">IF(PER!W59=0,"",IF((PER!AR40+PER!AR80+PER!AR120+PER!AR160+PER!AR200+PER!AR240+PER!AR280+PER!AR320+PER!AR360+PER!AR400+PER!AR440+PER!AR480+PER!AR520+PER!AR560+PER!AR600)=0,"",_xlfn.IFS(PER!AR40=1,PER!$V$34,PER!AR80=1,PER!$V$35,PER!AR120=1,PER!$V$36,PER!AR160=1,PER!$V$37,PER!AR200=1,PER!$V$38,PER!AR240=1,PER!$V$39,PER!AR280=1,PER!$V$40,PER!AR320=1,PER!$V$41,PER!AR360=1,PER!$V$42,PER!AR400=1,PER!$V$43,PER!AR440=1,PER!$V$44,PER!AR480=1,PER!$V$45,PER!AR520=1,PER!$V$46,PER!AR560=1,PER!$V$47,PER!AR600=1,PER!$V$48)))</f>
        <v>Set up</v>
      </c>
      <c r="D9" s="54" t="str" cm="1">
        <f t="array" ref="D9">IF(PER!X59=0,"",IF((PER!AS40+PER!AS80+PER!AS120+PER!AS160+PER!AS200+PER!AS240+PER!AS280+PER!AS320+PER!AS360+PER!AS400+PER!AS440+PER!AS480+PER!AS520+PER!AS560+PER!AS600)=0,"",_xlfn.IFS(PER!AS40=1,PER!$V$34,PER!AS80=1,PER!$V$35,PER!AS120=1,PER!$V$36,PER!AS160=1,PER!$V$37,PER!AS200=1,PER!$V$38,PER!AS240=1,PER!$V$39,PER!AS280=1,PER!$V$40,PER!AS320=1,PER!$V$41,PER!AS360=1,PER!$V$42,PER!AS400=1,PER!$V$43,PER!AS440=1,PER!$V$44,PER!AS480=1,PER!$V$45,PER!AS520=1,PER!$V$46,PER!AS560=1,PER!$V$47,PER!AS600=1,PER!$V$48)))</f>
        <v>Volante</v>
      </c>
      <c r="E9" s="54" t="str" cm="1">
        <f t="array" ref="E9">IF(PER!Y59=0,"",IF((PER!AT40+PER!AT80+PER!AT120+PER!AT160+PER!AT200+PER!AT240+PER!AT280+PER!AT320+PER!AT360+PER!AT400+PER!AT440+PER!AT480+PER!AT520+PER!AT560+PER!AT600)=0,"",_xlfn.IFS(PER!AT40=1,PER!$V$34,PER!AT80=1,PER!$V$35,PER!AT120=1,PER!$V$36,PER!AT160=1,PER!$V$37,PER!AT200=1,PER!$V$38,PER!AT240=1,PER!$V$39,PER!AT280=1,PER!$V$40,PER!AT320=1,PER!$V$41,PER!AT360=1,PER!$V$42,PER!AT400=1,PER!$V$43,PER!AT440=1,PER!$V$44,PER!AT480=1,PER!$V$45,PER!AT520=1,PER!$V$46,PER!AT560=1,PER!$V$47,PER!AT600=1,PER!$V$48)))</f>
        <v>Set up</v>
      </c>
      <c r="F9" s="54" t="str" cm="1">
        <f t="array" ref="F9">IF(PER!Z59=0,"",IF((PER!AU40+PER!AU80+PER!AU120+PER!AU160+PER!AU200+PER!AU240+PER!AU280+PER!AU320+PER!AU360+PER!AU400+PER!AU440+PER!AU480+PER!AU520+PER!AU560+PER!AU600)=0,"",_xlfn.IFS(PER!AU40=1,PER!$V$34,PER!AU80=1,PER!$V$35,PER!AU120=1,PER!$V$36,PER!AU160=1,PER!$V$37,PER!AU200=1,PER!$V$38,PER!AU240=1,PER!$V$39,PER!AU280=1,PER!$V$40,PER!AU320=1,PER!$V$41,PER!AU360=1,PER!$V$42,PER!AU400=1,PER!$V$43,PER!AU440=1,PER!$V$44,PER!AU480=1,PER!$V$45,PER!AU520=1,PER!$V$46,PER!AU560=1,PER!$V$47,PER!AU600=1,PER!$V$48)))</f>
        <v>C-mix</v>
      </c>
      <c r="G9" s="54" t="str" cm="1">
        <f t="array" ref="G9">IF(PER!AA59=0,"",IF((PER!AV40+PER!AV80+PER!AV120+PER!AV160+PER!AV200+PER!AV240+PER!AV280+PER!AV320+PER!AV360+PER!AV400+PER!AV440+PER!AV480+PER!AV520+PER!AV560+PER!AV600)=0,"",_xlfn.IFS(PER!AV40=1,PER!$V$34,PER!AV80=1,PER!$V$35,PER!AV120=1,PER!$V$36,PER!AV160=1,PER!$V$37,PER!AV200=1,PER!$V$38,PER!AV240=1,PER!$V$39,PER!AV280=1,PER!$V$40,PER!AV320=1,PER!$V$41,PER!AV360=1,PER!$V$42,PER!AV400=1,PER!$V$43,PER!AV440=1,PER!$V$44,PER!AV480=1,PER!$V$45,PER!AV520=1,PER!$V$46,PER!AV560=1,PER!$V$47,PER!AV600=1,PER!$V$48)))</f>
        <v>Bar</v>
      </c>
      <c r="H9" s="54" t="str" cm="1">
        <f t="array" ref="H9">IF(PER!AB59=0,"",IF((PER!AW40+PER!AW80+PER!AW120+PER!AW160+PER!AW200+PER!AW240+PER!AW280+PER!AW320+PER!AW360+PER!AW400+PER!AW440+PER!AW480+PER!AW520+PER!AW560+PER!AW600)=0,"",_xlfn.IFS(PER!AW40=1,PER!$V$34,PER!AW80=1,PER!$V$35,PER!AW120=1,PER!$V$36,PER!AW160=1,PER!$V$37,PER!AW200=1,PER!$V$38,PER!AW240=1,PER!$V$39,PER!AW280=1,PER!$V$40,PER!AW320=1,PER!$V$41,PER!AW360=1,PER!$V$42,PER!AW400=1,PER!$V$43,PER!AW440=1,PER!$V$44,PER!AW480=1,PER!$V$45,PER!AW520=1,PER!$V$46,PER!AW560=1,PER!$V$47,PER!AW600=1,PER!$V$48)))</f>
        <v>Set up</v>
      </c>
      <c r="I9" s="54" t="str" cm="1">
        <f t="array" ref="I9">IF(PER!AC59=0,"",IF((PER!AX40+PER!AX80+PER!AX120+PER!AX160+PER!AX200+PER!AX240+PER!AX280+PER!AX320+PER!AX360+PER!AX400+PER!AX440+PER!AX480+PER!AX520+PER!AX560+PER!AX600)=0,"",_xlfn.IFS(PER!AX40=1,PER!$V$34,PER!AX80=1,PER!$V$35,PER!AX120=1,PER!$V$36,PER!AX160=1,PER!$V$37,PER!AX200=1,PER!$V$38,PER!AX240=1,PER!$V$39,PER!AX280=1,PER!$V$40,PER!AX320=1,PER!$V$41,PER!AX360=1,PER!$V$42,PER!AX400=1,PER!$V$43,PER!AX440=1,PER!$V$44,PER!AX480=1,PER!$V$45,PER!AX520=1,PER!$V$46,PER!AX560=1,PER!$V$47,PER!AX600=1,PER!$V$48)))</f>
        <v>Bar</v>
      </c>
      <c r="J9" s="54" t="str" cm="1">
        <f t="array" ref="J9">IF(PER!AD59=0,"",IF((PER!AY40+PER!AY80+PER!AY120+PER!AY160+PER!AY200+PER!AY240+PER!AY280+PER!AY320+PER!AY360+PER!AY400+PER!AY440+PER!AY480+PER!AY520+PER!AY560+PER!AY600)=0,"",_xlfn.IFS(PER!AY40=1,PER!$V$34,PER!AY80=1,PER!$V$35,PER!AY120=1,PER!$V$36,PER!AY160=1,PER!$V$37,PER!AY200=1,PER!$V$38,PER!AY240=1,PER!$V$39,PER!AY280=1,PER!$V$40,PER!AY320=1,PER!$V$41,PER!AY360=1,PER!$V$42,PER!AY400=1,PER!$V$43,PER!AY440=1,PER!$V$44,PER!AY480=1,PER!$V$45,PER!AY520=1,PER!$V$46,PER!AY560=1,PER!$V$47,PER!AY600=1,PER!$V$48)))</f>
        <v>Toilets</v>
      </c>
      <c r="K9" s="54" t="str" cm="1">
        <f t="array" ref="K9">IF(PER!AE59=0,"",IF((PER!AZ40+PER!AZ80+PER!AZ120+PER!AZ160+PER!AZ200+PER!AZ240+PER!AZ280+PER!AZ320+PER!AZ360+PER!AZ400+PER!AZ440+PER!AZ480+PER!AZ520+PER!AZ560+PER!AZ600)=0,"",_xlfn.IFS(PER!AZ40=1,PER!$V$34,PER!AZ80=1,PER!$V$35,PER!AZ120=1,PER!$V$36,PER!AZ160=1,PER!$V$37,PER!AZ200=1,PER!$V$38,PER!AZ240=1,PER!$V$39,PER!AZ280=1,PER!$V$40,PER!AZ320=1,PER!$V$41,PER!AZ360=1,PER!$V$42,PER!AZ400=1,PER!$V$43,PER!AZ440=1,PER!$V$44,PER!AZ480=1,PER!$V$45,PER!AZ520=1,PER!$V$46,PER!AZ560=1,PER!$V$47,PER!AZ600=1,PER!$V$48)))</f>
        <v>Dummy 2</v>
      </c>
      <c r="L9" s="54" t="str" cm="1">
        <f t="array" ref="L9">IF(PER!AF59=0,"",IF((PER!BA40+PER!BA80+PER!BA120+PER!BA160+PER!BA200+PER!BA240+PER!BA280+PER!BA320+PER!BA360+PER!BA400+PER!BA440+PER!BA480+PER!BA520+PER!BA560+PER!BA600)=0,"",_xlfn.IFS(PER!BA40=1,PER!$V$34,PER!BA80=1,PER!$V$35,PER!BA120=1,PER!$V$36,PER!BA160=1,PER!$V$37,PER!BA200=1,PER!$V$38,PER!BA240=1,PER!$V$39,PER!BA280=1,PER!$V$40,PER!BA320=1,PER!$V$41,PER!BA360=1,PER!$V$42,PER!BA400=1,PER!$V$43,PER!BA440=1,PER!$V$44,PER!BA480=1,PER!$V$45,PER!BA520=1,PER!$V$46,PER!BA560=1,PER!$V$47,PER!BA600=1,PER!$V$48)))</f>
        <v>Volante</v>
      </c>
      <c r="M9" s="54" t="str" cm="1">
        <f t="array" ref="M9">IF(PER!AG59=0,"",IF((PER!BB40+PER!BB80+PER!BB120+PER!BB160+PER!BB200+PER!BB240+PER!BB280+PER!BB320+PER!BB360+PER!BB400+PER!BB440+PER!BB480+PER!BB520+PER!BB560+PER!BB600)=0,"",_xlfn.IFS(PER!BB40=1,PER!$V$34,PER!BB80=1,PER!$V$35,PER!BB120=1,PER!$V$36,PER!BB160=1,PER!$V$37,PER!BB200=1,PER!$V$38,PER!BB240=1,PER!$V$39,PER!BB280=1,PER!$V$40,PER!BB320=1,PER!$V$41,PER!BB360=1,PER!$V$42,PER!BB400=1,PER!$V$43,PER!BB440=1,PER!$V$44,PER!BB480=1,PER!$V$45,PER!BB520=1,PER!$V$46,PER!BB560=1,PER!$V$47,PER!BB600=1,PER!$V$48)))</f>
        <v>C-mix</v>
      </c>
      <c r="N9" s="54" t="str" cm="1">
        <f t="array" ref="N9">IF(PER!AH59=0,"",IF((PER!BC40+PER!BC80+PER!BC120+PER!BC160+PER!BC200+PER!BC240+PER!BC280+PER!BC320+PER!BC360+PER!BC400+PER!BC440+PER!BC480+PER!BC520+PER!BC560+PER!BC600)=0,"",_xlfn.IFS(PER!BC40=1,PER!$V$34,PER!BC80=1,PER!$V$35,PER!BC120=1,PER!$V$36,PER!BC160=1,PER!$V$37,PER!BC200=1,PER!$V$38,PER!BC240=1,PER!$V$39,PER!BC280=1,PER!$V$40,PER!BC320=1,PER!$V$41,PER!BC360=1,PER!$V$42,PER!BC400=1,PER!$V$43,PER!BC440=1,PER!$V$44,PER!BC480=1,PER!$V$45,PER!BC520=1,PER!$V$46,PER!BC560=1,PER!$V$47,PER!BC600=1,PER!$V$48)))</f>
        <v>Set up</v>
      </c>
      <c r="O9" s="54" t="str" cm="1">
        <f t="array" ref="O9">IF(PER!AI59=0,"",IF((PER!BD40+PER!BD80+PER!BD120+PER!BD160+PER!BD200+PER!BD240+PER!BD280+PER!BD320+PER!BD360+PER!BD400+PER!BD440+PER!BD480+PER!BD520+PER!BD560+PER!BD600)=0,"",_xlfn.IFS(PER!BD40=1,PER!$V$34,PER!BD80=1,PER!$V$35,PER!BD120=1,PER!$V$36,PER!BD160=1,PER!$V$37,PER!BD200=1,PER!$V$38,PER!BD240=1,PER!$V$39,PER!BD280=1,PER!$V$40,PER!BD320=1,PER!$V$41,PER!BD360=1,PER!$V$42,PER!BD400=1,PER!$V$43,PER!BD440=1,PER!$V$44,PER!BD480=1,PER!$V$45,PER!BD520=1,PER!$V$46,PER!BD560=1,PER!$V$47,PER!BD600=1,PER!$V$48)))</f>
        <v/>
      </c>
      <c r="P9" s="54" t="str" cm="1">
        <f t="array" ref="P9">IF(PER!AJ59=0,"",IF((PER!BE40+PER!BE80+PER!BE120+PER!BE160+PER!BE200+PER!BE240+PER!BE280+PER!BE320+PER!BE360+PER!BE400+PER!BE440+PER!BE480+PER!BE520+PER!BE560+PER!BE600)=0,"",_xlfn.IFS(PER!BE40=1,PER!$V$34,PER!BE80=1,PER!$V$35,PER!BE120=1,PER!$V$36,PER!BE160=1,PER!$V$37,PER!BE200=1,PER!$V$38,PER!BE240=1,PER!$V$39,PER!BE280=1,PER!$V$40,PER!BE320=1,PER!$V$41,PER!BE360=1,PER!$V$42,PER!BE400=1,PER!$V$43,PER!BE440=1,PER!$V$44,PER!BE480=1,PER!$V$45,PER!BE520=1,PER!$V$46,PER!BE560=1,PER!$V$47,PER!BE600=1,PER!$V$48)))</f>
        <v/>
      </c>
      <c r="Q9" s="54" t="str" cm="1">
        <f t="array" ref="Q9">IF(PER!AK59=0,"",IF((PER!BF40+PER!BF80+PER!BF120+PER!BF160+PER!BF200+PER!BF240+PER!BF280+PER!BF320+PER!BF360+PER!BF400+PER!BF440+PER!BF480+PER!BF520+PER!BF560+PER!BF600)=0,"",_xlfn.IFS(PER!BF40=1,PER!$V$34,PER!BF80=1,PER!$V$35,PER!BF120=1,PER!$V$36,PER!BF160=1,PER!$V$37,PER!BF200=1,PER!$V$38,PER!BF240=1,PER!$V$39,PER!BF280=1,PER!$V$40,PER!BF320=1,PER!$V$41,PER!BF360=1,PER!$V$42,PER!BF400=1,PER!$V$43,PER!BF440=1,PER!$V$44,PER!BF480=1,PER!$V$45,PER!BF520=1,PER!$V$46,PER!BF560=1,PER!$V$47,PER!BF600=1,PER!$V$48)))</f>
        <v/>
      </c>
      <c r="R9" s="54" t="str" cm="1">
        <f t="array" ref="R9">IF(PER!AL59=0,"",IF((PER!BG40+PER!BG80+PER!BG120+PER!BG160+PER!BG200+PER!BG240+PER!BG280+PER!BG320+PER!BG360+PER!BG400+PER!BG440+PER!BG480+PER!BG520+PER!BG560+PER!BG600)=0,"",_xlfn.IFS(PER!BG40=1,PER!$V$34,PER!BG80=1,PER!$V$35,PER!BG120=1,PER!$V$36,PER!BG160=1,PER!$V$37,PER!BG200=1,PER!$V$38,PER!BG240=1,PER!$V$39,PER!BG280=1,PER!$V$40,PER!BG320=1,PER!$V$41,PER!BG360=1,PER!$V$42,PER!BG400=1,PER!$V$43,PER!BG440=1,PER!$V$44,PER!BG480=1,PER!$V$45,PER!BG520=1,PER!$V$46,PER!BG560=1,PER!$V$47,PER!BG600=1,PER!$V$48)))</f>
        <v/>
      </c>
      <c r="S9" s="54" t="str" cm="1">
        <f t="array" ref="S9">IF(PER!AM59=0,"",IF((PER!BH40+PER!BH80+PER!BH120+PER!BH160+PER!BH200+PER!BH240+PER!BH280+PER!BH320+PER!BH360+PER!BH400+PER!BH440+PER!BH480+PER!BH520+PER!BH560+PER!BH600)=0,"",_xlfn.IFS(PER!BH40=1,PER!$V$34,PER!BH80=1,PER!$V$35,PER!BH120=1,PER!$V$36,PER!BH160=1,PER!$V$37,PER!BH200=1,PER!$V$38,PER!BH240=1,PER!$V$39,PER!BH280=1,PER!$V$40,PER!BH320=1,PER!$V$41,PER!BH360=1,PER!$V$42,PER!BH400=1,PER!$V$43,PER!BH440=1,PER!$V$44,PER!BH480=1,PER!$V$45,PER!BH520=1,PER!$V$46,PER!BH560=1,PER!$V$47,PER!BH600=1,PER!$V$48)))</f>
        <v/>
      </c>
    </row>
    <row r="10" spans="1:19" x14ac:dyDescent="0.55000000000000004">
      <c r="A10">
        <v>8</v>
      </c>
      <c r="B10" t="s">
        <v>53</v>
      </c>
      <c r="C10" s="54" t="str" cm="1">
        <f t="array" ref="C10">IF(PER!W60=0,"",IF((PER!AR41+PER!AR81+PER!AR121+PER!AR161+PER!AR201+PER!AR241+PER!AR281+PER!AR321+PER!AR361+PER!AR401+PER!AR441+PER!AR481+PER!AR521+PER!AR561+PER!AR601)=0,"",_xlfn.IFS(PER!AR41=1,PER!$V$34,PER!AR81=1,PER!$V$35,PER!AR121=1,PER!$V$36,PER!AR161=1,PER!$V$37,PER!AR201=1,PER!$V$38,PER!AR241=1,PER!$V$39,PER!AR281=1,PER!$V$40,PER!AR321=1,PER!$V$41,PER!AR361=1,PER!$V$42,PER!AR401=1,PER!$V$43,PER!AR441=1,PER!$V$44,PER!AR481=1,PER!$V$45,PER!AR521=1,PER!$V$46,PER!AR561=1,PER!$V$47,PER!AR601=1,PER!$V$48)))</f>
        <v/>
      </c>
      <c r="D10" s="54" t="str" cm="1">
        <f t="array" ref="D10">IF(PER!X60=0,"",IF((PER!AS41+PER!AS81+PER!AS121+PER!AS161+PER!AS201+PER!AS241+PER!AS281+PER!AS321+PER!AS361+PER!AS401+PER!AS441+PER!AS481+PER!AS521+PER!AS561+PER!AS601)=0,"",_xlfn.IFS(PER!AS41=1,PER!$V$34,PER!AS81=1,PER!$V$35,PER!AS121=1,PER!$V$36,PER!AS161=1,PER!$V$37,PER!AS201=1,PER!$V$38,PER!AS241=1,PER!$V$39,PER!AS281=1,PER!$V$40,PER!AS321=1,PER!$V$41,PER!AS361=1,PER!$V$42,PER!AS401=1,PER!$V$43,PER!AS441=1,PER!$V$44,PER!AS481=1,PER!$V$45,PER!AS521=1,PER!$V$46,PER!AS561=1,PER!$V$47,PER!AS601=1,PER!$V$48)))</f>
        <v/>
      </c>
      <c r="E10" s="54" t="str" cm="1">
        <f t="array" ref="E10">IF(PER!Y60=0,"",IF((PER!AT41+PER!AT81+PER!AT121+PER!AT161+PER!AT201+PER!AT241+PER!AT281+PER!AT321+PER!AT361+PER!AT401+PER!AT441+PER!AT481+PER!AT521+PER!AT561+PER!AT601)=0,"",_xlfn.IFS(PER!AT41=1,PER!$V$34,PER!AT81=1,PER!$V$35,PER!AT121=1,PER!$V$36,PER!AT161=1,PER!$V$37,PER!AT201=1,PER!$V$38,PER!AT241=1,PER!$V$39,PER!AT281=1,PER!$V$40,PER!AT321=1,PER!$V$41,PER!AT361=1,PER!$V$42,PER!AT401=1,PER!$V$43,PER!AT441=1,PER!$V$44,PER!AT481=1,PER!$V$45,PER!AT521=1,PER!$V$46,PER!AT561=1,PER!$V$47,PER!AT601=1,PER!$V$48)))</f>
        <v/>
      </c>
      <c r="F10" s="54" t="str" cm="1">
        <f t="array" ref="F10">IF(PER!Z60=0,"",IF((PER!AU41+PER!AU81+PER!AU121+PER!AU161+PER!AU201+PER!AU241+PER!AU281+PER!AU321+PER!AU361+PER!AU401+PER!AU441+PER!AU481+PER!AU521+PER!AU561+PER!AU601)=0,"",_xlfn.IFS(PER!AU41=1,PER!$V$34,PER!AU81=1,PER!$V$35,PER!AU121=1,PER!$V$36,PER!AU161=1,PER!$V$37,PER!AU201=1,PER!$V$38,PER!AU241=1,PER!$V$39,PER!AU281=1,PER!$V$40,PER!AU321=1,PER!$V$41,PER!AU361=1,PER!$V$42,PER!AU401=1,PER!$V$43,PER!AU441=1,PER!$V$44,PER!AU481=1,PER!$V$45,PER!AU521=1,PER!$V$46,PER!AU561=1,PER!$V$47,PER!AU601=1,PER!$V$48)))</f>
        <v/>
      </c>
      <c r="G10" s="54" t="str" cm="1">
        <f t="array" ref="G10">IF(PER!AA60=0,"",IF((PER!AV41+PER!AV81+PER!AV121+PER!AV161+PER!AV201+PER!AV241+PER!AV281+PER!AV321+PER!AV361+PER!AV401+PER!AV441+PER!AV481+PER!AV521+PER!AV561+PER!AV601)=0,"",_xlfn.IFS(PER!AV41=1,PER!$V$34,PER!AV81=1,PER!$V$35,PER!AV121=1,PER!$V$36,PER!AV161=1,PER!$V$37,PER!AV201=1,PER!$V$38,PER!AV241=1,PER!$V$39,PER!AV281=1,PER!$V$40,PER!AV321=1,PER!$V$41,PER!AV361=1,PER!$V$42,PER!AV401=1,PER!$V$43,PER!AV441=1,PER!$V$44,PER!AV481=1,PER!$V$45,PER!AV521=1,PER!$V$46,PER!AV561=1,PER!$V$47,PER!AV601=1,PER!$V$48)))</f>
        <v/>
      </c>
      <c r="H10" s="54" t="str" cm="1">
        <f t="array" ref="H10">IF(PER!AB60=0,"",IF((PER!AW41+PER!AW81+PER!AW121+PER!AW161+PER!AW201+PER!AW241+PER!AW281+PER!AW321+PER!AW361+PER!AW401+PER!AW441+PER!AW481+PER!AW521+PER!AW561+PER!AW601)=0,"",_xlfn.IFS(PER!AW41=1,PER!$V$34,PER!AW81=1,PER!$V$35,PER!AW121=1,PER!$V$36,PER!AW161=1,PER!$V$37,PER!AW201=1,PER!$V$38,PER!AW241=1,PER!$V$39,PER!AW281=1,PER!$V$40,PER!AW321=1,PER!$V$41,PER!AW361=1,PER!$V$42,PER!AW401=1,PER!$V$43,PER!AW441=1,PER!$V$44,PER!AW481=1,PER!$V$45,PER!AW521=1,PER!$V$46,PER!AW561=1,PER!$V$47,PER!AW601=1,PER!$V$48)))</f>
        <v/>
      </c>
      <c r="I10" s="54" t="str" cm="1">
        <f t="array" ref="I10">IF(PER!AC60=0,"",IF((PER!AX41+PER!AX81+PER!AX121+PER!AX161+PER!AX201+PER!AX241+PER!AX281+PER!AX321+PER!AX361+PER!AX401+PER!AX441+PER!AX481+PER!AX521+PER!AX561+PER!AX601)=0,"",_xlfn.IFS(PER!AX41=1,PER!$V$34,PER!AX81=1,PER!$V$35,PER!AX121=1,PER!$V$36,PER!AX161=1,PER!$V$37,PER!AX201=1,PER!$V$38,PER!AX241=1,PER!$V$39,PER!AX281=1,PER!$V$40,PER!AX321=1,PER!$V$41,PER!AX361=1,PER!$V$42,PER!AX401=1,PER!$V$43,PER!AX441=1,PER!$V$44,PER!AX481=1,PER!$V$45,PER!AX521=1,PER!$V$46,PER!AX561=1,PER!$V$47,PER!AX601=1,PER!$V$48)))</f>
        <v/>
      </c>
      <c r="J10" s="54" t="str" cm="1">
        <f t="array" ref="J10">IF(PER!AD60=0,"",IF((PER!AY41+PER!AY81+PER!AY121+PER!AY161+PER!AY201+PER!AY241+PER!AY281+PER!AY321+PER!AY361+PER!AY401+PER!AY441+PER!AY481+PER!AY521+PER!AY561+PER!AY601)=0,"",_xlfn.IFS(PER!AY41=1,PER!$V$34,PER!AY81=1,PER!$V$35,PER!AY121=1,PER!$V$36,PER!AY161=1,PER!$V$37,PER!AY201=1,PER!$V$38,PER!AY241=1,PER!$V$39,PER!AY281=1,PER!$V$40,PER!AY321=1,PER!$V$41,PER!AY361=1,PER!$V$42,PER!AY401=1,PER!$V$43,PER!AY441=1,PER!$V$44,PER!AY481=1,PER!$V$45,PER!AY521=1,PER!$V$46,PER!AY561=1,PER!$V$47,PER!AY601=1,PER!$V$48)))</f>
        <v/>
      </c>
      <c r="K10" s="54" t="str" cm="1">
        <f t="array" ref="K10">IF(PER!AE60=0,"",IF((PER!AZ41+PER!AZ81+PER!AZ121+PER!AZ161+PER!AZ201+PER!AZ241+PER!AZ281+PER!AZ321+PER!AZ361+PER!AZ401+PER!AZ441+PER!AZ481+PER!AZ521+PER!AZ561+PER!AZ601)=0,"",_xlfn.IFS(PER!AZ41=1,PER!$V$34,PER!AZ81=1,PER!$V$35,PER!AZ121=1,PER!$V$36,PER!AZ161=1,PER!$V$37,PER!AZ201=1,PER!$V$38,PER!AZ241=1,PER!$V$39,PER!AZ281=1,PER!$V$40,PER!AZ321=1,PER!$V$41,PER!AZ361=1,PER!$V$42,PER!AZ401=1,PER!$V$43,PER!AZ441=1,PER!$V$44,PER!AZ481=1,PER!$V$45,PER!AZ521=1,PER!$V$46,PER!AZ561=1,PER!$V$47,PER!AZ601=1,PER!$V$48)))</f>
        <v/>
      </c>
      <c r="L10" s="54" t="str" cm="1">
        <f t="array" ref="L10">IF(PER!AF60=0,"",IF((PER!BA41+PER!BA81+PER!BA121+PER!BA161+PER!BA201+PER!BA241+PER!BA281+PER!BA321+PER!BA361+PER!BA401+PER!BA441+PER!BA481+PER!BA521+PER!BA561+PER!BA601)=0,"",_xlfn.IFS(PER!BA41=1,PER!$V$34,PER!BA81=1,PER!$V$35,PER!BA121=1,PER!$V$36,PER!BA161=1,PER!$V$37,PER!BA201=1,PER!$V$38,PER!BA241=1,PER!$V$39,PER!BA281=1,PER!$V$40,PER!BA321=1,PER!$V$41,PER!BA361=1,PER!$V$42,PER!BA401=1,PER!$V$43,PER!BA441=1,PER!$V$44,PER!BA481=1,PER!$V$45,PER!BA521=1,PER!$V$46,PER!BA561=1,PER!$V$47,PER!BA601=1,PER!$V$48)))</f>
        <v/>
      </c>
      <c r="M10" s="54" t="str" cm="1">
        <f t="array" ref="M10">IF(PER!AG60=0,"",IF((PER!BB41+PER!BB81+PER!BB121+PER!BB161+PER!BB201+PER!BB241+PER!BB281+PER!BB321+PER!BB361+PER!BB401+PER!BB441+PER!BB481+PER!BB521+PER!BB561+PER!BB601)=0,"",_xlfn.IFS(PER!BB41=1,PER!$V$34,PER!BB81=1,PER!$V$35,PER!BB121=1,PER!$V$36,PER!BB161=1,PER!$V$37,PER!BB201=1,PER!$V$38,PER!BB241=1,PER!$V$39,PER!BB281=1,PER!$V$40,PER!BB321=1,PER!$V$41,PER!BB361=1,PER!$V$42,PER!BB401=1,PER!$V$43,PER!BB441=1,PER!$V$44,PER!BB481=1,PER!$V$45,PER!BB521=1,PER!$V$46,PER!BB561=1,PER!$V$47,PER!BB601=1,PER!$V$48)))</f>
        <v/>
      </c>
      <c r="N10" s="54" t="str" cm="1">
        <f t="array" ref="N10">IF(PER!AH60=0,"",IF((PER!BC41+PER!BC81+PER!BC121+PER!BC161+PER!BC201+PER!BC241+PER!BC281+PER!BC321+PER!BC361+PER!BC401+PER!BC441+PER!BC481+PER!BC521+PER!BC561+PER!BC601)=0,"",_xlfn.IFS(PER!BC41=1,PER!$V$34,PER!BC81=1,PER!$V$35,PER!BC121=1,PER!$V$36,PER!BC161=1,PER!$V$37,PER!BC201=1,PER!$V$38,PER!BC241=1,PER!$V$39,PER!BC281=1,PER!$V$40,PER!BC321=1,PER!$V$41,PER!BC361=1,PER!$V$42,PER!BC401=1,PER!$V$43,PER!BC441=1,PER!$V$44,PER!BC481=1,PER!$V$45,PER!BC521=1,PER!$V$46,PER!BC561=1,PER!$V$47,PER!BC601=1,PER!$V$48)))</f>
        <v/>
      </c>
      <c r="O10" s="54" t="str" cm="1">
        <f t="array" ref="O10">IF(PER!AI60=0,"",IF((PER!BD41+PER!BD81+PER!BD121+PER!BD161+PER!BD201+PER!BD241+PER!BD281+PER!BD321+PER!BD361+PER!BD401+PER!BD441+PER!BD481+PER!BD521+PER!BD561+PER!BD601)=0,"",_xlfn.IFS(PER!BD41=1,PER!$V$34,PER!BD81=1,PER!$V$35,PER!BD121=1,PER!$V$36,PER!BD161=1,PER!$V$37,PER!BD201=1,PER!$V$38,PER!BD241=1,PER!$V$39,PER!BD281=1,PER!$V$40,PER!BD321=1,PER!$V$41,PER!BD361=1,PER!$V$42,PER!BD401=1,PER!$V$43,PER!BD441=1,PER!$V$44,PER!BD481=1,PER!$V$45,PER!BD521=1,PER!$V$46,PER!BD561=1,PER!$V$47,PER!BD601=1,PER!$V$48)))</f>
        <v/>
      </c>
      <c r="P10" s="54" t="str" cm="1">
        <f t="array" ref="P10">IF(PER!AJ60=0,"",IF((PER!BE41+PER!BE81+PER!BE121+PER!BE161+PER!BE201+PER!BE241+PER!BE281+PER!BE321+PER!BE361+PER!BE401+PER!BE441+PER!BE481+PER!BE521+PER!BE561+PER!BE601)=0,"",_xlfn.IFS(PER!BE41=1,PER!$V$34,PER!BE81=1,PER!$V$35,PER!BE121=1,PER!$V$36,PER!BE161=1,PER!$V$37,PER!BE201=1,PER!$V$38,PER!BE241=1,PER!$V$39,PER!BE281=1,PER!$V$40,PER!BE321=1,PER!$V$41,PER!BE361=1,PER!$V$42,PER!BE401=1,PER!$V$43,PER!BE441=1,PER!$V$44,PER!BE481=1,PER!$V$45,PER!BE521=1,PER!$V$46,PER!BE561=1,PER!$V$47,PER!BE601=1,PER!$V$48)))</f>
        <v/>
      </c>
      <c r="Q10" s="54" t="str" cm="1">
        <f t="array" ref="Q10">IF(PER!AK60=0,"",IF((PER!BF41+PER!BF81+PER!BF121+PER!BF161+PER!BF201+PER!BF241+PER!BF281+PER!BF321+PER!BF361+PER!BF401+PER!BF441+PER!BF481+PER!BF521+PER!BF561+PER!BF601)=0,"",_xlfn.IFS(PER!BF41=1,PER!$V$34,PER!BF81=1,PER!$V$35,PER!BF121=1,PER!$V$36,PER!BF161=1,PER!$V$37,PER!BF201=1,PER!$V$38,PER!BF241=1,PER!$V$39,PER!BF281=1,PER!$V$40,PER!BF321=1,PER!$V$41,PER!BF361=1,PER!$V$42,PER!BF401=1,PER!$V$43,PER!BF441=1,PER!$V$44,PER!BF481=1,PER!$V$45,PER!BF521=1,PER!$V$46,PER!BF561=1,PER!$V$47,PER!BF601=1,PER!$V$48)))</f>
        <v/>
      </c>
      <c r="R10" s="54" t="str" cm="1">
        <f t="array" ref="R10">IF(PER!AL60=0,"",IF((PER!BG41+PER!BG81+PER!BG121+PER!BG161+PER!BG201+PER!BG241+PER!BG281+PER!BG321+PER!BG361+PER!BG401+PER!BG441+PER!BG481+PER!BG521+PER!BG561+PER!BG601)=0,"",_xlfn.IFS(PER!BG41=1,PER!$V$34,PER!BG81=1,PER!$V$35,PER!BG121=1,PER!$V$36,PER!BG161=1,PER!$V$37,PER!BG201=1,PER!$V$38,PER!BG241=1,PER!$V$39,PER!BG281=1,PER!$V$40,PER!BG321=1,PER!$V$41,PER!BG361=1,PER!$V$42,PER!BG401=1,PER!$V$43,PER!BG441=1,PER!$V$44,PER!BG481=1,PER!$V$45,PER!BG521=1,PER!$V$46,PER!BG561=1,PER!$V$47,PER!BG601=1,PER!$V$48)))</f>
        <v/>
      </c>
      <c r="S10" s="54" t="str" cm="1">
        <f t="array" ref="S10">IF(PER!AM60=0,"",IF((PER!BH41+PER!BH81+PER!BH121+PER!BH161+PER!BH201+PER!BH241+PER!BH281+PER!BH321+PER!BH361+PER!BH401+PER!BH441+PER!BH481+PER!BH521+PER!BH561+PER!BH601)=0,"",_xlfn.IFS(PER!BH41=1,PER!$V$34,PER!BH81=1,PER!$V$35,PER!BH121=1,PER!$V$36,PER!BH161=1,PER!$V$37,PER!BH201=1,PER!$V$38,PER!BH241=1,PER!$V$39,PER!BH281=1,PER!$V$40,PER!BH321=1,PER!$V$41,PER!BH361=1,PER!$V$42,PER!BH401=1,PER!$V$43,PER!BH441=1,PER!$V$44,PER!BH481=1,PER!$V$45,PER!BH521=1,PER!$V$46,PER!BH561=1,PER!$V$47,PER!BH601=1,PER!$V$48)))</f>
        <v/>
      </c>
    </row>
    <row r="11" spans="1:19" x14ac:dyDescent="0.55000000000000004">
      <c r="A11">
        <v>9</v>
      </c>
      <c r="B11" t="s">
        <v>54</v>
      </c>
      <c r="C11" s="54" t="str" cm="1">
        <f t="array" ref="C11">IF(PER!W61=0,"",IF((PER!AR42+PER!AR82+PER!AR122+PER!AR162+PER!AR202+PER!AR242+PER!AR282+PER!AR322+PER!AR362+PER!AR402+PER!AR442+PER!AR482+PER!AR522+PER!AR562+PER!AR602)=0,"",_xlfn.IFS(PER!AR42=1,PER!$V$34,PER!AR82=1,PER!$V$35,PER!AR122=1,PER!$V$36,PER!AR162=1,PER!$V$37,PER!AR202=1,PER!$V$38,PER!AR242=1,PER!$V$39,PER!AR282=1,PER!$V$40,PER!AR322=1,PER!$V$41,PER!AR362=1,PER!$V$42,PER!AR402=1,PER!$V$43,PER!AR442=1,PER!$V$44,PER!AR482=1,PER!$V$45,PER!AR522=1,PER!$V$46,PER!AR562=1,PER!$V$47,PER!AR602=1,PER!$V$48)))</f>
        <v/>
      </c>
      <c r="D11" s="54" t="str" cm="1">
        <f t="array" ref="D11">IF(PER!X61=0,"",IF((PER!AS42+PER!AS82+PER!AS122+PER!AS162+PER!AS202+PER!AS242+PER!AS282+PER!AS322+PER!AS362+PER!AS402+PER!AS442+PER!AS482+PER!AS522+PER!AS562+PER!AS602)=0,"",_xlfn.IFS(PER!AS42=1,PER!$V$34,PER!AS82=1,PER!$V$35,PER!AS122=1,PER!$V$36,PER!AS162=1,PER!$V$37,PER!AS202=1,PER!$V$38,PER!AS242=1,PER!$V$39,PER!AS282=1,PER!$V$40,PER!AS322=1,PER!$V$41,PER!AS362=1,PER!$V$42,PER!AS402=1,PER!$V$43,PER!AS442=1,PER!$V$44,PER!AS482=1,PER!$V$45,PER!AS522=1,PER!$V$46,PER!AS562=1,PER!$V$47,PER!AS602=1,PER!$V$48)))</f>
        <v/>
      </c>
      <c r="E11" s="54" t="str" cm="1">
        <f t="array" ref="E11">IF(PER!Y61=0,"",IF((PER!AT42+PER!AT82+PER!AT122+PER!AT162+PER!AT202+PER!AT242+PER!AT282+PER!AT322+PER!AT362+PER!AT402+PER!AT442+PER!AT482+PER!AT522+PER!AT562+PER!AT602)=0,"",_xlfn.IFS(PER!AT42=1,PER!$V$34,PER!AT82=1,PER!$V$35,PER!AT122=1,PER!$V$36,PER!AT162=1,PER!$V$37,PER!AT202=1,PER!$V$38,PER!AT242=1,PER!$V$39,PER!AT282=1,PER!$V$40,PER!AT322=1,PER!$V$41,PER!AT362=1,PER!$V$42,PER!AT402=1,PER!$V$43,PER!AT442=1,PER!$V$44,PER!AT482=1,PER!$V$45,PER!AT522=1,PER!$V$46,PER!AT562=1,PER!$V$47,PER!AT602=1,PER!$V$48)))</f>
        <v/>
      </c>
      <c r="F11" s="54" t="str" cm="1">
        <f t="array" ref="F11">IF(PER!Z61=0,"",IF((PER!AU42+PER!AU82+PER!AU122+PER!AU162+PER!AU202+PER!AU242+PER!AU282+PER!AU322+PER!AU362+PER!AU402+PER!AU442+PER!AU482+PER!AU522+PER!AU562+PER!AU602)=0,"",_xlfn.IFS(PER!AU42=1,PER!$V$34,PER!AU82=1,PER!$V$35,PER!AU122=1,PER!$V$36,PER!AU162=1,PER!$V$37,PER!AU202=1,PER!$V$38,PER!AU242=1,PER!$V$39,PER!AU282=1,PER!$V$40,PER!AU322=1,PER!$V$41,PER!AU362=1,PER!$V$42,PER!AU402=1,PER!$V$43,PER!AU442=1,PER!$V$44,PER!AU482=1,PER!$V$45,PER!AU522=1,PER!$V$46,PER!AU562=1,PER!$V$47,PER!AU602=1,PER!$V$48)))</f>
        <v/>
      </c>
      <c r="G11" s="54" t="str" cm="1">
        <f t="array" ref="G11">IF(PER!AA61=0,"",IF((PER!AV42+PER!AV82+PER!AV122+PER!AV162+PER!AV202+PER!AV242+PER!AV282+PER!AV322+PER!AV362+PER!AV402+PER!AV442+PER!AV482+PER!AV522+PER!AV562+PER!AV602)=0,"",_xlfn.IFS(PER!AV42=1,PER!$V$34,PER!AV82=1,PER!$V$35,PER!AV122=1,PER!$V$36,PER!AV162=1,PER!$V$37,PER!AV202=1,PER!$V$38,PER!AV242=1,PER!$V$39,PER!AV282=1,PER!$V$40,PER!AV322=1,PER!$V$41,PER!AV362=1,PER!$V$42,PER!AV402=1,PER!$V$43,PER!AV442=1,PER!$V$44,PER!AV482=1,PER!$V$45,PER!AV522=1,PER!$V$46,PER!AV562=1,PER!$V$47,PER!AV602=1,PER!$V$48)))</f>
        <v/>
      </c>
      <c r="H11" s="54" t="str" cm="1">
        <f t="array" ref="H11">IF(PER!AB61=0,"",IF((PER!AW42+PER!AW82+PER!AW122+PER!AW162+PER!AW202+PER!AW242+PER!AW282+PER!AW322+PER!AW362+PER!AW402+PER!AW442+PER!AW482+PER!AW522+PER!AW562+PER!AW602)=0,"",_xlfn.IFS(PER!AW42=1,PER!$V$34,PER!AW82=1,PER!$V$35,PER!AW122=1,PER!$V$36,PER!AW162=1,PER!$V$37,PER!AW202=1,PER!$V$38,PER!AW242=1,PER!$V$39,PER!AW282=1,PER!$V$40,PER!AW322=1,PER!$V$41,PER!AW362=1,PER!$V$42,PER!AW402=1,PER!$V$43,PER!AW442=1,PER!$V$44,PER!AW482=1,PER!$V$45,PER!AW522=1,PER!$V$46,PER!AW562=1,PER!$V$47,PER!AW602=1,PER!$V$48)))</f>
        <v/>
      </c>
      <c r="I11" s="54" t="str" cm="1">
        <f t="array" ref="I11">IF(PER!AC61=0,"",IF((PER!AX42+PER!AX82+PER!AX122+PER!AX162+PER!AX202+PER!AX242+PER!AX282+PER!AX322+PER!AX362+PER!AX402+PER!AX442+PER!AX482+PER!AX522+PER!AX562+PER!AX602)=0,"",_xlfn.IFS(PER!AX42=1,PER!$V$34,PER!AX82=1,PER!$V$35,PER!AX122=1,PER!$V$36,PER!AX162=1,PER!$V$37,PER!AX202=1,PER!$V$38,PER!AX242=1,PER!$V$39,PER!AX282=1,PER!$V$40,PER!AX322=1,PER!$V$41,PER!AX362=1,PER!$V$42,PER!AX402=1,PER!$V$43,PER!AX442=1,PER!$V$44,PER!AX482=1,PER!$V$45,PER!AX522=1,PER!$V$46,PER!AX562=1,PER!$V$47,PER!AX602=1,PER!$V$48)))</f>
        <v/>
      </c>
      <c r="J11" s="54" t="str" cm="1">
        <f t="array" ref="J11">IF(PER!AD61=0,"",IF((PER!AY42+PER!AY82+PER!AY122+PER!AY162+PER!AY202+PER!AY242+PER!AY282+PER!AY322+PER!AY362+PER!AY402+PER!AY442+PER!AY482+PER!AY522+PER!AY562+PER!AY602)=0,"",_xlfn.IFS(PER!AY42=1,PER!$V$34,PER!AY82=1,PER!$V$35,PER!AY122=1,PER!$V$36,PER!AY162=1,PER!$V$37,PER!AY202=1,PER!$V$38,PER!AY242=1,PER!$V$39,PER!AY282=1,PER!$V$40,PER!AY322=1,PER!$V$41,PER!AY362=1,PER!$V$42,PER!AY402=1,PER!$V$43,PER!AY442=1,PER!$V$44,PER!AY482=1,PER!$V$45,PER!AY522=1,PER!$V$46,PER!AY562=1,PER!$V$47,PER!AY602=1,PER!$V$48)))</f>
        <v/>
      </c>
      <c r="K11" s="54" t="str" cm="1">
        <f t="array" ref="K11">IF(PER!AE61=0,"",IF((PER!AZ42+PER!AZ82+PER!AZ122+PER!AZ162+PER!AZ202+PER!AZ242+PER!AZ282+PER!AZ322+PER!AZ362+PER!AZ402+PER!AZ442+PER!AZ482+PER!AZ522+PER!AZ562+PER!AZ602)=0,"",_xlfn.IFS(PER!AZ42=1,PER!$V$34,PER!AZ82=1,PER!$V$35,PER!AZ122=1,PER!$V$36,PER!AZ162=1,PER!$V$37,PER!AZ202=1,PER!$V$38,PER!AZ242=1,PER!$V$39,PER!AZ282=1,PER!$V$40,PER!AZ322=1,PER!$V$41,PER!AZ362=1,PER!$V$42,PER!AZ402=1,PER!$V$43,PER!AZ442=1,PER!$V$44,PER!AZ482=1,PER!$V$45,PER!AZ522=1,PER!$V$46,PER!AZ562=1,PER!$V$47,PER!AZ602=1,PER!$V$48)))</f>
        <v/>
      </c>
      <c r="L11" s="54" t="str" cm="1">
        <f t="array" ref="L11">IF(PER!AF61=0,"",IF((PER!BA42+PER!BA82+PER!BA122+PER!BA162+PER!BA202+PER!BA242+PER!BA282+PER!BA322+PER!BA362+PER!BA402+PER!BA442+PER!BA482+PER!BA522+PER!BA562+PER!BA602)=0,"",_xlfn.IFS(PER!BA42=1,PER!$V$34,PER!BA82=1,PER!$V$35,PER!BA122=1,PER!$V$36,PER!BA162=1,PER!$V$37,PER!BA202=1,PER!$V$38,PER!BA242=1,PER!$V$39,PER!BA282=1,PER!$V$40,PER!BA322=1,PER!$V$41,PER!BA362=1,PER!$V$42,PER!BA402=1,PER!$V$43,PER!BA442=1,PER!$V$44,PER!BA482=1,PER!$V$45,PER!BA522=1,PER!$V$46,PER!BA562=1,PER!$V$47,PER!BA602=1,PER!$V$48)))</f>
        <v/>
      </c>
      <c r="M11" s="54" t="str" cm="1">
        <f t="array" ref="M11">IF(PER!AG61=0,"",IF((PER!BB42+PER!BB82+PER!BB122+PER!BB162+PER!BB202+PER!BB242+PER!BB282+PER!BB322+PER!BB362+PER!BB402+PER!BB442+PER!BB482+PER!BB522+PER!BB562+PER!BB602)=0,"",_xlfn.IFS(PER!BB42=1,PER!$V$34,PER!BB82=1,PER!$V$35,PER!BB122=1,PER!$V$36,PER!BB162=1,PER!$V$37,PER!BB202=1,PER!$V$38,PER!BB242=1,PER!$V$39,PER!BB282=1,PER!$V$40,PER!BB322=1,PER!$V$41,PER!BB362=1,PER!$V$42,PER!BB402=1,PER!$V$43,PER!BB442=1,PER!$V$44,PER!BB482=1,PER!$V$45,PER!BB522=1,PER!$V$46,PER!BB562=1,PER!$V$47,PER!BB602=1,PER!$V$48)))</f>
        <v/>
      </c>
      <c r="N11" s="54" t="str" cm="1">
        <f t="array" ref="N11">IF(PER!AH61=0,"",IF((PER!BC42+PER!BC82+PER!BC122+PER!BC162+PER!BC202+PER!BC242+PER!BC282+PER!BC322+PER!BC362+PER!BC402+PER!BC442+PER!BC482+PER!BC522+PER!BC562+PER!BC602)=0,"",_xlfn.IFS(PER!BC42=1,PER!$V$34,PER!BC82=1,PER!$V$35,PER!BC122=1,PER!$V$36,PER!BC162=1,PER!$V$37,PER!BC202=1,PER!$V$38,PER!BC242=1,PER!$V$39,PER!BC282=1,PER!$V$40,PER!BC322=1,PER!$V$41,PER!BC362=1,PER!$V$42,PER!BC402=1,PER!$V$43,PER!BC442=1,PER!$V$44,PER!BC482=1,PER!$V$45,PER!BC522=1,PER!$V$46,PER!BC562=1,PER!$V$47,PER!BC602=1,PER!$V$48)))</f>
        <v/>
      </c>
      <c r="O11" s="54" t="str" cm="1">
        <f t="array" ref="O11">IF(PER!AI61=0,"",IF((PER!BD42+PER!BD82+PER!BD122+PER!BD162+PER!BD202+PER!BD242+PER!BD282+PER!BD322+PER!BD362+PER!BD402+PER!BD442+PER!BD482+PER!BD522+PER!BD562+PER!BD602)=0,"",_xlfn.IFS(PER!BD42=1,PER!$V$34,PER!BD82=1,PER!$V$35,PER!BD122=1,PER!$V$36,PER!BD162=1,PER!$V$37,PER!BD202=1,PER!$V$38,PER!BD242=1,PER!$V$39,PER!BD282=1,PER!$V$40,PER!BD322=1,PER!$V$41,PER!BD362=1,PER!$V$42,PER!BD402=1,PER!$V$43,PER!BD442=1,PER!$V$44,PER!BD482=1,PER!$V$45,PER!BD522=1,PER!$V$46,PER!BD562=1,PER!$V$47,PER!BD602=1,PER!$V$48)))</f>
        <v/>
      </c>
      <c r="P11" s="54" t="str" cm="1">
        <f t="array" ref="P11">IF(PER!AJ61=0,"",IF((PER!BE42+PER!BE82+PER!BE122+PER!BE162+PER!BE202+PER!BE242+PER!BE282+PER!BE322+PER!BE362+PER!BE402+PER!BE442+PER!BE482+PER!BE522+PER!BE562+PER!BE602)=0,"",_xlfn.IFS(PER!BE42=1,PER!$V$34,PER!BE82=1,PER!$V$35,PER!BE122=1,PER!$V$36,PER!BE162=1,PER!$V$37,PER!BE202=1,PER!$V$38,PER!BE242=1,PER!$V$39,PER!BE282=1,PER!$V$40,PER!BE322=1,PER!$V$41,PER!BE362=1,PER!$V$42,PER!BE402=1,PER!$V$43,PER!BE442=1,PER!$V$44,PER!BE482=1,PER!$V$45,PER!BE522=1,PER!$V$46,PER!BE562=1,PER!$V$47,PER!BE602=1,PER!$V$48)))</f>
        <v/>
      </c>
      <c r="Q11" s="54" t="str" cm="1">
        <f t="array" ref="Q11">IF(PER!AK61=0,"",IF((PER!BF42+PER!BF82+PER!BF122+PER!BF162+PER!BF202+PER!BF242+PER!BF282+PER!BF322+PER!BF362+PER!BF402+PER!BF442+PER!BF482+PER!BF522+PER!BF562+PER!BF602)=0,"",_xlfn.IFS(PER!BF42=1,PER!$V$34,PER!BF82=1,PER!$V$35,PER!BF122=1,PER!$V$36,PER!BF162=1,PER!$V$37,PER!BF202=1,PER!$V$38,PER!BF242=1,PER!$V$39,PER!BF282=1,PER!$V$40,PER!BF322=1,PER!$V$41,PER!BF362=1,PER!$V$42,PER!BF402=1,PER!$V$43,PER!BF442=1,PER!$V$44,PER!BF482=1,PER!$V$45,PER!BF522=1,PER!$V$46,PER!BF562=1,PER!$V$47,PER!BF602=1,PER!$V$48)))</f>
        <v/>
      </c>
      <c r="R11" s="54" t="str" cm="1">
        <f t="array" ref="R11">IF(PER!AL61=0,"",IF((PER!BG42+PER!BG82+PER!BG122+PER!BG162+PER!BG202+PER!BG242+PER!BG282+PER!BG322+PER!BG362+PER!BG402+PER!BG442+PER!BG482+PER!BG522+PER!BG562+PER!BG602)=0,"",_xlfn.IFS(PER!BG42=1,PER!$V$34,PER!BG82=1,PER!$V$35,PER!BG122=1,PER!$V$36,PER!BG162=1,PER!$V$37,PER!BG202=1,PER!$V$38,PER!BG242=1,PER!$V$39,PER!BG282=1,PER!$V$40,PER!BG322=1,PER!$V$41,PER!BG362=1,PER!$V$42,PER!BG402=1,PER!$V$43,PER!BG442=1,PER!$V$44,PER!BG482=1,PER!$V$45,PER!BG522=1,PER!$V$46,PER!BG562=1,PER!$V$47,PER!BG602=1,PER!$V$48)))</f>
        <v/>
      </c>
      <c r="S11" s="54" t="str" cm="1">
        <f t="array" ref="S11">IF(PER!AM61=0,"",IF((PER!BH42+PER!BH82+PER!BH122+PER!BH162+PER!BH202+PER!BH242+PER!BH282+PER!BH322+PER!BH362+PER!BH402+PER!BH442+PER!BH482+PER!BH522+PER!BH562+PER!BH602)=0,"",_xlfn.IFS(PER!BH42=1,PER!$V$34,PER!BH82=1,PER!$V$35,PER!BH122=1,PER!$V$36,PER!BH162=1,PER!$V$37,PER!BH202=1,PER!$V$38,PER!BH242=1,PER!$V$39,PER!BH282=1,PER!$V$40,PER!BH322=1,PER!$V$41,PER!BH362=1,PER!$V$42,PER!BH402=1,PER!$V$43,PER!BH442=1,PER!$V$44,PER!BH482=1,PER!$V$45,PER!BH522=1,PER!$V$46,PER!BH562=1,PER!$V$47,PER!BH602=1,PER!$V$48)))</f>
        <v/>
      </c>
    </row>
    <row r="12" spans="1:19" x14ac:dyDescent="0.55000000000000004">
      <c r="A12">
        <v>10</v>
      </c>
      <c r="B12" t="s">
        <v>55</v>
      </c>
      <c r="C12" s="54" t="str" cm="1">
        <f t="array" ref="C12">IF(PER!W62=0,"",IF((PER!AR43+PER!AR83+PER!AR123+PER!AR163+PER!AR203+PER!AR243+PER!AR283+PER!AR323+PER!AR363+PER!AR403+PER!AR443+PER!AR483+PER!AR523+PER!AR563+PER!AR603)=0,"",_xlfn.IFS(PER!AR43=1,PER!$V$34,PER!AR83=1,PER!$V$35,PER!AR123=1,PER!$V$36,PER!AR163=1,PER!$V$37,PER!AR203=1,PER!$V$38,PER!AR243=1,PER!$V$39,PER!AR283=1,PER!$V$40,PER!AR323=1,PER!$V$41,PER!AR363=1,PER!$V$42,PER!AR403=1,PER!$V$43,PER!AR443=1,PER!$V$44,PER!AR483=1,PER!$V$45,PER!AR523=1,PER!$V$46,PER!AR563=1,PER!$V$47,PER!AR603=1,PER!$V$48)))</f>
        <v/>
      </c>
      <c r="D12" s="54" t="str" cm="1">
        <f t="array" ref="D12">IF(PER!X62=0,"",IF((PER!AS43+PER!AS83+PER!AS123+PER!AS163+PER!AS203+PER!AS243+PER!AS283+PER!AS323+PER!AS363+PER!AS403+PER!AS443+PER!AS483+PER!AS523+PER!AS563+PER!AS603)=0,"",_xlfn.IFS(PER!AS43=1,PER!$V$34,PER!AS83=1,PER!$V$35,PER!AS123=1,PER!$V$36,PER!AS163=1,PER!$V$37,PER!AS203=1,PER!$V$38,PER!AS243=1,PER!$V$39,PER!AS283=1,PER!$V$40,PER!AS323=1,PER!$V$41,PER!AS363=1,PER!$V$42,PER!AS403=1,PER!$V$43,PER!AS443=1,PER!$V$44,PER!AS483=1,PER!$V$45,PER!AS523=1,PER!$V$46,PER!AS563=1,PER!$V$47,PER!AS603=1,PER!$V$48)))</f>
        <v/>
      </c>
      <c r="E12" s="54" t="str" cm="1">
        <f t="array" ref="E12">IF(PER!Y62=0,"",IF((PER!AT43+PER!AT83+PER!AT123+PER!AT163+PER!AT203+PER!AT243+PER!AT283+PER!AT323+PER!AT363+PER!AT403+PER!AT443+PER!AT483+PER!AT523+PER!AT563+PER!AT603)=0,"",_xlfn.IFS(PER!AT43=1,PER!$V$34,PER!AT83=1,PER!$V$35,PER!AT123=1,PER!$V$36,PER!AT163=1,PER!$V$37,PER!AT203=1,PER!$V$38,PER!AT243=1,PER!$V$39,PER!AT283=1,PER!$V$40,PER!AT323=1,PER!$V$41,PER!AT363=1,PER!$V$42,PER!AT403=1,PER!$V$43,PER!AT443=1,PER!$V$44,PER!AT483=1,PER!$V$45,PER!AT523=1,PER!$V$46,PER!AT563=1,PER!$V$47,PER!AT603=1,PER!$V$48)))</f>
        <v/>
      </c>
      <c r="F12" s="54" t="str" cm="1">
        <f t="array" ref="F12">IF(PER!Z62=0,"",IF((PER!AU43+PER!AU83+PER!AU123+PER!AU163+PER!AU203+PER!AU243+PER!AU283+PER!AU323+PER!AU363+PER!AU403+PER!AU443+PER!AU483+PER!AU523+PER!AU563+PER!AU603)=0,"",_xlfn.IFS(PER!AU43=1,PER!$V$34,PER!AU83=1,PER!$V$35,PER!AU123=1,PER!$V$36,PER!AU163=1,PER!$V$37,PER!AU203=1,PER!$V$38,PER!AU243=1,PER!$V$39,PER!AU283=1,PER!$V$40,PER!AU323=1,PER!$V$41,PER!AU363=1,PER!$V$42,PER!AU403=1,PER!$V$43,PER!AU443=1,PER!$V$44,PER!AU483=1,PER!$V$45,PER!AU523=1,PER!$V$46,PER!AU563=1,PER!$V$47,PER!AU603=1,PER!$V$48)))</f>
        <v/>
      </c>
      <c r="G12" s="54" t="str" cm="1">
        <f t="array" ref="G12">IF(PER!AA62=0,"",IF((PER!AV43+PER!AV83+PER!AV123+PER!AV163+PER!AV203+PER!AV243+PER!AV283+PER!AV323+PER!AV363+PER!AV403+PER!AV443+PER!AV483+PER!AV523+PER!AV563+PER!AV603)=0,"",_xlfn.IFS(PER!AV43=1,PER!$V$34,PER!AV83=1,PER!$V$35,PER!AV123=1,PER!$V$36,PER!AV163=1,PER!$V$37,PER!AV203=1,PER!$V$38,PER!AV243=1,PER!$V$39,PER!AV283=1,PER!$V$40,PER!AV323=1,PER!$V$41,PER!AV363=1,PER!$V$42,PER!AV403=1,PER!$V$43,PER!AV443=1,PER!$V$44,PER!AV483=1,PER!$V$45,PER!AV523=1,PER!$V$46,PER!AV563=1,PER!$V$47,PER!AV603=1,PER!$V$48)))</f>
        <v/>
      </c>
      <c r="H12" s="54" t="str" cm="1">
        <f t="array" ref="H12">IF(PER!AB62=0,"",IF((PER!AW43+PER!AW83+PER!AW123+PER!AW163+PER!AW203+PER!AW243+PER!AW283+PER!AW323+PER!AW363+PER!AW403+PER!AW443+PER!AW483+PER!AW523+PER!AW563+PER!AW603)=0,"",_xlfn.IFS(PER!AW43=1,PER!$V$34,PER!AW83=1,PER!$V$35,PER!AW123=1,PER!$V$36,PER!AW163=1,PER!$V$37,PER!AW203=1,PER!$V$38,PER!AW243=1,PER!$V$39,PER!AW283=1,PER!$V$40,PER!AW323=1,PER!$V$41,PER!AW363=1,PER!$V$42,PER!AW403=1,PER!$V$43,PER!AW443=1,PER!$V$44,PER!AW483=1,PER!$V$45,PER!AW523=1,PER!$V$46,PER!AW563=1,PER!$V$47,PER!AW603=1,PER!$V$48)))</f>
        <v/>
      </c>
      <c r="I12" s="54" t="str" cm="1">
        <f t="array" ref="I12">IF(PER!AC62=0,"",IF((PER!AX43+PER!AX83+PER!AX123+PER!AX163+PER!AX203+PER!AX243+PER!AX283+PER!AX323+PER!AX363+PER!AX403+PER!AX443+PER!AX483+PER!AX523+PER!AX563+PER!AX603)=0,"",_xlfn.IFS(PER!AX43=1,PER!$V$34,PER!AX83=1,PER!$V$35,PER!AX123=1,PER!$V$36,PER!AX163=1,PER!$V$37,PER!AX203=1,PER!$V$38,PER!AX243=1,PER!$V$39,PER!AX283=1,PER!$V$40,PER!AX323=1,PER!$V$41,PER!AX363=1,PER!$V$42,PER!AX403=1,PER!$V$43,PER!AX443=1,PER!$V$44,PER!AX483=1,PER!$V$45,PER!AX523=1,PER!$V$46,PER!AX563=1,PER!$V$47,PER!AX603=1,PER!$V$48)))</f>
        <v/>
      </c>
      <c r="J12" s="54" t="str" cm="1">
        <f t="array" ref="J12">IF(PER!AD62=0,"",IF((PER!AY43+PER!AY83+PER!AY123+PER!AY163+PER!AY203+PER!AY243+PER!AY283+PER!AY323+PER!AY363+PER!AY403+PER!AY443+PER!AY483+PER!AY523+PER!AY563+PER!AY603)=0,"",_xlfn.IFS(PER!AY43=1,PER!$V$34,PER!AY83=1,PER!$V$35,PER!AY123=1,PER!$V$36,PER!AY163=1,PER!$V$37,PER!AY203=1,PER!$V$38,PER!AY243=1,PER!$V$39,PER!AY283=1,PER!$V$40,PER!AY323=1,PER!$V$41,PER!AY363=1,PER!$V$42,PER!AY403=1,PER!$V$43,PER!AY443=1,PER!$V$44,PER!AY483=1,PER!$V$45,PER!AY523=1,PER!$V$46,PER!AY563=1,PER!$V$47,PER!AY603=1,PER!$V$48)))</f>
        <v/>
      </c>
      <c r="K12" s="54" t="str" cm="1">
        <f t="array" ref="K12">IF(PER!AE62=0,"",IF((PER!AZ43+PER!AZ83+PER!AZ123+PER!AZ163+PER!AZ203+PER!AZ243+PER!AZ283+PER!AZ323+PER!AZ363+PER!AZ403+PER!AZ443+PER!AZ483+PER!AZ523+PER!AZ563+PER!AZ603)=0,"",_xlfn.IFS(PER!AZ43=1,PER!$V$34,PER!AZ83=1,PER!$V$35,PER!AZ123=1,PER!$V$36,PER!AZ163=1,PER!$V$37,PER!AZ203=1,PER!$V$38,PER!AZ243=1,PER!$V$39,PER!AZ283=1,PER!$V$40,PER!AZ323=1,PER!$V$41,PER!AZ363=1,PER!$V$42,PER!AZ403=1,PER!$V$43,PER!AZ443=1,PER!$V$44,PER!AZ483=1,PER!$V$45,PER!AZ523=1,PER!$V$46,PER!AZ563=1,PER!$V$47,PER!AZ603=1,PER!$V$48)))</f>
        <v/>
      </c>
      <c r="L12" s="54" t="str" cm="1">
        <f t="array" ref="L12">IF(PER!AF62=0,"",IF((PER!BA43+PER!BA83+PER!BA123+PER!BA163+PER!BA203+PER!BA243+PER!BA283+PER!BA323+PER!BA363+PER!BA403+PER!BA443+PER!BA483+PER!BA523+PER!BA563+PER!BA603)=0,"",_xlfn.IFS(PER!BA43=1,PER!$V$34,PER!BA83=1,PER!$V$35,PER!BA123=1,PER!$V$36,PER!BA163=1,PER!$V$37,PER!BA203=1,PER!$V$38,PER!BA243=1,PER!$V$39,PER!BA283=1,PER!$V$40,PER!BA323=1,PER!$V$41,PER!BA363=1,PER!$V$42,PER!BA403=1,PER!$V$43,PER!BA443=1,PER!$V$44,PER!BA483=1,PER!$V$45,PER!BA523=1,PER!$V$46,PER!BA563=1,PER!$V$47,PER!BA603=1,PER!$V$48)))</f>
        <v/>
      </c>
      <c r="M12" s="54" t="str" cm="1">
        <f t="array" ref="M12">IF(PER!AG62=0,"",IF((PER!BB43+PER!BB83+PER!BB123+PER!BB163+PER!BB203+PER!BB243+PER!BB283+PER!BB323+PER!BB363+PER!BB403+PER!BB443+PER!BB483+PER!BB523+PER!BB563+PER!BB603)=0,"",_xlfn.IFS(PER!BB43=1,PER!$V$34,PER!BB83=1,PER!$V$35,PER!BB123=1,PER!$V$36,PER!BB163=1,PER!$V$37,PER!BB203=1,PER!$V$38,PER!BB243=1,PER!$V$39,PER!BB283=1,PER!$V$40,PER!BB323=1,PER!$V$41,PER!BB363=1,PER!$V$42,PER!BB403=1,PER!$V$43,PER!BB443=1,PER!$V$44,PER!BB483=1,PER!$V$45,PER!BB523=1,PER!$V$46,PER!BB563=1,PER!$V$47,PER!BB603=1,PER!$V$48)))</f>
        <v/>
      </c>
      <c r="N12" s="54" t="str" cm="1">
        <f t="array" ref="N12">IF(PER!AH62=0,"",IF((PER!BC43+PER!BC83+PER!BC123+PER!BC163+PER!BC203+PER!BC243+PER!BC283+PER!BC323+PER!BC363+PER!BC403+PER!BC443+PER!BC483+PER!BC523+PER!BC563+PER!BC603)=0,"",_xlfn.IFS(PER!BC43=1,PER!$V$34,PER!BC83=1,PER!$V$35,PER!BC123=1,PER!$V$36,PER!BC163=1,PER!$V$37,PER!BC203=1,PER!$V$38,PER!BC243=1,PER!$V$39,PER!BC283=1,PER!$V$40,PER!BC323=1,PER!$V$41,PER!BC363=1,PER!$V$42,PER!BC403=1,PER!$V$43,PER!BC443=1,PER!$V$44,PER!BC483=1,PER!$V$45,PER!BC523=1,PER!$V$46,PER!BC563=1,PER!$V$47,PER!BC603=1,PER!$V$48)))</f>
        <v/>
      </c>
      <c r="O12" s="54" t="str" cm="1">
        <f t="array" ref="O12">IF(PER!AI62=0,"",IF((PER!BD43+PER!BD83+PER!BD123+PER!BD163+PER!BD203+PER!BD243+PER!BD283+PER!BD323+PER!BD363+PER!BD403+PER!BD443+PER!BD483+PER!BD523+PER!BD563+PER!BD603)=0,"",_xlfn.IFS(PER!BD43=1,PER!$V$34,PER!BD83=1,PER!$V$35,PER!BD123=1,PER!$V$36,PER!BD163=1,PER!$V$37,PER!BD203=1,PER!$V$38,PER!BD243=1,PER!$V$39,PER!BD283=1,PER!$V$40,PER!BD323=1,PER!$V$41,PER!BD363=1,PER!$V$42,PER!BD403=1,PER!$V$43,PER!BD443=1,PER!$V$44,PER!BD483=1,PER!$V$45,PER!BD523=1,PER!$V$46,PER!BD563=1,PER!$V$47,PER!BD603=1,PER!$V$48)))</f>
        <v/>
      </c>
      <c r="P12" s="54" t="str" cm="1">
        <f t="array" ref="P12">IF(PER!AJ62=0,"",IF((PER!BE43+PER!BE83+PER!BE123+PER!BE163+PER!BE203+PER!BE243+PER!BE283+PER!BE323+PER!BE363+PER!BE403+PER!BE443+PER!BE483+PER!BE523+PER!BE563+PER!BE603)=0,"",_xlfn.IFS(PER!BE43=1,PER!$V$34,PER!BE83=1,PER!$V$35,PER!BE123=1,PER!$V$36,PER!BE163=1,PER!$V$37,PER!BE203=1,PER!$V$38,PER!BE243=1,PER!$V$39,PER!BE283=1,PER!$V$40,PER!BE323=1,PER!$V$41,PER!BE363=1,PER!$V$42,PER!BE403=1,PER!$V$43,PER!BE443=1,PER!$V$44,PER!BE483=1,PER!$V$45,PER!BE523=1,PER!$V$46,PER!BE563=1,PER!$V$47,PER!BE603=1,PER!$V$48)))</f>
        <v/>
      </c>
      <c r="Q12" s="54" t="str" cm="1">
        <f t="array" ref="Q12">IF(PER!AK62=0,"",IF((PER!BF43+PER!BF83+PER!BF123+PER!BF163+PER!BF203+PER!BF243+PER!BF283+PER!BF323+PER!BF363+PER!BF403+PER!BF443+PER!BF483+PER!BF523+PER!BF563+PER!BF603)=0,"",_xlfn.IFS(PER!BF43=1,PER!$V$34,PER!BF83=1,PER!$V$35,PER!BF123=1,PER!$V$36,PER!BF163=1,PER!$V$37,PER!BF203=1,PER!$V$38,PER!BF243=1,PER!$V$39,PER!BF283=1,PER!$V$40,PER!BF323=1,PER!$V$41,PER!BF363=1,PER!$V$42,PER!BF403=1,PER!$V$43,PER!BF443=1,PER!$V$44,PER!BF483=1,PER!$V$45,PER!BF523=1,PER!$V$46,PER!BF563=1,PER!$V$47,PER!BF603=1,PER!$V$48)))</f>
        <v/>
      </c>
      <c r="R12" s="54" t="str" cm="1">
        <f t="array" ref="R12">IF(PER!AL62=0,"",IF((PER!BG43+PER!BG83+PER!BG123+PER!BG163+PER!BG203+PER!BG243+PER!BG283+PER!BG323+PER!BG363+PER!BG403+PER!BG443+PER!BG483+PER!BG523+PER!BG563+PER!BG603)=0,"",_xlfn.IFS(PER!BG43=1,PER!$V$34,PER!BG83=1,PER!$V$35,PER!BG123=1,PER!$V$36,PER!BG163=1,PER!$V$37,PER!BG203=1,PER!$V$38,PER!BG243=1,PER!$V$39,PER!BG283=1,PER!$V$40,PER!BG323=1,PER!$V$41,PER!BG363=1,PER!$V$42,PER!BG403=1,PER!$V$43,PER!BG443=1,PER!$V$44,PER!BG483=1,PER!$V$45,PER!BG523=1,PER!$V$46,PER!BG563=1,PER!$V$47,PER!BG603=1,PER!$V$48)))</f>
        <v/>
      </c>
      <c r="S12" s="54" t="str" cm="1">
        <f t="array" ref="S12">IF(PER!AM62=0,"",IF((PER!BH43+PER!BH83+PER!BH123+PER!BH163+PER!BH203+PER!BH243+PER!BH283+PER!BH323+PER!BH363+PER!BH403+PER!BH443+PER!BH483+PER!BH523+PER!BH563+PER!BH603)=0,"",_xlfn.IFS(PER!BH43=1,PER!$V$34,PER!BH83=1,PER!$V$35,PER!BH123=1,PER!$V$36,PER!BH163=1,PER!$V$37,PER!BH203=1,PER!$V$38,PER!BH243=1,PER!$V$39,PER!BH283=1,PER!$V$40,PER!BH323=1,PER!$V$41,PER!BH363=1,PER!$V$42,PER!BH403=1,PER!$V$43,PER!BH443=1,PER!$V$44,PER!BH483=1,PER!$V$45,PER!BH523=1,PER!$V$46,PER!BH563=1,PER!$V$47,PER!BH603=1,PER!$V$48)))</f>
        <v/>
      </c>
    </row>
    <row r="13" spans="1:19" x14ac:dyDescent="0.55000000000000004">
      <c r="A13">
        <v>11</v>
      </c>
      <c r="B13" t="s">
        <v>56</v>
      </c>
      <c r="C13" s="54" t="str" cm="1">
        <f t="array" ref="C13">IF(PER!W63=0,"",IF((PER!AR44+PER!AR84+PER!AR124+PER!AR164+PER!AR204+PER!AR244+PER!AR284+PER!AR324+PER!AR364+PER!AR404+PER!AR444+PER!AR484+PER!AR524+PER!AR564+PER!AR604)=0,"",_xlfn.IFS(PER!AR44=1,PER!$V$34,PER!AR84=1,PER!$V$35,PER!AR124=1,PER!$V$36,PER!AR164=1,PER!$V$37,PER!AR204=1,PER!$V$38,PER!AR244=1,PER!$V$39,PER!AR284=1,PER!$V$40,PER!AR324=1,PER!$V$41,PER!AR364=1,PER!$V$42,PER!AR404=1,PER!$V$43,PER!AR444=1,PER!$V$44,PER!AR484=1,PER!$V$45,PER!AR524=1,PER!$V$46,PER!AR564=1,PER!$V$47,PER!AR604=1,PER!$V$48)))</f>
        <v/>
      </c>
      <c r="D13" s="54" t="str" cm="1">
        <f t="array" ref="D13">IF(PER!X63=0,"",IF((PER!AS44+PER!AS84+PER!AS124+PER!AS164+PER!AS204+PER!AS244+PER!AS284+PER!AS324+PER!AS364+PER!AS404+PER!AS444+PER!AS484+PER!AS524+PER!AS564+PER!AS604)=0,"",_xlfn.IFS(PER!AS44=1,PER!$V$34,PER!AS84=1,PER!$V$35,PER!AS124=1,PER!$V$36,PER!AS164=1,PER!$V$37,PER!AS204=1,PER!$V$38,PER!AS244=1,PER!$V$39,PER!AS284=1,PER!$V$40,PER!AS324=1,PER!$V$41,PER!AS364=1,PER!$V$42,PER!AS404=1,PER!$V$43,PER!AS444=1,PER!$V$44,PER!AS484=1,PER!$V$45,PER!AS524=1,PER!$V$46,PER!AS564=1,PER!$V$47,PER!AS604=1,PER!$V$48)))</f>
        <v/>
      </c>
      <c r="E13" s="54" t="str" cm="1">
        <f t="array" ref="E13">IF(PER!Y63=0,"",IF((PER!AT44+PER!AT84+PER!AT124+PER!AT164+PER!AT204+PER!AT244+PER!AT284+PER!AT324+PER!AT364+PER!AT404+PER!AT444+PER!AT484+PER!AT524+PER!AT564+PER!AT604)=0,"",_xlfn.IFS(PER!AT44=1,PER!$V$34,PER!AT84=1,PER!$V$35,PER!AT124=1,PER!$V$36,PER!AT164=1,PER!$V$37,PER!AT204=1,PER!$V$38,PER!AT244=1,PER!$V$39,PER!AT284=1,PER!$V$40,PER!AT324=1,PER!$V$41,PER!AT364=1,PER!$V$42,PER!AT404=1,PER!$V$43,PER!AT444=1,PER!$V$44,PER!AT484=1,PER!$V$45,PER!AT524=1,PER!$V$46,PER!AT564=1,PER!$V$47,PER!AT604=1,PER!$V$48)))</f>
        <v/>
      </c>
      <c r="F13" s="54" t="str" cm="1">
        <f t="array" ref="F13">IF(PER!Z63=0,"",IF((PER!AU44+PER!AU84+PER!AU124+PER!AU164+PER!AU204+PER!AU244+PER!AU284+PER!AU324+PER!AU364+PER!AU404+PER!AU444+PER!AU484+PER!AU524+PER!AU564+PER!AU604)=0,"",_xlfn.IFS(PER!AU44=1,PER!$V$34,PER!AU84=1,PER!$V$35,PER!AU124=1,PER!$V$36,PER!AU164=1,PER!$V$37,PER!AU204=1,PER!$V$38,PER!AU244=1,PER!$V$39,PER!AU284=1,PER!$V$40,PER!AU324=1,PER!$V$41,PER!AU364=1,PER!$V$42,PER!AU404=1,PER!$V$43,PER!AU444=1,PER!$V$44,PER!AU484=1,PER!$V$45,PER!AU524=1,PER!$V$46,PER!AU564=1,PER!$V$47,PER!AU604=1,PER!$V$48)))</f>
        <v/>
      </c>
      <c r="G13" s="54" t="str" cm="1">
        <f t="array" ref="G13">IF(PER!AA63=0,"",IF((PER!AV44+PER!AV84+PER!AV124+PER!AV164+PER!AV204+PER!AV244+PER!AV284+PER!AV324+PER!AV364+PER!AV404+PER!AV444+PER!AV484+PER!AV524+PER!AV564+PER!AV604)=0,"",_xlfn.IFS(PER!AV44=1,PER!$V$34,PER!AV84=1,PER!$V$35,PER!AV124=1,PER!$V$36,PER!AV164=1,PER!$V$37,PER!AV204=1,PER!$V$38,PER!AV244=1,PER!$V$39,PER!AV284=1,PER!$V$40,PER!AV324=1,PER!$V$41,PER!AV364=1,PER!$V$42,PER!AV404=1,PER!$V$43,PER!AV444=1,PER!$V$44,PER!AV484=1,PER!$V$45,PER!AV524=1,PER!$V$46,PER!AV564=1,PER!$V$47,PER!AV604=1,PER!$V$48)))</f>
        <v/>
      </c>
      <c r="H13" s="54" t="str" cm="1">
        <f t="array" ref="H13">IF(PER!AB63=0,"",IF((PER!AW44+PER!AW84+PER!AW124+PER!AW164+PER!AW204+PER!AW244+PER!AW284+PER!AW324+PER!AW364+PER!AW404+PER!AW444+PER!AW484+PER!AW524+PER!AW564+PER!AW604)=0,"",_xlfn.IFS(PER!AW44=1,PER!$V$34,PER!AW84=1,PER!$V$35,PER!AW124=1,PER!$V$36,PER!AW164=1,PER!$V$37,PER!AW204=1,PER!$V$38,PER!AW244=1,PER!$V$39,PER!AW284=1,PER!$V$40,PER!AW324=1,PER!$V$41,PER!AW364=1,PER!$V$42,PER!AW404=1,PER!$V$43,PER!AW444=1,PER!$V$44,PER!AW484=1,PER!$V$45,PER!AW524=1,PER!$V$46,PER!AW564=1,PER!$V$47,PER!AW604=1,PER!$V$48)))</f>
        <v/>
      </c>
      <c r="I13" s="54" t="str" cm="1">
        <f t="array" ref="I13">IF(PER!AC63=0,"",IF((PER!AX44+PER!AX84+PER!AX124+PER!AX164+PER!AX204+PER!AX244+PER!AX284+PER!AX324+PER!AX364+PER!AX404+PER!AX444+PER!AX484+PER!AX524+PER!AX564+PER!AX604)=0,"",_xlfn.IFS(PER!AX44=1,PER!$V$34,PER!AX84=1,PER!$V$35,PER!AX124=1,PER!$V$36,PER!AX164=1,PER!$V$37,PER!AX204=1,PER!$V$38,PER!AX244=1,PER!$V$39,PER!AX284=1,PER!$V$40,PER!AX324=1,PER!$V$41,PER!AX364=1,PER!$V$42,PER!AX404=1,PER!$V$43,PER!AX444=1,PER!$V$44,PER!AX484=1,PER!$V$45,PER!AX524=1,PER!$V$46,PER!AX564=1,PER!$V$47,PER!AX604=1,PER!$V$48)))</f>
        <v/>
      </c>
      <c r="J13" s="54" t="str" cm="1">
        <f t="array" ref="J13">IF(PER!AD63=0,"",IF((PER!AY44+PER!AY84+PER!AY124+PER!AY164+PER!AY204+PER!AY244+PER!AY284+PER!AY324+PER!AY364+PER!AY404+PER!AY444+PER!AY484+PER!AY524+PER!AY564+PER!AY604)=0,"",_xlfn.IFS(PER!AY44=1,PER!$V$34,PER!AY84=1,PER!$V$35,PER!AY124=1,PER!$V$36,PER!AY164=1,PER!$V$37,PER!AY204=1,PER!$V$38,PER!AY244=1,PER!$V$39,PER!AY284=1,PER!$V$40,PER!AY324=1,PER!$V$41,PER!AY364=1,PER!$V$42,PER!AY404=1,PER!$V$43,PER!AY444=1,PER!$V$44,PER!AY484=1,PER!$V$45,PER!AY524=1,PER!$V$46,PER!AY564=1,PER!$V$47,PER!AY604=1,PER!$V$48)))</f>
        <v/>
      </c>
      <c r="K13" s="54" t="str" cm="1">
        <f t="array" ref="K13">IF(PER!AE63=0,"",IF((PER!AZ44+PER!AZ84+PER!AZ124+PER!AZ164+PER!AZ204+PER!AZ244+PER!AZ284+PER!AZ324+PER!AZ364+PER!AZ404+PER!AZ444+PER!AZ484+PER!AZ524+PER!AZ564+PER!AZ604)=0,"",_xlfn.IFS(PER!AZ44=1,PER!$V$34,PER!AZ84=1,PER!$V$35,PER!AZ124=1,PER!$V$36,PER!AZ164=1,PER!$V$37,PER!AZ204=1,PER!$V$38,PER!AZ244=1,PER!$V$39,PER!AZ284=1,PER!$V$40,PER!AZ324=1,PER!$V$41,PER!AZ364=1,PER!$V$42,PER!AZ404=1,PER!$V$43,PER!AZ444=1,PER!$V$44,PER!AZ484=1,PER!$V$45,PER!AZ524=1,PER!$V$46,PER!AZ564=1,PER!$V$47,PER!AZ604=1,PER!$V$48)))</f>
        <v/>
      </c>
      <c r="L13" s="54" t="str" cm="1">
        <f t="array" ref="L13">IF(PER!AF63=0,"",IF((PER!BA44+PER!BA84+PER!BA124+PER!BA164+PER!BA204+PER!BA244+PER!BA284+PER!BA324+PER!BA364+PER!BA404+PER!BA444+PER!BA484+PER!BA524+PER!BA564+PER!BA604)=0,"",_xlfn.IFS(PER!BA44=1,PER!$V$34,PER!BA84=1,PER!$V$35,PER!BA124=1,PER!$V$36,PER!BA164=1,PER!$V$37,PER!BA204=1,PER!$V$38,PER!BA244=1,PER!$V$39,PER!BA284=1,PER!$V$40,PER!BA324=1,PER!$V$41,PER!BA364=1,PER!$V$42,PER!BA404=1,PER!$V$43,PER!BA444=1,PER!$V$44,PER!BA484=1,PER!$V$45,PER!BA524=1,PER!$V$46,PER!BA564=1,PER!$V$47,PER!BA604=1,PER!$V$48)))</f>
        <v/>
      </c>
      <c r="M13" s="54" t="str" cm="1">
        <f t="array" ref="M13">IF(PER!AG63=0,"",IF((PER!BB44+PER!BB84+PER!BB124+PER!BB164+PER!BB204+PER!BB244+PER!BB284+PER!BB324+PER!BB364+PER!BB404+PER!BB444+PER!BB484+PER!BB524+PER!BB564+PER!BB604)=0,"",_xlfn.IFS(PER!BB44=1,PER!$V$34,PER!BB84=1,PER!$V$35,PER!BB124=1,PER!$V$36,PER!BB164=1,PER!$V$37,PER!BB204=1,PER!$V$38,PER!BB244=1,PER!$V$39,PER!BB284=1,PER!$V$40,PER!BB324=1,PER!$V$41,PER!BB364=1,PER!$V$42,PER!BB404=1,PER!$V$43,PER!BB444=1,PER!$V$44,PER!BB484=1,PER!$V$45,PER!BB524=1,PER!$V$46,PER!BB564=1,PER!$V$47,PER!BB604=1,PER!$V$48)))</f>
        <v/>
      </c>
      <c r="N13" s="54" t="str" cm="1">
        <f t="array" ref="N13">IF(PER!AH63=0,"",IF((PER!BC44+PER!BC84+PER!BC124+PER!BC164+PER!BC204+PER!BC244+PER!BC284+PER!BC324+PER!BC364+PER!BC404+PER!BC444+PER!BC484+PER!BC524+PER!BC564+PER!BC604)=0,"",_xlfn.IFS(PER!BC44=1,PER!$V$34,PER!BC84=1,PER!$V$35,PER!BC124=1,PER!$V$36,PER!BC164=1,PER!$V$37,PER!BC204=1,PER!$V$38,PER!BC244=1,PER!$V$39,PER!BC284=1,PER!$V$40,PER!BC324=1,PER!$V$41,PER!BC364=1,PER!$V$42,PER!BC404=1,PER!$V$43,PER!BC444=1,PER!$V$44,PER!BC484=1,PER!$V$45,PER!BC524=1,PER!$V$46,PER!BC564=1,PER!$V$47,PER!BC604=1,PER!$V$48)))</f>
        <v/>
      </c>
      <c r="O13" s="54" t="str" cm="1">
        <f t="array" ref="O13">IF(PER!AI63=0,"",IF((PER!BD44+PER!BD84+PER!BD124+PER!BD164+PER!BD204+PER!BD244+PER!BD284+PER!BD324+PER!BD364+PER!BD404+PER!BD444+PER!BD484+PER!BD524+PER!BD564+PER!BD604)=0,"",_xlfn.IFS(PER!BD44=1,PER!$V$34,PER!BD84=1,PER!$V$35,PER!BD124=1,PER!$V$36,PER!BD164=1,PER!$V$37,PER!BD204=1,PER!$V$38,PER!BD244=1,PER!$V$39,PER!BD284=1,PER!$V$40,PER!BD324=1,PER!$V$41,PER!BD364=1,PER!$V$42,PER!BD404=1,PER!$V$43,PER!BD444=1,PER!$V$44,PER!BD484=1,PER!$V$45,PER!BD524=1,PER!$V$46,PER!BD564=1,PER!$V$47,PER!BD604=1,PER!$V$48)))</f>
        <v/>
      </c>
      <c r="P13" s="54" t="str" cm="1">
        <f t="array" ref="P13">IF(PER!AJ63=0,"",IF((PER!BE44+PER!BE84+PER!BE124+PER!BE164+PER!BE204+PER!BE244+PER!BE284+PER!BE324+PER!BE364+PER!BE404+PER!BE444+PER!BE484+PER!BE524+PER!BE564+PER!BE604)=0,"",_xlfn.IFS(PER!BE44=1,PER!$V$34,PER!BE84=1,PER!$V$35,PER!BE124=1,PER!$V$36,PER!BE164=1,PER!$V$37,PER!BE204=1,PER!$V$38,PER!BE244=1,PER!$V$39,PER!BE284=1,PER!$V$40,PER!BE324=1,PER!$V$41,PER!BE364=1,PER!$V$42,PER!BE404=1,PER!$V$43,PER!BE444=1,PER!$V$44,PER!BE484=1,PER!$V$45,PER!BE524=1,PER!$V$46,PER!BE564=1,PER!$V$47,PER!BE604=1,PER!$V$48)))</f>
        <v/>
      </c>
      <c r="Q13" s="54" t="str" cm="1">
        <f t="array" ref="Q13">IF(PER!AK63=0,"",IF((PER!BF44+PER!BF84+PER!BF124+PER!BF164+PER!BF204+PER!BF244+PER!BF284+PER!BF324+PER!BF364+PER!BF404+PER!BF444+PER!BF484+PER!BF524+PER!BF564+PER!BF604)=0,"",_xlfn.IFS(PER!BF44=1,PER!$V$34,PER!BF84=1,PER!$V$35,PER!BF124=1,PER!$V$36,PER!BF164=1,PER!$V$37,PER!BF204=1,PER!$V$38,PER!BF244=1,PER!$V$39,PER!BF284=1,PER!$V$40,PER!BF324=1,PER!$V$41,PER!BF364=1,PER!$V$42,PER!BF404=1,PER!$V$43,PER!BF444=1,PER!$V$44,PER!BF484=1,PER!$V$45,PER!BF524=1,PER!$V$46,PER!BF564=1,PER!$V$47,PER!BF604=1,PER!$V$48)))</f>
        <v/>
      </c>
      <c r="R13" s="54" t="str" cm="1">
        <f t="array" ref="R13">IF(PER!AL63=0,"",IF((PER!BG44+PER!BG84+PER!BG124+PER!BG164+PER!BG204+PER!BG244+PER!BG284+PER!BG324+PER!BG364+PER!BG404+PER!BG444+PER!BG484+PER!BG524+PER!BG564+PER!BG604)=0,"",_xlfn.IFS(PER!BG44=1,PER!$V$34,PER!BG84=1,PER!$V$35,PER!BG124=1,PER!$V$36,PER!BG164=1,PER!$V$37,PER!BG204=1,PER!$V$38,PER!BG244=1,PER!$V$39,PER!BG284=1,PER!$V$40,PER!BG324=1,PER!$V$41,PER!BG364=1,PER!$V$42,PER!BG404=1,PER!$V$43,PER!BG444=1,PER!$V$44,PER!BG484=1,PER!$V$45,PER!BG524=1,PER!$V$46,PER!BG564=1,PER!$V$47,PER!BG604=1,PER!$V$48)))</f>
        <v/>
      </c>
      <c r="S13" s="54" t="str" cm="1">
        <f t="array" ref="S13">IF(PER!AM63=0,"",IF((PER!BH44+PER!BH84+PER!BH124+PER!BH164+PER!BH204+PER!BH244+PER!BH284+PER!BH324+PER!BH364+PER!BH404+PER!BH444+PER!BH484+PER!BH524+PER!BH564+PER!BH604)=0,"",_xlfn.IFS(PER!BH44=1,PER!$V$34,PER!BH84=1,PER!$V$35,PER!BH124=1,PER!$V$36,PER!BH164=1,PER!$V$37,PER!BH204=1,PER!$V$38,PER!BH244=1,PER!$V$39,PER!BH284=1,PER!$V$40,PER!BH324=1,PER!$V$41,PER!BH364=1,PER!$V$42,PER!BH404=1,PER!$V$43,PER!BH444=1,PER!$V$44,PER!BH484=1,PER!$V$45,PER!BH524=1,PER!$V$46,PER!BH564=1,PER!$V$47,PER!BH604=1,PER!$V$48)))</f>
        <v/>
      </c>
    </row>
    <row r="14" spans="1:19" x14ac:dyDescent="0.55000000000000004">
      <c r="A14">
        <v>12</v>
      </c>
      <c r="B14" t="s">
        <v>57</v>
      </c>
      <c r="C14" s="54" t="str" cm="1">
        <f t="array" ref="C14">IF(PER!W64=0,"",IF((PER!AR45+PER!AR85+PER!AR125+PER!AR165+PER!AR205+PER!AR245+PER!AR285+PER!AR325+PER!AR365+PER!AR405+PER!AR445+PER!AR485+PER!AR525+PER!AR565+PER!AR605)=0,"",_xlfn.IFS(PER!AR45=1,PER!$V$34,PER!AR85=1,PER!$V$35,PER!AR125=1,PER!$V$36,PER!AR165=1,PER!$V$37,PER!AR205=1,PER!$V$38,PER!AR245=1,PER!$V$39,PER!AR285=1,PER!$V$40,PER!AR325=1,PER!$V$41,PER!AR365=1,PER!$V$42,PER!AR405=1,PER!$V$43,PER!AR445=1,PER!$V$44,PER!AR485=1,PER!$V$45,PER!AR525=1,PER!$V$46,PER!AR565=1,PER!$V$47,PER!AR605=1,PER!$V$48)))</f>
        <v/>
      </c>
      <c r="D14" s="54" t="str" cm="1">
        <f t="array" ref="D14">IF(PER!X64=0,"",IF((PER!AS45+PER!AS85+PER!AS125+PER!AS165+PER!AS205+PER!AS245+PER!AS285+PER!AS325+PER!AS365+PER!AS405+PER!AS445+PER!AS485+PER!AS525+PER!AS565+PER!AS605)=0,"",_xlfn.IFS(PER!AS45=1,PER!$V$34,PER!AS85=1,PER!$V$35,PER!AS125=1,PER!$V$36,PER!AS165=1,PER!$V$37,PER!AS205=1,PER!$V$38,PER!AS245=1,PER!$V$39,PER!AS285=1,PER!$V$40,PER!AS325=1,PER!$V$41,PER!AS365=1,PER!$V$42,PER!AS405=1,PER!$V$43,PER!AS445=1,PER!$V$44,PER!AS485=1,PER!$V$45,PER!AS525=1,PER!$V$46,PER!AS565=1,PER!$V$47,PER!AS605=1,PER!$V$48)))</f>
        <v/>
      </c>
      <c r="E14" s="54" t="str" cm="1">
        <f t="array" ref="E14">IF(PER!Y64=0,"",IF((PER!AT45+PER!AT85+PER!AT125+PER!AT165+PER!AT205+PER!AT245+PER!AT285+PER!AT325+PER!AT365+PER!AT405+PER!AT445+PER!AT485+PER!AT525+PER!AT565+PER!AT605)=0,"",_xlfn.IFS(PER!AT45=1,PER!$V$34,PER!AT85=1,PER!$V$35,PER!AT125=1,PER!$V$36,PER!AT165=1,PER!$V$37,PER!AT205=1,PER!$V$38,PER!AT245=1,PER!$V$39,PER!AT285=1,PER!$V$40,PER!AT325=1,PER!$V$41,PER!AT365=1,PER!$V$42,PER!AT405=1,PER!$V$43,PER!AT445=1,PER!$V$44,PER!AT485=1,PER!$V$45,PER!AT525=1,PER!$V$46,PER!AT565=1,PER!$V$47,PER!AT605=1,PER!$V$48)))</f>
        <v/>
      </c>
      <c r="F14" s="54" t="str" cm="1">
        <f t="array" ref="F14">IF(PER!Z64=0,"",IF((PER!AU45+PER!AU85+PER!AU125+PER!AU165+PER!AU205+PER!AU245+PER!AU285+PER!AU325+PER!AU365+PER!AU405+PER!AU445+PER!AU485+PER!AU525+PER!AU565+PER!AU605)=0,"",_xlfn.IFS(PER!AU45=1,PER!$V$34,PER!AU85=1,PER!$V$35,PER!AU125=1,PER!$V$36,PER!AU165=1,PER!$V$37,PER!AU205=1,PER!$V$38,PER!AU245=1,PER!$V$39,PER!AU285=1,PER!$V$40,PER!AU325=1,PER!$V$41,PER!AU365=1,PER!$V$42,PER!AU405=1,PER!$V$43,PER!AU445=1,PER!$V$44,PER!AU485=1,PER!$V$45,PER!AU525=1,PER!$V$46,PER!AU565=1,PER!$V$47,PER!AU605=1,PER!$V$48)))</f>
        <v/>
      </c>
      <c r="G14" s="54" t="str" cm="1">
        <f t="array" ref="G14">IF(PER!AA64=0,"",IF((PER!AV45+PER!AV85+PER!AV125+PER!AV165+PER!AV205+PER!AV245+PER!AV285+PER!AV325+PER!AV365+PER!AV405+PER!AV445+PER!AV485+PER!AV525+PER!AV565+PER!AV605)=0,"",_xlfn.IFS(PER!AV45=1,PER!$V$34,PER!AV85=1,PER!$V$35,PER!AV125=1,PER!$V$36,PER!AV165=1,PER!$V$37,PER!AV205=1,PER!$V$38,PER!AV245=1,PER!$V$39,PER!AV285=1,PER!$V$40,PER!AV325=1,PER!$V$41,PER!AV365=1,PER!$V$42,PER!AV405=1,PER!$V$43,PER!AV445=1,PER!$V$44,PER!AV485=1,PER!$V$45,PER!AV525=1,PER!$V$46,PER!AV565=1,PER!$V$47,PER!AV605=1,PER!$V$48)))</f>
        <v/>
      </c>
      <c r="H14" s="54" t="str" cm="1">
        <f t="array" ref="H14">IF(PER!AB64=0,"",IF((PER!AW45+PER!AW85+PER!AW125+PER!AW165+PER!AW205+PER!AW245+PER!AW285+PER!AW325+PER!AW365+PER!AW405+PER!AW445+PER!AW485+PER!AW525+PER!AW565+PER!AW605)=0,"",_xlfn.IFS(PER!AW45=1,PER!$V$34,PER!AW85=1,PER!$V$35,PER!AW125=1,PER!$V$36,PER!AW165=1,PER!$V$37,PER!AW205=1,PER!$V$38,PER!AW245=1,PER!$V$39,PER!AW285=1,PER!$V$40,PER!AW325=1,PER!$V$41,PER!AW365=1,PER!$V$42,PER!AW405=1,PER!$V$43,PER!AW445=1,PER!$V$44,PER!AW485=1,PER!$V$45,PER!AW525=1,PER!$V$46,PER!AW565=1,PER!$V$47,PER!AW605=1,PER!$V$48)))</f>
        <v/>
      </c>
      <c r="I14" s="54" t="str" cm="1">
        <f t="array" ref="I14">IF(PER!AC64=0,"",IF((PER!AX45+PER!AX85+PER!AX125+PER!AX165+PER!AX205+PER!AX245+PER!AX285+PER!AX325+PER!AX365+PER!AX405+PER!AX445+PER!AX485+PER!AX525+PER!AX565+PER!AX605)=0,"",_xlfn.IFS(PER!AX45=1,PER!$V$34,PER!AX85=1,PER!$V$35,PER!AX125=1,PER!$V$36,PER!AX165=1,PER!$V$37,PER!AX205=1,PER!$V$38,PER!AX245=1,PER!$V$39,PER!AX285=1,PER!$V$40,PER!AX325=1,PER!$V$41,PER!AX365=1,PER!$V$42,PER!AX405=1,PER!$V$43,PER!AX445=1,PER!$V$44,PER!AX485=1,PER!$V$45,PER!AX525=1,PER!$V$46,PER!AX565=1,PER!$V$47,PER!AX605=1,PER!$V$48)))</f>
        <v/>
      </c>
      <c r="J14" s="54" t="str" cm="1">
        <f t="array" ref="J14">IF(PER!AD64=0,"",IF((PER!AY45+PER!AY85+PER!AY125+PER!AY165+PER!AY205+PER!AY245+PER!AY285+PER!AY325+PER!AY365+PER!AY405+PER!AY445+PER!AY485+PER!AY525+PER!AY565+PER!AY605)=0,"",_xlfn.IFS(PER!AY45=1,PER!$V$34,PER!AY85=1,PER!$V$35,PER!AY125=1,PER!$V$36,PER!AY165=1,PER!$V$37,PER!AY205=1,PER!$V$38,PER!AY245=1,PER!$V$39,PER!AY285=1,PER!$V$40,PER!AY325=1,PER!$V$41,PER!AY365=1,PER!$V$42,PER!AY405=1,PER!$V$43,PER!AY445=1,PER!$V$44,PER!AY485=1,PER!$V$45,PER!AY525=1,PER!$V$46,PER!AY565=1,PER!$V$47,PER!AY605=1,PER!$V$48)))</f>
        <v/>
      </c>
      <c r="K14" s="54" t="str" cm="1">
        <f t="array" ref="K14">IF(PER!AE64=0,"",IF((PER!AZ45+PER!AZ85+PER!AZ125+PER!AZ165+PER!AZ205+PER!AZ245+PER!AZ285+PER!AZ325+PER!AZ365+PER!AZ405+PER!AZ445+PER!AZ485+PER!AZ525+PER!AZ565+PER!AZ605)=0,"",_xlfn.IFS(PER!AZ45=1,PER!$V$34,PER!AZ85=1,PER!$V$35,PER!AZ125=1,PER!$V$36,PER!AZ165=1,PER!$V$37,PER!AZ205=1,PER!$V$38,PER!AZ245=1,PER!$V$39,PER!AZ285=1,PER!$V$40,PER!AZ325=1,PER!$V$41,PER!AZ365=1,PER!$V$42,PER!AZ405=1,PER!$V$43,PER!AZ445=1,PER!$V$44,PER!AZ485=1,PER!$V$45,PER!AZ525=1,PER!$V$46,PER!AZ565=1,PER!$V$47,PER!AZ605=1,PER!$V$48)))</f>
        <v/>
      </c>
      <c r="L14" s="54" t="str" cm="1">
        <f t="array" ref="L14">IF(PER!AF64=0,"",IF((PER!BA45+PER!BA85+PER!BA125+PER!BA165+PER!BA205+PER!BA245+PER!BA285+PER!BA325+PER!BA365+PER!BA405+PER!BA445+PER!BA485+PER!BA525+PER!BA565+PER!BA605)=0,"",_xlfn.IFS(PER!BA45=1,PER!$V$34,PER!BA85=1,PER!$V$35,PER!BA125=1,PER!$V$36,PER!BA165=1,PER!$V$37,PER!BA205=1,PER!$V$38,PER!BA245=1,PER!$V$39,PER!BA285=1,PER!$V$40,PER!BA325=1,PER!$V$41,PER!BA365=1,PER!$V$42,PER!BA405=1,PER!$V$43,PER!BA445=1,PER!$V$44,PER!BA485=1,PER!$V$45,PER!BA525=1,PER!$V$46,PER!BA565=1,PER!$V$47,PER!BA605=1,PER!$V$48)))</f>
        <v/>
      </c>
      <c r="M14" s="54" t="str" cm="1">
        <f t="array" ref="M14">IF(PER!AG64=0,"",IF((PER!BB45+PER!BB85+PER!BB125+PER!BB165+PER!BB205+PER!BB245+PER!BB285+PER!BB325+PER!BB365+PER!BB405+PER!BB445+PER!BB485+PER!BB525+PER!BB565+PER!BB605)=0,"",_xlfn.IFS(PER!BB45=1,PER!$V$34,PER!BB85=1,PER!$V$35,PER!BB125=1,PER!$V$36,PER!BB165=1,PER!$V$37,PER!BB205=1,PER!$V$38,PER!BB245=1,PER!$V$39,PER!BB285=1,PER!$V$40,PER!BB325=1,PER!$V$41,PER!BB365=1,PER!$V$42,PER!BB405=1,PER!$V$43,PER!BB445=1,PER!$V$44,PER!BB485=1,PER!$V$45,PER!BB525=1,PER!$V$46,PER!BB565=1,PER!$V$47,PER!BB605=1,PER!$V$48)))</f>
        <v/>
      </c>
      <c r="N14" s="54" t="str" cm="1">
        <f t="array" ref="N14">IF(PER!AH64=0,"",IF((PER!BC45+PER!BC85+PER!BC125+PER!BC165+PER!BC205+PER!BC245+PER!BC285+PER!BC325+PER!BC365+PER!BC405+PER!BC445+PER!BC485+PER!BC525+PER!BC565+PER!BC605)=0,"",_xlfn.IFS(PER!BC45=1,PER!$V$34,PER!BC85=1,PER!$V$35,PER!BC125=1,PER!$V$36,PER!BC165=1,PER!$V$37,PER!BC205=1,PER!$V$38,PER!BC245=1,PER!$V$39,PER!BC285=1,PER!$V$40,PER!BC325=1,PER!$V$41,PER!BC365=1,PER!$V$42,PER!BC405=1,PER!$V$43,PER!BC445=1,PER!$V$44,PER!BC485=1,PER!$V$45,PER!BC525=1,PER!$V$46,PER!BC565=1,PER!$V$47,PER!BC605=1,PER!$V$48)))</f>
        <v/>
      </c>
      <c r="O14" s="54" t="str" cm="1">
        <f t="array" ref="O14">IF(PER!AI64=0,"",IF((PER!BD45+PER!BD85+PER!BD125+PER!BD165+PER!BD205+PER!BD245+PER!BD285+PER!BD325+PER!BD365+PER!BD405+PER!BD445+PER!BD485+PER!BD525+PER!BD565+PER!BD605)=0,"",_xlfn.IFS(PER!BD45=1,PER!$V$34,PER!BD85=1,PER!$V$35,PER!BD125=1,PER!$V$36,PER!BD165=1,PER!$V$37,PER!BD205=1,PER!$V$38,PER!BD245=1,PER!$V$39,PER!BD285=1,PER!$V$40,PER!BD325=1,PER!$V$41,PER!BD365=1,PER!$V$42,PER!BD405=1,PER!$V$43,PER!BD445=1,PER!$V$44,PER!BD485=1,PER!$V$45,PER!BD525=1,PER!$V$46,PER!BD565=1,PER!$V$47,PER!BD605=1,PER!$V$48)))</f>
        <v/>
      </c>
      <c r="P14" s="54" t="str" cm="1">
        <f t="array" ref="P14">IF(PER!AJ64=0,"",IF((PER!BE45+PER!BE85+PER!BE125+PER!BE165+PER!BE205+PER!BE245+PER!BE285+PER!BE325+PER!BE365+PER!BE405+PER!BE445+PER!BE485+PER!BE525+PER!BE565+PER!BE605)=0,"",_xlfn.IFS(PER!BE45=1,PER!$V$34,PER!BE85=1,PER!$V$35,PER!BE125=1,PER!$V$36,PER!BE165=1,PER!$V$37,PER!BE205=1,PER!$V$38,PER!BE245=1,PER!$V$39,PER!BE285=1,PER!$V$40,PER!BE325=1,PER!$V$41,PER!BE365=1,PER!$V$42,PER!BE405=1,PER!$V$43,PER!BE445=1,PER!$V$44,PER!BE485=1,PER!$V$45,PER!BE525=1,PER!$V$46,PER!BE565=1,PER!$V$47,PER!BE605=1,PER!$V$48)))</f>
        <v/>
      </c>
      <c r="Q14" s="54" t="str" cm="1">
        <f t="array" ref="Q14">IF(PER!AK64=0,"",IF((PER!BF45+PER!BF85+PER!BF125+PER!BF165+PER!BF205+PER!BF245+PER!BF285+PER!BF325+PER!BF365+PER!BF405+PER!BF445+PER!BF485+PER!BF525+PER!BF565+PER!BF605)=0,"",_xlfn.IFS(PER!BF45=1,PER!$V$34,PER!BF85=1,PER!$V$35,PER!BF125=1,PER!$V$36,PER!BF165=1,PER!$V$37,PER!BF205=1,PER!$V$38,PER!BF245=1,PER!$V$39,PER!BF285=1,PER!$V$40,PER!BF325=1,PER!$V$41,PER!BF365=1,PER!$V$42,PER!BF405=1,PER!$V$43,PER!BF445=1,PER!$V$44,PER!BF485=1,PER!$V$45,PER!BF525=1,PER!$V$46,PER!BF565=1,PER!$V$47,PER!BF605=1,PER!$V$48)))</f>
        <v/>
      </c>
      <c r="R14" s="54" t="str" cm="1">
        <f t="array" ref="R14">IF(PER!AL64=0,"",IF((PER!BG45+PER!BG85+PER!BG125+PER!BG165+PER!BG205+PER!BG245+PER!BG285+PER!BG325+PER!BG365+PER!BG405+PER!BG445+PER!BG485+PER!BG525+PER!BG565+PER!BG605)=0,"",_xlfn.IFS(PER!BG45=1,PER!$V$34,PER!BG85=1,PER!$V$35,PER!BG125=1,PER!$V$36,PER!BG165=1,PER!$V$37,PER!BG205=1,PER!$V$38,PER!BG245=1,PER!$V$39,PER!BG285=1,PER!$V$40,PER!BG325=1,PER!$V$41,PER!BG365=1,PER!$V$42,PER!BG405=1,PER!$V$43,PER!BG445=1,PER!$V$44,PER!BG485=1,PER!$V$45,PER!BG525=1,PER!$V$46,PER!BG565=1,PER!$V$47,PER!BG605=1,PER!$V$48)))</f>
        <v/>
      </c>
      <c r="S14" s="54" t="str" cm="1">
        <f t="array" ref="S14">IF(PER!AM64=0,"",IF((PER!BH45+PER!BH85+PER!BH125+PER!BH165+PER!BH205+PER!BH245+PER!BH285+PER!BH325+PER!BH365+PER!BH405+PER!BH445+PER!BH485+PER!BH525+PER!BH565+PER!BH605)=0,"",_xlfn.IFS(PER!BH45=1,PER!$V$34,PER!BH85=1,PER!$V$35,PER!BH125=1,PER!$V$36,PER!BH165=1,PER!$V$37,PER!BH205=1,PER!$V$38,PER!BH245=1,PER!$V$39,PER!BH285=1,PER!$V$40,PER!BH325=1,PER!$V$41,PER!BH365=1,PER!$V$42,PER!BH405=1,PER!$V$43,PER!BH445=1,PER!$V$44,PER!BH485=1,PER!$V$45,PER!BH525=1,PER!$V$46,PER!BH565=1,PER!$V$47,PER!BH605=1,PER!$V$48)))</f>
        <v/>
      </c>
    </row>
    <row r="15" spans="1:19" x14ac:dyDescent="0.55000000000000004">
      <c r="A15">
        <v>13</v>
      </c>
      <c r="B15" t="s">
        <v>58</v>
      </c>
      <c r="C15" s="54" t="str" cm="1">
        <f t="array" ref="C15">IF(PER!W65=0,"",IF((PER!AR46+PER!AR86+PER!AR126+PER!AR166+PER!AR206+PER!AR246+PER!AR286+PER!AR326+PER!AR366+PER!AR406+PER!AR446+PER!AR486+PER!AR526+PER!AR566+PER!AR606)=0,"",_xlfn.IFS(PER!AR46=1,PER!$V$34,PER!AR86=1,PER!$V$35,PER!AR126=1,PER!$V$36,PER!AR166=1,PER!$V$37,PER!AR206=1,PER!$V$38,PER!AR246=1,PER!$V$39,PER!AR286=1,PER!$V$40,PER!AR326=1,PER!$V$41,PER!AR366=1,PER!$V$42,PER!AR406=1,PER!$V$43,PER!AR446=1,PER!$V$44,PER!AR486=1,PER!$V$45,PER!AR526=1,PER!$V$46,PER!AR566=1,PER!$V$47,PER!AR606=1,PER!$V$48)))</f>
        <v/>
      </c>
      <c r="D15" s="54" t="str" cm="1">
        <f t="array" ref="D15">IF(PER!X65=0,"",IF((PER!AS46+PER!AS86+PER!AS126+PER!AS166+PER!AS206+PER!AS246+PER!AS286+PER!AS326+PER!AS366+PER!AS406+PER!AS446+PER!AS486+PER!AS526+PER!AS566+PER!AS606)=0,"",_xlfn.IFS(PER!AS46=1,PER!$V$34,PER!AS86=1,PER!$V$35,PER!AS126=1,PER!$V$36,PER!AS166=1,PER!$V$37,PER!AS206=1,PER!$V$38,PER!AS246=1,PER!$V$39,PER!AS286=1,PER!$V$40,PER!AS326=1,PER!$V$41,PER!AS366=1,PER!$V$42,PER!AS406=1,PER!$V$43,PER!AS446=1,PER!$V$44,PER!AS486=1,PER!$V$45,PER!AS526=1,PER!$V$46,PER!AS566=1,PER!$V$47,PER!AS606=1,PER!$V$48)))</f>
        <v/>
      </c>
      <c r="E15" s="54" t="str" cm="1">
        <f t="array" ref="E15">IF(PER!Y65=0,"",IF((PER!AT46+PER!AT86+PER!AT126+PER!AT166+PER!AT206+PER!AT246+PER!AT286+PER!AT326+PER!AT366+PER!AT406+PER!AT446+PER!AT486+PER!AT526+PER!AT566+PER!AT606)=0,"",_xlfn.IFS(PER!AT46=1,PER!$V$34,PER!AT86=1,PER!$V$35,PER!AT126=1,PER!$V$36,PER!AT166=1,PER!$V$37,PER!AT206=1,PER!$V$38,PER!AT246=1,PER!$V$39,PER!AT286=1,PER!$V$40,PER!AT326=1,PER!$V$41,PER!AT366=1,PER!$V$42,PER!AT406=1,PER!$V$43,PER!AT446=1,PER!$V$44,PER!AT486=1,PER!$V$45,PER!AT526=1,PER!$V$46,PER!AT566=1,PER!$V$47,PER!AT606=1,PER!$V$48)))</f>
        <v/>
      </c>
      <c r="F15" s="54" t="str" cm="1">
        <f t="array" ref="F15">IF(PER!Z65=0,"",IF((PER!AU46+PER!AU86+PER!AU126+PER!AU166+PER!AU206+PER!AU246+PER!AU286+PER!AU326+PER!AU366+PER!AU406+PER!AU446+PER!AU486+PER!AU526+PER!AU566+PER!AU606)=0,"",_xlfn.IFS(PER!AU46=1,PER!$V$34,PER!AU86=1,PER!$V$35,PER!AU126=1,PER!$V$36,PER!AU166=1,PER!$V$37,PER!AU206=1,PER!$V$38,PER!AU246=1,PER!$V$39,PER!AU286=1,PER!$V$40,PER!AU326=1,PER!$V$41,PER!AU366=1,PER!$V$42,PER!AU406=1,PER!$V$43,PER!AU446=1,PER!$V$44,PER!AU486=1,PER!$V$45,PER!AU526=1,PER!$V$46,PER!AU566=1,PER!$V$47,PER!AU606=1,PER!$V$48)))</f>
        <v/>
      </c>
      <c r="G15" s="54" t="str" cm="1">
        <f t="array" ref="G15">IF(PER!AA65=0,"",IF((PER!AV46+PER!AV86+PER!AV126+PER!AV166+PER!AV206+PER!AV246+PER!AV286+PER!AV326+PER!AV366+PER!AV406+PER!AV446+PER!AV486+PER!AV526+PER!AV566+PER!AV606)=0,"",_xlfn.IFS(PER!AV46=1,PER!$V$34,PER!AV86=1,PER!$V$35,PER!AV126=1,PER!$V$36,PER!AV166=1,PER!$V$37,PER!AV206=1,PER!$V$38,PER!AV246=1,PER!$V$39,PER!AV286=1,PER!$V$40,PER!AV326=1,PER!$V$41,PER!AV366=1,PER!$V$42,PER!AV406=1,PER!$V$43,PER!AV446=1,PER!$V$44,PER!AV486=1,PER!$V$45,PER!AV526=1,PER!$V$46,PER!AV566=1,PER!$V$47,PER!AV606=1,PER!$V$48)))</f>
        <v/>
      </c>
      <c r="H15" s="54" t="str" cm="1">
        <f t="array" ref="H15">IF(PER!AB65=0,"",IF((PER!AW46+PER!AW86+PER!AW126+PER!AW166+PER!AW206+PER!AW246+PER!AW286+PER!AW326+PER!AW366+PER!AW406+PER!AW446+PER!AW486+PER!AW526+PER!AW566+PER!AW606)=0,"",_xlfn.IFS(PER!AW46=1,PER!$V$34,PER!AW86=1,PER!$V$35,PER!AW126=1,PER!$V$36,PER!AW166=1,PER!$V$37,PER!AW206=1,PER!$V$38,PER!AW246=1,PER!$V$39,PER!AW286=1,PER!$V$40,PER!AW326=1,PER!$V$41,PER!AW366=1,PER!$V$42,PER!AW406=1,PER!$V$43,PER!AW446=1,PER!$V$44,PER!AW486=1,PER!$V$45,PER!AW526=1,PER!$V$46,PER!AW566=1,PER!$V$47,PER!AW606=1,PER!$V$48)))</f>
        <v/>
      </c>
      <c r="I15" s="54" t="str" cm="1">
        <f t="array" ref="I15">IF(PER!AC65=0,"",IF((PER!AX46+PER!AX86+PER!AX126+PER!AX166+PER!AX206+PER!AX246+PER!AX286+PER!AX326+PER!AX366+PER!AX406+PER!AX446+PER!AX486+PER!AX526+PER!AX566+PER!AX606)=0,"",_xlfn.IFS(PER!AX46=1,PER!$V$34,PER!AX86=1,PER!$V$35,PER!AX126=1,PER!$V$36,PER!AX166=1,PER!$V$37,PER!AX206=1,PER!$V$38,PER!AX246=1,PER!$V$39,PER!AX286=1,PER!$V$40,PER!AX326=1,PER!$V$41,PER!AX366=1,PER!$V$42,PER!AX406=1,PER!$V$43,PER!AX446=1,PER!$V$44,PER!AX486=1,PER!$V$45,PER!AX526=1,PER!$V$46,PER!AX566=1,PER!$V$47,PER!AX606=1,PER!$V$48)))</f>
        <v/>
      </c>
      <c r="J15" s="54" t="str" cm="1">
        <f t="array" ref="J15">IF(PER!AD65=0,"",IF((PER!AY46+PER!AY86+PER!AY126+PER!AY166+PER!AY206+PER!AY246+PER!AY286+PER!AY326+PER!AY366+PER!AY406+PER!AY446+PER!AY486+PER!AY526+PER!AY566+PER!AY606)=0,"",_xlfn.IFS(PER!AY46=1,PER!$V$34,PER!AY86=1,PER!$V$35,PER!AY126=1,PER!$V$36,PER!AY166=1,PER!$V$37,PER!AY206=1,PER!$V$38,PER!AY246=1,PER!$V$39,PER!AY286=1,PER!$V$40,PER!AY326=1,PER!$V$41,PER!AY366=1,PER!$V$42,PER!AY406=1,PER!$V$43,PER!AY446=1,PER!$V$44,PER!AY486=1,PER!$V$45,PER!AY526=1,PER!$V$46,PER!AY566=1,PER!$V$47,PER!AY606=1,PER!$V$48)))</f>
        <v/>
      </c>
      <c r="K15" s="54" t="str" cm="1">
        <f t="array" ref="K15">IF(PER!AE65=0,"",IF((PER!AZ46+PER!AZ86+PER!AZ126+PER!AZ166+PER!AZ206+PER!AZ246+PER!AZ286+PER!AZ326+PER!AZ366+PER!AZ406+PER!AZ446+PER!AZ486+PER!AZ526+PER!AZ566+PER!AZ606)=0,"",_xlfn.IFS(PER!AZ46=1,PER!$V$34,PER!AZ86=1,PER!$V$35,PER!AZ126=1,PER!$V$36,PER!AZ166=1,PER!$V$37,PER!AZ206=1,PER!$V$38,PER!AZ246=1,PER!$V$39,PER!AZ286=1,PER!$V$40,PER!AZ326=1,PER!$V$41,PER!AZ366=1,PER!$V$42,PER!AZ406=1,PER!$V$43,PER!AZ446=1,PER!$V$44,PER!AZ486=1,PER!$V$45,PER!AZ526=1,PER!$V$46,PER!AZ566=1,PER!$V$47,PER!AZ606=1,PER!$V$48)))</f>
        <v/>
      </c>
      <c r="L15" s="54" t="str" cm="1">
        <f t="array" ref="L15">IF(PER!AF65=0,"",IF((PER!BA46+PER!BA86+PER!BA126+PER!BA166+PER!BA206+PER!BA246+PER!BA286+PER!BA326+PER!BA366+PER!BA406+PER!BA446+PER!BA486+PER!BA526+PER!BA566+PER!BA606)=0,"",_xlfn.IFS(PER!BA46=1,PER!$V$34,PER!BA86=1,PER!$V$35,PER!BA126=1,PER!$V$36,PER!BA166=1,PER!$V$37,PER!BA206=1,PER!$V$38,PER!BA246=1,PER!$V$39,PER!BA286=1,PER!$V$40,PER!BA326=1,PER!$V$41,PER!BA366=1,PER!$V$42,PER!BA406=1,PER!$V$43,PER!BA446=1,PER!$V$44,PER!BA486=1,PER!$V$45,PER!BA526=1,PER!$V$46,PER!BA566=1,PER!$V$47,PER!BA606=1,PER!$V$48)))</f>
        <v/>
      </c>
      <c r="M15" s="54" t="str" cm="1">
        <f t="array" ref="M15">IF(PER!AG65=0,"",IF((PER!BB46+PER!BB86+PER!BB126+PER!BB166+PER!BB206+PER!BB246+PER!BB286+PER!BB326+PER!BB366+PER!BB406+PER!BB446+PER!BB486+PER!BB526+PER!BB566+PER!BB606)=0,"",_xlfn.IFS(PER!BB46=1,PER!$V$34,PER!BB86=1,PER!$V$35,PER!BB126=1,PER!$V$36,PER!BB166=1,PER!$V$37,PER!BB206=1,PER!$V$38,PER!BB246=1,PER!$V$39,PER!BB286=1,PER!$V$40,PER!BB326=1,PER!$V$41,PER!BB366=1,PER!$V$42,PER!BB406=1,PER!$V$43,PER!BB446=1,PER!$V$44,PER!BB486=1,PER!$V$45,PER!BB526=1,PER!$V$46,PER!BB566=1,PER!$V$47,PER!BB606=1,PER!$V$48)))</f>
        <v/>
      </c>
      <c r="N15" s="54" t="str" cm="1">
        <f t="array" ref="N15">IF(PER!AH65=0,"",IF((PER!BC46+PER!BC86+PER!BC126+PER!BC166+PER!BC206+PER!BC246+PER!BC286+PER!BC326+PER!BC366+PER!BC406+PER!BC446+PER!BC486+PER!BC526+PER!BC566+PER!BC606)=0,"",_xlfn.IFS(PER!BC46=1,PER!$V$34,PER!BC86=1,PER!$V$35,PER!BC126=1,PER!$V$36,PER!BC166=1,PER!$V$37,PER!BC206=1,PER!$V$38,PER!BC246=1,PER!$V$39,PER!BC286=1,PER!$V$40,PER!BC326=1,PER!$V$41,PER!BC366=1,PER!$V$42,PER!BC406=1,PER!$V$43,PER!BC446=1,PER!$V$44,PER!BC486=1,PER!$V$45,PER!BC526=1,PER!$V$46,PER!BC566=1,PER!$V$47,PER!BC606=1,PER!$V$48)))</f>
        <v/>
      </c>
      <c r="O15" s="54" t="str" cm="1">
        <f t="array" ref="O15">IF(PER!AI65=0,"",IF((PER!BD46+PER!BD86+PER!BD126+PER!BD166+PER!BD206+PER!BD246+PER!BD286+PER!BD326+PER!BD366+PER!BD406+PER!BD446+PER!BD486+PER!BD526+PER!BD566+PER!BD606)=0,"",_xlfn.IFS(PER!BD46=1,PER!$V$34,PER!BD86=1,PER!$V$35,PER!BD126=1,PER!$V$36,PER!BD166=1,PER!$V$37,PER!BD206=1,PER!$V$38,PER!BD246=1,PER!$V$39,PER!BD286=1,PER!$V$40,PER!BD326=1,PER!$V$41,PER!BD366=1,PER!$V$42,PER!BD406=1,PER!$V$43,PER!BD446=1,PER!$V$44,PER!BD486=1,PER!$V$45,PER!BD526=1,PER!$V$46,PER!BD566=1,PER!$V$47,PER!BD606=1,PER!$V$48)))</f>
        <v/>
      </c>
      <c r="P15" s="54" t="str" cm="1">
        <f t="array" ref="P15">IF(PER!AJ65=0,"",IF((PER!BE46+PER!BE86+PER!BE126+PER!BE166+PER!BE206+PER!BE246+PER!BE286+PER!BE326+PER!BE366+PER!BE406+PER!BE446+PER!BE486+PER!BE526+PER!BE566+PER!BE606)=0,"",_xlfn.IFS(PER!BE46=1,PER!$V$34,PER!BE86=1,PER!$V$35,PER!BE126=1,PER!$V$36,PER!BE166=1,PER!$V$37,PER!BE206=1,PER!$V$38,PER!BE246=1,PER!$V$39,PER!BE286=1,PER!$V$40,PER!BE326=1,PER!$V$41,PER!BE366=1,PER!$V$42,PER!BE406=1,PER!$V$43,PER!BE446=1,PER!$V$44,PER!BE486=1,PER!$V$45,PER!BE526=1,PER!$V$46,PER!BE566=1,PER!$V$47,PER!BE606=1,PER!$V$48)))</f>
        <v/>
      </c>
      <c r="Q15" s="54" t="str" cm="1">
        <f t="array" ref="Q15">IF(PER!AK65=0,"",IF((PER!BF46+PER!BF86+PER!BF126+PER!BF166+PER!BF206+PER!BF246+PER!BF286+PER!BF326+PER!BF366+PER!BF406+PER!BF446+PER!BF486+PER!BF526+PER!BF566+PER!BF606)=0,"",_xlfn.IFS(PER!BF46=1,PER!$V$34,PER!BF86=1,PER!$V$35,PER!BF126=1,PER!$V$36,PER!BF166=1,PER!$V$37,PER!BF206=1,PER!$V$38,PER!BF246=1,PER!$V$39,PER!BF286=1,PER!$V$40,PER!BF326=1,PER!$V$41,PER!BF366=1,PER!$V$42,PER!BF406=1,PER!$V$43,PER!BF446=1,PER!$V$44,PER!BF486=1,PER!$V$45,PER!BF526=1,PER!$V$46,PER!BF566=1,PER!$V$47,PER!BF606=1,PER!$V$48)))</f>
        <v/>
      </c>
      <c r="R15" s="54" t="str" cm="1">
        <f t="array" ref="R15">IF(PER!AL65=0,"",IF((PER!BG46+PER!BG86+PER!BG126+PER!BG166+PER!BG206+PER!BG246+PER!BG286+PER!BG326+PER!BG366+PER!BG406+PER!BG446+PER!BG486+PER!BG526+PER!BG566+PER!BG606)=0,"",_xlfn.IFS(PER!BG46=1,PER!$V$34,PER!BG86=1,PER!$V$35,PER!BG126=1,PER!$V$36,PER!BG166=1,PER!$V$37,PER!BG206=1,PER!$V$38,PER!BG246=1,PER!$V$39,PER!BG286=1,PER!$V$40,PER!BG326=1,PER!$V$41,PER!BG366=1,PER!$V$42,PER!BG406=1,PER!$V$43,PER!BG446=1,PER!$V$44,PER!BG486=1,PER!$V$45,PER!BG526=1,PER!$V$46,PER!BG566=1,PER!$V$47,PER!BG606=1,PER!$V$48)))</f>
        <v/>
      </c>
      <c r="S15" s="54" t="str" cm="1">
        <f t="array" ref="S15">IF(PER!AM65=0,"",IF((PER!BH46+PER!BH86+PER!BH126+PER!BH166+PER!BH206+PER!BH246+PER!BH286+PER!BH326+PER!BH366+PER!BH406+PER!BH446+PER!BH486+PER!BH526+PER!BH566+PER!BH606)=0,"",_xlfn.IFS(PER!BH46=1,PER!$V$34,PER!BH86=1,PER!$V$35,PER!BH126=1,PER!$V$36,PER!BH166=1,PER!$V$37,PER!BH206=1,PER!$V$38,PER!BH246=1,PER!$V$39,PER!BH286=1,PER!$V$40,PER!BH326=1,PER!$V$41,PER!BH366=1,PER!$V$42,PER!BH406=1,PER!$V$43,PER!BH446=1,PER!$V$44,PER!BH486=1,PER!$V$45,PER!BH526=1,PER!$V$46,PER!BH566=1,PER!$V$47,PER!BH606=1,PER!$V$48)))</f>
        <v/>
      </c>
    </row>
    <row r="16" spans="1:19" x14ac:dyDescent="0.55000000000000004">
      <c r="A16">
        <v>14</v>
      </c>
      <c r="B16" t="s">
        <v>59</v>
      </c>
      <c r="C16" s="54" t="str" cm="1">
        <f t="array" ref="C16">IF(PER!W66=0,"",IF((PER!AR47+PER!AR87+PER!AR127+PER!AR167+PER!AR207+PER!AR247+PER!AR287+PER!AR327+PER!AR367+PER!AR407+PER!AR447+PER!AR487+PER!AR527+PER!AR567+PER!AR607)=0,"",_xlfn.IFS(PER!AR47=1,PER!$V$34,PER!AR87=1,PER!$V$35,PER!AR127=1,PER!$V$36,PER!AR167=1,PER!$V$37,PER!AR207=1,PER!$V$38,PER!AR247=1,PER!$V$39,PER!AR287=1,PER!$V$40,PER!AR327=1,PER!$V$41,PER!AR367=1,PER!$V$42,PER!AR407=1,PER!$V$43,PER!AR447=1,PER!$V$44,PER!AR487=1,PER!$V$45,PER!AR527=1,PER!$V$46,PER!AR567=1,PER!$V$47,PER!AR607=1,PER!$V$48)))</f>
        <v/>
      </c>
      <c r="D16" s="54" t="str" cm="1">
        <f t="array" ref="D16">IF(PER!X66=0,"",IF((PER!AS47+PER!AS87+PER!AS127+PER!AS167+PER!AS207+PER!AS247+PER!AS287+PER!AS327+PER!AS367+PER!AS407+PER!AS447+PER!AS487+PER!AS527+PER!AS567+PER!AS607)=0,"",_xlfn.IFS(PER!AS47=1,PER!$V$34,PER!AS87=1,PER!$V$35,PER!AS127=1,PER!$V$36,PER!AS167=1,PER!$V$37,PER!AS207=1,PER!$V$38,PER!AS247=1,PER!$V$39,PER!AS287=1,PER!$V$40,PER!AS327=1,PER!$V$41,PER!AS367=1,PER!$V$42,PER!AS407=1,PER!$V$43,PER!AS447=1,PER!$V$44,PER!AS487=1,PER!$V$45,PER!AS527=1,PER!$V$46,PER!AS567=1,PER!$V$47,PER!AS607=1,PER!$V$48)))</f>
        <v/>
      </c>
      <c r="E16" s="54" t="str" cm="1">
        <f t="array" ref="E16">IF(PER!Y66=0,"",IF((PER!AT47+PER!AT87+PER!AT127+PER!AT167+PER!AT207+PER!AT247+PER!AT287+PER!AT327+PER!AT367+PER!AT407+PER!AT447+PER!AT487+PER!AT527+PER!AT567+PER!AT607)=0,"",_xlfn.IFS(PER!AT47=1,PER!$V$34,PER!AT87=1,PER!$V$35,PER!AT127=1,PER!$V$36,PER!AT167=1,PER!$V$37,PER!AT207=1,PER!$V$38,PER!AT247=1,PER!$V$39,PER!AT287=1,PER!$V$40,PER!AT327=1,PER!$V$41,PER!AT367=1,PER!$V$42,PER!AT407=1,PER!$V$43,PER!AT447=1,PER!$V$44,PER!AT487=1,PER!$V$45,PER!AT527=1,PER!$V$46,PER!AT567=1,PER!$V$47,PER!AT607=1,PER!$V$48)))</f>
        <v/>
      </c>
      <c r="F16" s="54" t="str" cm="1">
        <f t="array" ref="F16">IF(PER!Z66=0,"",IF((PER!AU47+PER!AU87+PER!AU127+PER!AU167+PER!AU207+PER!AU247+PER!AU287+PER!AU327+PER!AU367+PER!AU407+PER!AU447+PER!AU487+PER!AU527+PER!AU567+PER!AU607)=0,"",_xlfn.IFS(PER!AU47=1,PER!$V$34,PER!AU87=1,PER!$V$35,PER!AU127=1,PER!$V$36,PER!AU167=1,PER!$V$37,PER!AU207=1,PER!$V$38,PER!AU247=1,PER!$V$39,PER!AU287=1,PER!$V$40,PER!AU327=1,PER!$V$41,PER!AU367=1,PER!$V$42,PER!AU407=1,PER!$V$43,PER!AU447=1,PER!$V$44,PER!AU487=1,PER!$V$45,PER!AU527=1,PER!$V$46,PER!AU567=1,PER!$V$47,PER!AU607=1,PER!$V$48)))</f>
        <v/>
      </c>
      <c r="G16" s="54" t="str" cm="1">
        <f t="array" ref="G16">IF(PER!AA66=0,"",IF((PER!AV47+PER!AV87+PER!AV127+PER!AV167+PER!AV207+PER!AV247+PER!AV287+PER!AV327+PER!AV367+PER!AV407+PER!AV447+PER!AV487+PER!AV527+PER!AV567+PER!AV607)=0,"",_xlfn.IFS(PER!AV47=1,PER!$V$34,PER!AV87=1,PER!$V$35,PER!AV127=1,PER!$V$36,PER!AV167=1,PER!$V$37,PER!AV207=1,PER!$V$38,PER!AV247=1,PER!$V$39,PER!AV287=1,PER!$V$40,PER!AV327=1,PER!$V$41,PER!AV367=1,PER!$V$42,PER!AV407=1,PER!$V$43,PER!AV447=1,PER!$V$44,PER!AV487=1,PER!$V$45,PER!AV527=1,PER!$V$46,PER!AV567=1,PER!$V$47,PER!AV607=1,PER!$V$48)))</f>
        <v/>
      </c>
      <c r="H16" s="54" t="str" cm="1">
        <f t="array" ref="H16">IF(PER!AB66=0,"",IF((PER!AW47+PER!AW87+PER!AW127+PER!AW167+PER!AW207+PER!AW247+PER!AW287+PER!AW327+PER!AW367+PER!AW407+PER!AW447+PER!AW487+PER!AW527+PER!AW567+PER!AW607)=0,"",_xlfn.IFS(PER!AW47=1,PER!$V$34,PER!AW87=1,PER!$V$35,PER!AW127=1,PER!$V$36,PER!AW167=1,PER!$V$37,PER!AW207=1,PER!$V$38,PER!AW247=1,PER!$V$39,PER!AW287=1,PER!$V$40,PER!AW327=1,PER!$V$41,PER!AW367=1,PER!$V$42,PER!AW407=1,PER!$V$43,PER!AW447=1,PER!$V$44,PER!AW487=1,PER!$V$45,PER!AW527=1,PER!$V$46,PER!AW567=1,PER!$V$47,PER!AW607=1,PER!$V$48)))</f>
        <v/>
      </c>
      <c r="I16" s="54" t="str" cm="1">
        <f t="array" ref="I16">IF(PER!AC66=0,"",IF((PER!AX47+PER!AX87+PER!AX127+PER!AX167+PER!AX207+PER!AX247+PER!AX287+PER!AX327+PER!AX367+PER!AX407+PER!AX447+PER!AX487+PER!AX527+PER!AX567+PER!AX607)=0,"",_xlfn.IFS(PER!AX47=1,PER!$V$34,PER!AX87=1,PER!$V$35,PER!AX127=1,PER!$V$36,PER!AX167=1,PER!$V$37,PER!AX207=1,PER!$V$38,PER!AX247=1,PER!$V$39,PER!AX287=1,PER!$V$40,PER!AX327=1,PER!$V$41,PER!AX367=1,PER!$V$42,PER!AX407=1,PER!$V$43,PER!AX447=1,PER!$V$44,PER!AX487=1,PER!$V$45,PER!AX527=1,PER!$V$46,PER!AX567=1,PER!$V$47,PER!AX607=1,PER!$V$48)))</f>
        <v/>
      </c>
      <c r="J16" s="54" t="str" cm="1">
        <f t="array" ref="J16">IF(PER!AD66=0,"",IF((PER!AY47+PER!AY87+PER!AY127+PER!AY167+PER!AY207+PER!AY247+PER!AY287+PER!AY327+PER!AY367+PER!AY407+PER!AY447+PER!AY487+PER!AY527+PER!AY567+PER!AY607)=0,"",_xlfn.IFS(PER!AY47=1,PER!$V$34,PER!AY87=1,PER!$V$35,PER!AY127=1,PER!$V$36,PER!AY167=1,PER!$V$37,PER!AY207=1,PER!$V$38,PER!AY247=1,PER!$V$39,PER!AY287=1,PER!$V$40,PER!AY327=1,PER!$V$41,PER!AY367=1,PER!$V$42,PER!AY407=1,PER!$V$43,PER!AY447=1,PER!$V$44,PER!AY487=1,PER!$V$45,PER!AY527=1,PER!$V$46,PER!AY567=1,PER!$V$47,PER!AY607=1,PER!$V$48)))</f>
        <v/>
      </c>
      <c r="K16" s="54" t="str" cm="1">
        <f t="array" ref="K16">IF(PER!AE66=0,"",IF((PER!AZ47+PER!AZ87+PER!AZ127+PER!AZ167+PER!AZ207+PER!AZ247+PER!AZ287+PER!AZ327+PER!AZ367+PER!AZ407+PER!AZ447+PER!AZ487+PER!AZ527+PER!AZ567+PER!AZ607)=0,"",_xlfn.IFS(PER!AZ47=1,PER!$V$34,PER!AZ87=1,PER!$V$35,PER!AZ127=1,PER!$V$36,PER!AZ167=1,PER!$V$37,PER!AZ207=1,PER!$V$38,PER!AZ247=1,PER!$V$39,PER!AZ287=1,PER!$V$40,PER!AZ327=1,PER!$V$41,PER!AZ367=1,PER!$V$42,PER!AZ407=1,PER!$V$43,PER!AZ447=1,PER!$V$44,PER!AZ487=1,PER!$V$45,PER!AZ527=1,PER!$V$46,PER!AZ567=1,PER!$V$47,PER!AZ607=1,PER!$V$48)))</f>
        <v/>
      </c>
      <c r="L16" s="54" t="str" cm="1">
        <f t="array" ref="L16">IF(PER!AF66=0,"",IF((PER!BA47+PER!BA87+PER!BA127+PER!BA167+PER!BA207+PER!BA247+PER!BA287+PER!BA327+PER!BA367+PER!BA407+PER!BA447+PER!BA487+PER!BA527+PER!BA567+PER!BA607)=0,"",_xlfn.IFS(PER!BA47=1,PER!$V$34,PER!BA87=1,PER!$V$35,PER!BA127=1,PER!$V$36,PER!BA167=1,PER!$V$37,PER!BA207=1,PER!$V$38,PER!BA247=1,PER!$V$39,PER!BA287=1,PER!$V$40,PER!BA327=1,PER!$V$41,PER!BA367=1,PER!$V$42,PER!BA407=1,PER!$V$43,PER!BA447=1,PER!$V$44,PER!BA487=1,PER!$V$45,PER!BA527=1,PER!$V$46,PER!BA567=1,PER!$V$47,PER!BA607=1,PER!$V$48)))</f>
        <v/>
      </c>
      <c r="M16" s="54" t="str" cm="1">
        <f t="array" ref="M16">IF(PER!AG66=0,"",IF((PER!BB47+PER!BB87+PER!BB127+PER!BB167+PER!BB207+PER!BB247+PER!BB287+PER!BB327+PER!BB367+PER!BB407+PER!BB447+PER!BB487+PER!BB527+PER!BB567+PER!BB607)=0,"",_xlfn.IFS(PER!BB47=1,PER!$V$34,PER!BB87=1,PER!$V$35,PER!BB127=1,PER!$V$36,PER!BB167=1,PER!$V$37,PER!BB207=1,PER!$V$38,PER!BB247=1,PER!$V$39,PER!BB287=1,PER!$V$40,PER!BB327=1,PER!$V$41,PER!BB367=1,PER!$V$42,PER!BB407=1,PER!$V$43,PER!BB447=1,PER!$V$44,PER!BB487=1,PER!$V$45,PER!BB527=1,PER!$V$46,PER!BB567=1,PER!$V$47,PER!BB607=1,PER!$V$48)))</f>
        <v/>
      </c>
      <c r="N16" s="54" t="str" cm="1">
        <f t="array" ref="N16">IF(PER!AH66=0,"",IF((PER!BC47+PER!BC87+PER!BC127+PER!BC167+PER!BC207+PER!BC247+PER!BC287+PER!BC327+PER!BC367+PER!BC407+PER!BC447+PER!BC487+PER!BC527+PER!BC567+PER!BC607)=0,"",_xlfn.IFS(PER!BC47=1,PER!$V$34,PER!BC87=1,PER!$V$35,PER!BC127=1,PER!$V$36,PER!BC167=1,PER!$V$37,PER!BC207=1,PER!$V$38,PER!BC247=1,PER!$V$39,PER!BC287=1,PER!$V$40,PER!BC327=1,PER!$V$41,PER!BC367=1,PER!$V$42,PER!BC407=1,PER!$V$43,PER!BC447=1,PER!$V$44,PER!BC487=1,PER!$V$45,PER!BC527=1,PER!$V$46,PER!BC567=1,PER!$V$47,PER!BC607=1,PER!$V$48)))</f>
        <v/>
      </c>
      <c r="O16" s="54" t="str" cm="1">
        <f t="array" ref="O16">IF(PER!AI66=0,"",IF((PER!BD47+PER!BD87+PER!BD127+PER!BD167+PER!BD207+PER!BD247+PER!BD287+PER!BD327+PER!BD367+PER!BD407+PER!BD447+PER!BD487+PER!BD527+PER!BD567+PER!BD607)=0,"",_xlfn.IFS(PER!BD47=1,PER!$V$34,PER!BD87=1,PER!$V$35,PER!BD127=1,PER!$V$36,PER!BD167=1,PER!$V$37,PER!BD207=1,PER!$V$38,PER!BD247=1,PER!$V$39,PER!BD287=1,PER!$V$40,PER!BD327=1,PER!$V$41,PER!BD367=1,PER!$V$42,PER!BD407=1,PER!$V$43,PER!BD447=1,PER!$V$44,PER!BD487=1,PER!$V$45,PER!BD527=1,PER!$V$46,PER!BD567=1,PER!$V$47,PER!BD607=1,PER!$V$48)))</f>
        <v/>
      </c>
      <c r="P16" s="54" t="str" cm="1">
        <f t="array" ref="P16">IF(PER!AJ66=0,"",IF((PER!BE47+PER!BE87+PER!BE127+PER!BE167+PER!BE207+PER!BE247+PER!BE287+PER!BE327+PER!BE367+PER!BE407+PER!BE447+PER!BE487+PER!BE527+PER!BE567+PER!BE607)=0,"",_xlfn.IFS(PER!BE47=1,PER!$V$34,PER!BE87=1,PER!$V$35,PER!BE127=1,PER!$V$36,PER!BE167=1,PER!$V$37,PER!BE207=1,PER!$V$38,PER!BE247=1,PER!$V$39,PER!BE287=1,PER!$V$40,PER!BE327=1,PER!$V$41,PER!BE367=1,PER!$V$42,PER!BE407=1,PER!$V$43,PER!BE447=1,PER!$V$44,PER!BE487=1,PER!$V$45,PER!BE527=1,PER!$V$46,PER!BE567=1,PER!$V$47,PER!BE607=1,PER!$V$48)))</f>
        <v/>
      </c>
      <c r="Q16" s="54" t="str" cm="1">
        <f t="array" ref="Q16">IF(PER!AK66=0,"",IF((PER!BF47+PER!BF87+PER!BF127+PER!BF167+PER!BF207+PER!BF247+PER!BF287+PER!BF327+PER!BF367+PER!BF407+PER!BF447+PER!BF487+PER!BF527+PER!BF567+PER!BF607)=0,"",_xlfn.IFS(PER!BF47=1,PER!$V$34,PER!BF87=1,PER!$V$35,PER!BF127=1,PER!$V$36,PER!BF167=1,PER!$V$37,PER!BF207=1,PER!$V$38,PER!BF247=1,PER!$V$39,PER!BF287=1,PER!$V$40,PER!BF327=1,PER!$V$41,PER!BF367=1,PER!$V$42,PER!BF407=1,PER!$V$43,PER!BF447=1,PER!$V$44,PER!BF487=1,PER!$V$45,PER!BF527=1,PER!$V$46,PER!BF567=1,PER!$V$47,PER!BF607=1,PER!$V$48)))</f>
        <v/>
      </c>
      <c r="R16" s="54" t="str" cm="1">
        <f t="array" ref="R16">IF(PER!AL66=0,"",IF((PER!BG47+PER!BG87+PER!BG127+PER!BG167+PER!BG207+PER!BG247+PER!BG287+PER!BG327+PER!BG367+PER!BG407+PER!BG447+PER!BG487+PER!BG527+PER!BG567+PER!BG607)=0,"",_xlfn.IFS(PER!BG47=1,PER!$V$34,PER!BG87=1,PER!$V$35,PER!BG127=1,PER!$V$36,PER!BG167=1,PER!$V$37,PER!BG207=1,PER!$V$38,PER!BG247=1,PER!$V$39,PER!BG287=1,PER!$V$40,PER!BG327=1,PER!$V$41,PER!BG367=1,PER!$V$42,PER!BG407=1,PER!$V$43,PER!BG447=1,PER!$V$44,PER!BG487=1,PER!$V$45,PER!BG527=1,PER!$V$46,PER!BG567=1,PER!$V$47,PER!BG607=1,PER!$V$48)))</f>
        <v/>
      </c>
      <c r="S16" s="54" t="str" cm="1">
        <f t="array" ref="S16">IF(PER!AM66=0,"",IF((PER!BH47+PER!BH87+PER!BH127+PER!BH167+PER!BH207+PER!BH247+PER!BH287+PER!BH327+PER!BH367+PER!BH407+PER!BH447+PER!BH487+PER!BH527+PER!BH567+PER!BH607)=0,"",_xlfn.IFS(PER!BH47=1,PER!$V$34,PER!BH87=1,PER!$V$35,PER!BH127=1,PER!$V$36,PER!BH167=1,PER!$V$37,PER!BH207=1,PER!$V$38,PER!BH247=1,PER!$V$39,PER!BH287=1,PER!$V$40,PER!BH327=1,PER!$V$41,PER!BH367=1,PER!$V$42,PER!BH407=1,PER!$V$43,PER!BH447=1,PER!$V$44,PER!BH487=1,PER!$V$45,PER!BH527=1,PER!$V$46,PER!BH567=1,PER!$V$47,PER!BH607=1,PER!$V$48)))</f>
        <v/>
      </c>
    </row>
    <row r="17" spans="1:19" x14ac:dyDescent="0.55000000000000004">
      <c r="A17">
        <v>15</v>
      </c>
      <c r="B17" t="s">
        <v>60</v>
      </c>
      <c r="C17" s="54" t="str" cm="1">
        <f t="array" ref="C17">IF(PER!W67=0,"",IF((PER!AR48+PER!AR88+PER!AR128+PER!AR168+PER!AR208+PER!AR248+PER!AR288+PER!AR328+PER!AR368+PER!AR408+PER!AR448+PER!AR488+PER!AR528+PER!AR568+PER!AR608)=0,"",_xlfn.IFS(PER!AR48=1,PER!$V$34,PER!AR88=1,PER!$V$35,PER!AR128=1,PER!$V$36,PER!AR168=1,PER!$V$37,PER!AR208=1,PER!$V$38,PER!AR248=1,PER!$V$39,PER!AR288=1,PER!$V$40,PER!AR328=1,PER!$V$41,PER!AR368=1,PER!$V$42,PER!AR408=1,PER!$V$43,PER!AR448=1,PER!$V$44,PER!AR488=1,PER!$V$45,PER!AR528=1,PER!$V$46,PER!AR568=1,PER!$V$47,PER!AR608=1,PER!$V$48)))</f>
        <v/>
      </c>
      <c r="D17" s="54" t="str" cm="1">
        <f t="array" ref="D17">IF(PER!X67=0,"",IF((PER!AS48+PER!AS88+PER!AS128+PER!AS168+PER!AS208+PER!AS248+PER!AS288+PER!AS328+PER!AS368+PER!AS408+PER!AS448+PER!AS488+PER!AS528+PER!AS568+PER!AS608)=0,"",_xlfn.IFS(PER!AS48=1,PER!$V$34,PER!AS88=1,PER!$V$35,PER!AS128=1,PER!$V$36,PER!AS168=1,PER!$V$37,PER!AS208=1,PER!$V$38,PER!AS248=1,PER!$V$39,PER!AS288=1,PER!$V$40,PER!AS328=1,PER!$V$41,PER!AS368=1,PER!$V$42,PER!AS408=1,PER!$V$43,PER!AS448=1,PER!$V$44,PER!AS488=1,PER!$V$45,PER!AS528=1,PER!$V$46,PER!AS568=1,PER!$V$47,PER!AS608=1,PER!$V$48)))</f>
        <v/>
      </c>
      <c r="E17" s="54" t="str" cm="1">
        <f t="array" ref="E17">IF(PER!Y67=0,"",IF((PER!AT48+PER!AT88+PER!AT128+PER!AT168+PER!AT208+PER!AT248+PER!AT288+PER!AT328+PER!AT368+PER!AT408+PER!AT448+PER!AT488+PER!AT528+PER!AT568+PER!AT608)=0,"",_xlfn.IFS(PER!AT48=1,PER!$V$34,PER!AT88=1,PER!$V$35,PER!AT128=1,PER!$V$36,PER!AT168=1,PER!$V$37,PER!AT208=1,PER!$V$38,PER!AT248=1,PER!$V$39,PER!AT288=1,PER!$V$40,PER!AT328=1,PER!$V$41,PER!AT368=1,PER!$V$42,PER!AT408=1,PER!$V$43,PER!AT448=1,PER!$V$44,PER!AT488=1,PER!$V$45,PER!AT528=1,PER!$V$46,PER!AT568=1,PER!$V$47,PER!AT608=1,PER!$V$48)))</f>
        <v/>
      </c>
      <c r="F17" s="54" t="str" cm="1">
        <f t="array" ref="F17">IF(PER!Z67=0,"",IF((PER!AU48+PER!AU88+PER!AU128+PER!AU168+PER!AU208+PER!AU248+PER!AU288+PER!AU328+PER!AU368+PER!AU408+PER!AU448+PER!AU488+PER!AU528+PER!AU568+PER!AU608)=0,"",_xlfn.IFS(PER!AU48=1,PER!$V$34,PER!AU88=1,PER!$V$35,PER!AU128=1,PER!$V$36,PER!AU168=1,PER!$V$37,PER!AU208=1,PER!$V$38,PER!AU248=1,PER!$V$39,PER!AU288=1,PER!$V$40,PER!AU328=1,PER!$V$41,PER!AU368=1,PER!$V$42,PER!AU408=1,PER!$V$43,PER!AU448=1,PER!$V$44,PER!AU488=1,PER!$V$45,PER!AU528=1,PER!$V$46,PER!AU568=1,PER!$V$47,PER!AU608=1,PER!$V$48)))</f>
        <v/>
      </c>
      <c r="G17" s="54" t="str" cm="1">
        <f t="array" ref="G17">IF(PER!AA67=0,"",IF((PER!AV48+PER!AV88+PER!AV128+PER!AV168+PER!AV208+PER!AV248+PER!AV288+PER!AV328+PER!AV368+PER!AV408+PER!AV448+PER!AV488+PER!AV528+PER!AV568+PER!AV608)=0,"",_xlfn.IFS(PER!AV48=1,PER!$V$34,PER!AV88=1,PER!$V$35,PER!AV128=1,PER!$V$36,PER!AV168=1,PER!$V$37,PER!AV208=1,PER!$V$38,PER!AV248=1,PER!$V$39,PER!AV288=1,PER!$V$40,PER!AV328=1,PER!$V$41,PER!AV368=1,PER!$V$42,PER!AV408=1,PER!$V$43,PER!AV448=1,PER!$V$44,PER!AV488=1,PER!$V$45,PER!AV528=1,PER!$V$46,PER!AV568=1,PER!$V$47,PER!AV608=1,PER!$V$48)))</f>
        <v/>
      </c>
      <c r="H17" s="54" t="str" cm="1">
        <f t="array" ref="H17">IF(PER!AB67=0,"",IF((PER!AW48+PER!AW88+PER!AW128+PER!AW168+PER!AW208+PER!AW248+PER!AW288+PER!AW328+PER!AW368+PER!AW408+PER!AW448+PER!AW488+PER!AW528+PER!AW568+PER!AW608)=0,"",_xlfn.IFS(PER!AW48=1,PER!$V$34,PER!AW88=1,PER!$V$35,PER!AW128=1,PER!$V$36,PER!AW168=1,PER!$V$37,PER!AW208=1,PER!$V$38,PER!AW248=1,PER!$V$39,PER!AW288=1,PER!$V$40,PER!AW328=1,PER!$V$41,PER!AW368=1,PER!$V$42,PER!AW408=1,PER!$V$43,PER!AW448=1,PER!$V$44,PER!AW488=1,PER!$V$45,PER!AW528=1,PER!$V$46,PER!AW568=1,PER!$V$47,PER!AW608=1,PER!$V$48)))</f>
        <v/>
      </c>
      <c r="I17" s="54" t="str" cm="1">
        <f t="array" ref="I17">IF(PER!AC67=0,"",IF((PER!AX48+PER!AX88+PER!AX128+PER!AX168+PER!AX208+PER!AX248+PER!AX288+PER!AX328+PER!AX368+PER!AX408+PER!AX448+PER!AX488+PER!AX528+PER!AX568+PER!AX608)=0,"",_xlfn.IFS(PER!AX48=1,PER!$V$34,PER!AX88=1,PER!$V$35,PER!AX128=1,PER!$V$36,PER!AX168=1,PER!$V$37,PER!AX208=1,PER!$V$38,PER!AX248=1,PER!$V$39,PER!AX288=1,PER!$V$40,PER!AX328=1,PER!$V$41,PER!AX368=1,PER!$V$42,PER!AX408=1,PER!$V$43,PER!AX448=1,PER!$V$44,PER!AX488=1,PER!$V$45,PER!AX528=1,PER!$V$46,PER!AX568=1,PER!$V$47,PER!AX608=1,PER!$V$48)))</f>
        <v/>
      </c>
      <c r="J17" s="54" t="str" cm="1">
        <f t="array" ref="J17">IF(PER!AD67=0,"",IF((PER!AY48+PER!AY88+PER!AY128+PER!AY168+PER!AY208+PER!AY248+PER!AY288+PER!AY328+PER!AY368+PER!AY408+PER!AY448+PER!AY488+PER!AY528+PER!AY568+PER!AY608)=0,"",_xlfn.IFS(PER!AY48=1,PER!$V$34,PER!AY88=1,PER!$V$35,PER!AY128=1,PER!$V$36,PER!AY168=1,PER!$V$37,PER!AY208=1,PER!$V$38,PER!AY248=1,PER!$V$39,PER!AY288=1,PER!$V$40,PER!AY328=1,PER!$V$41,PER!AY368=1,PER!$V$42,PER!AY408=1,PER!$V$43,PER!AY448=1,PER!$V$44,PER!AY488=1,PER!$V$45,PER!AY528=1,PER!$V$46,PER!AY568=1,PER!$V$47,PER!AY608=1,PER!$V$48)))</f>
        <v/>
      </c>
      <c r="K17" s="54" t="str" cm="1">
        <f t="array" ref="K17">IF(PER!AE67=0,"",IF((PER!AZ48+PER!AZ88+PER!AZ128+PER!AZ168+PER!AZ208+PER!AZ248+PER!AZ288+PER!AZ328+PER!AZ368+PER!AZ408+PER!AZ448+PER!AZ488+PER!AZ528+PER!AZ568+PER!AZ608)=0,"",_xlfn.IFS(PER!AZ48=1,PER!$V$34,PER!AZ88=1,PER!$V$35,PER!AZ128=1,PER!$V$36,PER!AZ168=1,PER!$V$37,PER!AZ208=1,PER!$V$38,PER!AZ248=1,PER!$V$39,PER!AZ288=1,PER!$V$40,PER!AZ328=1,PER!$V$41,PER!AZ368=1,PER!$V$42,PER!AZ408=1,PER!$V$43,PER!AZ448=1,PER!$V$44,PER!AZ488=1,PER!$V$45,PER!AZ528=1,PER!$V$46,PER!AZ568=1,PER!$V$47,PER!AZ608=1,PER!$V$48)))</f>
        <v/>
      </c>
      <c r="L17" s="54" t="str" cm="1">
        <f t="array" ref="L17">IF(PER!AF67=0,"",IF((PER!BA48+PER!BA88+PER!BA128+PER!BA168+PER!BA208+PER!BA248+PER!BA288+PER!BA328+PER!BA368+PER!BA408+PER!BA448+PER!BA488+PER!BA528+PER!BA568+PER!BA608)=0,"",_xlfn.IFS(PER!BA48=1,PER!$V$34,PER!BA88=1,PER!$V$35,PER!BA128=1,PER!$V$36,PER!BA168=1,PER!$V$37,PER!BA208=1,PER!$V$38,PER!BA248=1,PER!$V$39,PER!BA288=1,PER!$V$40,PER!BA328=1,PER!$V$41,PER!BA368=1,PER!$V$42,PER!BA408=1,PER!$V$43,PER!BA448=1,PER!$V$44,PER!BA488=1,PER!$V$45,PER!BA528=1,PER!$V$46,PER!BA568=1,PER!$V$47,PER!BA608=1,PER!$V$48)))</f>
        <v/>
      </c>
      <c r="M17" s="54" t="str" cm="1">
        <f t="array" ref="M17">IF(PER!AG67=0,"",IF((PER!BB48+PER!BB88+PER!BB128+PER!BB168+PER!BB208+PER!BB248+PER!BB288+PER!BB328+PER!BB368+PER!BB408+PER!BB448+PER!BB488+PER!BB528+PER!BB568+PER!BB608)=0,"",_xlfn.IFS(PER!BB48=1,PER!$V$34,PER!BB88=1,PER!$V$35,PER!BB128=1,PER!$V$36,PER!BB168=1,PER!$V$37,PER!BB208=1,PER!$V$38,PER!BB248=1,PER!$V$39,PER!BB288=1,PER!$V$40,PER!BB328=1,PER!$V$41,PER!BB368=1,PER!$V$42,PER!BB408=1,PER!$V$43,PER!BB448=1,PER!$V$44,PER!BB488=1,PER!$V$45,PER!BB528=1,PER!$V$46,PER!BB568=1,PER!$V$47,PER!BB608=1,PER!$V$48)))</f>
        <v/>
      </c>
      <c r="N17" s="54" t="str" cm="1">
        <f t="array" ref="N17">IF(PER!AH67=0,"",IF((PER!BC48+PER!BC88+PER!BC128+PER!BC168+PER!BC208+PER!BC248+PER!BC288+PER!BC328+PER!BC368+PER!BC408+PER!BC448+PER!BC488+PER!BC528+PER!BC568+PER!BC608)=0,"",_xlfn.IFS(PER!BC48=1,PER!$V$34,PER!BC88=1,PER!$V$35,PER!BC128=1,PER!$V$36,PER!BC168=1,PER!$V$37,PER!BC208=1,PER!$V$38,PER!BC248=1,PER!$V$39,PER!BC288=1,PER!$V$40,PER!BC328=1,PER!$V$41,PER!BC368=1,PER!$V$42,PER!BC408=1,PER!$V$43,PER!BC448=1,PER!$V$44,PER!BC488=1,PER!$V$45,PER!BC528=1,PER!$V$46,PER!BC568=1,PER!$V$47,PER!BC608=1,PER!$V$48)))</f>
        <v/>
      </c>
      <c r="O17" s="54" t="str" cm="1">
        <f t="array" ref="O17">IF(PER!AI67=0,"",IF((PER!BD48+PER!BD88+PER!BD128+PER!BD168+PER!BD208+PER!BD248+PER!BD288+PER!BD328+PER!BD368+PER!BD408+PER!BD448+PER!BD488+PER!BD528+PER!BD568+PER!BD608)=0,"",_xlfn.IFS(PER!BD48=1,PER!$V$34,PER!BD88=1,PER!$V$35,PER!BD128=1,PER!$V$36,PER!BD168=1,PER!$V$37,PER!BD208=1,PER!$V$38,PER!BD248=1,PER!$V$39,PER!BD288=1,PER!$V$40,PER!BD328=1,PER!$V$41,PER!BD368=1,PER!$V$42,PER!BD408=1,PER!$V$43,PER!BD448=1,PER!$V$44,PER!BD488=1,PER!$V$45,PER!BD528=1,PER!$V$46,PER!BD568=1,PER!$V$47,PER!BD608=1,PER!$V$48)))</f>
        <v/>
      </c>
      <c r="P17" s="54" t="str" cm="1">
        <f t="array" ref="P17">IF(PER!AJ67=0,"",IF((PER!BE48+PER!BE88+PER!BE128+PER!BE168+PER!BE208+PER!BE248+PER!BE288+PER!BE328+PER!BE368+PER!BE408+PER!BE448+PER!BE488+PER!BE528+PER!BE568+PER!BE608)=0,"",_xlfn.IFS(PER!BE48=1,PER!$V$34,PER!BE88=1,PER!$V$35,PER!BE128=1,PER!$V$36,PER!BE168=1,PER!$V$37,PER!BE208=1,PER!$V$38,PER!BE248=1,PER!$V$39,PER!BE288=1,PER!$V$40,PER!BE328=1,PER!$V$41,PER!BE368=1,PER!$V$42,PER!BE408=1,PER!$V$43,PER!BE448=1,PER!$V$44,PER!BE488=1,PER!$V$45,PER!BE528=1,PER!$V$46,PER!BE568=1,PER!$V$47,PER!BE608=1,PER!$V$48)))</f>
        <v/>
      </c>
      <c r="Q17" s="54" t="str" cm="1">
        <f t="array" ref="Q17">IF(PER!AK67=0,"",IF((PER!BF48+PER!BF88+PER!BF128+PER!BF168+PER!BF208+PER!BF248+PER!BF288+PER!BF328+PER!BF368+PER!BF408+PER!BF448+PER!BF488+PER!BF528+PER!BF568+PER!BF608)=0,"",_xlfn.IFS(PER!BF48=1,PER!$V$34,PER!BF88=1,PER!$V$35,PER!BF128=1,PER!$V$36,PER!BF168=1,PER!$V$37,PER!BF208=1,PER!$V$38,PER!BF248=1,PER!$V$39,PER!BF288=1,PER!$V$40,PER!BF328=1,PER!$V$41,PER!BF368=1,PER!$V$42,PER!BF408=1,PER!$V$43,PER!BF448=1,PER!$V$44,PER!BF488=1,PER!$V$45,PER!BF528=1,PER!$V$46,PER!BF568=1,PER!$V$47,PER!BF608=1,PER!$V$48)))</f>
        <v/>
      </c>
      <c r="R17" s="54" t="str" cm="1">
        <f t="array" ref="R17">IF(PER!AL67=0,"",IF((PER!BG48+PER!BG88+PER!BG128+PER!BG168+PER!BG208+PER!BG248+PER!BG288+PER!BG328+PER!BG368+PER!BG408+PER!BG448+PER!BG488+PER!BG528+PER!BG568+PER!BG608)=0,"",_xlfn.IFS(PER!BG48=1,PER!$V$34,PER!BG88=1,PER!$V$35,PER!BG128=1,PER!$V$36,PER!BG168=1,PER!$V$37,PER!BG208=1,PER!$V$38,PER!BG248=1,PER!$V$39,PER!BG288=1,PER!$V$40,PER!BG328=1,PER!$V$41,PER!BG368=1,PER!$V$42,PER!BG408=1,PER!$V$43,PER!BG448=1,PER!$V$44,PER!BG488=1,PER!$V$45,PER!BG528=1,PER!$V$46,PER!BG568=1,PER!$V$47,PER!BG608=1,PER!$V$48)))</f>
        <v/>
      </c>
      <c r="S17" s="54" t="str" cm="1">
        <f t="array" ref="S17">IF(PER!AM67=0,"",IF((PER!BH48+PER!BH88+PER!BH128+PER!BH168+PER!BH208+PER!BH248+PER!BH288+PER!BH328+PER!BH368+PER!BH408+PER!BH448+PER!BH488+PER!BH528+PER!BH568+PER!BH608)=0,"",_xlfn.IFS(PER!BH48=1,PER!$V$34,PER!BH88=1,PER!$V$35,PER!BH128=1,PER!$V$36,PER!BH168=1,PER!$V$37,PER!BH208=1,PER!$V$38,PER!BH248=1,PER!$V$39,PER!BH288=1,PER!$V$40,PER!BH328=1,PER!$V$41,PER!BH368=1,PER!$V$42,PER!BH408=1,PER!$V$43,PER!BH448=1,PER!$V$44,PER!BH488=1,PER!$V$45,PER!BH528=1,PER!$V$46,PER!BH568=1,PER!$V$47,PER!BH608=1,PER!$V$48)))</f>
        <v/>
      </c>
    </row>
    <row r="18" spans="1:19" x14ac:dyDescent="0.55000000000000004">
      <c r="A18">
        <v>16</v>
      </c>
      <c r="B18" t="s">
        <v>61</v>
      </c>
      <c r="C18" s="54" t="str" cm="1">
        <f t="array" ref="C18">IF(PER!W68=0,"",IF((PER!AR49+PER!AR89+PER!AR129+PER!AR169+PER!AR209+PER!AR249+PER!AR289+PER!AR329+PER!AR369+PER!AR409+PER!AR449+PER!AR489+PER!AR529+PER!AR569+PER!AR609)=0,"",_xlfn.IFS(PER!AR49=1,PER!$V$34,PER!AR89=1,PER!$V$35,PER!AR129=1,PER!$V$36,PER!AR169=1,PER!$V$37,PER!AR209=1,PER!$V$38,PER!AR249=1,PER!$V$39,PER!AR289=1,PER!$V$40,PER!AR329=1,PER!$V$41,PER!AR369=1,PER!$V$42,PER!AR409=1,PER!$V$43,PER!AR449=1,PER!$V$44,PER!AR489=1,PER!$V$45,PER!AR529=1,PER!$V$46,PER!AR569=1,PER!$V$47,PER!AR609=1,PER!$V$48)))</f>
        <v/>
      </c>
      <c r="D18" s="54" t="str" cm="1">
        <f t="array" ref="D18">IF(PER!X68=0,"",IF((PER!AS49+PER!AS89+PER!AS129+PER!AS169+PER!AS209+PER!AS249+PER!AS289+PER!AS329+PER!AS369+PER!AS409+PER!AS449+PER!AS489+PER!AS529+PER!AS569+PER!AS609)=0,"",_xlfn.IFS(PER!AS49=1,PER!$V$34,PER!AS89=1,PER!$V$35,PER!AS129=1,PER!$V$36,PER!AS169=1,PER!$V$37,PER!AS209=1,PER!$V$38,PER!AS249=1,PER!$V$39,PER!AS289=1,PER!$V$40,PER!AS329=1,PER!$V$41,PER!AS369=1,PER!$V$42,PER!AS409=1,PER!$V$43,PER!AS449=1,PER!$V$44,PER!AS489=1,PER!$V$45,PER!AS529=1,PER!$V$46,PER!AS569=1,PER!$V$47,PER!AS609=1,PER!$V$48)))</f>
        <v/>
      </c>
      <c r="E18" s="54" t="str" cm="1">
        <f t="array" ref="E18">IF(PER!Y68=0,"",IF((PER!AT49+PER!AT89+PER!AT129+PER!AT169+PER!AT209+PER!AT249+PER!AT289+PER!AT329+PER!AT369+PER!AT409+PER!AT449+PER!AT489+PER!AT529+PER!AT569+PER!AT609)=0,"",_xlfn.IFS(PER!AT49=1,PER!$V$34,PER!AT89=1,PER!$V$35,PER!AT129=1,PER!$V$36,PER!AT169=1,PER!$V$37,PER!AT209=1,PER!$V$38,PER!AT249=1,PER!$V$39,PER!AT289=1,PER!$V$40,PER!AT329=1,PER!$V$41,PER!AT369=1,PER!$V$42,PER!AT409=1,PER!$V$43,PER!AT449=1,PER!$V$44,PER!AT489=1,PER!$V$45,PER!AT529=1,PER!$V$46,PER!AT569=1,PER!$V$47,PER!AT609=1,PER!$V$48)))</f>
        <v/>
      </c>
      <c r="F18" s="54" t="str" cm="1">
        <f t="array" ref="F18">IF(PER!Z68=0,"",IF((PER!AU49+PER!AU89+PER!AU129+PER!AU169+PER!AU209+PER!AU249+PER!AU289+PER!AU329+PER!AU369+PER!AU409+PER!AU449+PER!AU489+PER!AU529+PER!AU569+PER!AU609)=0,"",_xlfn.IFS(PER!AU49=1,PER!$V$34,PER!AU89=1,PER!$V$35,PER!AU129=1,PER!$V$36,PER!AU169=1,PER!$V$37,PER!AU209=1,PER!$V$38,PER!AU249=1,PER!$V$39,PER!AU289=1,PER!$V$40,PER!AU329=1,PER!$V$41,PER!AU369=1,PER!$V$42,PER!AU409=1,PER!$V$43,PER!AU449=1,PER!$V$44,PER!AU489=1,PER!$V$45,PER!AU529=1,PER!$V$46,PER!AU569=1,PER!$V$47,PER!AU609=1,PER!$V$48)))</f>
        <v/>
      </c>
      <c r="G18" s="54" t="str" cm="1">
        <f t="array" ref="G18">IF(PER!AA68=0,"",IF((PER!AV49+PER!AV89+PER!AV129+PER!AV169+PER!AV209+PER!AV249+PER!AV289+PER!AV329+PER!AV369+PER!AV409+PER!AV449+PER!AV489+PER!AV529+PER!AV569+PER!AV609)=0,"",_xlfn.IFS(PER!AV49=1,PER!$V$34,PER!AV89=1,PER!$V$35,PER!AV129=1,PER!$V$36,PER!AV169=1,PER!$V$37,PER!AV209=1,PER!$V$38,PER!AV249=1,PER!$V$39,PER!AV289=1,PER!$V$40,PER!AV329=1,PER!$V$41,PER!AV369=1,PER!$V$42,PER!AV409=1,PER!$V$43,PER!AV449=1,PER!$V$44,PER!AV489=1,PER!$V$45,PER!AV529=1,PER!$V$46,PER!AV569=1,PER!$V$47,PER!AV609=1,PER!$V$48)))</f>
        <v/>
      </c>
      <c r="H18" s="54" t="str" cm="1">
        <f t="array" ref="H18">IF(PER!AB68=0,"",IF((PER!AW49+PER!AW89+PER!AW129+PER!AW169+PER!AW209+PER!AW249+PER!AW289+PER!AW329+PER!AW369+PER!AW409+PER!AW449+PER!AW489+PER!AW529+PER!AW569+PER!AW609)=0,"",_xlfn.IFS(PER!AW49=1,PER!$V$34,PER!AW89=1,PER!$V$35,PER!AW129=1,PER!$V$36,PER!AW169=1,PER!$V$37,PER!AW209=1,PER!$V$38,PER!AW249=1,PER!$V$39,PER!AW289=1,PER!$V$40,PER!AW329=1,PER!$V$41,PER!AW369=1,PER!$V$42,PER!AW409=1,PER!$V$43,PER!AW449=1,PER!$V$44,PER!AW489=1,PER!$V$45,PER!AW529=1,PER!$V$46,PER!AW569=1,PER!$V$47,PER!AW609=1,PER!$V$48)))</f>
        <v/>
      </c>
      <c r="I18" s="54" t="str" cm="1">
        <f t="array" ref="I18">IF(PER!AC68=0,"",IF((PER!AX49+PER!AX89+PER!AX129+PER!AX169+PER!AX209+PER!AX249+PER!AX289+PER!AX329+PER!AX369+PER!AX409+PER!AX449+PER!AX489+PER!AX529+PER!AX569+PER!AX609)=0,"",_xlfn.IFS(PER!AX49=1,PER!$V$34,PER!AX89=1,PER!$V$35,PER!AX129=1,PER!$V$36,PER!AX169=1,PER!$V$37,PER!AX209=1,PER!$V$38,PER!AX249=1,PER!$V$39,PER!AX289=1,PER!$V$40,PER!AX329=1,PER!$V$41,PER!AX369=1,PER!$V$42,PER!AX409=1,PER!$V$43,PER!AX449=1,PER!$V$44,PER!AX489=1,PER!$V$45,PER!AX529=1,PER!$V$46,PER!AX569=1,PER!$V$47,PER!AX609=1,PER!$V$48)))</f>
        <v/>
      </c>
      <c r="J18" s="54" t="str" cm="1">
        <f t="array" ref="J18">IF(PER!AD68=0,"",IF((PER!AY49+PER!AY89+PER!AY129+PER!AY169+PER!AY209+PER!AY249+PER!AY289+PER!AY329+PER!AY369+PER!AY409+PER!AY449+PER!AY489+PER!AY529+PER!AY569+PER!AY609)=0,"",_xlfn.IFS(PER!AY49=1,PER!$V$34,PER!AY89=1,PER!$V$35,PER!AY129=1,PER!$V$36,PER!AY169=1,PER!$V$37,PER!AY209=1,PER!$V$38,PER!AY249=1,PER!$V$39,PER!AY289=1,PER!$V$40,PER!AY329=1,PER!$V$41,PER!AY369=1,PER!$V$42,PER!AY409=1,PER!$V$43,PER!AY449=1,PER!$V$44,PER!AY489=1,PER!$V$45,PER!AY529=1,PER!$V$46,PER!AY569=1,PER!$V$47,PER!AY609=1,PER!$V$48)))</f>
        <v/>
      </c>
      <c r="K18" s="54" t="str" cm="1">
        <f t="array" ref="K18">IF(PER!AE68=0,"",IF((PER!AZ49+PER!AZ89+PER!AZ129+PER!AZ169+PER!AZ209+PER!AZ249+PER!AZ289+PER!AZ329+PER!AZ369+PER!AZ409+PER!AZ449+PER!AZ489+PER!AZ529+PER!AZ569+PER!AZ609)=0,"",_xlfn.IFS(PER!AZ49=1,PER!$V$34,PER!AZ89=1,PER!$V$35,PER!AZ129=1,PER!$V$36,PER!AZ169=1,PER!$V$37,PER!AZ209=1,PER!$V$38,PER!AZ249=1,PER!$V$39,PER!AZ289=1,PER!$V$40,PER!AZ329=1,PER!$V$41,PER!AZ369=1,PER!$V$42,PER!AZ409=1,PER!$V$43,PER!AZ449=1,PER!$V$44,PER!AZ489=1,PER!$V$45,PER!AZ529=1,PER!$V$46,PER!AZ569=1,PER!$V$47,PER!AZ609=1,PER!$V$48)))</f>
        <v/>
      </c>
      <c r="L18" s="54" t="str" cm="1">
        <f t="array" ref="L18">IF(PER!AF68=0,"",IF((PER!BA49+PER!BA89+PER!BA129+PER!BA169+PER!BA209+PER!BA249+PER!BA289+PER!BA329+PER!BA369+PER!BA409+PER!BA449+PER!BA489+PER!BA529+PER!BA569+PER!BA609)=0,"",_xlfn.IFS(PER!BA49=1,PER!$V$34,PER!BA89=1,PER!$V$35,PER!BA129=1,PER!$V$36,PER!BA169=1,PER!$V$37,PER!BA209=1,PER!$V$38,PER!BA249=1,PER!$V$39,PER!BA289=1,PER!$V$40,PER!BA329=1,PER!$V$41,PER!BA369=1,PER!$V$42,PER!BA409=1,PER!$V$43,PER!BA449=1,PER!$V$44,PER!BA489=1,PER!$V$45,PER!BA529=1,PER!$V$46,PER!BA569=1,PER!$V$47,PER!BA609=1,PER!$V$48)))</f>
        <v/>
      </c>
      <c r="M18" s="54" t="str" cm="1">
        <f t="array" ref="M18">IF(PER!AG68=0,"",IF((PER!BB49+PER!BB89+PER!BB129+PER!BB169+PER!BB209+PER!BB249+PER!BB289+PER!BB329+PER!BB369+PER!BB409+PER!BB449+PER!BB489+PER!BB529+PER!BB569+PER!BB609)=0,"",_xlfn.IFS(PER!BB49=1,PER!$V$34,PER!BB89=1,PER!$V$35,PER!BB129=1,PER!$V$36,PER!BB169=1,PER!$V$37,PER!BB209=1,PER!$V$38,PER!BB249=1,PER!$V$39,PER!BB289=1,PER!$V$40,PER!BB329=1,PER!$V$41,PER!BB369=1,PER!$V$42,PER!BB409=1,PER!$V$43,PER!BB449=1,PER!$V$44,PER!BB489=1,PER!$V$45,PER!BB529=1,PER!$V$46,PER!BB569=1,PER!$V$47,PER!BB609=1,PER!$V$48)))</f>
        <v/>
      </c>
      <c r="N18" s="54" t="str" cm="1">
        <f t="array" ref="N18">IF(PER!AH68=0,"",IF((PER!BC49+PER!BC89+PER!BC129+PER!BC169+PER!BC209+PER!BC249+PER!BC289+PER!BC329+PER!BC369+PER!BC409+PER!BC449+PER!BC489+PER!BC529+PER!BC569+PER!BC609)=0,"",_xlfn.IFS(PER!BC49=1,PER!$V$34,PER!BC89=1,PER!$V$35,PER!BC129=1,PER!$V$36,PER!BC169=1,PER!$V$37,PER!BC209=1,PER!$V$38,PER!BC249=1,PER!$V$39,PER!BC289=1,PER!$V$40,PER!BC329=1,PER!$V$41,PER!BC369=1,PER!$V$42,PER!BC409=1,PER!$V$43,PER!BC449=1,PER!$V$44,PER!BC489=1,PER!$V$45,PER!BC529=1,PER!$V$46,PER!BC569=1,PER!$V$47,PER!BC609=1,PER!$V$48)))</f>
        <v/>
      </c>
      <c r="O18" s="54" t="str" cm="1">
        <f t="array" ref="O18">IF(PER!AI68=0,"",IF((PER!BD49+PER!BD89+PER!BD129+PER!BD169+PER!BD209+PER!BD249+PER!BD289+PER!BD329+PER!BD369+PER!BD409+PER!BD449+PER!BD489+PER!BD529+PER!BD569+PER!BD609)=0,"",_xlfn.IFS(PER!BD49=1,PER!$V$34,PER!BD89=1,PER!$V$35,PER!BD129=1,PER!$V$36,PER!BD169=1,PER!$V$37,PER!BD209=1,PER!$V$38,PER!BD249=1,PER!$V$39,PER!BD289=1,PER!$V$40,PER!BD329=1,PER!$V$41,PER!BD369=1,PER!$V$42,PER!BD409=1,PER!$V$43,PER!BD449=1,PER!$V$44,PER!BD489=1,PER!$V$45,PER!BD529=1,PER!$V$46,PER!BD569=1,PER!$V$47,PER!BD609=1,PER!$V$48)))</f>
        <v/>
      </c>
      <c r="P18" s="54" t="str" cm="1">
        <f t="array" ref="P18">IF(PER!AJ68=0,"",IF((PER!BE49+PER!BE89+PER!BE129+PER!BE169+PER!BE209+PER!BE249+PER!BE289+PER!BE329+PER!BE369+PER!BE409+PER!BE449+PER!BE489+PER!BE529+PER!BE569+PER!BE609)=0,"",_xlfn.IFS(PER!BE49=1,PER!$V$34,PER!BE89=1,PER!$V$35,PER!BE129=1,PER!$V$36,PER!BE169=1,PER!$V$37,PER!BE209=1,PER!$V$38,PER!BE249=1,PER!$V$39,PER!BE289=1,PER!$V$40,PER!BE329=1,PER!$V$41,PER!BE369=1,PER!$V$42,PER!BE409=1,PER!$V$43,PER!BE449=1,PER!$V$44,PER!BE489=1,PER!$V$45,PER!BE529=1,PER!$V$46,PER!BE569=1,PER!$V$47,PER!BE609=1,PER!$V$48)))</f>
        <v/>
      </c>
      <c r="Q18" s="54" t="str" cm="1">
        <f t="array" ref="Q18">IF(PER!AK68=0,"",IF((PER!BF49+PER!BF89+PER!BF129+PER!BF169+PER!BF209+PER!BF249+PER!BF289+PER!BF329+PER!BF369+PER!BF409+PER!BF449+PER!BF489+PER!BF529+PER!BF569+PER!BF609)=0,"",_xlfn.IFS(PER!BF49=1,PER!$V$34,PER!BF89=1,PER!$V$35,PER!BF129=1,PER!$V$36,PER!BF169=1,PER!$V$37,PER!BF209=1,PER!$V$38,PER!BF249=1,PER!$V$39,PER!BF289=1,PER!$V$40,PER!BF329=1,PER!$V$41,PER!BF369=1,PER!$V$42,PER!BF409=1,PER!$V$43,PER!BF449=1,PER!$V$44,PER!BF489=1,PER!$V$45,PER!BF529=1,PER!$V$46,PER!BF569=1,PER!$V$47,PER!BF609=1,PER!$V$48)))</f>
        <v/>
      </c>
      <c r="R18" s="54" t="str" cm="1">
        <f t="array" ref="R18">IF(PER!AL68=0,"",IF((PER!BG49+PER!BG89+PER!BG129+PER!BG169+PER!BG209+PER!BG249+PER!BG289+PER!BG329+PER!BG369+PER!BG409+PER!BG449+PER!BG489+PER!BG529+PER!BG569+PER!BG609)=0,"",_xlfn.IFS(PER!BG49=1,PER!$V$34,PER!BG89=1,PER!$V$35,PER!BG129=1,PER!$V$36,PER!BG169=1,PER!$V$37,PER!BG209=1,PER!$V$38,PER!BG249=1,PER!$V$39,PER!BG289=1,PER!$V$40,PER!BG329=1,PER!$V$41,PER!BG369=1,PER!$V$42,PER!BG409=1,PER!$V$43,PER!BG449=1,PER!$V$44,PER!BG489=1,PER!$V$45,PER!BG529=1,PER!$V$46,PER!BG569=1,PER!$V$47,PER!BG609=1,PER!$V$48)))</f>
        <v/>
      </c>
      <c r="S18" s="54" t="str" cm="1">
        <f t="array" ref="S18">IF(PER!AM68=0,"",IF((PER!BH49+PER!BH89+PER!BH129+PER!BH169+PER!BH209+PER!BH249+PER!BH289+PER!BH329+PER!BH369+PER!BH409+PER!BH449+PER!BH489+PER!BH529+PER!BH569+PER!BH609)=0,"",_xlfn.IFS(PER!BH49=1,PER!$V$34,PER!BH89=1,PER!$V$35,PER!BH129=1,PER!$V$36,PER!BH169=1,PER!$V$37,PER!BH209=1,PER!$V$38,PER!BH249=1,PER!$V$39,PER!BH289=1,PER!$V$40,PER!BH329=1,PER!$V$41,PER!BH369=1,PER!$V$42,PER!BH409=1,PER!$V$43,PER!BH449=1,PER!$V$44,PER!BH489=1,PER!$V$45,PER!BH529=1,PER!$V$46,PER!BH569=1,PER!$V$47,PER!BH609=1,PER!$V$48)))</f>
        <v/>
      </c>
    </row>
    <row r="19" spans="1:19" x14ac:dyDescent="0.55000000000000004">
      <c r="A19">
        <v>17</v>
      </c>
      <c r="B19" t="s">
        <v>62</v>
      </c>
      <c r="C19" s="54" t="str" cm="1">
        <f t="array" ref="C19">IF(PER!W69=0,"",IF((PER!AR50+PER!AR90+PER!AR130+PER!AR170+PER!AR210+PER!AR250+PER!AR290+PER!AR330+PER!AR370+PER!AR410+PER!AR450+PER!AR490+PER!AR530+PER!AR570+PER!AR610)=0,"",_xlfn.IFS(PER!AR50=1,PER!$V$34,PER!AR90=1,PER!$V$35,PER!AR130=1,PER!$V$36,PER!AR170=1,PER!$V$37,PER!AR210=1,PER!$V$38,PER!AR250=1,PER!$V$39,PER!AR290=1,PER!$V$40,PER!AR330=1,PER!$V$41,PER!AR370=1,PER!$V$42,PER!AR410=1,PER!$V$43,PER!AR450=1,PER!$V$44,PER!AR490=1,PER!$V$45,PER!AR530=1,PER!$V$46,PER!AR570=1,PER!$V$47,PER!AR610=1,PER!$V$48)))</f>
        <v/>
      </c>
      <c r="D19" s="54" t="str" cm="1">
        <f t="array" ref="D19">IF(PER!X69=0,"",IF((PER!AS50+PER!AS90+PER!AS130+PER!AS170+PER!AS210+PER!AS250+PER!AS290+PER!AS330+PER!AS370+PER!AS410+PER!AS450+PER!AS490+PER!AS530+PER!AS570+PER!AS610)=0,"",_xlfn.IFS(PER!AS50=1,PER!$V$34,PER!AS90=1,PER!$V$35,PER!AS130=1,PER!$V$36,PER!AS170=1,PER!$V$37,PER!AS210=1,PER!$V$38,PER!AS250=1,PER!$V$39,PER!AS290=1,PER!$V$40,PER!AS330=1,PER!$V$41,PER!AS370=1,PER!$V$42,PER!AS410=1,PER!$V$43,PER!AS450=1,PER!$V$44,PER!AS490=1,PER!$V$45,PER!AS530=1,PER!$V$46,PER!AS570=1,PER!$V$47,PER!AS610=1,PER!$V$48)))</f>
        <v/>
      </c>
      <c r="E19" s="54" t="str" cm="1">
        <f t="array" ref="E19">IF(PER!Y69=0,"",IF((PER!AT50+PER!AT90+PER!AT130+PER!AT170+PER!AT210+PER!AT250+PER!AT290+PER!AT330+PER!AT370+PER!AT410+PER!AT450+PER!AT490+PER!AT530+PER!AT570+PER!AT610)=0,"",_xlfn.IFS(PER!AT50=1,PER!$V$34,PER!AT90=1,PER!$V$35,PER!AT130=1,PER!$V$36,PER!AT170=1,PER!$V$37,PER!AT210=1,PER!$V$38,PER!AT250=1,PER!$V$39,PER!AT290=1,PER!$V$40,PER!AT330=1,PER!$V$41,PER!AT370=1,PER!$V$42,PER!AT410=1,PER!$V$43,PER!AT450=1,PER!$V$44,PER!AT490=1,PER!$V$45,PER!AT530=1,PER!$V$46,PER!AT570=1,PER!$V$47,PER!AT610=1,PER!$V$48)))</f>
        <v/>
      </c>
      <c r="F19" s="54" t="str" cm="1">
        <f t="array" ref="F19">IF(PER!Z69=0,"",IF((PER!AU50+PER!AU90+PER!AU130+PER!AU170+PER!AU210+PER!AU250+PER!AU290+PER!AU330+PER!AU370+PER!AU410+PER!AU450+PER!AU490+PER!AU530+PER!AU570+PER!AU610)=0,"",_xlfn.IFS(PER!AU50=1,PER!$V$34,PER!AU90=1,PER!$V$35,PER!AU130=1,PER!$V$36,PER!AU170=1,PER!$V$37,PER!AU210=1,PER!$V$38,PER!AU250=1,PER!$V$39,PER!AU290=1,PER!$V$40,PER!AU330=1,PER!$V$41,PER!AU370=1,PER!$V$42,PER!AU410=1,PER!$V$43,PER!AU450=1,PER!$V$44,PER!AU490=1,PER!$V$45,PER!AU530=1,PER!$V$46,PER!AU570=1,PER!$V$47,PER!AU610=1,PER!$V$48)))</f>
        <v/>
      </c>
      <c r="G19" s="54" t="str" cm="1">
        <f t="array" ref="G19">IF(PER!AA69=0,"",IF((PER!AV50+PER!AV90+PER!AV130+PER!AV170+PER!AV210+PER!AV250+PER!AV290+PER!AV330+PER!AV370+PER!AV410+PER!AV450+PER!AV490+PER!AV530+PER!AV570+PER!AV610)=0,"",_xlfn.IFS(PER!AV50=1,PER!$V$34,PER!AV90=1,PER!$V$35,PER!AV130=1,PER!$V$36,PER!AV170=1,PER!$V$37,PER!AV210=1,PER!$V$38,PER!AV250=1,PER!$V$39,PER!AV290=1,PER!$V$40,PER!AV330=1,PER!$V$41,PER!AV370=1,PER!$V$42,PER!AV410=1,PER!$V$43,PER!AV450=1,PER!$V$44,PER!AV490=1,PER!$V$45,PER!AV530=1,PER!$V$46,PER!AV570=1,PER!$V$47,PER!AV610=1,PER!$V$48)))</f>
        <v/>
      </c>
      <c r="H19" s="54" t="str" cm="1">
        <f t="array" ref="H19">IF(PER!AB69=0,"",IF((PER!AW50+PER!AW90+PER!AW130+PER!AW170+PER!AW210+PER!AW250+PER!AW290+PER!AW330+PER!AW370+PER!AW410+PER!AW450+PER!AW490+PER!AW530+PER!AW570+PER!AW610)=0,"",_xlfn.IFS(PER!AW50=1,PER!$V$34,PER!AW90=1,PER!$V$35,PER!AW130=1,PER!$V$36,PER!AW170=1,PER!$V$37,PER!AW210=1,PER!$V$38,PER!AW250=1,PER!$V$39,PER!AW290=1,PER!$V$40,PER!AW330=1,PER!$V$41,PER!AW370=1,PER!$V$42,PER!AW410=1,PER!$V$43,PER!AW450=1,PER!$V$44,PER!AW490=1,PER!$V$45,PER!AW530=1,PER!$V$46,PER!AW570=1,PER!$V$47,PER!AW610=1,PER!$V$48)))</f>
        <v/>
      </c>
      <c r="I19" s="54" t="str" cm="1">
        <f t="array" ref="I19">IF(PER!AC69=0,"",IF((PER!AX50+PER!AX90+PER!AX130+PER!AX170+PER!AX210+PER!AX250+PER!AX290+PER!AX330+PER!AX370+PER!AX410+PER!AX450+PER!AX490+PER!AX530+PER!AX570+PER!AX610)=0,"",_xlfn.IFS(PER!AX50=1,PER!$V$34,PER!AX90=1,PER!$V$35,PER!AX130=1,PER!$V$36,PER!AX170=1,PER!$V$37,PER!AX210=1,PER!$V$38,PER!AX250=1,PER!$V$39,PER!AX290=1,PER!$V$40,PER!AX330=1,PER!$V$41,PER!AX370=1,PER!$V$42,PER!AX410=1,PER!$V$43,PER!AX450=1,PER!$V$44,PER!AX490=1,PER!$V$45,PER!AX530=1,PER!$V$46,PER!AX570=1,PER!$V$47,PER!AX610=1,PER!$V$48)))</f>
        <v/>
      </c>
      <c r="J19" s="54" t="str" cm="1">
        <f t="array" ref="J19">IF(PER!AD69=0,"",IF((PER!AY50+PER!AY90+PER!AY130+PER!AY170+PER!AY210+PER!AY250+PER!AY290+PER!AY330+PER!AY370+PER!AY410+PER!AY450+PER!AY490+PER!AY530+PER!AY570+PER!AY610)=0,"",_xlfn.IFS(PER!AY50=1,PER!$V$34,PER!AY90=1,PER!$V$35,PER!AY130=1,PER!$V$36,PER!AY170=1,PER!$V$37,PER!AY210=1,PER!$V$38,PER!AY250=1,PER!$V$39,PER!AY290=1,PER!$V$40,PER!AY330=1,PER!$V$41,PER!AY370=1,PER!$V$42,PER!AY410=1,PER!$V$43,PER!AY450=1,PER!$V$44,PER!AY490=1,PER!$V$45,PER!AY530=1,PER!$V$46,PER!AY570=1,PER!$V$47,PER!AY610=1,PER!$V$48)))</f>
        <v/>
      </c>
      <c r="K19" s="54" t="str" cm="1">
        <f t="array" ref="K19">IF(PER!AE69=0,"",IF((PER!AZ50+PER!AZ90+PER!AZ130+PER!AZ170+PER!AZ210+PER!AZ250+PER!AZ290+PER!AZ330+PER!AZ370+PER!AZ410+PER!AZ450+PER!AZ490+PER!AZ530+PER!AZ570+PER!AZ610)=0,"",_xlfn.IFS(PER!AZ50=1,PER!$V$34,PER!AZ90=1,PER!$V$35,PER!AZ130=1,PER!$V$36,PER!AZ170=1,PER!$V$37,PER!AZ210=1,PER!$V$38,PER!AZ250=1,PER!$V$39,PER!AZ290=1,PER!$V$40,PER!AZ330=1,PER!$V$41,PER!AZ370=1,PER!$V$42,PER!AZ410=1,PER!$V$43,PER!AZ450=1,PER!$V$44,PER!AZ490=1,PER!$V$45,PER!AZ530=1,PER!$V$46,PER!AZ570=1,PER!$V$47,PER!AZ610=1,PER!$V$48)))</f>
        <v/>
      </c>
      <c r="L19" s="54" t="str" cm="1">
        <f t="array" ref="L19">IF(PER!AF69=0,"",IF((PER!BA50+PER!BA90+PER!BA130+PER!BA170+PER!BA210+PER!BA250+PER!BA290+PER!BA330+PER!BA370+PER!BA410+PER!BA450+PER!BA490+PER!BA530+PER!BA570+PER!BA610)=0,"",_xlfn.IFS(PER!BA50=1,PER!$V$34,PER!BA90=1,PER!$V$35,PER!BA130=1,PER!$V$36,PER!BA170=1,PER!$V$37,PER!BA210=1,PER!$V$38,PER!BA250=1,PER!$V$39,PER!BA290=1,PER!$V$40,PER!BA330=1,PER!$V$41,PER!BA370=1,PER!$V$42,PER!BA410=1,PER!$V$43,PER!BA450=1,PER!$V$44,PER!BA490=1,PER!$V$45,PER!BA530=1,PER!$V$46,PER!BA570=1,PER!$V$47,PER!BA610=1,PER!$V$48)))</f>
        <v/>
      </c>
      <c r="M19" s="54" t="str" cm="1">
        <f t="array" ref="M19">IF(PER!AG69=0,"",IF((PER!BB50+PER!BB90+PER!BB130+PER!BB170+PER!BB210+PER!BB250+PER!BB290+PER!BB330+PER!BB370+PER!BB410+PER!BB450+PER!BB490+PER!BB530+PER!BB570+PER!BB610)=0,"",_xlfn.IFS(PER!BB50=1,PER!$V$34,PER!BB90=1,PER!$V$35,PER!BB130=1,PER!$V$36,PER!BB170=1,PER!$V$37,PER!BB210=1,PER!$V$38,PER!BB250=1,PER!$V$39,PER!BB290=1,PER!$V$40,PER!BB330=1,PER!$V$41,PER!BB370=1,PER!$V$42,PER!BB410=1,PER!$V$43,PER!BB450=1,PER!$V$44,PER!BB490=1,PER!$V$45,PER!BB530=1,PER!$V$46,PER!BB570=1,PER!$V$47,PER!BB610=1,PER!$V$48)))</f>
        <v/>
      </c>
      <c r="N19" s="54" t="str" cm="1">
        <f t="array" ref="N19">IF(PER!AH69=0,"",IF((PER!BC50+PER!BC90+PER!BC130+PER!BC170+PER!BC210+PER!BC250+PER!BC290+PER!BC330+PER!BC370+PER!BC410+PER!BC450+PER!BC490+PER!BC530+PER!BC570+PER!BC610)=0,"",_xlfn.IFS(PER!BC50=1,PER!$V$34,PER!BC90=1,PER!$V$35,PER!BC130=1,PER!$V$36,PER!BC170=1,PER!$V$37,PER!BC210=1,PER!$V$38,PER!BC250=1,PER!$V$39,PER!BC290=1,PER!$V$40,PER!BC330=1,PER!$V$41,PER!BC370=1,PER!$V$42,PER!BC410=1,PER!$V$43,PER!BC450=1,PER!$V$44,PER!BC490=1,PER!$V$45,PER!BC530=1,PER!$V$46,PER!BC570=1,PER!$V$47,PER!BC610=1,PER!$V$48)))</f>
        <v/>
      </c>
      <c r="O19" s="54" t="str" cm="1">
        <f t="array" ref="O19">IF(PER!AI69=0,"",IF((PER!BD50+PER!BD90+PER!BD130+PER!BD170+PER!BD210+PER!BD250+PER!BD290+PER!BD330+PER!BD370+PER!BD410+PER!BD450+PER!BD490+PER!BD530+PER!BD570+PER!BD610)=0,"",_xlfn.IFS(PER!BD50=1,PER!$V$34,PER!BD90=1,PER!$V$35,PER!BD130=1,PER!$V$36,PER!BD170=1,PER!$V$37,PER!BD210=1,PER!$V$38,PER!BD250=1,PER!$V$39,PER!BD290=1,PER!$V$40,PER!BD330=1,PER!$V$41,PER!BD370=1,PER!$V$42,PER!BD410=1,PER!$V$43,PER!BD450=1,PER!$V$44,PER!BD490=1,PER!$V$45,PER!BD530=1,PER!$V$46,PER!BD570=1,PER!$V$47,PER!BD610=1,PER!$V$48)))</f>
        <v/>
      </c>
      <c r="P19" s="54" t="str" cm="1">
        <f t="array" ref="P19">IF(PER!AJ69=0,"",IF((PER!BE50+PER!BE90+PER!BE130+PER!BE170+PER!BE210+PER!BE250+PER!BE290+PER!BE330+PER!BE370+PER!BE410+PER!BE450+PER!BE490+PER!BE530+PER!BE570+PER!BE610)=0,"",_xlfn.IFS(PER!BE50=1,PER!$V$34,PER!BE90=1,PER!$V$35,PER!BE130=1,PER!$V$36,PER!BE170=1,PER!$V$37,PER!BE210=1,PER!$V$38,PER!BE250=1,PER!$V$39,PER!BE290=1,PER!$V$40,PER!BE330=1,PER!$V$41,PER!BE370=1,PER!$V$42,PER!BE410=1,PER!$V$43,PER!BE450=1,PER!$V$44,PER!BE490=1,PER!$V$45,PER!BE530=1,PER!$V$46,PER!BE570=1,PER!$V$47,PER!BE610=1,PER!$V$48)))</f>
        <v/>
      </c>
      <c r="Q19" s="54" t="str" cm="1">
        <f t="array" ref="Q19">IF(PER!AK69=0,"",IF((PER!BF50+PER!BF90+PER!BF130+PER!BF170+PER!BF210+PER!BF250+PER!BF290+PER!BF330+PER!BF370+PER!BF410+PER!BF450+PER!BF490+PER!BF530+PER!BF570+PER!BF610)=0,"",_xlfn.IFS(PER!BF50=1,PER!$V$34,PER!BF90=1,PER!$V$35,PER!BF130=1,PER!$V$36,PER!BF170=1,PER!$V$37,PER!BF210=1,PER!$V$38,PER!BF250=1,PER!$V$39,PER!BF290=1,PER!$V$40,PER!BF330=1,PER!$V$41,PER!BF370=1,PER!$V$42,PER!BF410=1,PER!$V$43,PER!BF450=1,PER!$V$44,PER!BF490=1,PER!$V$45,PER!BF530=1,PER!$V$46,PER!BF570=1,PER!$V$47,PER!BF610=1,PER!$V$48)))</f>
        <v/>
      </c>
      <c r="R19" s="54" t="str" cm="1">
        <f t="array" ref="R19">IF(PER!AL69=0,"",IF((PER!BG50+PER!BG90+PER!BG130+PER!BG170+PER!BG210+PER!BG250+PER!BG290+PER!BG330+PER!BG370+PER!BG410+PER!BG450+PER!BG490+PER!BG530+PER!BG570+PER!BG610)=0,"",_xlfn.IFS(PER!BG50=1,PER!$V$34,PER!BG90=1,PER!$V$35,PER!BG130=1,PER!$V$36,PER!BG170=1,PER!$V$37,PER!BG210=1,PER!$V$38,PER!BG250=1,PER!$V$39,PER!BG290=1,PER!$V$40,PER!BG330=1,PER!$V$41,PER!BG370=1,PER!$V$42,PER!BG410=1,PER!$V$43,PER!BG450=1,PER!$V$44,PER!BG490=1,PER!$V$45,PER!BG530=1,PER!$V$46,PER!BG570=1,PER!$V$47,PER!BG610=1,PER!$V$48)))</f>
        <v/>
      </c>
      <c r="S19" s="54" t="str" cm="1">
        <f t="array" ref="S19">IF(PER!AM69=0,"",IF((PER!BH50+PER!BH90+PER!BH130+PER!BH170+PER!BH210+PER!BH250+PER!BH290+PER!BH330+PER!BH370+PER!BH410+PER!BH450+PER!BH490+PER!BH530+PER!BH570+PER!BH610)=0,"",_xlfn.IFS(PER!BH50=1,PER!$V$34,PER!BH90=1,PER!$V$35,PER!BH130=1,PER!$V$36,PER!BH170=1,PER!$V$37,PER!BH210=1,PER!$V$38,PER!BH250=1,PER!$V$39,PER!BH290=1,PER!$V$40,PER!BH330=1,PER!$V$41,PER!BH370=1,PER!$V$42,PER!BH410=1,PER!$V$43,PER!BH450=1,PER!$V$44,PER!BH490=1,PER!$V$45,PER!BH530=1,PER!$V$46,PER!BH570=1,PER!$V$47,PER!BH610=1,PER!$V$48)))</f>
        <v/>
      </c>
    </row>
    <row r="20" spans="1:19" x14ac:dyDescent="0.55000000000000004">
      <c r="A20">
        <v>18</v>
      </c>
      <c r="B20" t="s">
        <v>63</v>
      </c>
      <c r="C20" s="54" t="str" cm="1">
        <f t="array" ref="C20">IF(PER!W70=0,"",IF((PER!AR51+PER!AR91+PER!AR131+PER!AR171+PER!AR211+PER!AR251+PER!AR291+PER!AR331+PER!AR371+PER!AR411+PER!AR451+PER!AR491+PER!AR531+PER!AR571+PER!AR611)=0,"",_xlfn.IFS(PER!AR51=1,PER!$V$34,PER!AR91=1,PER!$V$35,PER!AR131=1,PER!$V$36,PER!AR171=1,PER!$V$37,PER!AR211=1,PER!$V$38,PER!AR251=1,PER!$V$39,PER!AR291=1,PER!$V$40,PER!AR331=1,PER!$V$41,PER!AR371=1,PER!$V$42,PER!AR411=1,PER!$V$43,PER!AR451=1,PER!$V$44,PER!AR491=1,PER!$V$45,PER!AR531=1,PER!$V$46,PER!AR571=1,PER!$V$47,PER!AR611=1,PER!$V$48)))</f>
        <v/>
      </c>
      <c r="D20" s="54" t="str" cm="1">
        <f t="array" ref="D20">IF(PER!X70=0,"",IF((PER!AS51+PER!AS91+PER!AS131+PER!AS171+PER!AS211+PER!AS251+PER!AS291+PER!AS331+PER!AS371+PER!AS411+PER!AS451+PER!AS491+PER!AS531+PER!AS571+PER!AS611)=0,"",_xlfn.IFS(PER!AS51=1,PER!$V$34,PER!AS91=1,PER!$V$35,PER!AS131=1,PER!$V$36,PER!AS171=1,PER!$V$37,PER!AS211=1,PER!$V$38,PER!AS251=1,PER!$V$39,PER!AS291=1,PER!$V$40,PER!AS331=1,PER!$V$41,PER!AS371=1,PER!$V$42,PER!AS411=1,PER!$V$43,PER!AS451=1,PER!$V$44,PER!AS491=1,PER!$V$45,PER!AS531=1,PER!$V$46,PER!AS571=1,PER!$V$47,PER!AS611=1,PER!$V$48)))</f>
        <v/>
      </c>
      <c r="E20" s="54" t="str" cm="1">
        <f t="array" ref="E20">IF(PER!Y70=0,"",IF((PER!AT51+PER!AT91+PER!AT131+PER!AT171+PER!AT211+PER!AT251+PER!AT291+PER!AT331+PER!AT371+PER!AT411+PER!AT451+PER!AT491+PER!AT531+PER!AT571+PER!AT611)=0,"",_xlfn.IFS(PER!AT51=1,PER!$V$34,PER!AT91=1,PER!$V$35,PER!AT131=1,PER!$V$36,PER!AT171=1,PER!$V$37,PER!AT211=1,PER!$V$38,PER!AT251=1,PER!$V$39,PER!AT291=1,PER!$V$40,PER!AT331=1,PER!$V$41,PER!AT371=1,PER!$V$42,PER!AT411=1,PER!$V$43,PER!AT451=1,PER!$V$44,PER!AT491=1,PER!$V$45,PER!AT531=1,PER!$V$46,PER!AT571=1,PER!$V$47,PER!AT611=1,PER!$V$48)))</f>
        <v/>
      </c>
      <c r="F20" s="54" t="str" cm="1">
        <f t="array" ref="F20">IF(PER!Z70=0,"",IF((PER!AU51+PER!AU91+PER!AU131+PER!AU171+PER!AU211+PER!AU251+PER!AU291+PER!AU331+PER!AU371+PER!AU411+PER!AU451+PER!AU491+PER!AU531+PER!AU571+PER!AU611)=0,"",_xlfn.IFS(PER!AU51=1,PER!$V$34,PER!AU91=1,PER!$V$35,PER!AU131=1,PER!$V$36,PER!AU171=1,PER!$V$37,PER!AU211=1,PER!$V$38,PER!AU251=1,PER!$V$39,PER!AU291=1,PER!$V$40,PER!AU331=1,PER!$V$41,PER!AU371=1,PER!$V$42,PER!AU411=1,PER!$V$43,PER!AU451=1,PER!$V$44,PER!AU491=1,PER!$V$45,PER!AU531=1,PER!$V$46,PER!AU571=1,PER!$V$47,PER!AU611=1,PER!$V$48)))</f>
        <v/>
      </c>
      <c r="G20" s="54" t="str" cm="1">
        <f t="array" ref="G20">IF(PER!AA70=0,"",IF((PER!AV51+PER!AV91+PER!AV131+PER!AV171+PER!AV211+PER!AV251+PER!AV291+PER!AV331+PER!AV371+PER!AV411+PER!AV451+PER!AV491+PER!AV531+PER!AV571+PER!AV611)=0,"",_xlfn.IFS(PER!AV51=1,PER!$V$34,PER!AV91=1,PER!$V$35,PER!AV131=1,PER!$V$36,PER!AV171=1,PER!$V$37,PER!AV211=1,PER!$V$38,PER!AV251=1,PER!$V$39,PER!AV291=1,PER!$V$40,PER!AV331=1,PER!$V$41,PER!AV371=1,PER!$V$42,PER!AV411=1,PER!$V$43,PER!AV451=1,PER!$V$44,PER!AV491=1,PER!$V$45,PER!AV531=1,PER!$V$46,PER!AV571=1,PER!$V$47,PER!AV611=1,PER!$V$48)))</f>
        <v/>
      </c>
      <c r="H20" s="54" t="str" cm="1">
        <f t="array" ref="H20">IF(PER!AB70=0,"",IF((PER!AW51+PER!AW91+PER!AW131+PER!AW171+PER!AW211+PER!AW251+PER!AW291+PER!AW331+PER!AW371+PER!AW411+PER!AW451+PER!AW491+PER!AW531+PER!AW571+PER!AW611)=0,"",_xlfn.IFS(PER!AW51=1,PER!$V$34,PER!AW91=1,PER!$V$35,PER!AW131=1,PER!$V$36,PER!AW171=1,PER!$V$37,PER!AW211=1,PER!$V$38,PER!AW251=1,PER!$V$39,PER!AW291=1,PER!$V$40,PER!AW331=1,PER!$V$41,PER!AW371=1,PER!$V$42,PER!AW411=1,PER!$V$43,PER!AW451=1,PER!$V$44,PER!AW491=1,PER!$V$45,PER!AW531=1,PER!$V$46,PER!AW571=1,PER!$V$47,PER!AW611=1,PER!$V$48)))</f>
        <v/>
      </c>
      <c r="I20" s="54" t="str" cm="1">
        <f t="array" ref="I20">IF(PER!AC70=0,"",IF((PER!AX51+PER!AX91+PER!AX131+PER!AX171+PER!AX211+PER!AX251+PER!AX291+PER!AX331+PER!AX371+PER!AX411+PER!AX451+PER!AX491+PER!AX531+PER!AX571+PER!AX611)=0,"",_xlfn.IFS(PER!AX51=1,PER!$V$34,PER!AX91=1,PER!$V$35,PER!AX131=1,PER!$V$36,PER!AX171=1,PER!$V$37,PER!AX211=1,PER!$V$38,PER!AX251=1,PER!$V$39,PER!AX291=1,PER!$V$40,PER!AX331=1,PER!$V$41,PER!AX371=1,PER!$V$42,PER!AX411=1,PER!$V$43,PER!AX451=1,PER!$V$44,PER!AX491=1,PER!$V$45,PER!AX531=1,PER!$V$46,PER!AX571=1,PER!$V$47,PER!AX611=1,PER!$V$48)))</f>
        <v/>
      </c>
      <c r="J20" s="54" t="str" cm="1">
        <f t="array" ref="J20">IF(PER!AD70=0,"",IF((PER!AY51+PER!AY91+PER!AY131+PER!AY171+PER!AY211+PER!AY251+PER!AY291+PER!AY331+PER!AY371+PER!AY411+PER!AY451+PER!AY491+PER!AY531+PER!AY571+PER!AY611)=0,"",_xlfn.IFS(PER!AY51=1,PER!$V$34,PER!AY91=1,PER!$V$35,PER!AY131=1,PER!$V$36,PER!AY171=1,PER!$V$37,PER!AY211=1,PER!$V$38,PER!AY251=1,PER!$V$39,PER!AY291=1,PER!$V$40,PER!AY331=1,PER!$V$41,PER!AY371=1,PER!$V$42,PER!AY411=1,PER!$V$43,PER!AY451=1,PER!$V$44,PER!AY491=1,PER!$V$45,PER!AY531=1,PER!$V$46,PER!AY571=1,PER!$V$47,PER!AY611=1,PER!$V$48)))</f>
        <v/>
      </c>
      <c r="K20" s="54" t="str" cm="1">
        <f t="array" ref="K20">IF(PER!AE70=0,"",IF((PER!AZ51+PER!AZ91+PER!AZ131+PER!AZ171+PER!AZ211+PER!AZ251+PER!AZ291+PER!AZ331+PER!AZ371+PER!AZ411+PER!AZ451+PER!AZ491+PER!AZ531+PER!AZ571+PER!AZ611)=0,"",_xlfn.IFS(PER!AZ51=1,PER!$V$34,PER!AZ91=1,PER!$V$35,PER!AZ131=1,PER!$V$36,PER!AZ171=1,PER!$V$37,PER!AZ211=1,PER!$V$38,PER!AZ251=1,PER!$V$39,PER!AZ291=1,PER!$V$40,PER!AZ331=1,PER!$V$41,PER!AZ371=1,PER!$V$42,PER!AZ411=1,PER!$V$43,PER!AZ451=1,PER!$V$44,PER!AZ491=1,PER!$V$45,PER!AZ531=1,PER!$V$46,PER!AZ571=1,PER!$V$47,PER!AZ611=1,PER!$V$48)))</f>
        <v/>
      </c>
      <c r="L20" s="54" t="str" cm="1">
        <f t="array" ref="L20">IF(PER!AF70=0,"",IF((PER!BA51+PER!BA91+PER!BA131+PER!BA171+PER!BA211+PER!BA251+PER!BA291+PER!BA331+PER!BA371+PER!BA411+PER!BA451+PER!BA491+PER!BA531+PER!BA571+PER!BA611)=0,"",_xlfn.IFS(PER!BA51=1,PER!$V$34,PER!BA91=1,PER!$V$35,PER!BA131=1,PER!$V$36,PER!BA171=1,PER!$V$37,PER!BA211=1,PER!$V$38,PER!BA251=1,PER!$V$39,PER!BA291=1,PER!$V$40,PER!BA331=1,PER!$V$41,PER!BA371=1,PER!$V$42,PER!BA411=1,PER!$V$43,PER!BA451=1,PER!$V$44,PER!BA491=1,PER!$V$45,PER!BA531=1,PER!$V$46,PER!BA571=1,PER!$V$47,PER!BA611=1,PER!$V$48)))</f>
        <v/>
      </c>
      <c r="M20" s="54" t="str" cm="1">
        <f t="array" ref="M20">IF(PER!AG70=0,"",IF((PER!BB51+PER!BB91+PER!BB131+PER!BB171+PER!BB211+PER!BB251+PER!BB291+PER!BB331+PER!BB371+PER!BB411+PER!BB451+PER!BB491+PER!BB531+PER!BB571+PER!BB611)=0,"",_xlfn.IFS(PER!BB51=1,PER!$V$34,PER!BB91=1,PER!$V$35,PER!BB131=1,PER!$V$36,PER!BB171=1,PER!$V$37,PER!BB211=1,PER!$V$38,PER!BB251=1,PER!$V$39,PER!BB291=1,PER!$V$40,PER!BB331=1,PER!$V$41,PER!BB371=1,PER!$V$42,PER!BB411=1,PER!$V$43,PER!BB451=1,PER!$V$44,PER!BB491=1,PER!$V$45,PER!BB531=1,PER!$V$46,PER!BB571=1,PER!$V$47,PER!BB611=1,PER!$V$48)))</f>
        <v/>
      </c>
      <c r="N20" s="54" t="str" cm="1">
        <f t="array" ref="N20">IF(PER!AH70=0,"",IF((PER!BC51+PER!BC91+PER!BC131+PER!BC171+PER!BC211+PER!BC251+PER!BC291+PER!BC331+PER!BC371+PER!BC411+PER!BC451+PER!BC491+PER!BC531+PER!BC571+PER!BC611)=0,"",_xlfn.IFS(PER!BC51=1,PER!$V$34,PER!BC91=1,PER!$V$35,PER!BC131=1,PER!$V$36,PER!BC171=1,PER!$V$37,PER!BC211=1,PER!$V$38,PER!BC251=1,PER!$V$39,PER!BC291=1,PER!$V$40,PER!BC331=1,PER!$V$41,PER!BC371=1,PER!$V$42,PER!BC411=1,PER!$V$43,PER!BC451=1,PER!$V$44,PER!BC491=1,PER!$V$45,PER!BC531=1,PER!$V$46,PER!BC571=1,PER!$V$47,PER!BC611=1,PER!$V$48)))</f>
        <v/>
      </c>
      <c r="O20" s="54" t="str" cm="1">
        <f t="array" ref="O20">IF(PER!AI70=0,"",IF((PER!BD51+PER!BD91+PER!BD131+PER!BD171+PER!BD211+PER!BD251+PER!BD291+PER!BD331+PER!BD371+PER!BD411+PER!BD451+PER!BD491+PER!BD531+PER!BD571+PER!BD611)=0,"",_xlfn.IFS(PER!BD51=1,PER!$V$34,PER!BD91=1,PER!$V$35,PER!BD131=1,PER!$V$36,PER!BD171=1,PER!$V$37,PER!BD211=1,PER!$V$38,PER!BD251=1,PER!$V$39,PER!BD291=1,PER!$V$40,PER!BD331=1,PER!$V$41,PER!BD371=1,PER!$V$42,PER!BD411=1,PER!$V$43,PER!BD451=1,PER!$V$44,PER!BD491=1,PER!$V$45,PER!BD531=1,PER!$V$46,PER!BD571=1,PER!$V$47,PER!BD611=1,PER!$V$48)))</f>
        <v/>
      </c>
      <c r="P20" s="54" t="str" cm="1">
        <f t="array" ref="P20">IF(PER!AJ70=0,"",IF((PER!BE51+PER!BE91+PER!BE131+PER!BE171+PER!BE211+PER!BE251+PER!BE291+PER!BE331+PER!BE371+PER!BE411+PER!BE451+PER!BE491+PER!BE531+PER!BE571+PER!BE611)=0,"",_xlfn.IFS(PER!BE51=1,PER!$V$34,PER!BE91=1,PER!$V$35,PER!BE131=1,PER!$V$36,PER!BE171=1,PER!$V$37,PER!BE211=1,PER!$V$38,PER!BE251=1,PER!$V$39,PER!BE291=1,PER!$V$40,PER!BE331=1,PER!$V$41,PER!BE371=1,PER!$V$42,PER!BE411=1,PER!$V$43,PER!BE451=1,PER!$V$44,PER!BE491=1,PER!$V$45,PER!BE531=1,PER!$V$46,PER!BE571=1,PER!$V$47,PER!BE611=1,PER!$V$48)))</f>
        <v/>
      </c>
      <c r="Q20" s="54" t="str" cm="1">
        <f t="array" ref="Q20">IF(PER!AK70=0,"",IF((PER!BF51+PER!BF91+PER!BF131+PER!BF171+PER!BF211+PER!BF251+PER!BF291+PER!BF331+PER!BF371+PER!BF411+PER!BF451+PER!BF491+PER!BF531+PER!BF571+PER!BF611)=0,"",_xlfn.IFS(PER!BF51=1,PER!$V$34,PER!BF91=1,PER!$V$35,PER!BF131=1,PER!$V$36,PER!BF171=1,PER!$V$37,PER!BF211=1,PER!$V$38,PER!BF251=1,PER!$V$39,PER!BF291=1,PER!$V$40,PER!BF331=1,PER!$V$41,PER!BF371=1,PER!$V$42,PER!BF411=1,PER!$V$43,PER!BF451=1,PER!$V$44,PER!BF491=1,PER!$V$45,PER!BF531=1,PER!$V$46,PER!BF571=1,PER!$V$47,PER!BF611=1,PER!$V$48)))</f>
        <v/>
      </c>
      <c r="R20" s="54" t="str" cm="1">
        <f t="array" ref="R20">IF(PER!AL70=0,"",IF((PER!BG51+PER!BG91+PER!BG131+PER!BG171+PER!BG211+PER!BG251+PER!BG291+PER!BG331+PER!BG371+PER!BG411+PER!BG451+PER!BG491+PER!BG531+PER!BG571+PER!BG611)=0,"",_xlfn.IFS(PER!BG51=1,PER!$V$34,PER!BG91=1,PER!$V$35,PER!BG131=1,PER!$V$36,PER!BG171=1,PER!$V$37,PER!BG211=1,PER!$V$38,PER!BG251=1,PER!$V$39,PER!BG291=1,PER!$V$40,PER!BG331=1,PER!$V$41,PER!BG371=1,PER!$V$42,PER!BG411=1,PER!$V$43,PER!BG451=1,PER!$V$44,PER!BG491=1,PER!$V$45,PER!BG531=1,PER!$V$46,PER!BG571=1,PER!$V$47,PER!BG611=1,PER!$V$48)))</f>
        <v/>
      </c>
      <c r="S20" s="54" t="str" cm="1">
        <f t="array" ref="S20">IF(PER!AM70=0,"",IF((PER!BH51+PER!BH91+PER!BH131+PER!BH171+PER!BH211+PER!BH251+PER!BH291+PER!BH331+PER!BH371+PER!BH411+PER!BH451+PER!BH491+PER!BH531+PER!BH571+PER!BH611)=0,"",_xlfn.IFS(PER!BH51=1,PER!$V$34,PER!BH91=1,PER!$V$35,PER!BH131=1,PER!$V$36,PER!BH171=1,PER!$V$37,PER!BH211=1,PER!$V$38,PER!BH251=1,PER!$V$39,PER!BH291=1,PER!$V$40,PER!BH331=1,PER!$V$41,PER!BH371=1,PER!$V$42,PER!BH411=1,PER!$V$43,PER!BH451=1,PER!$V$44,PER!BH491=1,PER!$V$45,PER!BH531=1,PER!$V$46,PER!BH571=1,PER!$V$47,PER!BH611=1,PER!$V$48)))</f>
        <v/>
      </c>
    </row>
    <row r="21" spans="1:19" x14ac:dyDescent="0.55000000000000004">
      <c r="A21">
        <v>19</v>
      </c>
      <c r="B21" t="s">
        <v>64</v>
      </c>
      <c r="C21" s="54" t="str" cm="1">
        <f t="array" ref="C21">IF(PER!W71=0,"",IF((PER!AR52+PER!AR92+PER!AR132+PER!AR172+PER!AR212+PER!AR252+PER!AR292+PER!AR332+PER!AR372+PER!AR412+PER!AR452+PER!AR492+PER!AR532+PER!AR572+PER!AR612)=0,"",_xlfn.IFS(PER!AR52=1,PER!$V$34,PER!AR92=1,PER!$V$35,PER!AR132=1,PER!$V$36,PER!AR172=1,PER!$V$37,PER!AR212=1,PER!$V$38,PER!AR252=1,PER!$V$39,PER!AR292=1,PER!$V$40,PER!AR332=1,PER!$V$41,PER!AR372=1,PER!$V$42,PER!AR412=1,PER!$V$43,PER!AR452=1,PER!$V$44,PER!AR492=1,PER!$V$45,PER!AR532=1,PER!$V$46,PER!AR572=1,PER!$V$47,PER!AR612=1,PER!$V$48)))</f>
        <v/>
      </c>
      <c r="D21" s="54" t="str" cm="1">
        <f t="array" ref="D21">IF(PER!X71=0,"",IF((PER!AS52+PER!AS92+PER!AS132+PER!AS172+PER!AS212+PER!AS252+PER!AS292+PER!AS332+PER!AS372+PER!AS412+PER!AS452+PER!AS492+PER!AS532+PER!AS572+PER!AS612)=0,"",_xlfn.IFS(PER!AS52=1,PER!$V$34,PER!AS92=1,PER!$V$35,PER!AS132=1,PER!$V$36,PER!AS172=1,PER!$V$37,PER!AS212=1,PER!$V$38,PER!AS252=1,PER!$V$39,PER!AS292=1,PER!$V$40,PER!AS332=1,PER!$V$41,PER!AS372=1,PER!$V$42,PER!AS412=1,PER!$V$43,PER!AS452=1,PER!$V$44,PER!AS492=1,PER!$V$45,PER!AS532=1,PER!$V$46,PER!AS572=1,PER!$V$47,PER!AS612=1,PER!$V$48)))</f>
        <v/>
      </c>
      <c r="E21" s="54" t="str" cm="1">
        <f t="array" ref="E21">IF(PER!Y71=0,"",IF((PER!AT52+PER!AT92+PER!AT132+PER!AT172+PER!AT212+PER!AT252+PER!AT292+PER!AT332+PER!AT372+PER!AT412+PER!AT452+PER!AT492+PER!AT532+PER!AT572+PER!AT612)=0,"",_xlfn.IFS(PER!AT52=1,PER!$V$34,PER!AT92=1,PER!$V$35,PER!AT132=1,PER!$V$36,PER!AT172=1,PER!$V$37,PER!AT212=1,PER!$V$38,PER!AT252=1,PER!$V$39,PER!AT292=1,PER!$V$40,PER!AT332=1,PER!$V$41,PER!AT372=1,PER!$V$42,PER!AT412=1,PER!$V$43,PER!AT452=1,PER!$V$44,PER!AT492=1,PER!$V$45,PER!AT532=1,PER!$V$46,PER!AT572=1,PER!$V$47,PER!AT612=1,PER!$V$48)))</f>
        <v/>
      </c>
      <c r="F21" s="54" t="str" cm="1">
        <f t="array" ref="F21">IF(PER!Z71=0,"",IF((PER!AU52+PER!AU92+PER!AU132+PER!AU172+PER!AU212+PER!AU252+PER!AU292+PER!AU332+PER!AU372+PER!AU412+PER!AU452+PER!AU492+PER!AU532+PER!AU572+PER!AU612)=0,"",_xlfn.IFS(PER!AU52=1,PER!$V$34,PER!AU92=1,PER!$V$35,PER!AU132=1,PER!$V$36,PER!AU172=1,PER!$V$37,PER!AU212=1,PER!$V$38,PER!AU252=1,PER!$V$39,PER!AU292=1,PER!$V$40,PER!AU332=1,PER!$V$41,PER!AU372=1,PER!$V$42,PER!AU412=1,PER!$V$43,PER!AU452=1,PER!$V$44,PER!AU492=1,PER!$V$45,PER!AU532=1,PER!$V$46,PER!AU572=1,PER!$V$47,PER!AU612=1,PER!$V$48)))</f>
        <v/>
      </c>
      <c r="G21" s="54" t="str" cm="1">
        <f t="array" ref="G21">IF(PER!AA71=0,"",IF((PER!AV52+PER!AV92+PER!AV132+PER!AV172+PER!AV212+PER!AV252+PER!AV292+PER!AV332+PER!AV372+PER!AV412+PER!AV452+PER!AV492+PER!AV532+PER!AV572+PER!AV612)=0,"",_xlfn.IFS(PER!AV52=1,PER!$V$34,PER!AV92=1,PER!$V$35,PER!AV132=1,PER!$V$36,PER!AV172=1,PER!$V$37,PER!AV212=1,PER!$V$38,PER!AV252=1,PER!$V$39,PER!AV292=1,PER!$V$40,PER!AV332=1,PER!$V$41,PER!AV372=1,PER!$V$42,PER!AV412=1,PER!$V$43,PER!AV452=1,PER!$V$44,PER!AV492=1,PER!$V$45,PER!AV532=1,PER!$V$46,PER!AV572=1,PER!$V$47,PER!AV612=1,PER!$V$48)))</f>
        <v/>
      </c>
      <c r="H21" s="54" t="str" cm="1">
        <f t="array" ref="H21">IF(PER!AB71=0,"",IF((PER!AW52+PER!AW92+PER!AW132+PER!AW172+PER!AW212+PER!AW252+PER!AW292+PER!AW332+PER!AW372+PER!AW412+PER!AW452+PER!AW492+PER!AW532+PER!AW572+PER!AW612)=0,"",_xlfn.IFS(PER!AW52=1,PER!$V$34,PER!AW92=1,PER!$V$35,PER!AW132=1,PER!$V$36,PER!AW172=1,PER!$V$37,PER!AW212=1,PER!$V$38,PER!AW252=1,PER!$V$39,PER!AW292=1,PER!$V$40,PER!AW332=1,PER!$V$41,PER!AW372=1,PER!$V$42,PER!AW412=1,PER!$V$43,PER!AW452=1,PER!$V$44,PER!AW492=1,PER!$V$45,PER!AW532=1,PER!$V$46,PER!AW572=1,PER!$V$47,PER!AW612=1,PER!$V$48)))</f>
        <v/>
      </c>
      <c r="I21" s="54" t="str" cm="1">
        <f t="array" ref="I21">IF(PER!AC71=0,"",IF((PER!AX52+PER!AX92+PER!AX132+PER!AX172+PER!AX212+PER!AX252+PER!AX292+PER!AX332+PER!AX372+PER!AX412+PER!AX452+PER!AX492+PER!AX532+PER!AX572+PER!AX612)=0,"",_xlfn.IFS(PER!AX52=1,PER!$V$34,PER!AX92=1,PER!$V$35,PER!AX132=1,PER!$V$36,PER!AX172=1,PER!$V$37,PER!AX212=1,PER!$V$38,PER!AX252=1,PER!$V$39,PER!AX292=1,PER!$V$40,PER!AX332=1,PER!$V$41,PER!AX372=1,PER!$V$42,PER!AX412=1,PER!$V$43,PER!AX452=1,PER!$V$44,PER!AX492=1,PER!$V$45,PER!AX532=1,PER!$V$46,PER!AX572=1,PER!$V$47,PER!AX612=1,PER!$V$48)))</f>
        <v/>
      </c>
      <c r="J21" s="54" t="str" cm="1">
        <f t="array" ref="J21">IF(PER!AD71=0,"",IF((PER!AY52+PER!AY92+PER!AY132+PER!AY172+PER!AY212+PER!AY252+PER!AY292+PER!AY332+PER!AY372+PER!AY412+PER!AY452+PER!AY492+PER!AY532+PER!AY572+PER!AY612)=0,"",_xlfn.IFS(PER!AY52=1,PER!$V$34,PER!AY92=1,PER!$V$35,PER!AY132=1,PER!$V$36,PER!AY172=1,PER!$V$37,PER!AY212=1,PER!$V$38,PER!AY252=1,PER!$V$39,PER!AY292=1,PER!$V$40,PER!AY332=1,PER!$V$41,PER!AY372=1,PER!$V$42,PER!AY412=1,PER!$V$43,PER!AY452=1,PER!$V$44,PER!AY492=1,PER!$V$45,PER!AY532=1,PER!$V$46,PER!AY572=1,PER!$V$47,PER!AY612=1,PER!$V$48)))</f>
        <v/>
      </c>
      <c r="K21" s="54" t="str" cm="1">
        <f t="array" ref="K21">IF(PER!AE71=0,"",IF((PER!AZ52+PER!AZ92+PER!AZ132+PER!AZ172+PER!AZ212+PER!AZ252+PER!AZ292+PER!AZ332+PER!AZ372+PER!AZ412+PER!AZ452+PER!AZ492+PER!AZ532+PER!AZ572+PER!AZ612)=0,"",_xlfn.IFS(PER!AZ52=1,PER!$V$34,PER!AZ92=1,PER!$V$35,PER!AZ132=1,PER!$V$36,PER!AZ172=1,PER!$V$37,PER!AZ212=1,PER!$V$38,PER!AZ252=1,PER!$V$39,PER!AZ292=1,PER!$V$40,PER!AZ332=1,PER!$V$41,PER!AZ372=1,PER!$V$42,PER!AZ412=1,PER!$V$43,PER!AZ452=1,PER!$V$44,PER!AZ492=1,PER!$V$45,PER!AZ532=1,PER!$V$46,PER!AZ572=1,PER!$V$47,PER!AZ612=1,PER!$V$48)))</f>
        <v/>
      </c>
      <c r="L21" s="54" t="str" cm="1">
        <f t="array" ref="L21">IF(PER!AF71=0,"",IF((PER!BA52+PER!BA92+PER!BA132+PER!BA172+PER!BA212+PER!BA252+PER!BA292+PER!BA332+PER!BA372+PER!BA412+PER!BA452+PER!BA492+PER!BA532+PER!BA572+PER!BA612)=0,"",_xlfn.IFS(PER!BA52=1,PER!$V$34,PER!BA92=1,PER!$V$35,PER!BA132=1,PER!$V$36,PER!BA172=1,PER!$V$37,PER!BA212=1,PER!$V$38,PER!BA252=1,PER!$V$39,PER!BA292=1,PER!$V$40,PER!BA332=1,PER!$V$41,PER!BA372=1,PER!$V$42,PER!BA412=1,PER!$V$43,PER!BA452=1,PER!$V$44,PER!BA492=1,PER!$V$45,PER!BA532=1,PER!$V$46,PER!BA572=1,PER!$V$47,PER!BA612=1,PER!$V$48)))</f>
        <v/>
      </c>
      <c r="M21" s="54" t="str" cm="1">
        <f t="array" ref="M21">IF(PER!AG71=0,"",IF((PER!BB52+PER!BB92+PER!BB132+PER!BB172+PER!BB212+PER!BB252+PER!BB292+PER!BB332+PER!BB372+PER!BB412+PER!BB452+PER!BB492+PER!BB532+PER!BB572+PER!BB612)=0,"",_xlfn.IFS(PER!BB52=1,PER!$V$34,PER!BB92=1,PER!$V$35,PER!BB132=1,PER!$V$36,PER!BB172=1,PER!$V$37,PER!BB212=1,PER!$V$38,PER!BB252=1,PER!$V$39,PER!BB292=1,PER!$V$40,PER!BB332=1,PER!$V$41,PER!BB372=1,PER!$V$42,PER!BB412=1,PER!$V$43,PER!BB452=1,PER!$V$44,PER!BB492=1,PER!$V$45,PER!BB532=1,PER!$V$46,PER!BB572=1,PER!$V$47,PER!BB612=1,PER!$V$48)))</f>
        <v/>
      </c>
      <c r="N21" s="54" t="str" cm="1">
        <f t="array" ref="N21">IF(PER!AH71=0,"",IF((PER!BC52+PER!BC92+PER!BC132+PER!BC172+PER!BC212+PER!BC252+PER!BC292+PER!BC332+PER!BC372+PER!BC412+PER!BC452+PER!BC492+PER!BC532+PER!BC572+PER!BC612)=0,"",_xlfn.IFS(PER!BC52=1,PER!$V$34,PER!BC92=1,PER!$V$35,PER!BC132=1,PER!$V$36,PER!BC172=1,PER!$V$37,PER!BC212=1,PER!$V$38,PER!BC252=1,PER!$V$39,PER!BC292=1,PER!$V$40,PER!BC332=1,PER!$V$41,PER!BC372=1,PER!$V$42,PER!BC412=1,PER!$V$43,PER!BC452=1,PER!$V$44,PER!BC492=1,PER!$V$45,PER!BC532=1,PER!$V$46,PER!BC572=1,PER!$V$47,PER!BC612=1,PER!$V$48)))</f>
        <v/>
      </c>
      <c r="O21" s="54" t="str" cm="1">
        <f t="array" ref="O21">IF(PER!AI71=0,"",IF((PER!BD52+PER!BD92+PER!BD132+PER!BD172+PER!BD212+PER!BD252+PER!BD292+PER!BD332+PER!BD372+PER!BD412+PER!BD452+PER!BD492+PER!BD532+PER!BD572+PER!BD612)=0,"",_xlfn.IFS(PER!BD52=1,PER!$V$34,PER!BD92=1,PER!$V$35,PER!BD132=1,PER!$V$36,PER!BD172=1,PER!$V$37,PER!BD212=1,PER!$V$38,PER!BD252=1,PER!$V$39,PER!BD292=1,PER!$V$40,PER!BD332=1,PER!$V$41,PER!BD372=1,PER!$V$42,PER!BD412=1,PER!$V$43,PER!BD452=1,PER!$V$44,PER!BD492=1,PER!$V$45,PER!BD532=1,PER!$V$46,PER!BD572=1,PER!$V$47,PER!BD612=1,PER!$V$48)))</f>
        <v/>
      </c>
      <c r="P21" s="54" t="str" cm="1">
        <f t="array" ref="P21">IF(PER!AJ71=0,"",IF((PER!BE52+PER!BE92+PER!BE132+PER!BE172+PER!BE212+PER!BE252+PER!BE292+PER!BE332+PER!BE372+PER!BE412+PER!BE452+PER!BE492+PER!BE532+PER!BE572+PER!BE612)=0,"",_xlfn.IFS(PER!BE52=1,PER!$V$34,PER!BE92=1,PER!$V$35,PER!BE132=1,PER!$V$36,PER!BE172=1,PER!$V$37,PER!BE212=1,PER!$V$38,PER!BE252=1,PER!$V$39,PER!BE292=1,PER!$V$40,PER!BE332=1,PER!$V$41,PER!BE372=1,PER!$V$42,PER!BE412=1,PER!$V$43,PER!BE452=1,PER!$V$44,PER!BE492=1,PER!$V$45,PER!BE532=1,PER!$V$46,PER!BE572=1,PER!$V$47,PER!BE612=1,PER!$V$48)))</f>
        <v/>
      </c>
      <c r="Q21" s="54" t="str" cm="1">
        <f t="array" ref="Q21">IF(PER!AK71=0,"",IF((PER!BF52+PER!BF92+PER!BF132+PER!BF172+PER!BF212+PER!BF252+PER!BF292+PER!BF332+PER!BF372+PER!BF412+PER!BF452+PER!BF492+PER!BF532+PER!BF572+PER!BF612)=0,"",_xlfn.IFS(PER!BF52=1,PER!$V$34,PER!BF92=1,PER!$V$35,PER!BF132=1,PER!$V$36,PER!BF172=1,PER!$V$37,PER!BF212=1,PER!$V$38,PER!BF252=1,PER!$V$39,PER!BF292=1,PER!$V$40,PER!BF332=1,PER!$V$41,PER!BF372=1,PER!$V$42,PER!BF412=1,PER!$V$43,PER!BF452=1,PER!$V$44,PER!BF492=1,PER!$V$45,PER!BF532=1,PER!$V$46,PER!BF572=1,PER!$V$47,PER!BF612=1,PER!$V$48)))</f>
        <v/>
      </c>
      <c r="R21" s="54" t="str" cm="1">
        <f t="array" ref="R21">IF(PER!AL71=0,"",IF((PER!BG52+PER!BG92+PER!BG132+PER!BG172+PER!BG212+PER!BG252+PER!BG292+PER!BG332+PER!BG372+PER!BG412+PER!BG452+PER!BG492+PER!BG532+PER!BG572+PER!BG612)=0,"",_xlfn.IFS(PER!BG52=1,PER!$V$34,PER!BG92=1,PER!$V$35,PER!BG132=1,PER!$V$36,PER!BG172=1,PER!$V$37,PER!BG212=1,PER!$V$38,PER!BG252=1,PER!$V$39,PER!BG292=1,PER!$V$40,PER!BG332=1,PER!$V$41,PER!BG372=1,PER!$V$42,PER!BG412=1,PER!$V$43,PER!BG452=1,PER!$V$44,PER!BG492=1,PER!$V$45,PER!BG532=1,PER!$V$46,PER!BG572=1,PER!$V$47,PER!BG612=1,PER!$V$48)))</f>
        <v/>
      </c>
      <c r="S21" s="54" t="str" cm="1">
        <f t="array" ref="S21">IF(PER!AM71=0,"",IF((PER!BH52+PER!BH92+PER!BH132+PER!BH172+PER!BH212+PER!BH252+PER!BH292+PER!BH332+PER!BH372+PER!BH412+PER!BH452+PER!BH492+PER!BH532+PER!BH572+PER!BH612)=0,"",_xlfn.IFS(PER!BH52=1,PER!$V$34,PER!BH92=1,PER!$V$35,PER!BH132=1,PER!$V$36,PER!BH172=1,PER!$V$37,PER!BH212=1,PER!$V$38,PER!BH252=1,PER!$V$39,PER!BH292=1,PER!$V$40,PER!BH332=1,PER!$V$41,PER!BH372=1,PER!$V$42,PER!BH412=1,PER!$V$43,PER!BH452=1,PER!$V$44,PER!BH492=1,PER!$V$45,PER!BH532=1,PER!$V$46,PER!BH572=1,PER!$V$47,PER!BH612=1,PER!$V$48)))</f>
        <v/>
      </c>
    </row>
    <row r="22" spans="1:19" x14ac:dyDescent="0.55000000000000004">
      <c r="A22">
        <v>20</v>
      </c>
      <c r="B22" t="s">
        <v>65</v>
      </c>
      <c r="C22" s="54" t="str" cm="1">
        <f t="array" ref="C22">IF(PER!W72=0,"",IF((PER!AR53+PER!AR93+PER!AR133+PER!AR173+PER!AR213+PER!AR253+PER!AR293+PER!AR333+PER!AR373+PER!AR413+PER!AR453+PER!AR493+PER!AR533+PER!AR573+PER!AR613)=0,"",_xlfn.IFS(PER!AR53=1,PER!$V$34,PER!AR93=1,PER!$V$35,PER!AR133=1,PER!$V$36,PER!AR173=1,PER!$V$37,PER!AR213=1,PER!$V$38,PER!AR253=1,PER!$V$39,PER!AR293=1,PER!$V$40,PER!AR333=1,PER!$V$41,PER!AR373=1,PER!$V$42,PER!AR413=1,PER!$V$43,PER!AR453=1,PER!$V$44,PER!AR493=1,PER!$V$45,PER!AR533=1,PER!$V$46,PER!AR573=1,PER!$V$47,PER!AR613=1,PER!$V$48)))</f>
        <v/>
      </c>
      <c r="D22" s="54" t="str" cm="1">
        <f t="array" ref="D22">IF(PER!X72=0,"",IF((PER!AS53+PER!AS93+PER!AS133+PER!AS173+PER!AS213+PER!AS253+PER!AS293+PER!AS333+PER!AS373+PER!AS413+PER!AS453+PER!AS493+PER!AS533+PER!AS573+PER!AS613)=0,"",_xlfn.IFS(PER!AS53=1,PER!$V$34,PER!AS93=1,PER!$V$35,PER!AS133=1,PER!$V$36,PER!AS173=1,PER!$V$37,PER!AS213=1,PER!$V$38,PER!AS253=1,PER!$V$39,PER!AS293=1,PER!$V$40,PER!AS333=1,PER!$V$41,PER!AS373=1,PER!$V$42,PER!AS413=1,PER!$V$43,PER!AS453=1,PER!$V$44,PER!AS493=1,PER!$V$45,PER!AS533=1,PER!$V$46,PER!AS573=1,PER!$V$47,PER!AS613=1,PER!$V$48)))</f>
        <v/>
      </c>
      <c r="E22" s="54" t="str" cm="1">
        <f t="array" ref="E22">IF(PER!Y72=0,"",IF((PER!AT53+PER!AT93+PER!AT133+PER!AT173+PER!AT213+PER!AT253+PER!AT293+PER!AT333+PER!AT373+PER!AT413+PER!AT453+PER!AT493+PER!AT533+PER!AT573+PER!AT613)=0,"",_xlfn.IFS(PER!AT53=1,PER!$V$34,PER!AT93=1,PER!$V$35,PER!AT133=1,PER!$V$36,PER!AT173=1,PER!$V$37,PER!AT213=1,PER!$V$38,PER!AT253=1,PER!$V$39,PER!AT293=1,PER!$V$40,PER!AT333=1,PER!$V$41,PER!AT373=1,PER!$V$42,PER!AT413=1,PER!$V$43,PER!AT453=1,PER!$V$44,PER!AT493=1,PER!$V$45,PER!AT533=1,PER!$V$46,PER!AT573=1,PER!$V$47,PER!AT613=1,PER!$V$48)))</f>
        <v/>
      </c>
      <c r="F22" s="54" t="str" cm="1">
        <f t="array" ref="F22">IF(PER!Z72=0,"",IF((PER!AU53+PER!AU93+PER!AU133+PER!AU173+PER!AU213+PER!AU253+PER!AU293+PER!AU333+PER!AU373+PER!AU413+PER!AU453+PER!AU493+PER!AU533+PER!AU573+PER!AU613)=0,"",_xlfn.IFS(PER!AU53=1,PER!$V$34,PER!AU93=1,PER!$V$35,PER!AU133=1,PER!$V$36,PER!AU173=1,PER!$V$37,PER!AU213=1,PER!$V$38,PER!AU253=1,PER!$V$39,PER!AU293=1,PER!$V$40,PER!AU333=1,PER!$V$41,PER!AU373=1,PER!$V$42,PER!AU413=1,PER!$V$43,PER!AU453=1,PER!$V$44,PER!AU493=1,PER!$V$45,PER!AU533=1,PER!$V$46,PER!AU573=1,PER!$V$47,PER!AU613=1,PER!$V$48)))</f>
        <v/>
      </c>
      <c r="G22" s="54" t="str" cm="1">
        <f t="array" ref="G22">IF(PER!AA72=0,"",IF((PER!AV53+PER!AV93+PER!AV133+PER!AV173+PER!AV213+PER!AV253+PER!AV293+PER!AV333+PER!AV373+PER!AV413+PER!AV453+PER!AV493+PER!AV533+PER!AV573+PER!AV613)=0,"",_xlfn.IFS(PER!AV53=1,PER!$V$34,PER!AV93=1,PER!$V$35,PER!AV133=1,PER!$V$36,PER!AV173=1,PER!$V$37,PER!AV213=1,PER!$V$38,PER!AV253=1,PER!$V$39,PER!AV293=1,PER!$V$40,PER!AV333=1,PER!$V$41,PER!AV373=1,PER!$V$42,PER!AV413=1,PER!$V$43,PER!AV453=1,PER!$V$44,PER!AV493=1,PER!$V$45,PER!AV533=1,PER!$V$46,PER!AV573=1,PER!$V$47,PER!AV613=1,PER!$V$48)))</f>
        <v/>
      </c>
      <c r="H22" s="54" t="str" cm="1">
        <f t="array" ref="H22">IF(PER!AB72=0,"",IF((PER!AW53+PER!AW93+PER!AW133+PER!AW173+PER!AW213+PER!AW253+PER!AW293+PER!AW333+PER!AW373+PER!AW413+PER!AW453+PER!AW493+PER!AW533+PER!AW573+PER!AW613)=0,"",_xlfn.IFS(PER!AW53=1,PER!$V$34,PER!AW93=1,PER!$V$35,PER!AW133=1,PER!$V$36,PER!AW173=1,PER!$V$37,PER!AW213=1,PER!$V$38,PER!AW253=1,PER!$V$39,PER!AW293=1,PER!$V$40,PER!AW333=1,PER!$V$41,PER!AW373=1,PER!$V$42,PER!AW413=1,PER!$V$43,PER!AW453=1,PER!$V$44,PER!AW493=1,PER!$V$45,PER!AW533=1,PER!$V$46,PER!AW573=1,PER!$V$47,PER!AW613=1,PER!$V$48)))</f>
        <v/>
      </c>
      <c r="I22" s="54" t="str" cm="1">
        <f t="array" ref="I22">IF(PER!AC72=0,"",IF((PER!AX53+PER!AX93+PER!AX133+PER!AX173+PER!AX213+PER!AX253+PER!AX293+PER!AX333+PER!AX373+PER!AX413+PER!AX453+PER!AX493+PER!AX533+PER!AX573+PER!AX613)=0,"",_xlfn.IFS(PER!AX53=1,PER!$V$34,PER!AX93=1,PER!$V$35,PER!AX133=1,PER!$V$36,PER!AX173=1,PER!$V$37,PER!AX213=1,PER!$V$38,PER!AX253=1,PER!$V$39,PER!AX293=1,PER!$V$40,PER!AX333=1,PER!$V$41,PER!AX373=1,PER!$V$42,PER!AX413=1,PER!$V$43,PER!AX453=1,PER!$V$44,PER!AX493=1,PER!$V$45,PER!AX533=1,PER!$V$46,PER!AX573=1,PER!$V$47,PER!AX613=1,PER!$V$48)))</f>
        <v/>
      </c>
      <c r="J22" s="54" t="str" cm="1">
        <f t="array" ref="J22">IF(PER!AD72=0,"",IF((PER!AY53+PER!AY93+PER!AY133+PER!AY173+PER!AY213+PER!AY253+PER!AY293+PER!AY333+PER!AY373+PER!AY413+PER!AY453+PER!AY493+PER!AY533+PER!AY573+PER!AY613)=0,"",_xlfn.IFS(PER!AY53=1,PER!$V$34,PER!AY93=1,PER!$V$35,PER!AY133=1,PER!$V$36,PER!AY173=1,PER!$V$37,PER!AY213=1,PER!$V$38,PER!AY253=1,PER!$V$39,PER!AY293=1,PER!$V$40,PER!AY333=1,PER!$V$41,PER!AY373=1,PER!$V$42,PER!AY413=1,PER!$V$43,PER!AY453=1,PER!$V$44,PER!AY493=1,PER!$V$45,PER!AY533=1,PER!$V$46,PER!AY573=1,PER!$V$47,PER!AY613=1,PER!$V$48)))</f>
        <v/>
      </c>
      <c r="K22" s="54" t="str" cm="1">
        <f t="array" ref="K22">IF(PER!AE72=0,"",IF((PER!AZ53+PER!AZ93+PER!AZ133+PER!AZ173+PER!AZ213+PER!AZ253+PER!AZ293+PER!AZ333+PER!AZ373+PER!AZ413+PER!AZ453+PER!AZ493+PER!AZ533+PER!AZ573+PER!AZ613)=0,"",_xlfn.IFS(PER!AZ53=1,PER!$V$34,PER!AZ93=1,PER!$V$35,PER!AZ133=1,PER!$V$36,PER!AZ173=1,PER!$V$37,PER!AZ213=1,PER!$V$38,PER!AZ253=1,PER!$V$39,PER!AZ293=1,PER!$V$40,PER!AZ333=1,PER!$V$41,PER!AZ373=1,PER!$V$42,PER!AZ413=1,PER!$V$43,PER!AZ453=1,PER!$V$44,PER!AZ493=1,PER!$V$45,PER!AZ533=1,PER!$V$46,PER!AZ573=1,PER!$V$47,PER!AZ613=1,PER!$V$48)))</f>
        <v/>
      </c>
      <c r="L22" s="54" t="str" cm="1">
        <f t="array" ref="L22">IF(PER!AF72=0,"",IF((PER!BA53+PER!BA93+PER!BA133+PER!BA173+PER!BA213+PER!BA253+PER!BA293+PER!BA333+PER!BA373+PER!BA413+PER!BA453+PER!BA493+PER!BA533+PER!BA573+PER!BA613)=0,"",_xlfn.IFS(PER!BA53=1,PER!$V$34,PER!BA93=1,PER!$V$35,PER!BA133=1,PER!$V$36,PER!BA173=1,PER!$V$37,PER!BA213=1,PER!$V$38,PER!BA253=1,PER!$V$39,PER!BA293=1,PER!$V$40,PER!BA333=1,PER!$V$41,PER!BA373=1,PER!$V$42,PER!BA413=1,PER!$V$43,PER!BA453=1,PER!$V$44,PER!BA493=1,PER!$V$45,PER!BA533=1,PER!$V$46,PER!BA573=1,PER!$V$47,PER!BA613=1,PER!$V$48)))</f>
        <v/>
      </c>
      <c r="M22" s="54" t="str" cm="1">
        <f t="array" ref="M22">IF(PER!AG72=0,"",IF((PER!BB53+PER!BB93+PER!BB133+PER!BB173+PER!BB213+PER!BB253+PER!BB293+PER!BB333+PER!BB373+PER!BB413+PER!BB453+PER!BB493+PER!BB533+PER!BB573+PER!BB613)=0,"",_xlfn.IFS(PER!BB53=1,PER!$V$34,PER!BB93=1,PER!$V$35,PER!BB133=1,PER!$V$36,PER!BB173=1,PER!$V$37,PER!BB213=1,PER!$V$38,PER!BB253=1,PER!$V$39,PER!BB293=1,PER!$V$40,PER!BB333=1,PER!$V$41,PER!BB373=1,PER!$V$42,PER!BB413=1,PER!$V$43,PER!BB453=1,PER!$V$44,PER!BB493=1,PER!$V$45,PER!BB533=1,PER!$V$46,PER!BB573=1,PER!$V$47,PER!BB613=1,PER!$V$48)))</f>
        <v/>
      </c>
      <c r="N22" s="54" t="str" cm="1">
        <f t="array" ref="N22">IF(PER!AH72=0,"",IF((PER!BC53+PER!BC93+PER!BC133+PER!BC173+PER!BC213+PER!BC253+PER!BC293+PER!BC333+PER!BC373+PER!BC413+PER!BC453+PER!BC493+PER!BC533+PER!BC573+PER!BC613)=0,"",_xlfn.IFS(PER!BC53=1,PER!$V$34,PER!BC93=1,PER!$V$35,PER!BC133=1,PER!$V$36,PER!BC173=1,PER!$V$37,PER!BC213=1,PER!$V$38,PER!BC253=1,PER!$V$39,PER!BC293=1,PER!$V$40,PER!BC333=1,PER!$V$41,PER!BC373=1,PER!$V$42,PER!BC413=1,PER!$V$43,PER!BC453=1,PER!$V$44,PER!BC493=1,PER!$V$45,PER!BC533=1,PER!$V$46,PER!BC573=1,PER!$V$47,PER!BC613=1,PER!$V$48)))</f>
        <v/>
      </c>
      <c r="O22" s="54" t="str" cm="1">
        <f t="array" ref="O22">IF(PER!AI72=0,"",IF((PER!BD53+PER!BD93+PER!BD133+PER!BD173+PER!BD213+PER!BD253+PER!BD293+PER!BD333+PER!BD373+PER!BD413+PER!BD453+PER!BD493+PER!BD533+PER!BD573+PER!BD613)=0,"",_xlfn.IFS(PER!BD53=1,PER!$V$34,PER!BD93=1,PER!$V$35,PER!BD133=1,PER!$V$36,PER!BD173=1,PER!$V$37,PER!BD213=1,PER!$V$38,PER!BD253=1,PER!$V$39,PER!BD293=1,PER!$V$40,PER!BD333=1,PER!$V$41,PER!BD373=1,PER!$V$42,PER!BD413=1,PER!$V$43,PER!BD453=1,PER!$V$44,PER!BD493=1,PER!$V$45,PER!BD533=1,PER!$V$46,PER!BD573=1,PER!$V$47,PER!BD613=1,PER!$V$48)))</f>
        <v/>
      </c>
      <c r="P22" s="54" t="str" cm="1">
        <f t="array" ref="P22">IF(PER!AJ72=0,"",IF((PER!BE53+PER!BE93+PER!BE133+PER!BE173+PER!BE213+PER!BE253+PER!BE293+PER!BE333+PER!BE373+PER!BE413+PER!BE453+PER!BE493+PER!BE533+PER!BE573+PER!BE613)=0,"",_xlfn.IFS(PER!BE53=1,PER!$V$34,PER!BE93=1,PER!$V$35,PER!BE133=1,PER!$V$36,PER!BE173=1,PER!$V$37,PER!BE213=1,PER!$V$38,PER!BE253=1,PER!$V$39,PER!BE293=1,PER!$V$40,PER!BE333=1,PER!$V$41,PER!BE373=1,PER!$V$42,PER!BE413=1,PER!$V$43,PER!BE453=1,PER!$V$44,PER!BE493=1,PER!$V$45,PER!BE533=1,PER!$V$46,PER!BE573=1,PER!$V$47,PER!BE613=1,PER!$V$48)))</f>
        <v/>
      </c>
      <c r="Q22" s="54" t="str" cm="1">
        <f t="array" ref="Q22">IF(PER!AK72=0,"",IF((PER!BF53+PER!BF93+PER!BF133+PER!BF173+PER!BF213+PER!BF253+PER!BF293+PER!BF333+PER!BF373+PER!BF413+PER!BF453+PER!BF493+PER!BF533+PER!BF573+PER!BF613)=0,"",_xlfn.IFS(PER!BF53=1,PER!$V$34,PER!BF93=1,PER!$V$35,PER!BF133=1,PER!$V$36,PER!BF173=1,PER!$V$37,PER!BF213=1,PER!$V$38,PER!BF253=1,PER!$V$39,PER!BF293=1,PER!$V$40,PER!BF333=1,PER!$V$41,PER!BF373=1,PER!$V$42,PER!BF413=1,PER!$V$43,PER!BF453=1,PER!$V$44,PER!BF493=1,PER!$V$45,PER!BF533=1,PER!$V$46,PER!BF573=1,PER!$V$47,PER!BF613=1,PER!$V$48)))</f>
        <v/>
      </c>
      <c r="R22" s="54" t="str" cm="1">
        <f t="array" ref="R22">IF(PER!AL72=0,"",IF((PER!BG53+PER!BG93+PER!BG133+PER!BG173+PER!BG213+PER!BG253+PER!BG293+PER!BG333+PER!BG373+PER!BG413+PER!BG453+PER!BG493+PER!BG533+PER!BG573+PER!BG613)=0,"",_xlfn.IFS(PER!BG53=1,PER!$V$34,PER!BG93=1,PER!$V$35,PER!BG133=1,PER!$V$36,PER!BG173=1,PER!$V$37,PER!BG213=1,PER!$V$38,PER!BG253=1,PER!$V$39,PER!BG293=1,PER!$V$40,PER!BG333=1,PER!$V$41,PER!BG373=1,PER!$V$42,PER!BG413=1,PER!$V$43,PER!BG453=1,PER!$V$44,PER!BG493=1,PER!$V$45,PER!BG533=1,PER!$V$46,PER!BG573=1,PER!$V$47,PER!BG613=1,PER!$V$48)))</f>
        <v/>
      </c>
      <c r="S22" s="54" t="str" cm="1">
        <f t="array" ref="S22">IF(PER!AM72=0,"",IF((PER!BH53+PER!BH93+PER!BH133+PER!BH173+PER!BH213+PER!BH253+PER!BH293+PER!BH333+PER!BH373+PER!BH413+PER!BH453+PER!BH493+PER!BH533+PER!BH573+PER!BH613)=0,"",_xlfn.IFS(PER!BH53=1,PER!$V$34,PER!BH93=1,PER!$V$35,PER!BH133=1,PER!$V$36,PER!BH173=1,PER!$V$37,PER!BH213=1,PER!$V$38,PER!BH253=1,PER!$V$39,PER!BH293=1,PER!$V$40,PER!BH333=1,PER!$V$41,PER!BH373=1,PER!$V$42,PER!BH413=1,PER!$V$43,PER!BH453=1,PER!$V$44,PER!BH493=1,PER!$V$45,PER!BH533=1,PER!$V$46,PER!BH573=1,PER!$V$47,PER!BH613=1,PER!$V$48)))</f>
        <v/>
      </c>
    </row>
    <row r="23" spans="1:19" x14ac:dyDescent="0.55000000000000004">
      <c r="A23">
        <v>21</v>
      </c>
      <c r="B23" t="s">
        <v>66</v>
      </c>
      <c r="C23" s="54" t="str" cm="1">
        <f t="array" ref="C23">IF(PER!W73=0,"",IF((PER!AR54+PER!AR94+PER!AR134+PER!AR174+PER!AR214+PER!AR254+PER!AR294+PER!AR334+PER!AR374+PER!AR414+PER!AR454+PER!AR494+PER!AR534+PER!AR574+PER!AR614)=0,"",_xlfn.IFS(PER!AR54=1,PER!$V$34,PER!AR94=1,PER!$V$35,PER!AR134=1,PER!$V$36,PER!AR174=1,PER!$V$37,PER!AR214=1,PER!$V$38,PER!AR254=1,PER!$V$39,PER!AR294=1,PER!$V$40,PER!AR334=1,PER!$V$41,PER!AR374=1,PER!$V$42,PER!AR414=1,PER!$V$43,PER!AR454=1,PER!$V$44,PER!AR494=1,PER!$V$45,PER!AR534=1,PER!$V$46,PER!AR574=1,PER!$V$47,PER!AR614=1,PER!$V$48)))</f>
        <v/>
      </c>
      <c r="D23" s="54" t="str" cm="1">
        <f t="array" ref="D23">IF(PER!X73=0,"",IF((PER!AS54+PER!AS94+PER!AS134+PER!AS174+PER!AS214+PER!AS254+PER!AS294+PER!AS334+PER!AS374+PER!AS414+PER!AS454+PER!AS494+PER!AS534+PER!AS574+PER!AS614)=0,"",_xlfn.IFS(PER!AS54=1,PER!$V$34,PER!AS94=1,PER!$V$35,PER!AS134=1,PER!$V$36,PER!AS174=1,PER!$V$37,PER!AS214=1,PER!$V$38,PER!AS254=1,PER!$V$39,PER!AS294=1,PER!$V$40,PER!AS334=1,PER!$V$41,PER!AS374=1,PER!$V$42,PER!AS414=1,PER!$V$43,PER!AS454=1,PER!$V$44,PER!AS494=1,PER!$V$45,PER!AS534=1,PER!$V$46,PER!AS574=1,PER!$V$47,PER!AS614=1,PER!$V$48)))</f>
        <v/>
      </c>
      <c r="E23" s="54" t="str" cm="1">
        <f t="array" ref="E23">IF(PER!Y73=0,"",IF((PER!AT54+PER!AT94+PER!AT134+PER!AT174+PER!AT214+PER!AT254+PER!AT294+PER!AT334+PER!AT374+PER!AT414+PER!AT454+PER!AT494+PER!AT534+PER!AT574+PER!AT614)=0,"",_xlfn.IFS(PER!AT54=1,PER!$V$34,PER!AT94=1,PER!$V$35,PER!AT134=1,PER!$V$36,PER!AT174=1,PER!$V$37,PER!AT214=1,PER!$V$38,PER!AT254=1,PER!$V$39,PER!AT294=1,PER!$V$40,PER!AT334=1,PER!$V$41,PER!AT374=1,PER!$V$42,PER!AT414=1,PER!$V$43,PER!AT454=1,PER!$V$44,PER!AT494=1,PER!$V$45,PER!AT534=1,PER!$V$46,PER!AT574=1,PER!$V$47,PER!AT614=1,PER!$V$48)))</f>
        <v/>
      </c>
      <c r="F23" s="54" t="str" cm="1">
        <f t="array" ref="F23">IF(PER!Z73=0,"",IF((PER!AU54+PER!AU94+PER!AU134+PER!AU174+PER!AU214+PER!AU254+PER!AU294+PER!AU334+PER!AU374+PER!AU414+PER!AU454+PER!AU494+PER!AU534+PER!AU574+PER!AU614)=0,"",_xlfn.IFS(PER!AU54=1,PER!$V$34,PER!AU94=1,PER!$V$35,PER!AU134=1,PER!$V$36,PER!AU174=1,PER!$V$37,PER!AU214=1,PER!$V$38,PER!AU254=1,PER!$V$39,PER!AU294=1,PER!$V$40,PER!AU334=1,PER!$V$41,PER!AU374=1,PER!$V$42,PER!AU414=1,PER!$V$43,PER!AU454=1,PER!$V$44,PER!AU494=1,PER!$V$45,PER!AU534=1,PER!$V$46,PER!AU574=1,PER!$V$47,PER!AU614=1,PER!$V$48)))</f>
        <v/>
      </c>
      <c r="G23" s="54" t="str" cm="1">
        <f t="array" ref="G23">IF(PER!AA73=0,"",IF((PER!AV54+PER!AV94+PER!AV134+PER!AV174+PER!AV214+PER!AV254+PER!AV294+PER!AV334+PER!AV374+PER!AV414+PER!AV454+PER!AV494+PER!AV534+PER!AV574+PER!AV614)=0,"",_xlfn.IFS(PER!AV54=1,PER!$V$34,PER!AV94=1,PER!$V$35,PER!AV134=1,PER!$V$36,PER!AV174=1,PER!$V$37,PER!AV214=1,PER!$V$38,PER!AV254=1,PER!$V$39,PER!AV294=1,PER!$V$40,PER!AV334=1,PER!$V$41,PER!AV374=1,PER!$V$42,PER!AV414=1,PER!$V$43,PER!AV454=1,PER!$V$44,PER!AV494=1,PER!$V$45,PER!AV534=1,PER!$V$46,PER!AV574=1,PER!$V$47,PER!AV614=1,PER!$V$48)))</f>
        <v/>
      </c>
      <c r="H23" s="54" t="str" cm="1">
        <f t="array" ref="H23">IF(PER!AB73=0,"",IF((PER!AW54+PER!AW94+PER!AW134+PER!AW174+PER!AW214+PER!AW254+PER!AW294+PER!AW334+PER!AW374+PER!AW414+PER!AW454+PER!AW494+PER!AW534+PER!AW574+PER!AW614)=0,"",_xlfn.IFS(PER!AW54=1,PER!$V$34,PER!AW94=1,PER!$V$35,PER!AW134=1,PER!$V$36,PER!AW174=1,PER!$V$37,PER!AW214=1,PER!$V$38,PER!AW254=1,PER!$V$39,PER!AW294=1,PER!$V$40,PER!AW334=1,PER!$V$41,PER!AW374=1,PER!$V$42,PER!AW414=1,PER!$V$43,PER!AW454=1,PER!$V$44,PER!AW494=1,PER!$V$45,PER!AW534=1,PER!$V$46,PER!AW574=1,PER!$V$47,PER!AW614=1,PER!$V$48)))</f>
        <v/>
      </c>
      <c r="I23" s="54" t="str" cm="1">
        <f t="array" ref="I23">IF(PER!AC73=0,"",IF((PER!AX54+PER!AX94+PER!AX134+PER!AX174+PER!AX214+PER!AX254+PER!AX294+PER!AX334+PER!AX374+PER!AX414+PER!AX454+PER!AX494+PER!AX534+PER!AX574+PER!AX614)=0,"",_xlfn.IFS(PER!AX54=1,PER!$V$34,PER!AX94=1,PER!$V$35,PER!AX134=1,PER!$V$36,PER!AX174=1,PER!$V$37,PER!AX214=1,PER!$V$38,PER!AX254=1,PER!$V$39,PER!AX294=1,PER!$V$40,PER!AX334=1,PER!$V$41,PER!AX374=1,PER!$V$42,PER!AX414=1,PER!$V$43,PER!AX454=1,PER!$V$44,PER!AX494=1,PER!$V$45,PER!AX534=1,PER!$V$46,PER!AX574=1,PER!$V$47,PER!AX614=1,PER!$V$48)))</f>
        <v/>
      </c>
      <c r="J23" s="54" t="str" cm="1">
        <f t="array" ref="J23">IF(PER!AD73=0,"",IF((PER!AY54+PER!AY94+PER!AY134+PER!AY174+PER!AY214+PER!AY254+PER!AY294+PER!AY334+PER!AY374+PER!AY414+PER!AY454+PER!AY494+PER!AY534+PER!AY574+PER!AY614)=0,"",_xlfn.IFS(PER!AY54=1,PER!$V$34,PER!AY94=1,PER!$V$35,PER!AY134=1,PER!$V$36,PER!AY174=1,PER!$V$37,PER!AY214=1,PER!$V$38,PER!AY254=1,PER!$V$39,PER!AY294=1,PER!$V$40,PER!AY334=1,PER!$V$41,PER!AY374=1,PER!$V$42,PER!AY414=1,PER!$V$43,PER!AY454=1,PER!$V$44,PER!AY494=1,PER!$V$45,PER!AY534=1,PER!$V$46,PER!AY574=1,PER!$V$47,PER!AY614=1,PER!$V$48)))</f>
        <v/>
      </c>
      <c r="K23" s="54" t="str" cm="1">
        <f t="array" ref="K23">IF(PER!AE73=0,"",IF((PER!AZ54+PER!AZ94+PER!AZ134+PER!AZ174+PER!AZ214+PER!AZ254+PER!AZ294+PER!AZ334+PER!AZ374+PER!AZ414+PER!AZ454+PER!AZ494+PER!AZ534+PER!AZ574+PER!AZ614)=0,"",_xlfn.IFS(PER!AZ54=1,PER!$V$34,PER!AZ94=1,PER!$V$35,PER!AZ134=1,PER!$V$36,PER!AZ174=1,PER!$V$37,PER!AZ214=1,PER!$V$38,PER!AZ254=1,PER!$V$39,PER!AZ294=1,PER!$V$40,PER!AZ334=1,PER!$V$41,PER!AZ374=1,PER!$V$42,PER!AZ414=1,PER!$V$43,PER!AZ454=1,PER!$V$44,PER!AZ494=1,PER!$V$45,PER!AZ534=1,PER!$V$46,PER!AZ574=1,PER!$V$47,PER!AZ614=1,PER!$V$48)))</f>
        <v/>
      </c>
      <c r="L23" s="54" t="str" cm="1">
        <f t="array" ref="L23">IF(PER!AF73=0,"",IF((PER!BA54+PER!BA94+PER!BA134+PER!BA174+PER!BA214+PER!BA254+PER!BA294+PER!BA334+PER!BA374+PER!BA414+PER!BA454+PER!BA494+PER!BA534+PER!BA574+PER!BA614)=0,"",_xlfn.IFS(PER!BA54=1,PER!$V$34,PER!BA94=1,PER!$V$35,PER!BA134=1,PER!$V$36,PER!BA174=1,PER!$V$37,PER!BA214=1,PER!$V$38,PER!BA254=1,PER!$V$39,PER!BA294=1,PER!$V$40,PER!BA334=1,PER!$V$41,PER!BA374=1,PER!$V$42,PER!BA414=1,PER!$V$43,PER!BA454=1,PER!$V$44,PER!BA494=1,PER!$V$45,PER!BA534=1,PER!$V$46,PER!BA574=1,PER!$V$47,PER!BA614=1,PER!$V$48)))</f>
        <v/>
      </c>
      <c r="M23" s="54" t="str" cm="1">
        <f t="array" ref="M23">IF(PER!AG73=0,"",IF((PER!BB54+PER!BB94+PER!BB134+PER!BB174+PER!BB214+PER!BB254+PER!BB294+PER!BB334+PER!BB374+PER!BB414+PER!BB454+PER!BB494+PER!BB534+PER!BB574+PER!BB614)=0,"",_xlfn.IFS(PER!BB54=1,PER!$V$34,PER!BB94=1,PER!$V$35,PER!BB134=1,PER!$V$36,PER!BB174=1,PER!$V$37,PER!BB214=1,PER!$V$38,PER!BB254=1,PER!$V$39,PER!BB294=1,PER!$V$40,PER!BB334=1,PER!$V$41,PER!BB374=1,PER!$V$42,PER!BB414=1,PER!$V$43,PER!BB454=1,PER!$V$44,PER!BB494=1,PER!$V$45,PER!BB534=1,PER!$V$46,PER!BB574=1,PER!$V$47,PER!BB614=1,PER!$V$48)))</f>
        <v/>
      </c>
      <c r="N23" s="54" t="str" cm="1">
        <f t="array" ref="N23">IF(PER!AH73=0,"",IF((PER!BC54+PER!BC94+PER!BC134+PER!BC174+PER!BC214+PER!BC254+PER!BC294+PER!BC334+PER!BC374+PER!BC414+PER!BC454+PER!BC494+PER!BC534+PER!BC574+PER!BC614)=0,"",_xlfn.IFS(PER!BC54=1,PER!$V$34,PER!BC94=1,PER!$V$35,PER!BC134=1,PER!$V$36,PER!BC174=1,PER!$V$37,PER!BC214=1,PER!$V$38,PER!BC254=1,PER!$V$39,PER!BC294=1,PER!$V$40,PER!BC334=1,PER!$V$41,PER!BC374=1,PER!$V$42,PER!BC414=1,PER!$V$43,PER!BC454=1,PER!$V$44,PER!BC494=1,PER!$V$45,PER!BC534=1,PER!$V$46,PER!BC574=1,PER!$V$47,PER!BC614=1,PER!$V$48)))</f>
        <v/>
      </c>
      <c r="O23" s="54" t="str" cm="1">
        <f t="array" ref="O23">IF(PER!AI73=0,"",IF((PER!BD54+PER!BD94+PER!BD134+PER!BD174+PER!BD214+PER!BD254+PER!BD294+PER!BD334+PER!BD374+PER!BD414+PER!BD454+PER!BD494+PER!BD534+PER!BD574+PER!BD614)=0,"",_xlfn.IFS(PER!BD54=1,PER!$V$34,PER!BD94=1,PER!$V$35,PER!BD134=1,PER!$V$36,PER!BD174=1,PER!$V$37,PER!BD214=1,PER!$V$38,PER!BD254=1,PER!$V$39,PER!BD294=1,PER!$V$40,PER!BD334=1,PER!$V$41,PER!BD374=1,PER!$V$42,PER!BD414=1,PER!$V$43,PER!BD454=1,PER!$V$44,PER!BD494=1,PER!$V$45,PER!BD534=1,PER!$V$46,PER!BD574=1,PER!$V$47,PER!BD614=1,PER!$V$48)))</f>
        <v/>
      </c>
      <c r="P23" s="54" t="str" cm="1">
        <f t="array" ref="P23">IF(PER!AJ73=0,"",IF((PER!BE54+PER!BE94+PER!BE134+PER!BE174+PER!BE214+PER!BE254+PER!BE294+PER!BE334+PER!BE374+PER!BE414+PER!BE454+PER!BE494+PER!BE534+PER!BE574+PER!BE614)=0,"",_xlfn.IFS(PER!BE54=1,PER!$V$34,PER!BE94=1,PER!$V$35,PER!BE134=1,PER!$V$36,PER!BE174=1,PER!$V$37,PER!BE214=1,PER!$V$38,PER!BE254=1,PER!$V$39,PER!BE294=1,PER!$V$40,PER!BE334=1,PER!$V$41,PER!BE374=1,PER!$V$42,PER!BE414=1,PER!$V$43,PER!BE454=1,PER!$V$44,PER!BE494=1,PER!$V$45,PER!BE534=1,PER!$V$46,PER!BE574=1,PER!$V$47,PER!BE614=1,PER!$V$48)))</f>
        <v/>
      </c>
      <c r="Q23" s="54" t="str" cm="1">
        <f t="array" ref="Q23">IF(PER!AK73=0,"",IF((PER!BF54+PER!BF94+PER!BF134+PER!BF174+PER!BF214+PER!BF254+PER!BF294+PER!BF334+PER!BF374+PER!BF414+PER!BF454+PER!BF494+PER!BF534+PER!BF574+PER!BF614)=0,"",_xlfn.IFS(PER!BF54=1,PER!$V$34,PER!BF94=1,PER!$V$35,PER!BF134=1,PER!$V$36,PER!BF174=1,PER!$V$37,PER!BF214=1,PER!$V$38,PER!BF254=1,PER!$V$39,PER!BF294=1,PER!$V$40,PER!BF334=1,PER!$V$41,PER!BF374=1,PER!$V$42,PER!BF414=1,PER!$V$43,PER!BF454=1,PER!$V$44,PER!BF494=1,PER!$V$45,PER!BF534=1,PER!$V$46,PER!BF574=1,PER!$V$47,PER!BF614=1,PER!$V$48)))</f>
        <v/>
      </c>
      <c r="R23" s="54" t="str" cm="1">
        <f t="array" ref="R23">IF(PER!AL73=0,"",IF((PER!BG54+PER!BG94+PER!BG134+PER!BG174+PER!BG214+PER!BG254+PER!BG294+PER!BG334+PER!BG374+PER!BG414+PER!BG454+PER!BG494+PER!BG534+PER!BG574+PER!BG614)=0,"",_xlfn.IFS(PER!BG54=1,PER!$V$34,PER!BG94=1,PER!$V$35,PER!BG134=1,PER!$V$36,PER!BG174=1,PER!$V$37,PER!BG214=1,PER!$V$38,PER!BG254=1,PER!$V$39,PER!BG294=1,PER!$V$40,PER!BG334=1,PER!$V$41,PER!BG374=1,PER!$V$42,PER!BG414=1,PER!$V$43,PER!BG454=1,PER!$V$44,PER!BG494=1,PER!$V$45,PER!BG534=1,PER!$V$46,PER!BG574=1,PER!$V$47,PER!BG614=1,PER!$V$48)))</f>
        <v/>
      </c>
      <c r="S23" s="54" t="str" cm="1">
        <f t="array" ref="S23">IF(PER!AM73=0,"",IF((PER!BH54+PER!BH94+PER!BH134+PER!BH174+PER!BH214+PER!BH254+PER!BH294+PER!BH334+PER!BH374+PER!BH414+PER!BH454+PER!BH494+PER!BH534+PER!BH574+PER!BH614)=0,"",_xlfn.IFS(PER!BH54=1,PER!$V$34,PER!BH94=1,PER!$V$35,PER!BH134=1,PER!$V$36,PER!BH174=1,PER!$V$37,PER!BH214=1,PER!$V$38,PER!BH254=1,PER!$V$39,PER!BH294=1,PER!$V$40,PER!BH334=1,PER!$V$41,PER!BH374=1,PER!$V$42,PER!BH414=1,PER!$V$43,PER!BH454=1,PER!$V$44,PER!BH494=1,PER!$V$45,PER!BH534=1,PER!$V$46,PER!BH574=1,PER!$V$47,PER!BH614=1,PER!$V$48)))</f>
        <v/>
      </c>
    </row>
    <row r="24" spans="1:19" x14ac:dyDescent="0.55000000000000004">
      <c r="A24">
        <v>22</v>
      </c>
      <c r="B24" t="s">
        <v>67</v>
      </c>
      <c r="C24" s="54" t="str" cm="1">
        <f t="array" ref="C24">IF(PER!W74=0,"",IF((PER!AR55+PER!AR95+PER!AR135+PER!AR175+PER!AR215+PER!AR255+PER!AR295+PER!AR335+PER!AR375+PER!AR415+PER!AR455+PER!AR495+PER!AR535+PER!AR575+PER!AR615)=0,"",_xlfn.IFS(PER!AR55=1,PER!$V$34,PER!AR95=1,PER!$V$35,PER!AR135=1,PER!$V$36,PER!AR175=1,PER!$V$37,PER!AR215=1,PER!$V$38,PER!AR255=1,PER!$V$39,PER!AR295=1,PER!$V$40,PER!AR335=1,PER!$V$41,PER!AR375=1,PER!$V$42,PER!AR415=1,PER!$V$43,PER!AR455=1,PER!$V$44,PER!AR495=1,PER!$V$45,PER!AR535=1,PER!$V$46,PER!AR575=1,PER!$V$47,PER!AR615=1,PER!$V$48)))</f>
        <v/>
      </c>
      <c r="D24" s="54" t="str" cm="1">
        <f t="array" ref="D24">IF(PER!X74=0,"",IF((PER!AS55+PER!AS95+PER!AS135+PER!AS175+PER!AS215+PER!AS255+PER!AS295+PER!AS335+PER!AS375+PER!AS415+PER!AS455+PER!AS495+PER!AS535+PER!AS575+PER!AS615)=0,"",_xlfn.IFS(PER!AS55=1,PER!$V$34,PER!AS95=1,PER!$V$35,PER!AS135=1,PER!$V$36,PER!AS175=1,PER!$V$37,PER!AS215=1,PER!$V$38,PER!AS255=1,PER!$V$39,PER!AS295=1,PER!$V$40,PER!AS335=1,PER!$V$41,PER!AS375=1,PER!$V$42,PER!AS415=1,PER!$V$43,PER!AS455=1,PER!$V$44,PER!AS495=1,PER!$V$45,PER!AS535=1,PER!$V$46,PER!AS575=1,PER!$V$47,PER!AS615=1,PER!$V$48)))</f>
        <v/>
      </c>
      <c r="E24" s="54" t="str" cm="1">
        <f t="array" ref="E24">IF(PER!Y74=0,"",IF((PER!AT55+PER!AT95+PER!AT135+PER!AT175+PER!AT215+PER!AT255+PER!AT295+PER!AT335+PER!AT375+PER!AT415+PER!AT455+PER!AT495+PER!AT535+PER!AT575+PER!AT615)=0,"",_xlfn.IFS(PER!AT55=1,PER!$V$34,PER!AT95=1,PER!$V$35,PER!AT135=1,PER!$V$36,PER!AT175=1,PER!$V$37,PER!AT215=1,PER!$V$38,PER!AT255=1,PER!$V$39,PER!AT295=1,PER!$V$40,PER!AT335=1,PER!$V$41,PER!AT375=1,PER!$V$42,PER!AT415=1,PER!$V$43,PER!AT455=1,PER!$V$44,PER!AT495=1,PER!$V$45,PER!AT535=1,PER!$V$46,PER!AT575=1,PER!$V$47,PER!AT615=1,PER!$V$48)))</f>
        <v/>
      </c>
      <c r="F24" s="54" t="str" cm="1">
        <f t="array" ref="F24">IF(PER!Z74=0,"",IF((PER!AU55+PER!AU95+PER!AU135+PER!AU175+PER!AU215+PER!AU255+PER!AU295+PER!AU335+PER!AU375+PER!AU415+PER!AU455+PER!AU495+PER!AU535+PER!AU575+PER!AU615)=0,"",_xlfn.IFS(PER!AU55=1,PER!$V$34,PER!AU95=1,PER!$V$35,PER!AU135=1,PER!$V$36,PER!AU175=1,PER!$V$37,PER!AU215=1,PER!$V$38,PER!AU255=1,PER!$V$39,PER!AU295=1,PER!$V$40,PER!AU335=1,PER!$V$41,PER!AU375=1,PER!$V$42,PER!AU415=1,PER!$V$43,PER!AU455=1,PER!$V$44,PER!AU495=1,PER!$V$45,PER!AU535=1,PER!$V$46,PER!AU575=1,PER!$V$47,PER!AU615=1,PER!$V$48)))</f>
        <v/>
      </c>
      <c r="G24" s="54" t="str" cm="1">
        <f t="array" ref="G24">IF(PER!AA74=0,"",IF((PER!AV55+PER!AV95+PER!AV135+PER!AV175+PER!AV215+PER!AV255+PER!AV295+PER!AV335+PER!AV375+PER!AV415+PER!AV455+PER!AV495+PER!AV535+PER!AV575+PER!AV615)=0,"",_xlfn.IFS(PER!AV55=1,PER!$V$34,PER!AV95=1,PER!$V$35,PER!AV135=1,PER!$V$36,PER!AV175=1,PER!$V$37,PER!AV215=1,PER!$V$38,PER!AV255=1,PER!$V$39,PER!AV295=1,PER!$V$40,PER!AV335=1,PER!$V$41,PER!AV375=1,PER!$V$42,PER!AV415=1,PER!$V$43,PER!AV455=1,PER!$V$44,PER!AV495=1,PER!$V$45,PER!AV535=1,PER!$V$46,PER!AV575=1,PER!$V$47,PER!AV615=1,PER!$V$48)))</f>
        <v/>
      </c>
      <c r="H24" s="54" t="str" cm="1">
        <f t="array" ref="H24">IF(PER!AB74=0,"",IF((PER!AW55+PER!AW95+PER!AW135+PER!AW175+PER!AW215+PER!AW255+PER!AW295+PER!AW335+PER!AW375+PER!AW415+PER!AW455+PER!AW495+PER!AW535+PER!AW575+PER!AW615)=0,"",_xlfn.IFS(PER!AW55=1,PER!$V$34,PER!AW95=1,PER!$V$35,PER!AW135=1,PER!$V$36,PER!AW175=1,PER!$V$37,PER!AW215=1,PER!$V$38,PER!AW255=1,PER!$V$39,PER!AW295=1,PER!$V$40,PER!AW335=1,PER!$V$41,PER!AW375=1,PER!$V$42,PER!AW415=1,PER!$V$43,PER!AW455=1,PER!$V$44,PER!AW495=1,PER!$V$45,PER!AW535=1,PER!$V$46,PER!AW575=1,PER!$V$47,PER!AW615=1,PER!$V$48)))</f>
        <v/>
      </c>
      <c r="I24" s="54" t="str" cm="1">
        <f t="array" ref="I24">IF(PER!AC74=0,"",IF((PER!AX55+PER!AX95+PER!AX135+PER!AX175+PER!AX215+PER!AX255+PER!AX295+PER!AX335+PER!AX375+PER!AX415+PER!AX455+PER!AX495+PER!AX535+PER!AX575+PER!AX615)=0,"",_xlfn.IFS(PER!AX55=1,PER!$V$34,PER!AX95=1,PER!$V$35,PER!AX135=1,PER!$V$36,PER!AX175=1,PER!$V$37,PER!AX215=1,PER!$V$38,PER!AX255=1,PER!$V$39,PER!AX295=1,PER!$V$40,PER!AX335=1,PER!$V$41,PER!AX375=1,PER!$V$42,PER!AX415=1,PER!$V$43,PER!AX455=1,PER!$V$44,PER!AX495=1,PER!$V$45,PER!AX535=1,PER!$V$46,PER!AX575=1,PER!$V$47,PER!AX615=1,PER!$V$48)))</f>
        <v/>
      </c>
      <c r="J24" s="54" t="str" cm="1">
        <f t="array" ref="J24">IF(PER!AD74=0,"",IF((PER!AY55+PER!AY95+PER!AY135+PER!AY175+PER!AY215+PER!AY255+PER!AY295+PER!AY335+PER!AY375+PER!AY415+PER!AY455+PER!AY495+PER!AY535+PER!AY575+PER!AY615)=0,"",_xlfn.IFS(PER!AY55=1,PER!$V$34,PER!AY95=1,PER!$V$35,PER!AY135=1,PER!$V$36,PER!AY175=1,PER!$V$37,PER!AY215=1,PER!$V$38,PER!AY255=1,PER!$V$39,PER!AY295=1,PER!$V$40,PER!AY335=1,PER!$V$41,PER!AY375=1,PER!$V$42,PER!AY415=1,PER!$V$43,PER!AY455=1,PER!$V$44,PER!AY495=1,PER!$V$45,PER!AY535=1,PER!$V$46,PER!AY575=1,PER!$V$47,PER!AY615=1,PER!$V$48)))</f>
        <v/>
      </c>
      <c r="K24" s="54" t="str" cm="1">
        <f t="array" ref="K24">IF(PER!AE74=0,"",IF((PER!AZ55+PER!AZ95+PER!AZ135+PER!AZ175+PER!AZ215+PER!AZ255+PER!AZ295+PER!AZ335+PER!AZ375+PER!AZ415+PER!AZ455+PER!AZ495+PER!AZ535+PER!AZ575+PER!AZ615)=0,"",_xlfn.IFS(PER!AZ55=1,PER!$V$34,PER!AZ95=1,PER!$V$35,PER!AZ135=1,PER!$V$36,PER!AZ175=1,PER!$V$37,PER!AZ215=1,PER!$V$38,PER!AZ255=1,PER!$V$39,PER!AZ295=1,PER!$V$40,PER!AZ335=1,PER!$V$41,PER!AZ375=1,PER!$V$42,PER!AZ415=1,PER!$V$43,PER!AZ455=1,PER!$V$44,PER!AZ495=1,PER!$V$45,PER!AZ535=1,PER!$V$46,PER!AZ575=1,PER!$V$47,PER!AZ615=1,PER!$V$48)))</f>
        <v/>
      </c>
      <c r="L24" s="54" t="str" cm="1">
        <f t="array" ref="L24">IF(PER!AF74=0,"",IF((PER!BA55+PER!BA95+PER!BA135+PER!BA175+PER!BA215+PER!BA255+PER!BA295+PER!BA335+PER!BA375+PER!BA415+PER!BA455+PER!BA495+PER!BA535+PER!BA575+PER!BA615)=0,"",_xlfn.IFS(PER!BA55=1,PER!$V$34,PER!BA95=1,PER!$V$35,PER!BA135=1,PER!$V$36,PER!BA175=1,PER!$V$37,PER!BA215=1,PER!$V$38,PER!BA255=1,PER!$V$39,PER!BA295=1,PER!$V$40,PER!BA335=1,PER!$V$41,PER!BA375=1,PER!$V$42,PER!BA415=1,PER!$V$43,PER!BA455=1,PER!$V$44,PER!BA495=1,PER!$V$45,PER!BA535=1,PER!$V$46,PER!BA575=1,PER!$V$47,PER!BA615=1,PER!$V$48)))</f>
        <v/>
      </c>
      <c r="M24" s="54" t="str" cm="1">
        <f t="array" ref="M24">IF(PER!AG74=0,"",IF((PER!BB55+PER!BB95+PER!BB135+PER!BB175+PER!BB215+PER!BB255+PER!BB295+PER!BB335+PER!BB375+PER!BB415+PER!BB455+PER!BB495+PER!BB535+PER!BB575+PER!BB615)=0,"",_xlfn.IFS(PER!BB55=1,PER!$V$34,PER!BB95=1,PER!$V$35,PER!BB135=1,PER!$V$36,PER!BB175=1,PER!$V$37,PER!BB215=1,PER!$V$38,PER!BB255=1,PER!$V$39,PER!BB295=1,PER!$V$40,PER!BB335=1,PER!$V$41,PER!BB375=1,PER!$V$42,PER!BB415=1,PER!$V$43,PER!BB455=1,PER!$V$44,PER!BB495=1,PER!$V$45,PER!BB535=1,PER!$V$46,PER!BB575=1,PER!$V$47,PER!BB615=1,PER!$V$48)))</f>
        <v/>
      </c>
      <c r="N24" s="54" t="str" cm="1">
        <f t="array" ref="N24">IF(PER!AH74=0,"",IF((PER!BC55+PER!BC95+PER!BC135+PER!BC175+PER!BC215+PER!BC255+PER!BC295+PER!BC335+PER!BC375+PER!BC415+PER!BC455+PER!BC495+PER!BC535+PER!BC575+PER!BC615)=0,"",_xlfn.IFS(PER!BC55=1,PER!$V$34,PER!BC95=1,PER!$V$35,PER!BC135=1,PER!$V$36,PER!BC175=1,PER!$V$37,PER!BC215=1,PER!$V$38,PER!BC255=1,PER!$V$39,PER!BC295=1,PER!$V$40,PER!BC335=1,PER!$V$41,PER!BC375=1,PER!$V$42,PER!BC415=1,PER!$V$43,PER!BC455=1,PER!$V$44,PER!BC495=1,PER!$V$45,PER!BC535=1,PER!$V$46,PER!BC575=1,PER!$V$47,PER!BC615=1,PER!$V$48)))</f>
        <v/>
      </c>
      <c r="O24" s="54" t="str" cm="1">
        <f t="array" ref="O24">IF(PER!AI74=0,"",IF((PER!BD55+PER!BD95+PER!BD135+PER!BD175+PER!BD215+PER!BD255+PER!BD295+PER!BD335+PER!BD375+PER!BD415+PER!BD455+PER!BD495+PER!BD535+PER!BD575+PER!BD615)=0,"",_xlfn.IFS(PER!BD55=1,PER!$V$34,PER!BD95=1,PER!$V$35,PER!BD135=1,PER!$V$36,PER!BD175=1,PER!$V$37,PER!BD215=1,PER!$V$38,PER!BD255=1,PER!$V$39,PER!BD295=1,PER!$V$40,PER!BD335=1,PER!$V$41,PER!BD375=1,PER!$V$42,PER!BD415=1,PER!$V$43,PER!BD455=1,PER!$V$44,PER!BD495=1,PER!$V$45,PER!BD535=1,PER!$V$46,PER!BD575=1,PER!$V$47,PER!BD615=1,PER!$V$48)))</f>
        <v/>
      </c>
      <c r="P24" s="54" t="str" cm="1">
        <f t="array" ref="P24">IF(PER!AJ74=0,"",IF((PER!BE55+PER!BE95+PER!BE135+PER!BE175+PER!BE215+PER!BE255+PER!BE295+PER!BE335+PER!BE375+PER!BE415+PER!BE455+PER!BE495+PER!BE535+PER!BE575+PER!BE615)=0,"",_xlfn.IFS(PER!BE55=1,PER!$V$34,PER!BE95=1,PER!$V$35,PER!BE135=1,PER!$V$36,PER!BE175=1,PER!$V$37,PER!BE215=1,PER!$V$38,PER!BE255=1,PER!$V$39,PER!BE295=1,PER!$V$40,PER!BE335=1,PER!$V$41,PER!BE375=1,PER!$V$42,PER!BE415=1,PER!$V$43,PER!BE455=1,PER!$V$44,PER!BE495=1,PER!$V$45,PER!BE535=1,PER!$V$46,PER!BE575=1,PER!$V$47,PER!BE615=1,PER!$V$48)))</f>
        <v/>
      </c>
      <c r="Q24" s="54" t="str" cm="1">
        <f t="array" ref="Q24">IF(PER!AK74=0,"",IF((PER!BF55+PER!BF95+PER!BF135+PER!BF175+PER!BF215+PER!BF255+PER!BF295+PER!BF335+PER!BF375+PER!BF415+PER!BF455+PER!BF495+PER!BF535+PER!BF575+PER!BF615)=0,"",_xlfn.IFS(PER!BF55=1,PER!$V$34,PER!BF95=1,PER!$V$35,PER!BF135=1,PER!$V$36,PER!BF175=1,PER!$V$37,PER!BF215=1,PER!$V$38,PER!BF255=1,PER!$V$39,PER!BF295=1,PER!$V$40,PER!BF335=1,PER!$V$41,PER!BF375=1,PER!$V$42,PER!BF415=1,PER!$V$43,PER!BF455=1,PER!$V$44,PER!BF495=1,PER!$V$45,PER!BF535=1,PER!$V$46,PER!BF575=1,PER!$V$47,PER!BF615=1,PER!$V$48)))</f>
        <v/>
      </c>
      <c r="R24" s="54" t="str" cm="1">
        <f t="array" ref="R24">IF(PER!AL74=0,"",IF((PER!BG55+PER!BG95+PER!BG135+PER!BG175+PER!BG215+PER!BG255+PER!BG295+PER!BG335+PER!BG375+PER!BG415+PER!BG455+PER!BG495+PER!BG535+PER!BG575+PER!BG615)=0,"",_xlfn.IFS(PER!BG55=1,PER!$V$34,PER!BG95=1,PER!$V$35,PER!BG135=1,PER!$V$36,PER!BG175=1,PER!$V$37,PER!BG215=1,PER!$V$38,PER!BG255=1,PER!$V$39,PER!BG295=1,PER!$V$40,PER!BG335=1,PER!$V$41,PER!BG375=1,PER!$V$42,PER!BG415=1,PER!$V$43,PER!BG455=1,PER!$V$44,PER!BG495=1,PER!$V$45,PER!BG535=1,PER!$V$46,PER!BG575=1,PER!$V$47,PER!BG615=1,PER!$V$48)))</f>
        <v/>
      </c>
      <c r="S24" s="54" t="str" cm="1">
        <f t="array" ref="S24">IF(PER!AM74=0,"",IF((PER!BH55+PER!BH95+PER!BH135+PER!BH175+PER!BH215+PER!BH255+PER!BH295+PER!BH335+PER!BH375+PER!BH415+PER!BH455+PER!BH495+PER!BH535+PER!BH575+PER!BH615)=0,"",_xlfn.IFS(PER!BH55=1,PER!$V$34,PER!BH95=1,PER!$V$35,PER!BH135=1,PER!$V$36,PER!BH175=1,PER!$V$37,PER!BH215=1,PER!$V$38,PER!BH255=1,PER!$V$39,PER!BH295=1,PER!$V$40,PER!BH335=1,PER!$V$41,PER!BH375=1,PER!$V$42,PER!BH415=1,PER!$V$43,PER!BH455=1,PER!$V$44,PER!BH495=1,PER!$V$45,PER!BH535=1,PER!$V$46,PER!BH575=1,PER!$V$47,PER!BH615=1,PER!$V$48)))</f>
        <v/>
      </c>
    </row>
    <row r="25" spans="1:19" x14ac:dyDescent="0.55000000000000004">
      <c r="A25">
        <v>23</v>
      </c>
      <c r="B25" t="s">
        <v>68</v>
      </c>
      <c r="C25" s="54" t="str" cm="1">
        <f t="array" ref="C25">IF(PER!W75=0,"",IF((PER!AR56+PER!AR96+PER!AR136+PER!AR176+PER!AR216+PER!AR256+PER!AR296+PER!AR336+PER!AR376+PER!AR416+PER!AR456+PER!AR496+PER!AR536+PER!AR576+PER!AR616)=0,"",_xlfn.IFS(PER!AR56=1,PER!$V$34,PER!AR96=1,PER!$V$35,PER!AR136=1,PER!$V$36,PER!AR176=1,PER!$V$37,PER!AR216=1,PER!$V$38,PER!AR256=1,PER!$V$39,PER!AR296=1,PER!$V$40,PER!AR336=1,PER!$V$41,PER!AR376=1,PER!$V$42,PER!AR416=1,PER!$V$43,PER!AR456=1,PER!$V$44,PER!AR496=1,PER!$V$45,PER!AR536=1,PER!$V$46,PER!AR576=1,PER!$V$47,PER!AR616=1,PER!$V$48)))</f>
        <v/>
      </c>
      <c r="D25" s="54" t="str" cm="1">
        <f t="array" ref="D25">IF(PER!X75=0,"",IF((PER!AS56+PER!AS96+PER!AS136+PER!AS176+PER!AS216+PER!AS256+PER!AS296+PER!AS336+PER!AS376+PER!AS416+PER!AS456+PER!AS496+PER!AS536+PER!AS576+PER!AS616)=0,"",_xlfn.IFS(PER!AS56=1,PER!$V$34,PER!AS96=1,PER!$V$35,PER!AS136=1,PER!$V$36,PER!AS176=1,PER!$V$37,PER!AS216=1,PER!$V$38,PER!AS256=1,PER!$V$39,PER!AS296=1,PER!$V$40,PER!AS336=1,PER!$V$41,PER!AS376=1,PER!$V$42,PER!AS416=1,PER!$V$43,PER!AS456=1,PER!$V$44,PER!AS496=1,PER!$V$45,PER!AS536=1,PER!$V$46,PER!AS576=1,PER!$V$47,PER!AS616=1,PER!$V$48)))</f>
        <v/>
      </c>
      <c r="E25" s="54" t="str" cm="1">
        <f t="array" ref="E25">IF(PER!Y75=0,"",IF((PER!AT56+PER!AT96+PER!AT136+PER!AT176+PER!AT216+PER!AT256+PER!AT296+PER!AT336+PER!AT376+PER!AT416+PER!AT456+PER!AT496+PER!AT536+PER!AT576+PER!AT616)=0,"",_xlfn.IFS(PER!AT56=1,PER!$V$34,PER!AT96=1,PER!$V$35,PER!AT136=1,PER!$V$36,PER!AT176=1,PER!$V$37,PER!AT216=1,PER!$V$38,PER!AT256=1,PER!$V$39,PER!AT296=1,PER!$V$40,PER!AT336=1,PER!$V$41,PER!AT376=1,PER!$V$42,PER!AT416=1,PER!$V$43,PER!AT456=1,PER!$V$44,PER!AT496=1,PER!$V$45,PER!AT536=1,PER!$V$46,PER!AT576=1,PER!$V$47,PER!AT616=1,PER!$V$48)))</f>
        <v/>
      </c>
      <c r="F25" s="54" t="str" cm="1">
        <f t="array" ref="F25">IF(PER!Z75=0,"",IF((PER!AU56+PER!AU96+PER!AU136+PER!AU176+PER!AU216+PER!AU256+PER!AU296+PER!AU336+PER!AU376+PER!AU416+PER!AU456+PER!AU496+PER!AU536+PER!AU576+PER!AU616)=0,"",_xlfn.IFS(PER!AU56=1,PER!$V$34,PER!AU96=1,PER!$V$35,PER!AU136=1,PER!$V$36,PER!AU176=1,PER!$V$37,PER!AU216=1,PER!$V$38,PER!AU256=1,PER!$V$39,PER!AU296=1,PER!$V$40,PER!AU336=1,PER!$V$41,PER!AU376=1,PER!$V$42,PER!AU416=1,PER!$V$43,PER!AU456=1,PER!$V$44,PER!AU496=1,PER!$V$45,PER!AU536=1,PER!$V$46,PER!AU576=1,PER!$V$47,PER!AU616=1,PER!$V$48)))</f>
        <v/>
      </c>
      <c r="G25" s="54" t="str" cm="1">
        <f t="array" ref="G25">IF(PER!AA75=0,"",IF((PER!AV56+PER!AV96+PER!AV136+PER!AV176+PER!AV216+PER!AV256+PER!AV296+PER!AV336+PER!AV376+PER!AV416+PER!AV456+PER!AV496+PER!AV536+PER!AV576+PER!AV616)=0,"",_xlfn.IFS(PER!AV56=1,PER!$V$34,PER!AV96=1,PER!$V$35,PER!AV136=1,PER!$V$36,PER!AV176=1,PER!$V$37,PER!AV216=1,PER!$V$38,PER!AV256=1,PER!$V$39,PER!AV296=1,PER!$V$40,PER!AV336=1,PER!$V$41,PER!AV376=1,PER!$V$42,PER!AV416=1,PER!$V$43,PER!AV456=1,PER!$V$44,PER!AV496=1,PER!$V$45,PER!AV536=1,PER!$V$46,PER!AV576=1,PER!$V$47,PER!AV616=1,PER!$V$48)))</f>
        <v/>
      </c>
      <c r="H25" s="54" t="str" cm="1">
        <f t="array" ref="H25">IF(PER!AB75=0,"",IF((PER!AW56+PER!AW96+PER!AW136+PER!AW176+PER!AW216+PER!AW256+PER!AW296+PER!AW336+PER!AW376+PER!AW416+PER!AW456+PER!AW496+PER!AW536+PER!AW576+PER!AW616)=0,"",_xlfn.IFS(PER!AW56=1,PER!$V$34,PER!AW96=1,PER!$V$35,PER!AW136=1,PER!$V$36,PER!AW176=1,PER!$V$37,PER!AW216=1,PER!$V$38,PER!AW256=1,PER!$V$39,PER!AW296=1,PER!$V$40,PER!AW336=1,PER!$V$41,PER!AW376=1,PER!$V$42,PER!AW416=1,PER!$V$43,PER!AW456=1,PER!$V$44,PER!AW496=1,PER!$V$45,PER!AW536=1,PER!$V$46,PER!AW576=1,PER!$V$47,PER!AW616=1,PER!$V$48)))</f>
        <v/>
      </c>
      <c r="I25" s="54" t="str" cm="1">
        <f t="array" ref="I25">IF(PER!AC75=0,"",IF((PER!AX56+PER!AX96+PER!AX136+PER!AX176+PER!AX216+PER!AX256+PER!AX296+PER!AX336+PER!AX376+PER!AX416+PER!AX456+PER!AX496+PER!AX536+PER!AX576+PER!AX616)=0,"",_xlfn.IFS(PER!AX56=1,PER!$V$34,PER!AX96=1,PER!$V$35,PER!AX136=1,PER!$V$36,PER!AX176=1,PER!$V$37,PER!AX216=1,PER!$V$38,PER!AX256=1,PER!$V$39,PER!AX296=1,PER!$V$40,PER!AX336=1,PER!$V$41,PER!AX376=1,PER!$V$42,PER!AX416=1,PER!$V$43,PER!AX456=1,PER!$V$44,PER!AX496=1,PER!$V$45,PER!AX536=1,PER!$V$46,PER!AX576=1,PER!$V$47,PER!AX616=1,PER!$V$48)))</f>
        <v/>
      </c>
      <c r="J25" s="54" t="str" cm="1">
        <f t="array" ref="J25">IF(PER!AD75=0,"",IF((PER!AY56+PER!AY96+PER!AY136+PER!AY176+PER!AY216+PER!AY256+PER!AY296+PER!AY336+PER!AY376+PER!AY416+PER!AY456+PER!AY496+PER!AY536+PER!AY576+PER!AY616)=0,"",_xlfn.IFS(PER!AY56=1,PER!$V$34,PER!AY96=1,PER!$V$35,PER!AY136=1,PER!$V$36,PER!AY176=1,PER!$V$37,PER!AY216=1,PER!$V$38,PER!AY256=1,PER!$V$39,PER!AY296=1,PER!$V$40,PER!AY336=1,PER!$V$41,PER!AY376=1,PER!$V$42,PER!AY416=1,PER!$V$43,PER!AY456=1,PER!$V$44,PER!AY496=1,PER!$V$45,PER!AY536=1,PER!$V$46,PER!AY576=1,PER!$V$47,PER!AY616=1,PER!$V$48)))</f>
        <v/>
      </c>
      <c r="K25" s="54" t="str" cm="1">
        <f t="array" ref="K25">IF(PER!AE75=0,"",IF((PER!AZ56+PER!AZ96+PER!AZ136+PER!AZ176+PER!AZ216+PER!AZ256+PER!AZ296+PER!AZ336+PER!AZ376+PER!AZ416+PER!AZ456+PER!AZ496+PER!AZ536+PER!AZ576+PER!AZ616)=0,"",_xlfn.IFS(PER!AZ56=1,PER!$V$34,PER!AZ96=1,PER!$V$35,PER!AZ136=1,PER!$V$36,PER!AZ176=1,PER!$V$37,PER!AZ216=1,PER!$V$38,PER!AZ256=1,PER!$V$39,PER!AZ296=1,PER!$V$40,PER!AZ336=1,PER!$V$41,PER!AZ376=1,PER!$V$42,PER!AZ416=1,PER!$V$43,PER!AZ456=1,PER!$V$44,PER!AZ496=1,PER!$V$45,PER!AZ536=1,PER!$V$46,PER!AZ576=1,PER!$V$47,PER!AZ616=1,PER!$V$48)))</f>
        <v/>
      </c>
      <c r="L25" s="54" t="str" cm="1">
        <f t="array" ref="L25">IF(PER!AF75=0,"",IF((PER!BA56+PER!BA96+PER!BA136+PER!BA176+PER!BA216+PER!BA256+PER!BA296+PER!BA336+PER!BA376+PER!BA416+PER!BA456+PER!BA496+PER!BA536+PER!BA576+PER!BA616)=0,"",_xlfn.IFS(PER!BA56=1,PER!$V$34,PER!BA96=1,PER!$V$35,PER!BA136=1,PER!$V$36,PER!BA176=1,PER!$V$37,PER!BA216=1,PER!$V$38,PER!BA256=1,PER!$V$39,PER!BA296=1,PER!$V$40,PER!BA336=1,PER!$V$41,PER!BA376=1,PER!$V$42,PER!BA416=1,PER!$V$43,PER!BA456=1,PER!$V$44,PER!BA496=1,PER!$V$45,PER!BA536=1,PER!$V$46,PER!BA576=1,PER!$V$47,PER!BA616=1,PER!$V$48)))</f>
        <v/>
      </c>
      <c r="M25" s="54" t="str" cm="1">
        <f t="array" ref="M25">IF(PER!AG75=0,"",IF((PER!BB56+PER!BB96+PER!BB136+PER!BB176+PER!BB216+PER!BB256+PER!BB296+PER!BB336+PER!BB376+PER!BB416+PER!BB456+PER!BB496+PER!BB536+PER!BB576+PER!BB616)=0,"",_xlfn.IFS(PER!BB56=1,PER!$V$34,PER!BB96=1,PER!$V$35,PER!BB136=1,PER!$V$36,PER!BB176=1,PER!$V$37,PER!BB216=1,PER!$V$38,PER!BB256=1,PER!$V$39,PER!BB296=1,PER!$V$40,PER!BB336=1,PER!$V$41,PER!BB376=1,PER!$V$42,PER!BB416=1,PER!$V$43,PER!BB456=1,PER!$V$44,PER!BB496=1,PER!$V$45,PER!BB536=1,PER!$V$46,PER!BB576=1,PER!$V$47,PER!BB616=1,PER!$V$48)))</f>
        <v/>
      </c>
      <c r="N25" s="54" t="str" cm="1">
        <f t="array" ref="N25">IF(PER!AH75=0,"",IF((PER!BC56+PER!BC96+PER!BC136+PER!BC176+PER!BC216+PER!BC256+PER!BC296+PER!BC336+PER!BC376+PER!BC416+PER!BC456+PER!BC496+PER!BC536+PER!BC576+PER!BC616)=0,"",_xlfn.IFS(PER!BC56=1,PER!$V$34,PER!BC96=1,PER!$V$35,PER!BC136=1,PER!$V$36,PER!BC176=1,PER!$V$37,PER!BC216=1,PER!$V$38,PER!BC256=1,PER!$V$39,PER!BC296=1,PER!$V$40,PER!BC336=1,PER!$V$41,PER!BC376=1,PER!$V$42,PER!BC416=1,PER!$V$43,PER!BC456=1,PER!$V$44,PER!BC496=1,PER!$V$45,PER!BC536=1,PER!$V$46,PER!BC576=1,PER!$V$47,PER!BC616=1,PER!$V$48)))</f>
        <v/>
      </c>
      <c r="O25" s="54" t="str" cm="1">
        <f t="array" ref="O25">IF(PER!AI75=0,"",IF((PER!BD56+PER!BD96+PER!BD136+PER!BD176+PER!BD216+PER!BD256+PER!BD296+PER!BD336+PER!BD376+PER!BD416+PER!BD456+PER!BD496+PER!BD536+PER!BD576+PER!BD616)=0,"",_xlfn.IFS(PER!BD56=1,PER!$V$34,PER!BD96=1,PER!$V$35,PER!BD136=1,PER!$V$36,PER!BD176=1,PER!$V$37,PER!BD216=1,PER!$V$38,PER!BD256=1,PER!$V$39,PER!BD296=1,PER!$V$40,PER!BD336=1,PER!$V$41,PER!BD376=1,PER!$V$42,PER!BD416=1,PER!$V$43,PER!BD456=1,PER!$V$44,PER!BD496=1,PER!$V$45,PER!BD536=1,PER!$V$46,PER!BD576=1,PER!$V$47,PER!BD616=1,PER!$V$48)))</f>
        <v/>
      </c>
      <c r="P25" s="54" t="str" cm="1">
        <f t="array" ref="P25">IF(PER!AJ75=0,"",IF((PER!BE56+PER!BE96+PER!BE136+PER!BE176+PER!BE216+PER!BE256+PER!BE296+PER!BE336+PER!BE376+PER!BE416+PER!BE456+PER!BE496+PER!BE536+PER!BE576+PER!BE616)=0,"",_xlfn.IFS(PER!BE56=1,PER!$V$34,PER!BE96=1,PER!$V$35,PER!BE136=1,PER!$V$36,PER!BE176=1,PER!$V$37,PER!BE216=1,PER!$V$38,PER!BE256=1,PER!$V$39,PER!BE296=1,PER!$V$40,PER!BE336=1,PER!$V$41,PER!BE376=1,PER!$V$42,PER!BE416=1,PER!$V$43,PER!BE456=1,PER!$V$44,PER!BE496=1,PER!$V$45,PER!BE536=1,PER!$V$46,PER!BE576=1,PER!$V$47,PER!BE616=1,PER!$V$48)))</f>
        <v/>
      </c>
      <c r="Q25" s="54" t="str" cm="1">
        <f t="array" ref="Q25">IF(PER!AK75=0,"",IF((PER!BF56+PER!BF96+PER!BF136+PER!BF176+PER!BF216+PER!BF256+PER!BF296+PER!BF336+PER!BF376+PER!BF416+PER!BF456+PER!BF496+PER!BF536+PER!BF576+PER!BF616)=0,"",_xlfn.IFS(PER!BF56=1,PER!$V$34,PER!BF96=1,PER!$V$35,PER!BF136=1,PER!$V$36,PER!BF176=1,PER!$V$37,PER!BF216=1,PER!$V$38,PER!BF256=1,PER!$V$39,PER!BF296=1,PER!$V$40,PER!BF336=1,PER!$V$41,PER!BF376=1,PER!$V$42,PER!BF416=1,PER!$V$43,PER!BF456=1,PER!$V$44,PER!BF496=1,PER!$V$45,PER!BF536=1,PER!$V$46,PER!BF576=1,PER!$V$47,PER!BF616=1,PER!$V$48)))</f>
        <v/>
      </c>
      <c r="R25" s="54" t="str" cm="1">
        <f t="array" ref="R25">IF(PER!AL75=0,"",IF((PER!BG56+PER!BG96+PER!BG136+PER!BG176+PER!BG216+PER!BG256+PER!BG296+PER!BG336+PER!BG376+PER!BG416+PER!BG456+PER!BG496+PER!BG536+PER!BG576+PER!BG616)=0,"",_xlfn.IFS(PER!BG56=1,PER!$V$34,PER!BG96=1,PER!$V$35,PER!BG136=1,PER!$V$36,PER!BG176=1,PER!$V$37,PER!BG216=1,PER!$V$38,PER!BG256=1,PER!$V$39,PER!BG296=1,PER!$V$40,PER!BG336=1,PER!$V$41,PER!BG376=1,PER!$V$42,PER!BG416=1,PER!$V$43,PER!BG456=1,PER!$V$44,PER!BG496=1,PER!$V$45,PER!BG536=1,PER!$V$46,PER!BG576=1,PER!$V$47,PER!BG616=1,PER!$V$48)))</f>
        <v/>
      </c>
      <c r="S25" s="54" t="str" cm="1">
        <f t="array" ref="S25">IF(PER!AM75=0,"",IF((PER!BH56+PER!BH96+PER!BH136+PER!BH176+PER!BH216+PER!BH256+PER!BH296+PER!BH336+PER!BH376+PER!BH416+PER!BH456+PER!BH496+PER!BH536+PER!BH576+PER!BH616)=0,"",_xlfn.IFS(PER!BH56=1,PER!$V$34,PER!BH96=1,PER!$V$35,PER!BH136=1,PER!$V$36,PER!BH176=1,PER!$V$37,PER!BH216=1,PER!$V$38,PER!BH256=1,PER!$V$39,PER!BH296=1,PER!$V$40,PER!BH336=1,PER!$V$41,PER!BH376=1,PER!$V$42,PER!BH416=1,PER!$V$43,PER!BH456=1,PER!$V$44,PER!BH496=1,PER!$V$45,PER!BH536=1,PER!$V$46,PER!BH576=1,PER!$V$47,PER!BH616=1,PER!$V$48)))</f>
        <v/>
      </c>
    </row>
    <row r="26" spans="1:19" x14ac:dyDescent="0.55000000000000004">
      <c r="A26">
        <v>24</v>
      </c>
      <c r="B26" t="s">
        <v>69</v>
      </c>
      <c r="C26" s="54" t="str" cm="1">
        <f t="array" ref="C26">IF(PER!W76=0,"",IF((PER!AR57+PER!AR97+PER!AR137+PER!AR177+PER!AR217+PER!AR257+PER!AR297+PER!AR337+PER!AR377+PER!AR417+PER!AR457+PER!AR497+PER!AR537+PER!AR577+PER!AR617)=0,"",_xlfn.IFS(PER!AR57=1,PER!$V$34,PER!AR97=1,PER!$V$35,PER!AR137=1,PER!$V$36,PER!AR177=1,PER!$V$37,PER!AR217=1,PER!$V$38,PER!AR257=1,PER!$V$39,PER!AR297=1,PER!$V$40,PER!AR337=1,PER!$V$41,PER!AR377=1,PER!$V$42,PER!AR417=1,PER!$V$43,PER!AR457=1,PER!$V$44,PER!AR497=1,PER!$V$45,PER!AR537=1,PER!$V$46,PER!AR577=1,PER!$V$47,PER!AR617=1,PER!$V$48)))</f>
        <v/>
      </c>
      <c r="D26" s="54" t="str" cm="1">
        <f t="array" ref="D26">IF(PER!X76=0,"",IF((PER!AS57+PER!AS97+PER!AS137+PER!AS177+PER!AS217+PER!AS257+PER!AS297+PER!AS337+PER!AS377+PER!AS417+PER!AS457+PER!AS497+PER!AS537+PER!AS577+PER!AS617)=0,"",_xlfn.IFS(PER!AS57=1,PER!$V$34,PER!AS97=1,PER!$V$35,PER!AS137=1,PER!$V$36,PER!AS177=1,PER!$V$37,PER!AS217=1,PER!$V$38,PER!AS257=1,PER!$V$39,PER!AS297=1,PER!$V$40,PER!AS337=1,PER!$V$41,PER!AS377=1,PER!$V$42,PER!AS417=1,PER!$V$43,PER!AS457=1,PER!$V$44,PER!AS497=1,PER!$V$45,PER!AS537=1,PER!$V$46,PER!AS577=1,PER!$V$47,PER!AS617=1,PER!$V$48)))</f>
        <v/>
      </c>
      <c r="E26" s="54" t="str" cm="1">
        <f t="array" ref="E26">IF(PER!Y76=0,"",IF((PER!AT57+PER!AT97+PER!AT137+PER!AT177+PER!AT217+PER!AT257+PER!AT297+PER!AT337+PER!AT377+PER!AT417+PER!AT457+PER!AT497+PER!AT537+PER!AT577+PER!AT617)=0,"",_xlfn.IFS(PER!AT57=1,PER!$V$34,PER!AT97=1,PER!$V$35,PER!AT137=1,PER!$V$36,PER!AT177=1,PER!$V$37,PER!AT217=1,PER!$V$38,PER!AT257=1,PER!$V$39,PER!AT297=1,PER!$V$40,PER!AT337=1,PER!$V$41,PER!AT377=1,PER!$V$42,PER!AT417=1,PER!$V$43,PER!AT457=1,PER!$V$44,PER!AT497=1,PER!$V$45,PER!AT537=1,PER!$V$46,PER!AT577=1,PER!$V$47,PER!AT617=1,PER!$V$48)))</f>
        <v/>
      </c>
      <c r="F26" s="54" t="str" cm="1">
        <f t="array" ref="F26">IF(PER!Z76=0,"",IF((PER!AU57+PER!AU97+PER!AU137+PER!AU177+PER!AU217+PER!AU257+PER!AU297+PER!AU337+PER!AU377+PER!AU417+PER!AU457+PER!AU497+PER!AU537+PER!AU577+PER!AU617)=0,"",_xlfn.IFS(PER!AU57=1,PER!$V$34,PER!AU97=1,PER!$V$35,PER!AU137=1,PER!$V$36,PER!AU177=1,PER!$V$37,PER!AU217=1,PER!$V$38,PER!AU257=1,PER!$V$39,PER!AU297=1,PER!$V$40,PER!AU337=1,PER!$V$41,PER!AU377=1,PER!$V$42,PER!AU417=1,PER!$V$43,PER!AU457=1,PER!$V$44,PER!AU497=1,PER!$V$45,PER!AU537=1,PER!$V$46,PER!AU577=1,PER!$V$47,PER!AU617=1,PER!$V$48)))</f>
        <v/>
      </c>
      <c r="G26" s="54" t="str" cm="1">
        <f t="array" ref="G26">IF(PER!AA76=0,"",IF((PER!AV57+PER!AV97+PER!AV137+PER!AV177+PER!AV217+PER!AV257+PER!AV297+PER!AV337+PER!AV377+PER!AV417+PER!AV457+PER!AV497+PER!AV537+PER!AV577+PER!AV617)=0,"",_xlfn.IFS(PER!AV57=1,PER!$V$34,PER!AV97=1,PER!$V$35,PER!AV137=1,PER!$V$36,PER!AV177=1,PER!$V$37,PER!AV217=1,PER!$V$38,PER!AV257=1,PER!$V$39,PER!AV297=1,PER!$V$40,PER!AV337=1,PER!$V$41,PER!AV377=1,PER!$V$42,PER!AV417=1,PER!$V$43,PER!AV457=1,PER!$V$44,PER!AV497=1,PER!$V$45,PER!AV537=1,PER!$V$46,PER!AV577=1,PER!$V$47,PER!AV617=1,PER!$V$48)))</f>
        <v/>
      </c>
      <c r="H26" s="54" t="str" cm="1">
        <f t="array" ref="H26">IF(PER!AB76=0,"",IF((PER!AW57+PER!AW97+PER!AW137+PER!AW177+PER!AW217+PER!AW257+PER!AW297+PER!AW337+PER!AW377+PER!AW417+PER!AW457+PER!AW497+PER!AW537+PER!AW577+PER!AW617)=0,"",_xlfn.IFS(PER!AW57=1,PER!$V$34,PER!AW97=1,PER!$V$35,PER!AW137=1,PER!$V$36,PER!AW177=1,PER!$V$37,PER!AW217=1,PER!$V$38,PER!AW257=1,PER!$V$39,PER!AW297=1,PER!$V$40,PER!AW337=1,PER!$V$41,PER!AW377=1,PER!$V$42,PER!AW417=1,PER!$V$43,PER!AW457=1,PER!$V$44,PER!AW497=1,PER!$V$45,PER!AW537=1,PER!$V$46,PER!AW577=1,PER!$V$47,PER!AW617=1,PER!$V$48)))</f>
        <v/>
      </c>
      <c r="I26" s="54" t="str" cm="1">
        <f t="array" ref="I26">IF(PER!AC76=0,"",IF((PER!AX57+PER!AX97+PER!AX137+PER!AX177+PER!AX217+PER!AX257+PER!AX297+PER!AX337+PER!AX377+PER!AX417+PER!AX457+PER!AX497+PER!AX537+PER!AX577+PER!AX617)=0,"",_xlfn.IFS(PER!AX57=1,PER!$V$34,PER!AX97=1,PER!$V$35,PER!AX137=1,PER!$V$36,PER!AX177=1,PER!$V$37,PER!AX217=1,PER!$V$38,PER!AX257=1,PER!$V$39,PER!AX297=1,PER!$V$40,PER!AX337=1,PER!$V$41,PER!AX377=1,PER!$V$42,PER!AX417=1,PER!$V$43,PER!AX457=1,PER!$V$44,PER!AX497=1,PER!$V$45,PER!AX537=1,PER!$V$46,PER!AX577=1,PER!$V$47,PER!AX617=1,PER!$V$48)))</f>
        <v/>
      </c>
      <c r="J26" s="54" t="str" cm="1">
        <f t="array" ref="J26">IF(PER!AD76=0,"",IF((PER!AY57+PER!AY97+PER!AY137+PER!AY177+PER!AY217+PER!AY257+PER!AY297+PER!AY337+PER!AY377+PER!AY417+PER!AY457+PER!AY497+PER!AY537+PER!AY577+PER!AY617)=0,"",_xlfn.IFS(PER!AY57=1,PER!$V$34,PER!AY97=1,PER!$V$35,PER!AY137=1,PER!$V$36,PER!AY177=1,PER!$V$37,PER!AY217=1,PER!$V$38,PER!AY257=1,PER!$V$39,PER!AY297=1,PER!$V$40,PER!AY337=1,PER!$V$41,PER!AY377=1,PER!$V$42,PER!AY417=1,PER!$V$43,PER!AY457=1,PER!$V$44,PER!AY497=1,PER!$V$45,PER!AY537=1,PER!$V$46,PER!AY577=1,PER!$V$47,PER!AY617=1,PER!$V$48)))</f>
        <v/>
      </c>
      <c r="K26" s="54" t="str" cm="1">
        <f t="array" ref="K26">IF(PER!AE76=0,"",IF((PER!AZ57+PER!AZ97+PER!AZ137+PER!AZ177+PER!AZ217+PER!AZ257+PER!AZ297+PER!AZ337+PER!AZ377+PER!AZ417+PER!AZ457+PER!AZ497+PER!AZ537+PER!AZ577+PER!AZ617)=0,"",_xlfn.IFS(PER!AZ57=1,PER!$V$34,PER!AZ97=1,PER!$V$35,PER!AZ137=1,PER!$V$36,PER!AZ177=1,PER!$V$37,PER!AZ217=1,PER!$V$38,PER!AZ257=1,PER!$V$39,PER!AZ297=1,PER!$V$40,PER!AZ337=1,PER!$V$41,PER!AZ377=1,PER!$V$42,PER!AZ417=1,PER!$V$43,PER!AZ457=1,PER!$V$44,PER!AZ497=1,PER!$V$45,PER!AZ537=1,PER!$V$46,PER!AZ577=1,PER!$V$47,PER!AZ617=1,PER!$V$48)))</f>
        <v/>
      </c>
      <c r="L26" s="54" t="str" cm="1">
        <f t="array" ref="L26">IF(PER!AF76=0,"",IF((PER!BA57+PER!BA97+PER!BA137+PER!BA177+PER!BA217+PER!BA257+PER!BA297+PER!BA337+PER!BA377+PER!BA417+PER!BA457+PER!BA497+PER!BA537+PER!BA577+PER!BA617)=0,"",_xlfn.IFS(PER!BA57=1,PER!$V$34,PER!BA97=1,PER!$V$35,PER!BA137=1,PER!$V$36,PER!BA177=1,PER!$V$37,PER!BA217=1,PER!$V$38,PER!BA257=1,PER!$V$39,PER!BA297=1,PER!$V$40,PER!BA337=1,PER!$V$41,PER!BA377=1,PER!$V$42,PER!BA417=1,PER!$V$43,PER!BA457=1,PER!$V$44,PER!BA497=1,PER!$V$45,PER!BA537=1,PER!$V$46,PER!BA577=1,PER!$V$47,PER!BA617=1,PER!$V$48)))</f>
        <v/>
      </c>
      <c r="M26" s="54" t="str" cm="1">
        <f t="array" ref="M26">IF(PER!AG76=0,"",IF((PER!BB57+PER!BB97+PER!BB137+PER!BB177+PER!BB217+PER!BB257+PER!BB297+PER!BB337+PER!BB377+PER!BB417+PER!BB457+PER!BB497+PER!BB537+PER!BB577+PER!BB617)=0,"",_xlfn.IFS(PER!BB57=1,PER!$V$34,PER!BB97=1,PER!$V$35,PER!BB137=1,PER!$V$36,PER!BB177=1,PER!$V$37,PER!BB217=1,PER!$V$38,PER!BB257=1,PER!$V$39,PER!BB297=1,PER!$V$40,PER!BB337=1,PER!$V$41,PER!BB377=1,PER!$V$42,PER!BB417=1,PER!$V$43,PER!BB457=1,PER!$V$44,PER!BB497=1,PER!$V$45,PER!BB537=1,PER!$V$46,PER!BB577=1,PER!$V$47,PER!BB617=1,PER!$V$48)))</f>
        <v/>
      </c>
      <c r="N26" s="54" t="str" cm="1">
        <f t="array" ref="N26">IF(PER!AH76=0,"",IF((PER!BC57+PER!BC97+PER!BC137+PER!BC177+PER!BC217+PER!BC257+PER!BC297+PER!BC337+PER!BC377+PER!BC417+PER!BC457+PER!BC497+PER!BC537+PER!BC577+PER!BC617)=0,"",_xlfn.IFS(PER!BC57=1,PER!$V$34,PER!BC97=1,PER!$V$35,PER!BC137=1,PER!$V$36,PER!BC177=1,PER!$V$37,PER!BC217=1,PER!$V$38,PER!BC257=1,PER!$V$39,PER!BC297=1,PER!$V$40,PER!BC337=1,PER!$V$41,PER!BC377=1,PER!$V$42,PER!BC417=1,PER!$V$43,PER!BC457=1,PER!$V$44,PER!BC497=1,PER!$V$45,PER!BC537=1,PER!$V$46,PER!BC577=1,PER!$V$47,PER!BC617=1,PER!$V$48)))</f>
        <v/>
      </c>
      <c r="O26" s="54" t="str" cm="1">
        <f t="array" ref="O26">IF(PER!AI76=0,"",IF((PER!BD57+PER!BD97+PER!BD137+PER!BD177+PER!BD217+PER!BD257+PER!BD297+PER!BD337+PER!BD377+PER!BD417+PER!BD457+PER!BD497+PER!BD537+PER!BD577+PER!BD617)=0,"",_xlfn.IFS(PER!BD57=1,PER!$V$34,PER!BD97=1,PER!$V$35,PER!BD137=1,PER!$V$36,PER!BD177=1,PER!$V$37,PER!BD217=1,PER!$V$38,PER!BD257=1,PER!$V$39,PER!BD297=1,PER!$V$40,PER!BD337=1,PER!$V$41,PER!BD377=1,PER!$V$42,PER!BD417=1,PER!$V$43,PER!BD457=1,PER!$V$44,PER!BD497=1,PER!$V$45,PER!BD537=1,PER!$V$46,PER!BD577=1,PER!$V$47,PER!BD617=1,PER!$V$48)))</f>
        <v/>
      </c>
      <c r="P26" s="54" t="str" cm="1">
        <f t="array" ref="P26">IF(PER!AJ76=0,"",IF((PER!BE57+PER!BE97+PER!BE137+PER!BE177+PER!BE217+PER!BE257+PER!BE297+PER!BE337+PER!BE377+PER!BE417+PER!BE457+PER!BE497+PER!BE537+PER!BE577+PER!BE617)=0,"",_xlfn.IFS(PER!BE57=1,PER!$V$34,PER!BE97=1,PER!$V$35,PER!BE137=1,PER!$V$36,PER!BE177=1,PER!$V$37,PER!BE217=1,PER!$V$38,PER!BE257=1,PER!$V$39,PER!BE297=1,PER!$V$40,PER!BE337=1,PER!$V$41,PER!BE377=1,PER!$V$42,PER!BE417=1,PER!$V$43,PER!BE457=1,PER!$V$44,PER!BE497=1,PER!$V$45,PER!BE537=1,PER!$V$46,PER!BE577=1,PER!$V$47,PER!BE617=1,PER!$V$48)))</f>
        <v/>
      </c>
      <c r="Q26" s="54" t="str" cm="1">
        <f t="array" ref="Q26">IF(PER!AK76=0,"",IF((PER!BF57+PER!BF97+PER!BF137+PER!BF177+PER!BF217+PER!BF257+PER!BF297+PER!BF337+PER!BF377+PER!BF417+PER!BF457+PER!BF497+PER!BF537+PER!BF577+PER!BF617)=0,"",_xlfn.IFS(PER!BF57=1,PER!$V$34,PER!BF97=1,PER!$V$35,PER!BF137=1,PER!$V$36,PER!BF177=1,PER!$V$37,PER!BF217=1,PER!$V$38,PER!BF257=1,PER!$V$39,PER!BF297=1,PER!$V$40,PER!BF337=1,PER!$V$41,PER!BF377=1,PER!$V$42,PER!BF417=1,PER!$V$43,PER!BF457=1,PER!$V$44,PER!BF497=1,PER!$V$45,PER!BF537=1,PER!$V$46,PER!BF577=1,PER!$V$47,PER!BF617=1,PER!$V$48)))</f>
        <v/>
      </c>
      <c r="R26" s="54" t="str" cm="1">
        <f t="array" ref="R26">IF(PER!AL76=0,"",IF((PER!BG57+PER!BG97+PER!BG137+PER!BG177+PER!BG217+PER!BG257+PER!BG297+PER!BG337+PER!BG377+PER!BG417+PER!BG457+PER!BG497+PER!BG537+PER!BG577+PER!BG617)=0,"",_xlfn.IFS(PER!BG57=1,PER!$V$34,PER!BG97=1,PER!$V$35,PER!BG137=1,PER!$V$36,PER!BG177=1,PER!$V$37,PER!BG217=1,PER!$V$38,PER!BG257=1,PER!$V$39,PER!BG297=1,PER!$V$40,PER!BG337=1,PER!$V$41,PER!BG377=1,PER!$V$42,PER!BG417=1,PER!$V$43,PER!BG457=1,PER!$V$44,PER!BG497=1,PER!$V$45,PER!BG537=1,PER!$V$46,PER!BG577=1,PER!$V$47,PER!BG617=1,PER!$V$48)))</f>
        <v/>
      </c>
      <c r="S26" s="54" t="str" cm="1">
        <f t="array" ref="S26">IF(PER!AM76=0,"",IF((PER!BH57+PER!BH97+PER!BH137+PER!BH177+PER!BH217+PER!BH257+PER!BH297+PER!BH337+PER!BH377+PER!BH417+PER!BH457+PER!BH497+PER!BH537+PER!BH577+PER!BH617)=0,"",_xlfn.IFS(PER!BH57=1,PER!$V$34,PER!BH97=1,PER!$V$35,PER!BH137=1,PER!$V$36,PER!BH177=1,PER!$V$37,PER!BH217=1,PER!$V$38,PER!BH257=1,PER!$V$39,PER!BH297=1,PER!$V$40,PER!BH337=1,PER!$V$41,PER!BH377=1,PER!$V$42,PER!BH417=1,PER!$V$43,PER!BH457=1,PER!$V$44,PER!BH497=1,PER!$V$45,PER!BH537=1,PER!$V$46,PER!BH577=1,PER!$V$47,PER!BH617=1,PER!$V$48)))</f>
        <v/>
      </c>
    </row>
    <row r="27" spans="1:19" x14ac:dyDescent="0.55000000000000004">
      <c r="A27">
        <v>25</v>
      </c>
      <c r="B27" t="s">
        <v>146</v>
      </c>
      <c r="C27" s="54" t="str" cm="1">
        <f t="array" ref="C27">IF(PER!W77=0,"",IF((PER!AR58+PER!AR98+PER!AR138+PER!AR178+PER!AR218+PER!AR258+PER!AR298+PER!AR338+PER!AR378+PER!AR418+PER!AR458+PER!AR498+PER!AR538+PER!AR578+PER!AR618)=0,"",_xlfn.IFS(PER!AR58=1,PER!$V$34,PER!AR98=1,PER!$V$35,PER!AR138=1,PER!$V$36,PER!AR178=1,PER!$V$37,PER!AR218=1,PER!$V$38,PER!AR258=1,PER!$V$39,PER!AR298=1,PER!$V$40,PER!AR338=1,PER!$V$41,PER!AR378=1,PER!$V$42,PER!AR418=1,PER!$V$43,PER!AR458=1,PER!$V$44,PER!AR498=1,PER!$V$45,PER!AR538=1,PER!$V$46,PER!AR578=1,PER!$V$47,PER!AR618=1,PER!$V$48)))</f>
        <v/>
      </c>
      <c r="D27" s="54" t="str" cm="1">
        <f t="array" ref="D27">IF(PER!X77=0,"",IF((PER!AS58+PER!AS98+PER!AS138+PER!AS178+PER!AS218+PER!AS258+PER!AS298+PER!AS338+PER!AS378+PER!AS418+PER!AS458+PER!AS498+PER!AS538+PER!AS578+PER!AS618)=0,"",_xlfn.IFS(PER!AS58=1,PER!$V$34,PER!AS98=1,PER!$V$35,PER!AS138=1,PER!$V$36,PER!AS178=1,PER!$V$37,PER!AS218=1,PER!$V$38,PER!AS258=1,PER!$V$39,PER!AS298=1,PER!$V$40,PER!AS338=1,PER!$V$41,PER!AS378=1,PER!$V$42,PER!AS418=1,PER!$V$43,PER!AS458=1,PER!$V$44,PER!AS498=1,PER!$V$45,PER!AS538=1,PER!$V$46,PER!AS578=1,PER!$V$47,PER!AS618=1,PER!$V$48)))</f>
        <v/>
      </c>
      <c r="E27" s="54" t="str" cm="1">
        <f t="array" ref="E27">IF(PER!Y77=0,"",IF((PER!AT58+PER!AT98+PER!AT138+PER!AT178+PER!AT218+PER!AT258+PER!AT298+PER!AT338+PER!AT378+PER!AT418+PER!AT458+PER!AT498+PER!AT538+PER!AT578+PER!AT618)=0,"",_xlfn.IFS(PER!AT58=1,PER!$V$34,PER!AT98=1,PER!$V$35,PER!AT138=1,PER!$V$36,PER!AT178=1,PER!$V$37,PER!AT218=1,PER!$V$38,PER!AT258=1,PER!$V$39,PER!AT298=1,PER!$V$40,PER!AT338=1,PER!$V$41,PER!AT378=1,PER!$V$42,PER!AT418=1,PER!$V$43,PER!AT458=1,PER!$V$44,PER!AT498=1,PER!$V$45,PER!AT538=1,PER!$V$46,PER!AT578=1,PER!$V$47,PER!AT618=1,PER!$V$48)))</f>
        <v/>
      </c>
      <c r="F27" s="54" t="str" cm="1">
        <f t="array" ref="F27">IF(PER!Z77=0,"",IF((PER!AU58+PER!AU98+PER!AU138+PER!AU178+PER!AU218+PER!AU258+PER!AU298+PER!AU338+PER!AU378+PER!AU418+PER!AU458+PER!AU498+PER!AU538+PER!AU578+PER!AU618)=0,"",_xlfn.IFS(PER!AU58=1,PER!$V$34,PER!AU98=1,PER!$V$35,PER!AU138=1,PER!$V$36,PER!AU178=1,PER!$V$37,PER!AU218=1,PER!$V$38,PER!AU258=1,PER!$V$39,PER!AU298=1,PER!$V$40,PER!AU338=1,PER!$V$41,PER!AU378=1,PER!$V$42,PER!AU418=1,PER!$V$43,PER!AU458=1,PER!$V$44,PER!AU498=1,PER!$V$45,PER!AU538=1,PER!$V$46,PER!AU578=1,PER!$V$47,PER!AU618=1,PER!$V$48)))</f>
        <v/>
      </c>
      <c r="G27" s="54" t="str" cm="1">
        <f t="array" ref="G27">IF(PER!AA77=0,"",IF((PER!AV58+PER!AV98+PER!AV138+PER!AV178+PER!AV218+PER!AV258+PER!AV298+PER!AV338+PER!AV378+PER!AV418+PER!AV458+PER!AV498+PER!AV538+PER!AV578+PER!AV618)=0,"",_xlfn.IFS(PER!AV58=1,PER!$V$34,PER!AV98=1,PER!$V$35,PER!AV138=1,PER!$V$36,PER!AV178=1,PER!$V$37,PER!AV218=1,PER!$V$38,PER!AV258=1,PER!$V$39,PER!AV298=1,PER!$V$40,PER!AV338=1,PER!$V$41,PER!AV378=1,PER!$V$42,PER!AV418=1,PER!$V$43,PER!AV458=1,PER!$V$44,PER!AV498=1,PER!$V$45,PER!AV538=1,PER!$V$46,PER!AV578=1,PER!$V$47,PER!AV618=1,PER!$V$48)))</f>
        <v/>
      </c>
      <c r="H27" s="54" t="str" cm="1">
        <f t="array" ref="H27">IF(PER!AB77=0,"",IF((PER!AW58+PER!AW98+PER!AW138+PER!AW178+PER!AW218+PER!AW258+PER!AW298+PER!AW338+PER!AW378+PER!AW418+PER!AW458+PER!AW498+PER!AW538+PER!AW578+PER!AW618)=0,"",_xlfn.IFS(PER!AW58=1,PER!$V$34,PER!AW98=1,PER!$V$35,PER!AW138=1,PER!$V$36,PER!AW178=1,PER!$V$37,PER!AW218=1,PER!$V$38,PER!AW258=1,PER!$V$39,PER!AW298=1,PER!$V$40,PER!AW338=1,PER!$V$41,PER!AW378=1,PER!$V$42,PER!AW418=1,PER!$V$43,PER!AW458=1,PER!$V$44,PER!AW498=1,PER!$V$45,PER!AW538=1,PER!$V$46,PER!AW578=1,PER!$V$47,PER!AW618=1,PER!$V$48)))</f>
        <v/>
      </c>
      <c r="I27" s="54" t="str" cm="1">
        <f t="array" ref="I27">IF(PER!AC77=0,"",IF((PER!AX58+PER!AX98+PER!AX138+PER!AX178+PER!AX218+PER!AX258+PER!AX298+PER!AX338+PER!AX378+PER!AX418+PER!AX458+PER!AX498+PER!AX538+PER!AX578+PER!AX618)=0,"",_xlfn.IFS(PER!AX58=1,PER!$V$34,PER!AX98=1,PER!$V$35,PER!AX138=1,PER!$V$36,PER!AX178=1,PER!$V$37,PER!AX218=1,PER!$V$38,PER!AX258=1,PER!$V$39,PER!AX298=1,PER!$V$40,PER!AX338=1,PER!$V$41,PER!AX378=1,PER!$V$42,PER!AX418=1,PER!$V$43,PER!AX458=1,PER!$V$44,PER!AX498=1,PER!$V$45,PER!AX538=1,PER!$V$46,PER!AX578=1,PER!$V$47,PER!AX618=1,PER!$V$48)))</f>
        <v/>
      </c>
      <c r="J27" s="54" t="str" cm="1">
        <f t="array" ref="J27">IF(PER!AD77=0,"",IF((PER!AY58+PER!AY98+PER!AY138+PER!AY178+PER!AY218+PER!AY258+PER!AY298+PER!AY338+PER!AY378+PER!AY418+PER!AY458+PER!AY498+PER!AY538+PER!AY578+PER!AY618)=0,"",_xlfn.IFS(PER!AY58=1,PER!$V$34,PER!AY98=1,PER!$V$35,PER!AY138=1,PER!$V$36,PER!AY178=1,PER!$V$37,PER!AY218=1,PER!$V$38,PER!AY258=1,PER!$V$39,PER!AY298=1,PER!$V$40,PER!AY338=1,PER!$V$41,PER!AY378=1,PER!$V$42,PER!AY418=1,PER!$V$43,PER!AY458=1,PER!$V$44,PER!AY498=1,PER!$V$45,PER!AY538=1,PER!$V$46,PER!AY578=1,PER!$V$47,PER!AY618=1,PER!$V$48)))</f>
        <v/>
      </c>
      <c r="K27" s="54" t="str" cm="1">
        <f t="array" ref="K27">IF(PER!AE77=0,"",IF((PER!AZ58+PER!AZ98+PER!AZ138+PER!AZ178+PER!AZ218+PER!AZ258+PER!AZ298+PER!AZ338+PER!AZ378+PER!AZ418+PER!AZ458+PER!AZ498+PER!AZ538+PER!AZ578+PER!AZ618)=0,"",_xlfn.IFS(PER!AZ58=1,PER!$V$34,PER!AZ98=1,PER!$V$35,PER!AZ138=1,PER!$V$36,PER!AZ178=1,PER!$V$37,PER!AZ218=1,PER!$V$38,PER!AZ258=1,PER!$V$39,PER!AZ298=1,PER!$V$40,PER!AZ338=1,PER!$V$41,PER!AZ378=1,PER!$V$42,PER!AZ418=1,PER!$V$43,PER!AZ458=1,PER!$V$44,PER!AZ498=1,PER!$V$45,PER!AZ538=1,PER!$V$46,PER!AZ578=1,PER!$V$47,PER!AZ618=1,PER!$V$48)))</f>
        <v/>
      </c>
      <c r="L27" s="54" t="str" cm="1">
        <f t="array" ref="L27">IF(PER!AF77=0,"",IF((PER!BA58+PER!BA98+PER!BA138+PER!BA178+PER!BA218+PER!BA258+PER!BA298+PER!BA338+PER!BA378+PER!BA418+PER!BA458+PER!BA498+PER!BA538+PER!BA578+PER!BA618)=0,"",_xlfn.IFS(PER!BA58=1,PER!$V$34,PER!BA98=1,PER!$V$35,PER!BA138=1,PER!$V$36,PER!BA178=1,PER!$V$37,PER!BA218=1,PER!$V$38,PER!BA258=1,PER!$V$39,PER!BA298=1,PER!$V$40,PER!BA338=1,PER!$V$41,PER!BA378=1,PER!$V$42,PER!BA418=1,PER!$V$43,PER!BA458=1,PER!$V$44,PER!BA498=1,PER!$V$45,PER!BA538=1,PER!$V$46,PER!BA578=1,PER!$V$47,PER!BA618=1,PER!$V$48)))</f>
        <v/>
      </c>
      <c r="M27" s="54" t="str" cm="1">
        <f t="array" ref="M27">IF(PER!AG77=0,"",IF((PER!BB58+PER!BB98+PER!BB138+PER!BB178+PER!BB218+PER!BB258+PER!BB298+PER!BB338+PER!BB378+PER!BB418+PER!BB458+PER!BB498+PER!BB538+PER!BB578+PER!BB618)=0,"",_xlfn.IFS(PER!BB58=1,PER!$V$34,PER!BB98=1,PER!$V$35,PER!BB138=1,PER!$V$36,PER!BB178=1,PER!$V$37,PER!BB218=1,PER!$V$38,PER!BB258=1,PER!$V$39,PER!BB298=1,PER!$V$40,PER!BB338=1,PER!$V$41,PER!BB378=1,PER!$V$42,PER!BB418=1,PER!$V$43,PER!BB458=1,PER!$V$44,PER!BB498=1,PER!$V$45,PER!BB538=1,PER!$V$46,PER!BB578=1,PER!$V$47,PER!BB618=1,PER!$V$48)))</f>
        <v/>
      </c>
      <c r="N27" s="54" t="str" cm="1">
        <f t="array" ref="N27">IF(PER!AH77=0,"",IF((PER!BC58+PER!BC98+PER!BC138+PER!BC178+PER!BC218+PER!BC258+PER!BC298+PER!BC338+PER!BC378+PER!BC418+PER!BC458+PER!BC498+PER!BC538+PER!BC578+PER!BC618)=0,"",_xlfn.IFS(PER!BC58=1,PER!$V$34,PER!BC98=1,PER!$V$35,PER!BC138=1,PER!$V$36,PER!BC178=1,PER!$V$37,PER!BC218=1,PER!$V$38,PER!BC258=1,PER!$V$39,PER!BC298=1,PER!$V$40,PER!BC338=1,PER!$V$41,PER!BC378=1,PER!$V$42,PER!BC418=1,PER!$V$43,PER!BC458=1,PER!$V$44,PER!BC498=1,PER!$V$45,PER!BC538=1,PER!$V$46,PER!BC578=1,PER!$V$47,PER!BC618=1,PER!$V$48)))</f>
        <v/>
      </c>
      <c r="O27" s="54" t="str" cm="1">
        <f t="array" ref="O27">IF(PER!AI77=0,"",IF((PER!BD58+PER!BD98+PER!BD138+PER!BD178+PER!BD218+PER!BD258+PER!BD298+PER!BD338+PER!BD378+PER!BD418+PER!BD458+PER!BD498+PER!BD538+PER!BD578+PER!BD618)=0,"",_xlfn.IFS(PER!BD58=1,PER!$V$34,PER!BD98=1,PER!$V$35,PER!BD138=1,PER!$V$36,PER!BD178=1,PER!$V$37,PER!BD218=1,PER!$V$38,PER!BD258=1,PER!$V$39,PER!BD298=1,PER!$V$40,PER!BD338=1,PER!$V$41,PER!BD378=1,PER!$V$42,PER!BD418=1,PER!$V$43,PER!BD458=1,PER!$V$44,PER!BD498=1,PER!$V$45,PER!BD538=1,PER!$V$46,PER!BD578=1,PER!$V$47,PER!BD618=1,PER!$V$48)))</f>
        <v/>
      </c>
      <c r="P27" s="54" t="str" cm="1">
        <f t="array" ref="P27">IF(PER!AJ77=0,"",IF((PER!BE58+PER!BE98+PER!BE138+PER!BE178+PER!BE218+PER!BE258+PER!BE298+PER!BE338+PER!BE378+PER!BE418+PER!BE458+PER!BE498+PER!BE538+PER!BE578+PER!BE618)=0,"",_xlfn.IFS(PER!BE58=1,PER!$V$34,PER!BE98=1,PER!$V$35,PER!BE138=1,PER!$V$36,PER!BE178=1,PER!$V$37,PER!BE218=1,PER!$V$38,PER!BE258=1,PER!$V$39,PER!BE298=1,PER!$V$40,PER!BE338=1,PER!$V$41,PER!BE378=1,PER!$V$42,PER!BE418=1,PER!$V$43,PER!BE458=1,PER!$V$44,PER!BE498=1,PER!$V$45,PER!BE538=1,PER!$V$46,PER!BE578=1,PER!$V$47,PER!BE618=1,PER!$V$48)))</f>
        <v/>
      </c>
      <c r="Q27" s="54" t="str" cm="1">
        <f t="array" ref="Q27">IF(PER!AK77=0,"",IF((PER!BF58+PER!BF98+PER!BF138+PER!BF178+PER!BF218+PER!BF258+PER!BF298+PER!BF338+PER!BF378+PER!BF418+PER!BF458+PER!BF498+PER!BF538+PER!BF578+PER!BF618)=0,"",_xlfn.IFS(PER!BF58=1,PER!$V$34,PER!BF98=1,PER!$V$35,PER!BF138=1,PER!$V$36,PER!BF178=1,PER!$V$37,PER!BF218=1,PER!$V$38,PER!BF258=1,PER!$V$39,PER!BF298=1,PER!$V$40,PER!BF338=1,PER!$V$41,PER!BF378=1,PER!$V$42,PER!BF418=1,PER!$V$43,PER!BF458=1,PER!$V$44,PER!BF498=1,PER!$V$45,PER!BF538=1,PER!$V$46,PER!BF578=1,PER!$V$47,PER!BF618=1,PER!$V$48)))</f>
        <v/>
      </c>
      <c r="R27" s="54" t="str" cm="1">
        <f t="array" ref="R27">IF(PER!AL77=0,"",IF((PER!BG58+PER!BG98+PER!BG138+PER!BG178+PER!BG218+PER!BG258+PER!BG298+PER!BG338+PER!BG378+PER!BG418+PER!BG458+PER!BG498+PER!BG538+PER!BG578+PER!BG618)=0,"",_xlfn.IFS(PER!BG58=1,PER!$V$34,PER!BG98=1,PER!$V$35,PER!BG138=1,PER!$V$36,PER!BG178=1,PER!$V$37,PER!BG218=1,PER!$V$38,PER!BG258=1,PER!$V$39,PER!BG298=1,PER!$V$40,PER!BG338=1,PER!$V$41,PER!BG378=1,PER!$V$42,PER!BG418=1,PER!$V$43,PER!BG458=1,PER!$V$44,PER!BG498=1,PER!$V$45,PER!BG538=1,PER!$V$46,PER!BG578=1,PER!$V$47,PER!BG618=1,PER!$V$48)))</f>
        <v/>
      </c>
      <c r="S27" s="54" t="str" cm="1">
        <f t="array" ref="S27">IF(PER!AM77=0,"",IF((PER!BH58+PER!BH98+PER!BH138+PER!BH178+PER!BH218+PER!BH258+PER!BH298+PER!BH338+PER!BH378+PER!BH418+PER!BH458+PER!BH498+PER!BH538+PER!BH578+PER!BH618)=0,"",_xlfn.IFS(PER!BH58=1,PER!$V$34,PER!BH98=1,PER!$V$35,PER!BH138=1,PER!$V$36,PER!BH178=1,PER!$V$37,PER!BH218=1,PER!$V$38,PER!BH258=1,PER!$V$39,PER!BH298=1,PER!$V$40,PER!BH338=1,PER!$V$41,PER!BH378=1,PER!$V$42,PER!BH418=1,PER!$V$43,PER!BH458=1,PER!$V$44,PER!BH498=1,PER!$V$45,PER!BH538=1,PER!$V$46,PER!BH578=1,PER!$V$47,PER!BH618=1,PER!$V$48)))</f>
        <v/>
      </c>
    </row>
    <row r="28" spans="1:19" x14ac:dyDescent="0.55000000000000004">
      <c r="A28">
        <v>26</v>
      </c>
      <c r="B28" t="s">
        <v>146</v>
      </c>
      <c r="C28" s="54" t="str" cm="1">
        <f t="array" ref="C28">IF(PER!W78=0,"",IF((PER!AR59+PER!AR99+PER!AR139+PER!AR179+PER!AR219+PER!AR259+PER!AR299+PER!AR339+PER!AR379+PER!AR419+PER!AR459+PER!AR499+PER!AR539+PER!AR579+PER!AR619)=0,"",_xlfn.IFS(PER!AR59=1,PER!$V$34,PER!AR99=1,PER!$V$35,PER!AR139=1,PER!$V$36,PER!AR179=1,PER!$V$37,PER!AR219=1,PER!$V$38,PER!AR259=1,PER!$V$39,PER!AR299=1,PER!$V$40,PER!AR339=1,PER!$V$41,PER!AR379=1,PER!$V$42,PER!AR419=1,PER!$V$43,PER!AR459=1,PER!$V$44,PER!AR499=1,PER!$V$45,PER!AR539=1,PER!$V$46,PER!AR579=1,PER!$V$47,PER!AR619=1,PER!$V$48)))</f>
        <v/>
      </c>
      <c r="D28" s="54" t="str" cm="1">
        <f t="array" ref="D28">IF(PER!X78=0,"",IF((PER!AS59+PER!AS99+PER!AS139+PER!AS179+PER!AS219+PER!AS259+PER!AS299+PER!AS339+PER!AS379+PER!AS419+PER!AS459+PER!AS499+PER!AS539+PER!AS579+PER!AS619)=0,"",_xlfn.IFS(PER!AS59=1,PER!$V$34,PER!AS99=1,PER!$V$35,PER!AS139=1,PER!$V$36,PER!AS179=1,PER!$V$37,PER!AS219=1,PER!$V$38,PER!AS259=1,PER!$V$39,PER!AS299=1,PER!$V$40,PER!AS339=1,PER!$V$41,PER!AS379=1,PER!$V$42,PER!AS419=1,PER!$V$43,PER!AS459=1,PER!$V$44,PER!AS499=1,PER!$V$45,PER!AS539=1,PER!$V$46,PER!AS579=1,PER!$V$47,PER!AS619=1,PER!$V$48)))</f>
        <v/>
      </c>
      <c r="E28" s="54" t="str" cm="1">
        <f t="array" ref="E28">IF(PER!Y78=0,"",IF((PER!AT59+PER!AT99+PER!AT139+PER!AT179+PER!AT219+PER!AT259+PER!AT299+PER!AT339+PER!AT379+PER!AT419+PER!AT459+PER!AT499+PER!AT539+PER!AT579+PER!AT619)=0,"",_xlfn.IFS(PER!AT59=1,PER!$V$34,PER!AT99=1,PER!$V$35,PER!AT139=1,PER!$V$36,PER!AT179=1,PER!$V$37,PER!AT219=1,PER!$V$38,PER!AT259=1,PER!$V$39,PER!AT299=1,PER!$V$40,PER!AT339=1,PER!$V$41,PER!AT379=1,PER!$V$42,PER!AT419=1,PER!$V$43,PER!AT459=1,PER!$V$44,PER!AT499=1,PER!$V$45,PER!AT539=1,PER!$V$46,PER!AT579=1,PER!$V$47,PER!AT619=1,PER!$V$48)))</f>
        <v/>
      </c>
      <c r="F28" s="54" t="str" cm="1">
        <f t="array" ref="F28">IF(PER!Z78=0,"",IF((PER!AU59+PER!AU99+PER!AU139+PER!AU179+PER!AU219+PER!AU259+PER!AU299+PER!AU339+PER!AU379+PER!AU419+PER!AU459+PER!AU499+PER!AU539+PER!AU579+PER!AU619)=0,"",_xlfn.IFS(PER!AU59=1,PER!$V$34,PER!AU99=1,PER!$V$35,PER!AU139=1,PER!$V$36,PER!AU179=1,PER!$V$37,PER!AU219=1,PER!$V$38,PER!AU259=1,PER!$V$39,PER!AU299=1,PER!$V$40,PER!AU339=1,PER!$V$41,PER!AU379=1,PER!$V$42,PER!AU419=1,PER!$V$43,PER!AU459=1,PER!$V$44,PER!AU499=1,PER!$V$45,PER!AU539=1,PER!$V$46,PER!AU579=1,PER!$V$47,PER!AU619=1,PER!$V$48)))</f>
        <v/>
      </c>
      <c r="G28" s="54" t="str" cm="1">
        <f t="array" ref="G28">IF(PER!AA78=0,"",IF((PER!AV59+PER!AV99+PER!AV139+PER!AV179+PER!AV219+PER!AV259+PER!AV299+PER!AV339+PER!AV379+PER!AV419+PER!AV459+PER!AV499+PER!AV539+PER!AV579+PER!AV619)=0,"",_xlfn.IFS(PER!AV59=1,PER!$V$34,PER!AV99=1,PER!$V$35,PER!AV139=1,PER!$V$36,PER!AV179=1,PER!$V$37,PER!AV219=1,PER!$V$38,PER!AV259=1,PER!$V$39,PER!AV299=1,PER!$V$40,PER!AV339=1,PER!$V$41,PER!AV379=1,PER!$V$42,PER!AV419=1,PER!$V$43,PER!AV459=1,PER!$V$44,PER!AV499=1,PER!$V$45,PER!AV539=1,PER!$V$46,PER!AV579=1,PER!$V$47,PER!AV619=1,PER!$V$48)))</f>
        <v/>
      </c>
      <c r="H28" s="54" t="str" cm="1">
        <f t="array" ref="H28">IF(PER!AB78=0,"",IF((PER!AW59+PER!AW99+PER!AW139+PER!AW179+PER!AW219+PER!AW259+PER!AW299+PER!AW339+PER!AW379+PER!AW419+PER!AW459+PER!AW499+PER!AW539+PER!AW579+PER!AW619)=0,"",_xlfn.IFS(PER!AW59=1,PER!$V$34,PER!AW99=1,PER!$V$35,PER!AW139=1,PER!$V$36,PER!AW179=1,PER!$V$37,PER!AW219=1,PER!$V$38,PER!AW259=1,PER!$V$39,PER!AW299=1,PER!$V$40,PER!AW339=1,PER!$V$41,PER!AW379=1,PER!$V$42,PER!AW419=1,PER!$V$43,PER!AW459=1,PER!$V$44,PER!AW499=1,PER!$V$45,PER!AW539=1,PER!$V$46,PER!AW579=1,PER!$V$47,PER!AW619=1,PER!$V$48)))</f>
        <v/>
      </c>
      <c r="I28" s="54" t="str" cm="1">
        <f t="array" ref="I28">IF(PER!AC78=0,"",IF((PER!AX59+PER!AX99+PER!AX139+PER!AX179+PER!AX219+PER!AX259+PER!AX299+PER!AX339+PER!AX379+PER!AX419+PER!AX459+PER!AX499+PER!AX539+PER!AX579+PER!AX619)=0,"",_xlfn.IFS(PER!AX59=1,PER!$V$34,PER!AX99=1,PER!$V$35,PER!AX139=1,PER!$V$36,PER!AX179=1,PER!$V$37,PER!AX219=1,PER!$V$38,PER!AX259=1,PER!$V$39,PER!AX299=1,PER!$V$40,PER!AX339=1,PER!$V$41,PER!AX379=1,PER!$V$42,PER!AX419=1,PER!$V$43,PER!AX459=1,PER!$V$44,PER!AX499=1,PER!$V$45,PER!AX539=1,PER!$V$46,PER!AX579=1,PER!$V$47,PER!AX619=1,PER!$V$48)))</f>
        <v/>
      </c>
      <c r="J28" s="54" t="str" cm="1">
        <f t="array" ref="J28">IF(PER!AD78=0,"",IF((PER!AY59+PER!AY99+PER!AY139+PER!AY179+PER!AY219+PER!AY259+PER!AY299+PER!AY339+PER!AY379+PER!AY419+PER!AY459+PER!AY499+PER!AY539+PER!AY579+PER!AY619)=0,"",_xlfn.IFS(PER!AY59=1,PER!$V$34,PER!AY99=1,PER!$V$35,PER!AY139=1,PER!$V$36,PER!AY179=1,PER!$V$37,PER!AY219=1,PER!$V$38,PER!AY259=1,PER!$V$39,PER!AY299=1,PER!$V$40,PER!AY339=1,PER!$V$41,PER!AY379=1,PER!$V$42,PER!AY419=1,PER!$V$43,PER!AY459=1,PER!$V$44,PER!AY499=1,PER!$V$45,PER!AY539=1,PER!$V$46,PER!AY579=1,PER!$V$47,PER!AY619=1,PER!$V$48)))</f>
        <v/>
      </c>
      <c r="K28" s="54" t="str" cm="1">
        <f t="array" ref="K28">IF(PER!AE78=0,"",IF((PER!AZ59+PER!AZ99+PER!AZ139+PER!AZ179+PER!AZ219+PER!AZ259+PER!AZ299+PER!AZ339+PER!AZ379+PER!AZ419+PER!AZ459+PER!AZ499+PER!AZ539+PER!AZ579+PER!AZ619)=0,"",_xlfn.IFS(PER!AZ59=1,PER!$V$34,PER!AZ99=1,PER!$V$35,PER!AZ139=1,PER!$V$36,PER!AZ179=1,PER!$V$37,PER!AZ219=1,PER!$V$38,PER!AZ259=1,PER!$V$39,PER!AZ299=1,PER!$V$40,PER!AZ339=1,PER!$V$41,PER!AZ379=1,PER!$V$42,PER!AZ419=1,PER!$V$43,PER!AZ459=1,PER!$V$44,PER!AZ499=1,PER!$V$45,PER!AZ539=1,PER!$V$46,PER!AZ579=1,PER!$V$47,PER!AZ619=1,PER!$V$48)))</f>
        <v/>
      </c>
      <c r="L28" s="54" t="str" cm="1">
        <f t="array" ref="L28">IF(PER!AF78=0,"",IF((PER!BA59+PER!BA99+PER!BA139+PER!BA179+PER!BA219+PER!BA259+PER!BA299+PER!BA339+PER!BA379+PER!BA419+PER!BA459+PER!BA499+PER!BA539+PER!BA579+PER!BA619)=0,"",_xlfn.IFS(PER!BA59=1,PER!$V$34,PER!BA99=1,PER!$V$35,PER!BA139=1,PER!$V$36,PER!BA179=1,PER!$V$37,PER!BA219=1,PER!$V$38,PER!BA259=1,PER!$V$39,PER!BA299=1,PER!$V$40,PER!BA339=1,PER!$V$41,PER!BA379=1,PER!$V$42,PER!BA419=1,PER!$V$43,PER!BA459=1,PER!$V$44,PER!BA499=1,PER!$V$45,PER!BA539=1,PER!$V$46,PER!BA579=1,PER!$V$47,PER!BA619=1,PER!$V$48)))</f>
        <v/>
      </c>
      <c r="M28" s="54" t="str" cm="1">
        <f t="array" ref="M28">IF(PER!AG78=0,"",IF((PER!BB59+PER!BB99+PER!BB139+PER!BB179+PER!BB219+PER!BB259+PER!BB299+PER!BB339+PER!BB379+PER!BB419+PER!BB459+PER!BB499+PER!BB539+PER!BB579+PER!BB619)=0,"",_xlfn.IFS(PER!BB59=1,PER!$V$34,PER!BB99=1,PER!$V$35,PER!BB139=1,PER!$V$36,PER!BB179=1,PER!$V$37,PER!BB219=1,PER!$V$38,PER!BB259=1,PER!$V$39,PER!BB299=1,PER!$V$40,PER!BB339=1,PER!$V$41,PER!BB379=1,PER!$V$42,PER!BB419=1,PER!$V$43,PER!BB459=1,PER!$V$44,PER!BB499=1,PER!$V$45,PER!BB539=1,PER!$V$46,PER!BB579=1,PER!$V$47,PER!BB619=1,PER!$V$48)))</f>
        <v/>
      </c>
      <c r="N28" s="54" t="str" cm="1">
        <f t="array" ref="N28">IF(PER!AH78=0,"",IF((PER!BC59+PER!BC99+PER!BC139+PER!BC179+PER!BC219+PER!BC259+PER!BC299+PER!BC339+PER!BC379+PER!BC419+PER!BC459+PER!BC499+PER!BC539+PER!BC579+PER!BC619)=0,"",_xlfn.IFS(PER!BC59=1,PER!$V$34,PER!BC99=1,PER!$V$35,PER!BC139=1,PER!$V$36,PER!BC179=1,PER!$V$37,PER!BC219=1,PER!$V$38,PER!BC259=1,PER!$V$39,PER!BC299=1,PER!$V$40,PER!BC339=1,PER!$V$41,PER!BC379=1,PER!$V$42,PER!BC419=1,PER!$V$43,PER!BC459=1,PER!$V$44,PER!BC499=1,PER!$V$45,PER!BC539=1,PER!$V$46,PER!BC579=1,PER!$V$47,PER!BC619=1,PER!$V$48)))</f>
        <v/>
      </c>
      <c r="O28" s="54" t="str" cm="1">
        <f t="array" ref="O28">IF(PER!AI78=0,"",IF((PER!BD59+PER!BD99+PER!BD139+PER!BD179+PER!BD219+PER!BD259+PER!BD299+PER!BD339+PER!BD379+PER!BD419+PER!BD459+PER!BD499+PER!BD539+PER!BD579+PER!BD619)=0,"",_xlfn.IFS(PER!BD59=1,PER!$V$34,PER!BD99=1,PER!$V$35,PER!BD139=1,PER!$V$36,PER!BD179=1,PER!$V$37,PER!BD219=1,PER!$V$38,PER!BD259=1,PER!$V$39,PER!BD299=1,PER!$V$40,PER!BD339=1,PER!$V$41,PER!BD379=1,PER!$V$42,PER!BD419=1,PER!$V$43,PER!BD459=1,PER!$V$44,PER!BD499=1,PER!$V$45,PER!BD539=1,PER!$V$46,PER!BD579=1,PER!$V$47,PER!BD619=1,PER!$V$48)))</f>
        <v/>
      </c>
      <c r="P28" s="54" t="str" cm="1">
        <f t="array" ref="P28">IF(PER!AJ78=0,"",IF((PER!BE59+PER!BE99+PER!BE139+PER!BE179+PER!BE219+PER!BE259+PER!BE299+PER!BE339+PER!BE379+PER!BE419+PER!BE459+PER!BE499+PER!BE539+PER!BE579+PER!BE619)=0,"",_xlfn.IFS(PER!BE59=1,PER!$V$34,PER!BE99=1,PER!$V$35,PER!BE139=1,PER!$V$36,PER!BE179=1,PER!$V$37,PER!BE219=1,PER!$V$38,PER!BE259=1,PER!$V$39,PER!BE299=1,PER!$V$40,PER!BE339=1,PER!$V$41,PER!BE379=1,PER!$V$42,PER!BE419=1,PER!$V$43,PER!BE459=1,PER!$V$44,PER!BE499=1,PER!$V$45,PER!BE539=1,PER!$V$46,PER!BE579=1,PER!$V$47,PER!BE619=1,PER!$V$48)))</f>
        <v/>
      </c>
      <c r="Q28" s="54" t="str" cm="1">
        <f t="array" ref="Q28">IF(PER!AK78=0,"",IF((PER!BF59+PER!BF99+PER!BF139+PER!BF179+PER!BF219+PER!BF259+PER!BF299+PER!BF339+PER!BF379+PER!BF419+PER!BF459+PER!BF499+PER!BF539+PER!BF579+PER!BF619)=0,"",_xlfn.IFS(PER!BF59=1,PER!$V$34,PER!BF99=1,PER!$V$35,PER!BF139=1,PER!$V$36,PER!BF179=1,PER!$V$37,PER!BF219=1,PER!$V$38,PER!BF259=1,PER!$V$39,PER!BF299=1,PER!$V$40,PER!BF339=1,PER!$V$41,PER!BF379=1,PER!$V$42,PER!BF419=1,PER!$V$43,PER!BF459=1,PER!$V$44,PER!BF499=1,PER!$V$45,PER!BF539=1,PER!$V$46,PER!BF579=1,PER!$V$47,PER!BF619=1,PER!$V$48)))</f>
        <v/>
      </c>
      <c r="R28" s="54" t="str" cm="1">
        <f t="array" ref="R28">IF(PER!AL78=0,"",IF((PER!BG59+PER!BG99+PER!BG139+PER!BG179+PER!BG219+PER!BG259+PER!BG299+PER!BG339+PER!BG379+PER!BG419+PER!BG459+PER!BG499+PER!BG539+PER!BG579+PER!BG619)=0,"",_xlfn.IFS(PER!BG59=1,PER!$V$34,PER!BG99=1,PER!$V$35,PER!BG139=1,PER!$V$36,PER!BG179=1,PER!$V$37,PER!BG219=1,PER!$V$38,PER!BG259=1,PER!$V$39,PER!BG299=1,PER!$V$40,PER!BG339=1,PER!$V$41,PER!BG379=1,PER!$V$42,PER!BG419=1,PER!$V$43,PER!BG459=1,PER!$V$44,PER!BG499=1,PER!$V$45,PER!BG539=1,PER!$V$46,PER!BG579=1,PER!$V$47,PER!BG619=1,PER!$V$48)))</f>
        <v/>
      </c>
      <c r="S28" s="54" t="str" cm="1">
        <f t="array" ref="S28">IF(PER!AM78=0,"",IF((PER!BH59+PER!BH99+PER!BH139+PER!BH179+PER!BH219+PER!BH259+PER!BH299+PER!BH339+PER!BH379+PER!BH419+PER!BH459+PER!BH499+PER!BH539+PER!BH579+PER!BH619)=0,"",_xlfn.IFS(PER!BH59=1,PER!$V$34,PER!BH99=1,PER!$V$35,PER!BH139=1,PER!$V$36,PER!BH179=1,PER!$V$37,PER!BH219=1,PER!$V$38,PER!BH259=1,PER!$V$39,PER!BH299=1,PER!$V$40,PER!BH339=1,PER!$V$41,PER!BH379=1,PER!$V$42,PER!BH419=1,PER!$V$43,PER!BH459=1,PER!$V$44,PER!BH499=1,PER!$V$45,PER!BH539=1,PER!$V$46,PER!BH579=1,PER!$V$47,PER!BH619=1,PER!$V$48)))</f>
        <v/>
      </c>
    </row>
    <row r="29" spans="1:19" x14ac:dyDescent="0.55000000000000004">
      <c r="A29">
        <v>27</v>
      </c>
      <c r="B29" t="s">
        <v>146</v>
      </c>
      <c r="C29" s="54" t="str" cm="1">
        <f t="array" ref="C29">IF(PER!W79=0,"",IF((PER!AR60+PER!AR100+PER!AR140+PER!AR180+PER!AR220+PER!AR260+PER!AR300+PER!AR340+PER!AR380+PER!AR420+PER!AR460+PER!AR500+PER!AR540+PER!AR580+PER!AR620)=0,"",_xlfn.IFS(PER!AR60=1,PER!$V$34,PER!AR100=1,PER!$V$35,PER!AR140=1,PER!$V$36,PER!AR180=1,PER!$V$37,PER!AR220=1,PER!$V$38,PER!AR260=1,PER!$V$39,PER!AR300=1,PER!$V$40,PER!AR340=1,PER!$V$41,PER!AR380=1,PER!$V$42,PER!AR420=1,PER!$V$43,PER!AR460=1,PER!$V$44,PER!AR500=1,PER!$V$45,PER!AR540=1,PER!$V$46,PER!AR580=1,PER!$V$47,PER!AR620=1,PER!$V$48)))</f>
        <v/>
      </c>
      <c r="D29" s="54" t="str" cm="1">
        <f t="array" ref="D29">IF(PER!X79=0,"",IF((PER!AS60+PER!AS100+PER!AS140+PER!AS180+PER!AS220+PER!AS260+PER!AS300+PER!AS340+PER!AS380+PER!AS420+PER!AS460+PER!AS500+PER!AS540+PER!AS580+PER!AS620)=0,"",_xlfn.IFS(PER!AS60=1,PER!$V$34,PER!AS100=1,PER!$V$35,PER!AS140=1,PER!$V$36,PER!AS180=1,PER!$V$37,PER!AS220=1,PER!$V$38,PER!AS260=1,PER!$V$39,PER!AS300=1,PER!$V$40,PER!AS340=1,PER!$V$41,PER!AS380=1,PER!$V$42,PER!AS420=1,PER!$V$43,PER!AS460=1,PER!$V$44,PER!AS500=1,PER!$V$45,PER!AS540=1,PER!$V$46,PER!AS580=1,PER!$V$47,PER!AS620=1,PER!$V$48)))</f>
        <v/>
      </c>
      <c r="E29" s="54" t="str" cm="1">
        <f t="array" ref="E29">IF(PER!Y79=0,"",IF((PER!AT60+PER!AT100+PER!AT140+PER!AT180+PER!AT220+PER!AT260+PER!AT300+PER!AT340+PER!AT380+PER!AT420+PER!AT460+PER!AT500+PER!AT540+PER!AT580+PER!AT620)=0,"",_xlfn.IFS(PER!AT60=1,PER!$V$34,PER!AT100=1,PER!$V$35,PER!AT140=1,PER!$V$36,PER!AT180=1,PER!$V$37,PER!AT220=1,PER!$V$38,PER!AT260=1,PER!$V$39,PER!AT300=1,PER!$V$40,PER!AT340=1,PER!$V$41,PER!AT380=1,PER!$V$42,PER!AT420=1,PER!$V$43,PER!AT460=1,PER!$V$44,PER!AT500=1,PER!$V$45,PER!AT540=1,PER!$V$46,PER!AT580=1,PER!$V$47,PER!AT620=1,PER!$V$48)))</f>
        <v/>
      </c>
      <c r="F29" s="54" t="str" cm="1">
        <f t="array" ref="F29">IF(PER!Z79=0,"",IF((PER!AU60+PER!AU100+PER!AU140+PER!AU180+PER!AU220+PER!AU260+PER!AU300+PER!AU340+PER!AU380+PER!AU420+PER!AU460+PER!AU500+PER!AU540+PER!AU580+PER!AU620)=0,"",_xlfn.IFS(PER!AU60=1,PER!$V$34,PER!AU100=1,PER!$V$35,PER!AU140=1,PER!$V$36,PER!AU180=1,PER!$V$37,PER!AU220=1,PER!$V$38,PER!AU260=1,PER!$V$39,PER!AU300=1,PER!$V$40,PER!AU340=1,PER!$V$41,PER!AU380=1,PER!$V$42,PER!AU420=1,PER!$V$43,PER!AU460=1,PER!$V$44,PER!AU500=1,PER!$V$45,PER!AU540=1,PER!$V$46,PER!AU580=1,PER!$V$47,PER!AU620=1,PER!$V$48)))</f>
        <v/>
      </c>
      <c r="G29" s="54" t="str" cm="1">
        <f t="array" ref="G29">IF(PER!AA79=0,"",IF((PER!AV60+PER!AV100+PER!AV140+PER!AV180+PER!AV220+PER!AV260+PER!AV300+PER!AV340+PER!AV380+PER!AV420+PER!AV460+PER!AV500+PER!AV540+PER!AV580+PER!AV620)=0,"",_xlfn.IFS(PER!AV60=1,PER!$V$34,PER!AV100=1,PER!$V$35,PER!AV140=1,PER!$V$36,PER!AV180=1,PER!$V$37,PER!AV220=1,PER!$V$38,PER!AV260=1,PER!$V$39,PER!AV300=1,PER!$V$40,PER!AV340=1,PER!$V$41,PER!AV380=1,PER!$V$42,PER!AV420=1,PER!$V$43,PER!AV460=1,PER!$V$44,PER!AV500=1,PER!$V$45,PER!AV540=1,PER!$V$46,PER!AV580=1,PER!$V$47,PER!AV620=1,PER!$V$48)))</f>
        <v/>
      </c>
      <c r="H29" s="54" t="str" cm="1">
        <f t="array" ref="H29">IF(PER!AB79=0,"",IF((PER!AW60+PER!AW100+PER!AW140+PER!AW180+PER!AW220+PER!AW260+PER!AW300+PER!AW340+PER!AW380+PER!AW420+PER!AW460+PER!AW500+PER!AW540+PER!AW580+PER!AW620)=0,"",_xlfn.IFS(PER!AW60=1,PER!$V$34,PER!AW100=1,PER!$V$35,PER!AW140=1,PER!$V$36,PER!AW180=1,PER!$V$37,PER!AW220=1,PER!$V$38,PER!AW260=1,PER!$V$39,PER!AW300=1,PER!$V$40,PER!AW340=1,PER!$V$41,PER!AW380=1,PER!$V$42,PER!AW420=1,PER!$V$43,PER!AW460=1,PER!$V$44,PER!AW500=1,PER!$V$45,PER!AW540=1,PER!$V$46,PER!AW580=1,PER!$V$47,PER!AW620=1,PER!$V$48)))</f>
        <v/>
      </c>
      <c r="I29" s="54" t="str" cm="1">
        <f t="array" ref="I29">IF(PER!AC79=0,"",IF((PER!AX60+PER!AX100+PER!AX140+PER!AX180+PER!AX220+PER!AX260+PER!AX300+PER!AX340+PER!AX380+PER!AX420+PER!AX460+PER!AX500+PER!AX540+PER!AX580+PER!AX620)=0,"",_xlfn.IFS(PER!AX60=1,PER!$V$34,PER!AX100=1,PER!$V$35,PER!AX140=1,PER!$V$36,PER!AX180=1,PER!$V$37,PER!AX220=1,PER!$V$38,PER!AX260=1,PER!$V$39,PER!AX300=1,PER!$V$40,PER!AX340=1,PER!$V$41,PER!AX380=1,PER!$V$42,PER!AX420=1,PER!$V$43,PER!AX460=1,PER!$V$44,PER!AX500=1,PER!$V$45,PER!AX540=1,PER!$V$46,PER!AX580=1,PER!$V$47,PER!AX620=1,PER!$V$48)))</f>
        <v/>
      </c>
      <c r="J29" s="54" t="str" cm="1">
        <f t="array" ref="J29">IF(PER!AD79=0,"",IF((PER!AY60+PER!AY100+PER!AY140+PER!AY180+PER!AY220+PER!AY260+PER!AY300+PER!AY340+PER!AY380+PER!AY420+PER!AY460+PER!AY500+PER!AY540+PER!AY580+PER!AY620)=0,"",_xlfn.IFS(PER!AY60=1,PER!$V$34,PER!AY100=1,PER!$V$35,PER!AY140=1,PER!$V$36,PER!AY180=1,PER!$V$37,PER!AY220=1,PER!$V$38,PER!AY260=1,PER!$V$39,PER!AY300=1,PER!$V$40,PER!AY340=1,PER!$V$41,PER!AY380=1,PER!$V$42,PER!AY420=1,PER!$V$43,PER!AY460=1,PER!$V$44,PER!AY500=1,PER!$V$45,PER!AY540=1,PER!$V$46,PER!AY580=1,PER!$V$47,PER!AY620=1,PER!$V$48)))</f>
        <v/>
      </c>
      <c r="K29" s="54" t="str" cm="1">
        <f t="array" ref="K29">IF(PER!AE79=0,"",IF((PER!AZ60+PER!AZ100+PER!AZ140+PER!AZ180+PER!AZ220+PER!AZ260+PER!AZ300+PER!AZ340+PER!AZ380+PER!AZ420+PER!AZ460+PER!AZ500+PER!AZ540+PER!AZ580+PER!AZ620)=0,"",_xlfn.IFS(PER!AZ60=1,PER!$V$34,PER!AZ100=1,PER!$V$35,PER!AZ140=1,PER!$V$36,PER!AZ180=1,PER!$V$37,PER!AZ220=1,PER!$V$38,PER!AZ260=1,PER!$V$39,PER!AZ300=1,PER!$V$40,PER!AZ340=1,PER!$V$41,PER!AZ380=1,PER!$V$42,PER!AZ420=1,PER!$V$43,PER!AZ460=1,PER!$V$44,PER!AZ500=1,PER!$V$45,PER!AZ540=1,PER!$V$46,PER!AZ580=1,PER!$V$47,PER!AZ620=1,PER!$V$48)))</f>
        <v/>
      </c>
      <c r="L29" s="54" t="str" cm="1">
        <f t="array" ref="L29">IF(PER!AF79=0,"",IF((PER!BA60+PER!BA100+PER!BA140+PER!BA180+PER!BA220+PER!BA260+PER!BA300+PER!BA340+PER!BA380+PER!BA420+PER!BA460+PER!BA500+PER!BA540+PER!BA580+PER!BA620)=0,"",_xlfn.IFS(PER!BA60=1,PER!$V$34,PER!BA100=1,PER!$V$35,PER!BA140=1,PER!$V$36,PER!BA180=1,PER!$V$37,PER!BA220=1,PER!$V$38,PER!BA260=1,PER!$V$39,PER!BA300=1,PER!$V$40,PER!BA340=1,PER!$V$41,PER!BA380=1,PER!$V$42,PER!BA420=1,PER!$V$43,PER!BA460=1,PER!$V$44,PER!BA500=1,PER!$V$45,PER!BA540=1,PER!$V$46,PER!BA580=1,PER!$V$47,PER!BA620=1,PER!$V$48)))</f>
        <v/>
      </c>
      <c r="M29" s="54" t="str" cm="1">
        <f t="array" ref="M29">IF(PER!AG79=0,"",IF((PER!BB60+PER!BB100+PER!BB140+PER!BB180+PER!BB220+PER!BB260+PER!BB300+PER!BB340+PER!BB380+PER!BB420+PER!BB460+PER!BB500+PER!BB540+PER!BB580+PER!BB620)=0,"",_xlfn.IFS(PER!BB60=1,PER!$V$34,PER!BB100=1,PER!$V$35,PER!BB140=1,PER!$V$36,PER!BB180=1,PER!$V$37,PER!BB220=1,PER!$V$38,PER!BB260=1,PER!$V$39,PER!BB300=1,PER!$V$40,PER!BB340=1,PER!$V$41,PER!BB380=1,PER!$V$42,PER!BB420=1,PER!$V$43,PER!BB460=1,PER!$V$44,PER!BB500=1,PER!$V$45,PER!BB540=1,PER!$V$46,PER!BB580=1,PER!$V$47,PER!BB620=1,PER!$V$48)))</f>
        <v/>
      </c>
      <c r="N29" s="54" t="str" cm="1">
        <f t="array" ref="N29">IF(PER!AH79=0,"",IF((PER!BC60+PER!BC100+PER!BC140+PER!BC180+PER!BC220+PER!BC260+PER!BC300+PER!BC340+PER!BC380+PER!BC420+PER!BC460+PER!BC500+PER!BC540+PER!BC580+PER!BC620)=0,"",_xlfn.IFS(PER!BC60=1,PER!$V$34,PER!BC100=1,PER!$V$35,PER!BC140=1,PER!$V$36,PER!BC180=1,PER!$V$37,PER!BC220=1,PER!$V$38,PER!BC260=1,PER!$V$39,PER!BC300=1,PER!$V$40,PER!BC340=1,PER!$V$41,PER!BC380=1,PER!$V$42,PER!BC420=1,PER!$V$43,PER!BC460=1,PER!$V$44,PER!BC500=1,PER!$V$45,PER!BC540=1,PER!$V$46,PER!BC580=1,PER!$V$47,PER!BC620=1,PER!$V$48)))</f>
        <v/>
      </c>
      <c r="O29" s="54" t="str" cm="1">
        <f t="array" ref="O29">IF(PER!AI79=0,"",IF((PER!BD60+PER!BD100+PER!BD140+PER!BD180+PER!BD220+PER!BD260+PER!BD300+PER!BD340+PER!BD380+PER!BD420+PER!BD460+PER!BD500+PER!BD540+PER!BD580+PER!BD620)=0,"",_xlfn.IFS(PER!BD60=1,PER!$V$34,PER!BD100=1,PER!$V$35,PER!BD140=1,PER!$V$36,PER!BD180=1,PER!$V$37,PER!BD220=1,PER!$V$38,PER!BD260=1,PER!$V$39,PER!BD300=1,PER!$V$40,PER!BD340=1,PER!$V$41,PER!BD380=1,PER!$V$42,PER!BD420=1,PER!$V$43,PER!BD460=1,PER!$V$44,PER!BD500=1,PER!$V$45,PER!BD540=1,PER!$V$46,PER!BD580=1,PER!$V$47,PER!BD620=1,PER!$V$48)))</f>
        <v/>
      </c>
      <c r="P29" s="54" t="str" cm="1">
        <f t="array" ref="P29">IF(PER!AJ79=0,"",IF((PER!BE60+PER!BE100+PER!BE140+PER!BE180+PER!BE220+PER!BE260+PER!BE300+PER!BE340+PER!BE380+PER!BE420+PER!BE460+PER!BE500+PER!BE540+PER!BE580+PER!BE620)=0,"",_xlfn.IFS(PER!BE60=1,PER!$V$34,PER!BE100=1,PER!$V$35,PER!BE140=1,PER!$V$36,PER!BE180=1,PER!$V$37,PER!BE220=1,PER!$V$38,PER!BE260=1,PER!$V$39,PER!BE300=1,PER!$V$40,PER!BE340=1,PER!$V$41,PER!BE380=1,PER!$V$42,PER!BE420=1,PER!$V$43,PER!BE460=1,PER!$V$44,PER!BE500=1,PER!$V$45,PER!BE540=1,PER!$V$46,PER!BE580=1,PER!$V$47,PER!BE620=1,PER!$V$48)))</f>
        <v/>
      </c>
      <c r="Q29" s="54" t="str" cm="1">
        <f t="array" ref="Q29">IF(PER!AK79=0,"",IF((PER!BF60+PER!BF100+PER!BF140+PER!BF180+PER!BF220+PER!BF260+PER!BF300+PER!BF340+PER!BF380+PER!BF420+PER!BF460+PER!BF500+PER!BF540+PER!BF580+PER!BF620)=0,"",_xlfn.IFS(PER!BF60=1,PER!$V$34,PER!BF100=1,PER!$V$35,PER!BF140=1,PER!$V$36,PER!BF180=1,PER!$V$37,PER!BF220=1,PER!$V$38,PER!BF260=1,PER!$V$39,PER!BF300=1,PER!$V$40,PER!BF340=1,PER!$V$41,PER!BF380=1,PER!$V$42,PER!BF420=1,PER!$V$43,PER!BF460=1,PER!$V$44,PER!BF500=1,PER!$V$45,PER!BF540=1,PER!$V$46,PER!BF580=1,PER!$V$47,PER!BF620=1,PER!$V$48)))</f>
        <v/>
      </c>
      <c r="R29" s="54" t="str" cm="1">
        <f t="array" ref="R29">IF(PER!AL79=0,"",IF((PER!BG60+PER!BG100+PER!BG140+PER!BG180+PER!BG220+PER!BG260+PER!BG300+PER!BG340+PER!BG380+PER!BG420+PER!BG460+PER!BG500+PER!BG540+PER!BG580+PER!BG620)=0,"",_xlfn.IFS(PER!BG60=1,PER!$V$34,PER!BG100=1,PER!$V$35,PER!BG140=1,PER!$V$36,PER!BG180=1,PER!$V$37,PER!BG220=1,PER!$V$38,PER!BG260=1,PER!$V$39,PER!BG300=1,PER!$V$40,PER!BG340=1,PER!$V$41,PER!BG380=1,PER!$V$42,PER!BG420=1,PER!$V$43,PER!BG460=1,PER!$V$44,PER!BG500=1,PER!$V$45,PER!BG540=1,PER!$V$46,PER!BG580=1,PER!$V$47,PER!BG620=1,PER!$V$48)))</f>
        <v/>
      </c>
      <c r="S29" s="54" t="str" cm="1">
        <f t="array" ref="S29">IF(PER!AM79=0,"",IF((PER!BH60+PER!BH100+PER!BH140+PER!BH180+PER!BH220+PER!BH260+PER!BH300+PER!BH340+PER!BH380+PER!BH420+PER!BH460+PER!BH500+PER!BH540+PER!BH580+PER!BH620)=0,"",_xlfn.IFS(PER!BH60=1,PER!$V$34,PER!BH100=1,PER!$V$35,PER!BH140=1,PER!$V$36,PER!BH180=1,PER!$V$37,PER!BH220=1,PER!$V$38,PER!BH260=1,PER!$V$39,PER!BH300=1,PER!$V$40,PER!BH340=1,PER!$V$41,PER!BH380=1,PER!$V$42,PER!BH420=1,PER!$V$43,PER!BH460=1,PER!$V$44,PER!BH500=1,PER!$V$45,PER!BH540=1,PER!$V$46,PER!BH580=1,PER!$V$47,PER!BH620=1,PER!$V$48)))</f>
        <v/>
      </c>
    </row>
    <row r="30" spans="1:19" x14ac:dyDescent="0.55000000000000004">
      <c r="A30">
        <v>28</v>
      </c>
      <c r="B30" t="s">
        <v>146</v>
      </c>
      <c r="C30" s="54" t="str" cm="1">
        <f t="array" ref="C30">IF(PER!W80=0,"",IF((PER!AR61+PER!AR101+PER!AR141+PER!AR181+PER!AR221+PER!AR261+PER!AR301+PER!AR341+PER!AR381+PER!AR421+PER!AR461+PER!AR501+PER!AR541+PER!AR581+PER!AR621)=0,"",_xlfn.IFS(PER!AR61=1,PER!$V$34,PER!AR101=1,PER!$V$35,PER!AR141=1,PER!$V$36,PER!AR181=1,PER!$V$37,PER!AR221=1,PER!$V$38,PER!AR261=1,PER!$V$39,PER!AR301=1,PER!$V$40,PER!AR341=1,PER!$V$41,PER!AR381=1,PER!$V$42,PER!AR421=1,PER!$V$43,PER!AR461=1,PER!$V$44,PER!AR501=1,PER!$V$45,PER!AR541=1,PER!$V$46,PER!AR581=1,PER!$V$47,PER!AR621=1,PER!$V$48)))</f>
        <v/>
      </c>
      <c r="D30" s="54" t="str" cm="1">
        <f t="array" ref="D30">IF(PER!X80=0,"",IF((PER!AS61+PER!AS101+PER!AS141+PER!AS181+PER!AS221+PER!AS261+PER!AS301+PER!AS341+PER!AS381+PER!AS421+PER!AS461+PER!AS501+PER!AS541+PER!AS581+PER!AS621)=0,"",_xlfn.IFS(PER!AS61=1,PER!$V$34,PER!AS101=1,PER!$V$35,PER!AS141=1,PER!$V$36,PER!AS181=1,PER!$V$37,PER!AS221=1,PER!$V$38,PER!AS261=1,PER!$V$39,PER!AS301=1,PER!$V$40,PER!AS341=1,PER!$V$41,PER!AS381=1,PER!$V$42,PER!AS421=1,PER!$V$43,PER!AS461=1,PER!$V$44,PER!AS501=1,PER!$V$45,PER!AS541=1,PER!$V$46,PER!AS581=1,PER!$V$47,PER!AS621=1,PER!$V$48)))</f>
        <v/>
      </c>
      <c r="E30" s="54" t="str" cm="1">
        <f t="array" ref="E30">IF(PER!Y80=0,"",IF((PER!AT61+PER!AT101+PER!AT141+PER!AT181+PER!AT221+PER!AT261+PER!AT301+PER!AT341+PER!AT381+PER!AT421+PER!AT461+PER!AT501+PER!AT541+PER!AT581+PER!AT621)=0,"",_xlfn.IFS(PER!AT61=1,PER!$V$34,PER!AT101=1,PER!$V$35,PER!AT141=1,PER!$V$36,PER!AT181=1,PER!$V$37,PER!AT221=1,PER!$V$38,PER!AT261=1,PER!$V$39,PER!AT301=1,PER!$V$40,PER!AT341=1,PER!$V$41,PER!AT381=1,PER!$V$42,PER!AT421=1,PER!$V$43,PER!AT461=1,PER!$V$44,PER!AT501=1,PER!$V$45,PER!AT541=1,PER!$V$46,PER!AT581=1,PER!$V$47,PER!AT621=1,PER!$V$48)))</f>
        <v/>
      </c>
      <c r="F30" s="54" t="str" cm="1">
        <f t="array" ref="F30">IF(PER!Z80=0,"",IF((PER!AU61+PER!AU101+PER!AU141+PER!AU181+PER!AU221+PER!AU261+PER!AU301+PER!AU341+PER!AU381+PER!AU421+PER!AU461+PER!AU501+PER!AU541+PER!AU581+PER!AU621)=0,"",_xlfn.IFS(PER!AU61=1,PER!$V$34,PER!AU101=1,PER!$V$35,PER!AU141=1,PER!$V$36,PER!AU181=1,PER!$V$37,PER!AU221=1,PER!$V$38,PER!AU261=1,PER!$V$39,PER!AU301=1,PER!$V$40,PER!AU341=1,PER!$V$41,PER!AU381=1,PER!$V$42,PER!AU421=1,PER!$V$43,PER!AU461=1,PER!$V$44,PER!AU501=1,PER!$V$45,PER!AU541=1,PER!$V$46,PER!AU581=1,PER!$V$47,PER!AU621=1,PER!$V$48)))</f>
        <v/>
      </c>
      <c r="G30" s="54" t="str" cm="1">
        <f t="array" ref="G30">IF(PER!AA80=0,"",IF((PER!AV61+PER!AV101+PER!AV141+PER!AV181+PER!AV221+PER!AV261+PER!AV301+PER!AV341+PER!AV381+PER!AV421+PER!AV461+PER!AV501+PER!AV541+PER!AV581+PER!AV621)=0,"",_xlfn.IFS(PER!AV61=1,PER!$V$34,PER!AV101=1,PER!$V$35,PER!AV141=1,PER!$V$36,PER!AV181=1,PER!$V$37,PER!AV221=1,PER!$V$38,PER!AV261=1,PER!$V$39,PER!AV301=1,PER!$V$40,PER!AV341=1,PER!$V$41,PER!AV381=1,PER!$V$42,PER!AV421=1,PER!$V$43,PER!AV461=1,PER!$V$44,PER!AV501=1,PER!$V$45,PER!AV541=1,PER!$V$46,PER!AV581=1,PER!$V$47,PER!AV621=1,PER!$V$48)))</f>
        <v/>
      </c>
      <c r="H30" s="54" t="str" cm="1">
        <f t="array" ref="H30">IF(PER!AB80=0,"",IF((PER!AW61+PER!AW101+PER!AW141+PER!AW181+PER!AW221+PER!AW261+PER!AW301+PER!AW341+PER!AW381+PER!AW421+PER!AW461+PER!AW501+PER!AW541+PER!AW581+PER!AW621)=0,"",_xlfn.IFS(PER!AW61=1,PER!$V$34,PER!AW101=1,PER!$V$35,PER!AW141=1,PER!$V$36,PER!AW181=1,PER!$V$37,PER!AW221=1,PER!$V$38,PER!AW261=1,PER!$V$39,PER!AW301=1,PER!$V$40,PER!AW341=1,PER!$V$41,PER!AW381=1,PER!$V$42,PER!AW421=1,PER!$V$43,PER!AW461=1,PER!$V$44,PER!AW501=1,PER!$V$45,PER!AW541=1,PER!$V$46,PER!AW581=1,PER!$V$47,PER!AW621=1,PER!$V$48)))</f>
        <v/>
      </c>
      <c r="I30" s="54" t="str" cm="1">
        <f t="array" ref="I30">IF(PER!AC80=0,"",IF((PER!AX61+PER!AX101+PER!AX141+PER!AX181+PER!AX221+PER!AX261+PER!AX301+PER!AX341+PER!AX381+PER!AX421+PER!AX461+PER!AX501+PER!AX541+PER!AX581+PER!AX621)=0,"",_xlfn.IFS(PER!AX61=1,PER!$V$34,PER!AX101=1,PER!$V$35,PER!AX141=1,PER!$V$36,PER!AX181=1,PER!$V$37,PER!AX221=1,PER!$V$38,PER!AX261=1,PER!$V$39,PER!AX301=1,PER!$V$40,PER!AX341=1,PER!$V$41,PER!AX381=1,PER!$V$42,PER!AX421=1,PER!$V$43,PER!AX461=1,PER!$V$44,PER!AX501=1,PER!$V$45,PER!AX541=1,PER!$V$46,PER!AX581=1,PER!$V$47,PER!AX621=1,PER!$V$48)))</f>
        <v/>
      </c>
      <c r="J30" s="54" t="str" cm="1">
        <f t="array" ref="J30">IF(PER!AD80=0,"",IF((PER!AY61+PER!AY101+PER!AY141+PER!AY181+PER!AY221+PER!AY261+PER!AY301+PER!AY341+PER!AY381+PER!AY421+PER!AY461+PER!AY501+PER!AY541+PER!AY581+PER!AY621)=0,"",_xlfn.IFS(PER!AY61=1,PER!$V$34,PER!AY101=1,PER!$V$35,PER!AY141=1,PER!$V$36,PER!AY181=1,PER!$V$37,PER!AY221=1,PER!$V$38,PER!AY261=1,PER!$V$39,PER!AY301=1,PER!$V$40,PER!AY341=1,PER!$V$41,PER!AY381=1,PER!$V$42,PER!AY421=1,PER!$V$43,PER!AY461=1,PER!$V$44,PER!AY501=1,PER!$V$45,PER!AY541=1,PER!$V$46,PER!AY581=1,PER!$V$47,PER!AY621=1,PER!$V$48)))</f>
        <v/>
      </c>
      <c r="K30" s="54" t="str" cm="1">
        <f t="array" ref="K30">IF(PER!AE80=0,"",IF((PER!AZ61+PER!AZ101+PER!AZ141+PER!AZ181+PER!AZ221+PER!AZ261+PER!AZ301+PER!AZ341+PER!AZ381+PER!AZ421+PER!AZ461+PER!AZ501+PER!AZ541+PER!AZ581+PER!AZ621)=0,"",_xlfn.IFS(PER!AZ61=1,PER!$V$34,PER!AZ101=1,PER!$V$35,PER!AZ141=1,PER!$V$36,PER!AZ181=1,PER!$V$37,PER!AZ221=1,PER!$V$38,PER!AZ261=1,PER!$V$39,PER!AZ301=1,PER!$V$40,PER!AZ341=1,PER!$V$41,PER!AZ381=1,PER!$V$42,PER!AZ421=1,PER!$V$43,PER!AZ461=1,PER!$V$44,PER!AZ501=1,PER!$V$45,PER!AZ541=1,PER!$V$46,PER!AZ581=1,PER!$V$47,PER!AZ621=1,PER!$V$48)))</f>
        <v/>
      </c>
      <c r="L30" s="54" t="str" cm="1">
        <f t="array" ref="L30">IF(PER!AF80=0,"",IF((PER!BA61+PER!BA101+PER!BA141+PER!BA181+PER!BA221+PER!BA261+PER!BA301+PER!BA341+PER!BA381+PER!BA421+PER!BA461+PER!BA501+PER!BA541+PER!BA581+PER!BA621)=0,"",_xlfn.IFS(PER!BA61=1,PER!$V$34,PER!BA101=1,PER!$V$35,PER!BA141=1,PER!$V$36,PER!BA181=1,PER!$V$37,PER!BA221=1,PER!$V$38,PER!BA261=1,PER!$V$39,PER!BA301=1,PER!$V$40,PER!BA341=1,PER!$V$41,PER!BA381=1,PER!$V$42,PER!BA421=1,PER!$V$43,PER!BA461=1,PER!$V$44,PER!BA501=1,PER!$V$45,PER!BA541=1,PER!$V$46,PER!BA581=1,PER!$V$47,PER!BA621=1,PER!$V$48)))</f>
        <v/>
      </c>
      <c r="M30" s="54" t="str" cm="1">
        <f t="array" ref="M30">IF(PER!AG80=0,"",IF((PER!BB61+PER!BB101+PER!BB141+PER!BB181+PER!BB221+PER!BB261+PER!BB301+PER!BB341+PER!BB381+PER!BB421+PER!BB461+PER!BB501+PER!BB541+PER!BB581+PER!BB621)=0,"",_xlfn.IFS(PER!BB61=1,PER!$V$34,PER!BB101=1,PER!$V$35,PER!BB141=1,PER!$V$36,PER!BB181=1,PER!$V$37,PER!BB221=1,PER!$V$38,PER!BB261=1,PER!$V$39,PER!BB301=1,PER!$V$40,PER!BB341=1,PER!$V$41,PER!BB381=1,PER!$V$42,PER!BB421=1,PER!$V$43,PER!BB461=1,PER!$V$44,PER!BB501=1,PER!$V$45,PER!BB541=1,PER!$V$46,PER!BB581=1,PER!$V$47,PER!BB621=1,PER!$V$48)))</f>
        <v/>
      </c>
      <c r="N30" s="54" t="str" cm="1">
        <f t="array" ref="N30">IF(PER!AH80=0,"",IF((PER!BC61+PER!BC101+PER!BC141+PER!BC181+PER!BC221+PER!BC261+PER!BC301+PER!BC341+PER!BC381+PER!BC421+PER!BC461+PER!BC501+PER!BC541+PER!BC581+PER!BC621)=0,"",_xlfn.IFS(PER!BC61=1,PER!$V$34,PER!BC101=1,PER!$V$35,PER!BC141=1,PER!$V$36,PER!BC181=1,PER!$V$37,PER!BC221=1,PER!$V$38,PER!BC261=1,PER!$V$39,PER!BC301=1,PER!$V$40,PER!BC341=1,PER!$V$41,PER!BC381=1,PER!$V$42,PER!BC421=1,PER!$V$43,PER!BC461=1,PER!$V$44,PER!BC501=1,PER!$V$45,PER!BC541=1,PER!$V$46,PER!BC581=1,PER!$V$47,PER!BC621=1,PER!$V$48)))</f>
        <v/>
      </c>
      <c r="O30" s="54" t="str" cm="1">
        <f t="array" ref="O30">IF(PER!AI80=0,"",IF((PER!BD61+PER!BD101+PER!BD141+PER!BD181+PER!BD221+PER!BD261+PER!BD301+PER!BD341+PER!BD381+PER!BD421+PER!BD461+PER!BD501+PER!BD541+PER!BD581+PER!BD621)=0,"",_xlfn.IFS(PER!BD61=1,PER!$V$34,PER!BD101=1,PER!$V$35,PER!BD141=1,PER!$V$36,PER!BD181=1,PER!$V$37,PER!BD221=1,PER!$V$38,PER!BD261=1,PER!$V$39,PER!BD301=1,PER!$V$40,PER!BD341=1,PER!$V$41,PER!BD381=1,PER!$V$42,PER!BD421=1,PER!$V$43,PER!BD461=1,PER!$V$44,PER!BD501=1,PER!$V$45,PER!BD541=1,PER!$V$46,PER!BD581=1,PER!$V$47,PER!BD621=1,PER!$V$48)))</f>
        <v/>
      </c>
      <c r="P30" s="54" t="str" cm="1">
        <f t="array" ref="P30">IF(PER!AJ80=0,"",IF((PER!BE61+PER!BE101+PER!BE141+PER!BE181+PER!BE221+PER!BE261+PER!BE301+PER!BE341+PER!BE381+PER!BE421+PER!BE461+PER!BE501+PER!BE541+PER!BE581+PER!BE621)=0,"",_xlfn.IFS(PER!BE61=1,PER!$V$34,PER!BE101=1,PER!$V$35,PER!BE141=1,PER!$V$36,PER!BE181=1,PER!$V$37,PER!BE221=1,PER!$V$38,PER!BE261=1,PER!$V$39,PER!BE301=1,PER!$V$40,PER!BE341=1,PER!$V$41,PER!BE381=1,PER!$V$42,PER!BE421=1,PER!$V$43,PER!BE461=1,PER!$V$44,PER!BE501=1,PER!$V$45,PER!BE541=1,PER!$V$46,PER!BE581=1,PER!$V$47,PER!BE621=1,PER!$V$48)))</f>
        <v/>
      </c>
      <c r="Q30" s="54" t="str" cm="1">
        <f t="array" ref="Q30">IF(PER!AK80=0,"",IF((PER!BF61+PER!BF101+PER!BF141+PER!BF181+PER!BF221+PER!BF261+PER!BF301+PER!BF341+PER!BF381+PER!BF421+PER!BF461+PER!BF501+PER!BF541+PER!BF581+PER!BF621)=0,"",_xlfn.IFS(PER!BF61=1,PER!$V$34,PER!BF101=1,PER!$V$35,PER!BF141=1,PER!$V$36,PER!BF181=1,PER!$V$37,PER!BF221=1,PER!$V$38,PER!BF261=1,PER!$V$39,PER!BF301=1,PER!$V$40,PER!BF341=1,PER!$V$41,PER!BF381=1,PER!$V$42,PER!BF421=1,PER!$V$43,PER!BF461=1,PER!$V$44,PER!BF501=1,PER!$V$45,PER!BF541=1,PER!$V$46,PER!BF581=1,PER!$V$47,PER!BF621=1,PER!$V$48)))</f>
        <v/>
      </c>
      <c r="R30" s="54" t="str" cm="1">
        <f t="array" ref="R30">IF(PER!AL80=0,"",IF((PER!BG61+PER!BG101+PER!BG141+PER!BG181+PER!BG221+PER!BG261+PER!BG301+PER!BG341+PER!BG381+PER!BG421+PER!BG461+PER!BG501+PER!BG541+PER!BG581+PER!BG621)=0,"",_xlfn.IFS(PER!BG61=1,PER!$V$34,PER!BG101=1,PER!$V$35,PER!BG141=1,PER!$V$36,PER!BG181=1,PER!$V$37,PER!BG221=1,PER!$V$38,PER!BG261=1,PER!$V$39,PER!BG301=1,PER!$V$40,PER!BG341=1,PER!$V$41,PER!BG381=1,PER!$V$42,PER!BG421=1,PER!$V$43,PER!BG461=1,PER!$V$44,PER!BG501=1,PER!$V$45,PER!BG541=1,PER!$V$46,PER!BG581=1,PER!$V$47,PER!BG621=1,PER!$V$48)))</f>
        <v/>
      </c>
      <c r="S30" s="54" t="str" cm="1">
        <f t="array" ref="S30">IF(PER!AM80=0,"",IF((PER!BH61+PER!BH101+PER!BH141+PER!BH181+PER!BH221+PER!BH261+PER!BH301+PER!BH341+PER!BH381+PER!BH421+PER!BH461+PER!BH501+PER!BH541+PER!BH581+PER!BH621)=0,"",_xlfn.IFS(PER!BH61=1,PER!$V$34,PER!BH101=1,PER!$V$35,PER!BH141=1,PER!$V$36,PER!BH181=1,PER!$V$37,PER!BH221=1,PER!$V$38,PER!BH261=1,PER!$V$39,PER!BH301=1,PER!$V$40,PER!BH341=1,PER!$V$41,PER!BH381=1,PER!$V$42,PER!BH421=1,PER!$V$43,PER!BH461=1,PER!$V$44,PER!BH501=1,PER!$V$45,PER!BH541=1,PER!$V$46,PER!BH581=1,PER!$V$47,PER!BH621=1,PER!$V$48)))</f>
        <v/>
      </c>
    </row>
    <row r="31" spans="1:19" x14ac:dyDescent="0.55000000000000004">
      <c r="A31">
        <v>29</v>
      </c>
      <c r="B31" t="s">
        <v>146</v>
      </c>
      <c r="C31" s="54" t="str" cm="1">
        <f t="array" ref="C31">IF(PER!W81=0,"",IF((PER!AR62+PER!AR102+PER!AR142+PER!AR182+PER!AR222+PER!AR262+PER!AR302+PER!AR342+PER!AR382+PER!AR422+PER!AR462+PER!AR502+PER!AR542+PER!AR582+PER!AR622)=0,"",_xlfn.IFS(PER!AR62=1,PER!$V$34,PER!AR102=1,PER!$V$35,PER!AR142=1,PER!$V$36,PER!AR182=1,PER!$V$37,PER!AR222=1,PER!$V$38,PER!AR262=1,PER!$V$39,PER!AR302=1,PER!$V$40,PER!AR342=1,PER!$V$41,PER!AR382=1,PER!$V$42,PER!AR422=1,PER!$V$43,PER!AR462=1,PER!$V$44,PER!AR502=1,PER!$V$45,PER!AR542=1,PER!$V$46,PER!AR582=1,PER!$V$47,PER!AR622=1,PER!$V$48)))</f>
        <v/>
      </c>
      <c r="D31" s="54" t="str" cm="1">
        <f t="array" ref="D31">IF(PER!X81=0,"",IF((PER!AS62+PER!AS102+PER!AS142+PER!AS182+PER!AS222+PER!AS262+PER!AS302+PER!AS342+PER!AS382+PER!AS422+PER!AS462+PER!AS502+PER!AS542+PER!AS582+PER!AS622)=0,"",_xlfn.IFS(PER!AS62=1,PER!$V$34,PER!AS102=1,PER!$V$35,PER!AS142=1,PER!$V$36,PER!AS182=1,PER!$V$37,PER!AS222=1,PER!$V$38,PER!AS262=1,PER!$V$39,PER!AS302=1,PER!$V$40,PER!AS342=1,PER!$V$41,PER!AS382=1,PER!$V$42,PER!AS422=1,PER!$V$43,PER!AS462=1,PER!$V$44,PER!AS502=1,PER!$V$45,PER!AS542=1,PER!$V$46,PER!AS582=1,PER!$V$47,PER!AS622=1,PER!$V$48)))</f>
        <v/>
      </c>
      <c r="E31" s="54" t="str" cm="1">
        <f t="array" ref="E31">IF(PER!Y81=0,"",IF((PER!AT62+PER!AT102+PER!AT142+PER!AT182+PER!AT222+PER!AT262+PER!AT302+PER!AT342+PER!AT382+PER!AT422+PER!AT462+PER!AT502+PER!AT542+PER!AT582+PER!AT622)=0,"",_xlfn.IFS(PER!AT62=1,PER!$V$34,PER!AT102=1,PER!$V$35,PER!AT142=1,PER!$V$36,PER!AT182=1,PER!$V$37,PER!AT222=1,PER!$V$38,PER!AT262=1,PER!$V$39,PER!AT302=1,PER!$V$40,PER!AT342=1,PER!$V$41,PER!AT382=1,PER!$V$42,PER!AT422=1,PER!$V$43,PER!AT462=1,PER!$V$44,PER!AT502=1,PER!$V$45,PER!AT542=1,PER!$V$46,PER!AT582=1,PER!$V$47,PER!AT622=1,PER!$V$48)))</f>
        <v/>
      </c>
      <c r="F31" s="54" t="str" cm="1">
        <f t="array" ref="F31">IF(PER!Z81=0,"",IF((PER!AU62+PER!AU102+PER!AU142+PER!AU182+PER!AU222+PER!AU262+PER!AU302+PER!AU342+PER!AU382+PER!AU422+PER!AU462+PER!AU502+PER!AU542+PER!AU582+PER!AU622)=0,"",_xlfn.IFS(PER!AU62=1,PER!$V$34,PER!AU102=1,PER!$V$35,PER!AU142=1,PER!$V$36,PER!AU182=1,PER!$V$37,PER!AU222=1,PER!$V$38,PER!AU262=1,PER!$V$39,PER!AU302=1,PER!$V$40,PER!AU342=1,PER!$V$41,PER!AU382=1,PER!$V$42,PER!AU422=1,PER!$V$43,PER!AU462=1,PER!$V$44,PER!AU502=1,PER!$V$45,PER!AU542=1,PER!$V$46,PER!AU582=1,PER!$V$47,PER!AU622=1,PER!$V$48)))</f>
        <v/>
      </c>
      <c r="G31" s="54" t="str" cm="1">
        <f t="array" ref="G31">IF(PER!AA81=0,"",IF((PER!AV62+PER!AV102+PER!AV142+PER!AV182+PER!AV222+PER!AV262+PER!AV302+PER!AV342+PER!AV382+PER!AV422+PER!AV462+PER!AV502+PER!AV542+PER!AV582+PER!AV622)=0,"",_xlfn.IFS(PER!AV62=1,PER!$V$34,PER!AV102=1,PER!$V$35,PER!AV142=1,PER!$V$36,PER!AV182=1,PER!$V$37,PER!AV222=1,PER!$V$38,PER!AV262=1,PER!$V$39,PER!AV302=1,PER!$V$40,PER!AV342=1,PER!$V$41,PER!AV382=1,PER!$V$42,PER!AV422=1,PER!$V$43,PER!AV462=1,PER!$V$44,PER!AV502=1,PER!$V$45,PER!AV542=1,PER!$V$46,PER!AV582=1,PER!$V$47,PER!AV622=1,PER!$V$48)))</f>
        <v/>
      </c>
      <c r="H31" s="54" t="str" cm="1">
        <f t="array" ref="H31">IF(PER!AB81=0,"",IF((PER!AW62+PER!AW102+PER!AW142+PER!AW182+PER!AW222+PER!AW262+PER!AW302+PER!AW342+PER!AW382+PER!AW422+PER!AW462+PER!AW502+PER!AW542+PER!AW582+PER!AW622)=0,"",_xlfn.IFS(PER!AW62=1,PER!$V$34,PER!AW102=1,PER!$V$35,PER!AW142=1,PER!$V$36,PER!AW182=1,PER!$V$37,PER!AW222=1,PER!$V$38,PER!AW262=1,PER!$V$39,PER!AW302=1,PER!$V$40,PER!AW342=1,PER!$V$41,PER!AW382=1,PER!$V$42,PER!AW422=1,PER!$V$43,PER!AW462=1,PER!$V$44,PER!AW502=1,PER!$V$45,PER!AW542=1,PER!$V$46,PER!AW582=1,PER!$V$47,PER!AW622=1,PER!$V$48)))</f>
        <v/>
      </c>
      <c r="I31" s="54" t="str" cm="1">
        <f t="array" ref="I31">IF(PER!AC81=0,"",IF((PER!AX62+PER!AX102+PER!AX142+PER!AX182+PER!AX222+PER!AX262+PER!AX302+PER!AX342+PER!AX382+PER!AX422+PER!AX462+PER!AX502+PER!AX542+PER!AX582+PER!AX622)=0,"",_xlfn.IFS(PER!AX62=1,PER!$V$34,PER!AX102=1,PER!$V$35,PER!AX142=1,PER!$V$36,PER!AX182=1,PER!$V$37,PER!AX222=1,PER!$V$38,PER!AX262=1,PER!$V$39,PER!AX302=1,PER!$V$40,PER!AX342=1,PER!$V$41,PER!AX382=1,PER!$V$42,PER!AX422=1,PER!$V$43,PER!AX462=1,PER!$V$44,PER!AX502=1,PER!$V$45,PER!AX542=1,PER!$V$46,PER!AX582=1,PER!$V$47,PER!AX622=1,PER!$V$48)))</f>
        <v/>
      </c>
      <c r="J31" s="54" t="str" cm="1">
        <f t="array" ref="J31">IF(PER!AD81=0,"",IF((PER!AY62+PER!AY102+PER!AY142+PER!AY182+PER!AY222+PER!AY262+PER!AY302+PER!AY342+PER!AY382+PER!AY422+PER!AY462+PER!AY502+PER!AY542+PER!AY582+PER!AY622)=0,"",_xlfn.IFS(PER!AY62=1,PER!$V$34,PER!AY102=1,PER!$V$35,PER!AY142=1,PER!$V$36,PER!AY182=1,PER!$V$37,PER!AY222=1,PER!$V$38,PER!AY262=1,PER!$V$39,PER!AY302=1,PER!$V$40,PER!AY342=1,PER!$V$41,PER!AY382=1,PER!$V$42,PER!AY422=1,PER!$V$43,PER!AY462=1,PER!$V$44,PER!AY502=1,PER!$V$45,PER!AY542=1,PER!$V$46,PER!AY582=1,PER!$V$47,PER!AY622=1,PER!$V$48)))</f>
        <v/>
      </c>
      <c r="K31" s="54" t="str" cm="1">
        <f t="array" ref="K31">IF(PER!AE81=0,"",IF((PER!AZ62+PER!AZ102+PER!AZ142+PER!AZ182+PER!AZ222+PER!AZ262+PER!AZ302+PER!AZ342+PER!AZ382+PER!AZ422+PER!AZ462+PER!AZ502+PER!AZ542+PER!AZ582+PER!AZ622)=0,"",_xlfn.IFS(PER!AZ62=1,PER!$V$34,PER!AZ102=1,PER!$V$35,PER!AZ142=1,PER!$V$36,PER!AZ182=1,PER!$V$37,PER!AZ222=1,PER!$V$38,PER!AZ262=1,PER!$V$39,PER!AZ302=1,PER!$V$40,PER!AZ342=1,PER!$V$41,PER!AZ382=1,PER!$V$42,PER!AZ422=1,PER!$V$43,PER!AZ462=1,PER!$V$44,PER!AZ502=1,PER!$V$45,PER!AZ542=1,PER!$V$46,PER!AZ582=1,PER!$V$47,PER!AZ622=1,PER!$V$48)))</f>
        <v/>
      </c>
      <c r="L31" s="54" t="str" cm="1">
        <f t="array" ref="L31">IF(PER!AF81=0,"",IF((PER!BA62+PER!BA102+PER!BA142+PER!BA182+PER!BA222+PER!BA262+PER!BA302+PER!BA342+PER!BA382+PER!BA422+PER!BA462+PER!BA502+PER!BA542+PER!BA582+PER!BA622)=0,"",_xlfn.IFS(PER!BA62=1,PER!$V$34,PER!BA102=1,PER!$V$35,PER!BA142=1,PER!$V$36,PER!BA182=1,PER!$V$37,PER!BA222=1,PER!$V$38,PER!BA262=1,PER!$V$39,PER!BA302=1,PER!$V$40,PER!BA342=1,PER!$V$41,PER!BA382=1,PER!$V$42,PER!BA422=1,PER!$V$43,PER!BA462=1,PER!$V$44,PER!BA502=1,PER!$V$45,PER!BA542=1,PER!$V$46,PER!BA582=1,PER!$V$47,PER!BA622=1,PER!$V$48)))</f>
        <v/>
      </c>
      <c r="M31" s="54" t="str" cm="1">
        <f t="array" ref="M31">IF(PER!AG81=0,"",IF((PER!BB62+PER!BB102+PER!BB142+PER!BB182+PER!BB222+PER!BB262+PER!BB302+PER!BB342+PER!BB382+PER!BB422+PER!BB462+PER!BB502+PER!BB542+PER!BB582+PER!BB622)=0,"",_xlfn.IFS(PER!BB62=1,PER!$V$34,PER!BB102=1,PER!$V$35,PER!BB142=1,PER!$V$36,PER!BB182=1,PER!$V$37,PER!BB222=1,PER!$V$38,PER!BB262=1,PER!$V$39,PER!BB302=1,PER!$V$40,PER!BB342=1,PER!$V$41,PER!BB382=1,PER!$V$42,PER!BB422=1,PER!$V$43,PER!BB462=1,PER!$V$44,PER!BB502=1,PER!$V$45,PER!BB542=1,PER!$V$46,PER!BB582=1,PER!$V$47,PER!BB622=1,PER!$V$48)))</f>
        <v/>
      </c>
      <c r="N31" s="54" t="str" cm="1">
        <f t="array" ref="N31">IF(PER!AH81=0,"",IF((PER!BC62+PER!BC102+PER!BC142+PER!BC182+PER!BC222+PER!BC262+PER!BC302+PER!BC342+PER!BC382+PER!BC422+PER!BC462+PER!BC502+PER!BC542+PER!BC582+PER!BC622)=0,"",_xlfn.IFS(PER!BC62=1,PER!$V$34,PER!BC102=1,PER!$V$35,PER!BC142=1,PER!$V$36,PER!BC182=1,PER!$V$37,PER!BC222=1,PER!$V$38,PER!BC262=1,PER!$V$39,PER!BC302=1,PER!$V$40,PER!BC342=1,PER!$V$41,PER!BC382=1,PER!$V$42,PER!BC422=1,PER!$V$43,PER!BC462=1,PER!$V$44,PER!BC502=1,PER!$V$45,PER!BC542=1,PER!$V$46,PER!BC582=1,PER!$V$47,PER!BC622=1,PER!$V$48)))</f>
        <v/>
      </c>
      <c r="O31" s="54" t="str" cm="1">
        <f t="array" ref="O31">IF(PER!AI81=0,"",IF((PER!BD62+PER!BD102+PER!BD142+PER!BD182+PER!BD222+PER!BD262+PER!BD302+PER!BD342+PER!BD382+PER!BD422+PER!BD462+PER!BD502+PER!BD542+PER!BD582+PER!BD622)=0,"",_xlfn.IFS(PER!BD62=1,PER!$V$34,PER!BD102=1,PER!$V$35,PER!BD142=1,PER!$V$36,PER!BD182=1,PER!$V$37,PER!BD222=1,PER!$V$38,PER!BD262=1,PER!$V$39,PER!BD302=1,PER!$V$40,PER!BD342=1,PER!$V$41,PER!BD382=1,PER!$V$42,PER!BD422=1,PER!$V$43,PER!BD462=1,PER!$V$44,PER!BD502=1,PER!$V$45,PER!BD542=1,PER!$V$46,PER!BD582=1,PER!$V$47,PER!BD622=1,PER!$V$48)))</f>
        <v/>
      </c>
      <c r="P31" s="54" t="str" cm="1">
        <f t="array" ref="P31">IF(PER!AJ81=0,"",IF((PER!BE62+PER!BE102+PER!BE142+PER!BE182+PER!BE222+PER!BE262+PER!BE302+PER!BE342+PER!BE382+PER!BE422+PER!BE462+PER!BE502+PER!BE542+PER!BE582+PER!BE622)=0,"",_xlfn.IFS(PER!BE62=1,PER!$V$34,PER!BE102=1,PER!$V$35,PER!BE142=1,PER!$V$36,PER!BE182=1,PER!$V$37,PER!BE222=1,PER!$V$38,PER!BE262=1,PER!$V$39,PER!BE302=1,PER!$V$40,PER!BE342=1,PER!$V$41,PER!BE382=1,PER!$V$42,PER!BE422=1,PER!$V$43,PER!BE462=1,PER!$V$44,PER!BE502=1,PER!$V$45,PER!BE542=1,PER!$V$46,PER!BE582=1,PER!$V$47,PER!BE622=1,PER!$V$48)))</f>
        <v/>
      </c>
      <c r="Q31" s="54" t="str" cm="1">
        <f t="array" ref="Q31">IF(PER!AK81=0,"",IF((PER!BF62+PER!BF102+PER!BF142+PER!BF182+PER!BF222+PER!BF262+PER!BF302+PER!BF342+PER!BF382+PER!BF422+PER!BF462+PER!BF502+PER!BF542+PER!BF582+PER!BF622)=0,"",_xlfn.IFS(PER!BF62=1,PER!$V$34,PER!BF102=1,PER!$V$35,PER!BF142=1,PER!$V$36,PER!BF182=1,PER!$V$37,PER!BF222=1,PER!$V$38,PER!BF262=1,PER!$V$39,PER!BF302=1,PER!$V$40,PER!BF342=1,PER!$V$41,PER!BF382=1,PER!$V$42,PER!BF422=1,PER!$V$43,PER!BF462=1,PER!$V$44,PER!BF502=1,PER!$V$45,PER!BF542=1,PER!$V$46,PER!BF582=1,PER!$V$47,PER!BF622=1,PER!$V$48)))</f>
        <v/>
      </c>
      <c r="R31" s="54" t="str" cm="1">
        <f t="array" ref="R31">IF(PER!AL81=0,"",IF((PER!BG62+PER!BG102+PER!BG142+PER!BG182+PER!BG222+PER!BG262+PER!BG302+PER!BG342+PER!BG382+PER!BG422+PER!BG462+PER!BG502+PER!BG542+PER!BG582+PER!BG622)=0,"",_xlfn.IFS(PER!BG62=1,PER!$V$34,PER!BG102=1,PER!$V$35,PER!BG142=1,PER!$V$36,PER!BG182=1,PER!$V$37,PER!BG222=1,PER!$V$38,PER!BG262=1,PER!$V$39,PER!BG302=1,PER!$V$40,PER!BG342=1,PER!$V$41,PER!BG382=1,PER!$V$42,PER!BG422=1,PER!$V$43,PER!BG462=1,PER!$V$44,PER!BG502=1,PER!$V$45,PER!BG542=1,PER!$V$46,PER!BG582=1,PER!$V$47,PER!BG622=1,PER!$V$48)))</f>
        <v/>
      </c>
      <c r="S31" s="54" t="str" cm="1">
        <f t="array" ref="S31">IF(PER!AM81=0,"",IF((PER!BH62+PER!BH102+PER!BH142+PER!BH182+PER!BH222+PER!BH262+PER!BH302+PER!BH342+PER!BH382+PER!BH422+PER!BH462+PER!BH502+PER!BH542+PER!BH582+PER!BH622)=0,"",_xlfn.IFS(PER!BH62=1,PER!$V$34,PER!BH102=1,PER!$V$35,PER!BH142=1,PER!$V$36,PER!BH182=1,PER!$V$37,PER!BH222=1,PER!$V$38,PER!BH262=1,PER!$V$39,PER!BH302=1,PER!$V$40,PER!BH342=1,PER!$V$41,PER!BH382=1,PER!$V$42,PER!BH422=1,PER!$V$43,PER!BH462=1,PER!$V$44,PER!BH502=1,PER!$V$45,PER!BH542=1,PER!$V$46,PER!BH582=1,PER!$V$47,PER!BH622=1,PER!$V$48)))</f>
        <v/>
      </c>
    </row>
    <row r="32" spans="1:19" x14ac:dyDescent="0.55000000000000004">
      <c r="A32">
        <v>30</v>
      </c>
      <c r="B32" t="s">
        <v>146</v>
      </c>
      <c r="C32" s="54" t="str" cm="1">
        <f t="array" ref="C32">IF(PER!W82=0,"",IF((PER!AR63+PER!AR103+PER!AR143+PER!AR183+PER!AR223+PER!AR263+PER!AR303+PER!AR343+PER!AR383+PER!AR423+PER!AR463+PER!AR503+PER!AR543+PER!AR583+PER!AR623)=0,"",_xlfn.IFS(PER!AR63=1,PER!$V$34,PER!AR103=1,PER!$V$35,PER!AR143=1,PER!$V$36,PER!AR183=1,PER!$V$37,PER!AR223=1,PER!$V$38,PER!AR263=1,PER!$V$39,PER!AR303=1,PER!$V$40,PER!AR343=1,PER!$V$41,PER!AR383=1,PER!$V$42,PER!AR423=1,PER!$V$43,PER!AR463=1,PER!$V$44,PER!AR503=1,PER!$V$45,PER!AR543=1,PER!$V$46,PER!AR583=1,PER!$V$47,PER!AR623=1,PER!$V$48)))</f>
        <v/>
      </c>
      <c r="D32" s="54" t="str" cm="1">
        <f t="array" ref="D32">IF(PER!X82=0,"",IF((PER!AS63+PER!AS103+PER!AS143+PER!AS183+PER!AS223+PER!AS263+PER!AS303+PER!AS343+PER!AS383+PER!AS423+PER!AS463+PER!AS503+PER!AS543+PER!AS583+PER!AS623)=0,"",_xlfn.IFS(PER!AS63=1,PER!$V$34,PER!AS103=1,PER!$V$35,PER!AS143=1,PER!$V$36,PER!AS183=1,PER!$V$37,PER!AS223=1,PER!$V$38,PER!AS263=1,PER!$V$39,PER!AS303=1,PER!$V$40,PER!AS343=1,PER!$V$41,PER!AS383=1,PER!$V$42,PER!AS423=1,PER!$V$43,PER!AS463=1,PER!$V$44,PER!AS503=1,PER!$V$45,PER!AS543=1,PER!$V$46,PER!AS583=1,PER!$V$47,PER!AS623=1,PER!$V$48)))</f>
        <v/>
      </c>
      <c r="E32" s="54" t="str" cm="1">
        <f t="array" ref="E32">IF(PER!Y82=0,"",IF((PER!AT63+PER!AT103+PER!AT143+PER!AT183+PER!AT223+PER!AT263+PER!AT303+PER!AT343+PER!AT383+PER!AT423+PER!AT463+PER!AT503+PER!AT543+PER!AT583+PER!AT623)=0,"",_xlfn.IFS(PER!AT63=1,PER!$V$34,PER!AT103=1,PER!$V$35,PER!AT143=1,PER!$V$36,PER!AT183=1,PER!$V$37,PER!AT223=1,PER!$V$38,PER!AT263=1,PER!$V$39,PER!AT303=1,PER!$V$40,PER!AT343=1,PER!$V$41,PER!AT383=1,PER!$V$42,PER!AT423=1,PER!$V$43,PER!AT463=1,PER!$V$44,PER!AT503=1,PER!$V$45,PER!AT543=1,PER!$V$46,PER!AT583=1,PER!$V$47,PER!AT623=1,PER!$V$48)))</f>
        <v/>
      </c>
      <c r="F32" s="54" t="str" cm="1">
        <f t="array" ref="F32">IF(PER!Z82=0,"",IF((PER!AU63+PER!AU103+PER!AU143+PER!AU183+PER!AU223+PER!AU263+PER!AU303+PER!AU343+PER!AU383+PER!AU423+PER!AU463+PER!AU503+PER!AU543+PER!AU583+PER!AU623)=0,"",_xlfn.IFS(PER!AU63=1,PER!$V$34,PER!AU103=1,PER!$V$35,PER!AU143=1,PER!$V$36,PER!AU183=1,PER!$V$37,PER!AU223=1,PER!$V$38,PER!AU263=1,PER!$V$39,PER!AU303=1,PER!$V$40,PER!AU343=1,PER!$V$41,PER!AU383=1,PER!$V$42,PER!AU423=1,PER!$V$43,PER!AU463=1,PER!$V$44,PER!AU503=1,PER!$V$45,PER!AU543=1,PER!$V$46,PER!AU583=1,PER!$V$47,PER!AU623=1,PER!$V$48)))</f>
        <v/>
      </c>
      <c r="G32" s="54" t="str" cm="1">
        <f t="array" ref="G32">IF(PER!AA82=0,"",IF((PER!AV63+PER!AV103+PER!AV143+PER!AV183+PER!AV223+PER!AV263+PER!AV303+PER!AV343+PER!AV383+PER!AV423+PER!AV463+PER!AV503+PER!AV543+PER!AV583+PER!AV623)=0,"",_xlfn.IFS(PER!AV63=1,PER!$V$34,PER!AV103=1,PER!$V$35,PER!AV143=1,PER!$V$36,PER!AV183=1,PER!$V$37,PER!AV223=1,PER!$V$38,PER!AV263=1,PER!$V$39,PER!AV303=1,PER!$V$40,PER!AV343=1,PER!$V$41,PER!AV383=1,PER!$V$42,PER!AV423=1,PER!$V$43,PER!AV463=1,PER!$V$44,PER!AV503=1,PER!$V$45,PER!AV543=1,PER!$V$46,PER!AV583=1,PER!$V$47,PER!AV623=1,PER!$V$48)))</f>
        <v/>
      </c>
      <c r="H32" s="54" t="str" cm="1">
        <f t="array" ref="H32">IF(PER!AB82=0,"",IF((PER!AW63+PER!AW103+PER!AW143+PER!AW183+PER!AW223+PER!AW263+PER!AW303+PER!AW343+PER!AW383+PER!AW423+PER!AW463+PER!AW503+PER!AW543+PER!AW583+PER!AW623)=0,"",_xlfn.IFS(PER!AW63=1,PER!$V$34,PER!AW103=1,PER!$V$35,PER!AW143=1,PER!$V$36,PER!AW183=1,PER!$V$37,PER!AW223=1,PER!$V$38,PER!AW263=1,PER!$V$39,PER!AW303=1,PER!$V$40,PER!AW343=1,PER!$V$41,PER!AW383=1,PER!$V$42,PER!AW423=1,PER!$V$43,PER!AW463=1,PER!$V$44,PER!AW503=1,PER!$V$45,PER!AW543=1,PER!$V$46,PER!AW583=1,PER!$V$47,PER!AW623=1,PER!$V$48)))</f>
        <v/>
      </c>
      <c r="I32" s="54" t="str" cm="1">
        <f t="array" ref="I32">IF(PER!AC82=0,"",IF((PER!AX63+PER!AX103+PER!AX143+PER!AX183+PER!AX223+PER!AX263+PER!AX303+PER!AX343+PER!AX383+PER!AX423+PER!AX463+PER!AX503+PER!AX543+PER!AX583+PER!AX623)=0,"",_xlfn.IFS(PER!AX63=1,PER!$V$34,PER!AX103=1,PER!$V$35,PER!AX143=1,PER!$V$36,PER!AX183=1,PER!$V$37,PER!AX223=1,PER!$V$38,PER!AX263=1,PER!$V$39,PER!AX303=1,PER!$V$40,PER!AX343=1,PER!$V$41,PER!AX383=1,PER!$V$42,PER!AX423=1,PER!$V$43,PER!AX463=1,PER!$V$44,PER!AX503=1,PER!$V$45,PER!AX543=1,PER!$V$46,PER!AX583=1,PER!$V$47,PER!AX623=1,PER!$V$48)))</f>
        <v/>
      </c>
      <c r="J32" s="54" t="str" cm="1">
        <f t="array" ref="J32">IF(PER!AD82=0,"",IF((PER!AY63+PER!AY103+PER!AY143+PER!AY183+PER!AY223+PER!AY263+PER!AY303+PER!AY343+PER!AY383+PER!AY423+PER!AY463+PER!AY503+PER!AY543+PER!AY583+PER!AY623)=0,"",_xlfn.IFS(PER!AY63=1,PER!$V$34,PER!AY103=1,PER!$V$35,PER!AY143=1,PER!$V$36,PER!AY183=1,PER!$V$37,PER!AY223=1,PER!$V$38,PER!AY263=1,PER!$V$39,PER!AY303=1,PER!$V$40,PER!AY343=1,PER!$V$41,PER!AY383=1,PER!$V$42,PER!AY423=1,PER!$V$43,PER!AY463=1,PER!$V$44,PER!AY503=1,PER!$V$45,PER!AY543=1,PER!$V$46,PER!AY583=1,PER!$V$47,PER!AY623=1,PER!$V$48)))</f>
        <v/>
      </c>
      <c r="K32" s="54" t="str" cm="1">
        <f t="array" ref="K32">IF(PER!AE82=0,"",IF((PER!AZ63+PER!AZ103+PER!AZ143+PER!AZ183+PER!AZ223+PER!AZ263+PER!AZ303+PER!AZ343+PER!AZ383+PER!AZ423+PER!AZ463+PER!AZ503+PER!AZ543+PER!AZ583+PER!AZ623)=0,"",_xlfn.IFS(PER!AZ63=1,PER!$V$34,PER!AZ103=1,PER!$V$35,PER!AZ143=1,PER!$V$36,PER!AZ183=1,PER!$V$37,PER!AZ223=1,PER!$V$38,PER!AZ263=1,PER!$V$39,PER!AZ303=1,PER!$V$40,PER!AZ343=1,PER!$V$41,PER!AZ383=1,PER!$V$42,PER!AZ423=1,PER!$V$43,PER!AZ463=1,PER!$V$44,PER!AZ503=1,PER!$V$45,PER!AZ543=1,PER!$V$46,PER!AZ583=1,PER!$V$47,PER!AZ623=1,PER!$V$48)))</f>
        <v/>
      </c>
      <c r="L32" s="54" t="str" cm="1">
        <f t="array" ref="L32">IF(PER!AF82=0,"",IF((PER!BA63+PER!BA103+PER!BA143+PER!BA183+PER!BA223+PER!BA263+PER!BA303+PER!BA343+PER!BA383+PER!BA423+PER!BA463+PER!BA503+PER!BA543+PER!BA583+PER!BA623)=0,"",_xlfn.IFS(PER!BA63=1,PER!$V$34,PER!BA103=1,PER!$V$35,PER!BA143=1,PER!$V$36,PER!BA183=1,PER!$V$37,PER!BA223=1,PER!$V$38,PER!BA263=1,PER!$V$39,PER!BA303=1,PER!$V$40,PER!BA343=1,PER!$V$41,PER!BA383=1,PER!$V$42,PER!BA423=1,PER!$V$43,PER!BA463=1,PER!$V$44,PER!BA503=1,PER!$V$45,PER!BA543=1,PER!$V$46,PER!BA583=1,PER!$V$47,PER!BA623=1,PER!$V$48)))</f>
        <v/>
      </c>
      <c r="M32" s="54" t="str" cm="1">
        <f t="array" ref="M32">IF(PER!AG82=0,"",IF((PER!BB63+PER!BB103+PER!BB143+PER!BB183+PER!BB223+PER!BB263+PER!BB303+PER!BB343+PER!BB383+PER!BB423+PER!BB463+PER!BB503+PER!BB543+PER!BB583+PER!BB623)=0,"",_xlfn.IFS(PER!BB63=1,PER!$V$34,PER!BB103=1,PER!$V$35,PER!BB143=1,PER!$V$36,PER!BB183=1,PER!$V$37,PER!BB223=1,PER!$V$38,PER!BB263=1,PER!$V$39,PER!BB303=1,PER!$V$40,PER!BB343=1,PER!$V$41,PER!BB383=1,PER!$V$42,PER!BB423=1,PER!$V$43,PER!BB463=1,PER!$V$44,PER!BB503=1,PER!$V$45,PER!BB543=1,PER!$V$46,PER!BB583=1,PER!$V$47,PER!BB623=1,PER!$V$48)))</f>
        <v/>
      </c>
      <c r="N32" s="54" t="str" cm="1">
        <f t="array" ref="N32">IF(PER!AH82=0,"",IF((PER!BC63+PER!BC103+PER!BC143+PER!BC183+PER!BC223+PER!BC263+PER!BC303+PER!BC343+PER!BC383+PER!BC423+PER!BC463+PER!BC503+PER!BC543+PER!BC583+PER!BC623)=0,"",_xlfn.IFS(PER!BC63=1,PER!$V$34,PER!BC103=1,PER!$V$35,PER!BC143=1,PER!$V$36,PER!BC183=1,PER!$V$37,PER!BC223=1,PER!$V$38,PER!BC263=1,PER!$V$39,PER!BC303=1,PER!$V$40,PER!BC343=1,PER!$V$41,PER!BC383=1,PER!$V$42,PER!BC423=1,PER!$V$43,PER!BC463=1,PER!$V$44,PER!BC503=1,PER!$V$45,PER!BC543=1,PER!$V$46,PER!BC583=1,PER!$V$47,PER!BC623=1,PER!$V$48)))</f>
        <v/>
      </c>
      <c r="O32" s="54" t="str" cm="1">
        <f t="array" ref="O32">IF(PER!AI82=0,"",IF((PER!BD63+PER!BD103+PER!BD143+PER!BD183+PER!BD223+PER!BD263+PER!BD303+PER!BD343+PER!BD383+PER!BD423+PER!BD463+PER!BD503+PER!BD543+PER!BD583+PER!BD623)=0,"",_xlfn.IFS(PER!BD63=1,PER!$V$34,PER!BD103=1,PER!$V$35,PER!BD143=1,PER!$V$36,PER!BD183=1,PER!$V$37,PER!BD223=1,PER!$V$38,PER!BD263=1,PER!$V$39,PER!BD303=1,PER!$V$40,PER!BD343=1,PER!$V$41,PER!BD383=1,PER!$V$42,PER!BD423=1,PER!$V$43,PER!BD463=1,PER!$V$44,PER!BD503=1,PER!$V$45,PER!BD543=1,PER!$V$46,PER!BD583=1,PER!$V$47,PER!BD623=1,PER!$V$48)))</f>
        <v/>
      </c>
      <c r="P32" s="54" t="str" cm="1">
        <f t="array" ref="P32">IF(PER!AJ82=0,"",IF((PER!BE63+PER!BE103+PER!BE143+PER!BE183+PER!BE223+PER!BE263+PER!BE303+PER!BE343+PER!BE383+PER!BE423+PER!BE463+PER!BE503+PER!BE543+PER!BE583+PER!BE623)=0,"",_xlfn.IFS(PER!BE63=1,PER!$V$34,PER!BE103=1,PER!$V$35,PER!BE143=1,PER!$V$36,PER!BE183=1,PER!$V$37,PER!BE223=1,PER!$V$38,PER!BE263=1,PER!$V$39,PER!BE303=1,PER!$V$40,PER!BE343=1,PER!$V$41,PER!BE383=1,PER!$V$42,PER!BE423=1,PER!$V$43,PER!BE463=1,PER!$V$44,PER!BE503=1,PER!$V$45,PER!BE543=1,PER!$V$46,PER!BE583=1,PER!$V$47,PER!BE623=1,PER!$V$48)))</f>
        <v/>
      </c>
      <c r="Q32" s="54" t="str" cm="1">
        <f t="array" ref="Q32">IF(PER!AK82=0,"",IF((PER!BF63+PER!BF103+PER!BF143+PER!BF183+PER!BF223+PER!BF263+PER!BF303+PER!BF343+PER!BF383+PER!BF423+PER!BF463+PER!BF503+PER!BF543+PER!BF583+PER!BF623)=0,"",_xlfn.IFS(PER!BF63=1,PER!$V$34,PER!BF103=1,PER!$V$35,PER!BF143=1,PER!$V$36,PER!BF183=1,PER!$V$37,PER!BF223=1,PER!$V$38,PER!BF263=1,PER!$V$39,PER!BF303=1,PER!$V$40,PER!BF343=1,PER!$V$41,PER!BF383=1,PER!$V$42,PER!BF423=1,PER!$V$43,PER!BF463=1,PER!$V$44,PER!BF503=1,PER!$V$45,PER!BF543=1,PER!$V$46,PER!BF583=1,PER!$V$47,PER!BF623=1,PER!$V$48)))</f>
        <v/>
      </c>
      <c r="R32" s="54" t="str" cm="1">
        <f t="array" ref="R32">IF(PER!AL82=0,"",IF((PER!BG63+PER!BG103+PER!BG143+PER!BG183+PER!BG223+PER!BG263+PER!BG303+PER!BG343+PER!BG383+PER!BG423+PER!BG463+PER!BG503+PER!BG543+PER!BG583+PER!BG623)=0,"",_xlfn.IFS(PER!BG63=1,PER!$V$34,PER!BG103=1,PER!$V$35,PER!BG143=1,PER!$V$36,PER!BG183=1,PER!$V$37,PER!BG223=1,PER!$V$38,PER!BG263=1,PER!$V$39,PER!BG303=1,PER!$V$40,PER!BG343=1,PER!$V$41,PER!BG383=1,PER!$V$42,PER!BG423=1,PER!$V$43,PER!BG463=1,PER!$V$44,PER!BG503=1,PER!$V$45,PER!BG543=1,PER!$V$46,PER!BG583=1,PER!$V$47,PER!BG623=1,PER!$V$48)))</f>
        <v/>
      </c>
      <c r="S32" s="54" t="str" cm="1">
        <f t="array" ref="S32">IF(PER!AM82=0,"",IF((PER!BH63+PER!BH103+PER!BH143+PER!BH183+PER!BH223+PER!BH263+PER!BH303+PER!BH343+PER!BH383+PER!BH423+PER!BH463+PER!BH503+PER!BH543+PER!BH583+PER!BH623)=0,"",_xlfn.IFS(PER!BH63=1,PER!$V$34,PER!BH103=1,PER!$V$35,PER!BH143=1,PER!$V$36,PER!BH183=1,PER!$V$37,PER!BH223=1,PER!$V$38,PER!BH263=1,PER!$V$39,PER!BH303=1,PER!$V$40,PER!BH343=1,PER!$V$41,PER!BH383=1,PER!$V$42,PER!BH423=1,PER!$V$43,PER!BH463=1,PER!$V$44,PER!BH503=1,PER!$V$45,PER!BH543=1,PER!$V$46,PER!BH583=1,PER!$V$47,PER!BH623=1,PER!$V$48)))</f>
        <v/>
      </c>
    </row>
    <row r="33" spans="1:19" x14ac:dyDescent="0.55000000000000004">
      <c r="A33">
        <v>31</v>
      </c>
      <c r="B33" t="s">
        <v>146</v>
      </c>
      <c r="C33" s="54" t="str" cm="1">
        <f t="array" ref="C33">IF(PER!W83=0,"",IF((PER!AR64+PER!AR104+PER!AR144+PER!AR184+PER!AR224+PER!AR264+PER!AR304+PER!AR344+PER!AR384+PER!AR424+PER!AR464+PER!AR504+PER!AR544+PER!AR584+PER!AR624)=0,"",_xlfn.IFS(PER!AR64=1,PER!$V$34,PER!AR104=1,PER!$V$35,PER!AR144=1,PER!$V$36,PER!AR184=1,PER!$V$37,PER!AR224=1,PER!$V$38,PER!AR264=1,PER!$V$39,PER!AR304=1,PER!$V$40,PER!AR344=1,PER!$V$41,PER!AR384=1,PER!$V$42,PER!AR424=1,PER!$V$43,PER!AR464=1,PER!$V$44,PER!AR504=1,PER!$V$45,PER!AR544=1,PER!$V$46,PER!AR584=1,PER!$V$47,PER!AR624=1,PER!$V$48)))</f>
        <v/>
      </c>
      <c r="D33" s="54" t="str" cm="1">
        <f t="array" ref="D33">IF(PER!X83=0,"",IF((PER!AS64+PER!AS104+PER!AS144+PER!AS184+PER!AS224+PER!AS264+PER!AS304+PER!AS344+PER!AS384+PER!AS424+PER!AS464+PER!AS504+PER!AS544+PER!AS584+PER!AS624)=0,"",_xlfn.IFS(PER!AS64=1,PER!$V$34,PER!AS104=1,PER!$V$35,PER!AS144=1,PER!$V$36,PER!AS184=1,PER!$V$37,PER!AS224=1,PER!$V$38,PER!AS264=1,PER!$V$39,PER!AS304=1,PER!$V$40,PER!AS344=1,PER!$V$41,PER!AS384=1,PER!$V$42,PER!AS424=1,PER!$V$43,PER!AS464=1,PER!$V$44,PER!AS504=1,PER!$V$45,PER!AS544=1,PER!$V$46,PER!AS584=1,PER!$V$47,PER!AS624=1,PER!$V$48)))</f>
        <v/>
      </c>
      <c r="E33" s="54" t="str" cm="1">
        <f t="array" ref="E33">IF(PER!Y83=0,"",IF((PER!AT64+PER!AT104+PER!AT144+PER!AT184+PER!AT224+PER!AT264+PER!AT304+PER!AT344+PER!AT384+PER!AT424+PER!AT464+PER!AT504+PER!AT544+PER!AT584+PER!AT624)=0,"",_xlfn.IFS(PER!AT64=1,PER!$V$34,PER!AT104=1,PER!$V$35,PER!AT144=1,PER!$V$36,PER!AT184=1,PER!$V$37,PER!AT224=1,PER!$V$38,PER!AT264=1,PER!$V$39,PER!AT304=1,PER!$V$40,PER!AT344=1,PER!$V$41,PER!AT384=1,PER!$V$42,PER!AT424=1,PER!$V$43,PER!AT464=1,PER!$V$44,PER!AT504=1,PER!$V$45,PER!AT544=1,PER!$V$46,PER!AT584=1,PER!$V$47,PER!AT624=1,PER!$V$48)))</f>
        <v/>
      </c>
      <c r="F33" s="54" t="str" cm="1">
        <f t="array" ref="F33">IF(PER!Z83=0,"",IF((PER!AU64+PER!AU104+PER!AU144+PER!AU184+PER!AU224+PER!AU264+PER!AU304+PER!AU344+PER!AU384+PER!AU424+PER!AU464+PER!AU504+PER!AU544+PER!AU584+PER!AU624)=0,"",_xlfn.IFS(PER!AU64=1,PER!$V$34,PER!AU104=1,PER!$V$35,PER!AU144=1,PER!$V$36,PER!AU184=1,PER!$V$37,PER!AU224=1,PER!$V$38,PER!AU264=1,PER!$V$39,PER!AU304=1,PER!$V$40,PER!AU344=1,PER!$V$41,PER!AU384=1,PER!$V$42,PER!AU424=1,PER!$V$43,PER!AU464=1,PER!$V$44,PER!AU504=1,PER!$V$45,PER!AU544=1,PER!$V$46,PER!AU584=1,PER!$V$47,PER!AU624=1,PER!$V$48)))</f>
        <v/>
      </c>
      <c r="G33" s="54" t="str" cm="1">
        <f t="array" ref="G33">IF(PER!AA83=0,"",IF((PER!AV64+PER!AV104+PER!AV144+PER!AV184+PER!AV224+PER!AV264+PER!AV304+PER!AV344+PER!AV384+PER!AV424+PER!AV464+PER!AV504+PER!AV544+PER!AV584+PER!AV624)=0,"",_xlfn.IFS(PER!AV64=1,PER!$V$34,PER!AV104=1,PER!$V$35,PER!AV144=1,PER!$V$36,PER!AV184=1,PER!$V$37,PER!AV224=1,PER!$V$38,PER!AV264=1,PER!$V$39,PER!AV304=1,PER!$V$40,PER!AV344=1,PER!$V$41,PER!AV384=1,PER!$V$42,PER!AV424=1,PER!$V$43,PER!AV464=1,PER!$V$44,PER!AV504=1,PER!$V$45,PER!AV544=1,PER!$V$46,PER!AV584=1,PER!$V$47,PER!AV624=1,PER!$V$48)))</f>
        <v/>
      </c>
      <c r="H33" s="54" t="str" cm="1">
        <f t="array" ref="H33">IF(PER!AB83=0,"",IF((PER!AW64+PER!AW104+PER!AW144+PER!AW184+PER!AW224+PER!AW264+PER!AW304+PER!AW344+PER!AW384+PER!AW424+PER!AW464+PER!AW504+PER!AW544+PER!AW584+PER!AW624)=0,"",_xlfn.IFS(PER!AW64=1,PER!$V$34,PER!AW104=1,PER!$V$35,PER!AW144=1,PER!$V$36,PER!AW184=1,PER!$V$37,PER!AW224=1,PER!$V$38,PER!AW264=1,PER!$V$39,PER!AW304=1,PER!$V$40,PER!AW344=1,PER!$V$41,PER!AW384=1,PER!$V$42,PER!AW424=1,PER!$V$43,PER!AW464=1,PER!$V$44,PER!AW504=1,PER!$V$45,PER!AW544=1,PER!$V$46,PER!AW584=1,PER!$V$47,PER!AW624=1,PER!$V$48)))</f>
        <v/>
      </c>
      <c r="I33" s="54" t="str" cm="1">
        <f t="array" ref="I33">IF(PER!AC83=0,"",IF((PER!AX64+PER!AX104+PER!AX144+PER!AX184+PER!AX224+PER!AX264+PER!AX304+PER!AX344+PER!AX384+PER!AX424+PER!AX464+PER!AX504+PER!AX544+PER!AX584+PER!AX624)=0,"",_xlfn.IFS(PER!AX64=1,PER!$V$34,PER!AX104=1,PER!$V$35,PER!AX144=1,PER!$V$36,PER!AX184=1,PER!$V$37,PER!AX224=1,PER!$V$38,PER!AX264=1,PER!$V$39,PER!AX304=1,PER!$V$40,PER!AX344=1,PER!$V$41,PER!AX384=1,PER!$V$42,PER!AX424=1,PER!$V$43,PER!AX464=1,PER!$V$44,PER!AX504=1,PER!$V$45,PER!AX544=1,PER!$V$46,PER!AX584=1,PER!$V$47,PER!AX624=1,PER!$V$48)))</f>
        <v/>
      </c>
      <c r="J33" s="54" t="str" cm="1">
        <f t="array" ref="J33">IF(PER!AD83=0,"",IF((PER!AY64+PER!AY104+PER!AY144+PER!AY184+PER!AY224+PER!AY264+PER!AY304+PER!AY344+PER!AY384+PER!AY424+PER!AY464+PER!AY504+PER!AY544+PER!AY584+PER!AY624)=0,"",_xlfn.IFS(PER!AY64=1,PER!$V$34,PER!AY104=1,PER!$V$35,PER!AY144=1,PER!$V$36,PER!AY184=1,PER!$V$37,PER!AY224=1,PER!$V$38,PER!AY264=1,PER!$V$39,PER!AY304=1,PER!$V$40,PER!AY344=1,PER!$V$41,PER!AY384=1,PER!$V$42,PER!AY424=1,PER!$V$43,PER!AY464=1,PER!$V$44,PER!AY504=1,PER!$V$45,PER!AY544=1,PER!$V$46,PER!AY584=1,PER!$V$47,PER!AY624=1,PER!$V$48)))</f>
        <v/>
      </c>
      <c r="K33" s="54" t="str" cm="1">
        <f t="array" ref="K33">IF(PER!AE83=0,"",IF((PER!AZ64+PER!AZ104+PER!AZ144+PER!AZ184+PER!AZ224+PER!AZ264+PER!AZ304+PER!AZ344+PER!AZ384+PER!AZ424+PER!AZ464+PER!AZ504+PER!AZ544+PER!AZ584+PER!AZ624)=0,"",_xlfn.IFS(PER!AZ64=1,PER!$V$34,PER!AZ104=1,PER!$V$35,PER!AZ144=1,PER!$V$36,PER!AZ184=1,PER!$V$37,PER!AZ224=1,PER!$V$38,PER!AZ264=1,PER!$V$39,PER!AZ304=1,PER!$V$40,PER!AZ344=1,PER!$V$41,PER!AZ384=1,PER!$V$42,PER!AZ424=1,PER!$V$43,PER!AZ464=1,PER!$V$44,PER!AZ504=1,PER!$V$45,PER!AZ544=1,PER!$V$46,PER!AZ584=1,PER!$V$47,PER!AZ624=1,PER!$V$48)))</f>
        <v/>
      </c>
      <c r="L33" s="54" t="str" cm="1">
        <f t="array" ref="L33">IF(PER!AF83=0,"",IF((PER!BA64+PER!BA104+PER!BA144+PER!BA184+PER!BA224+PER!BA264+PER!BA304+PER!BA344+PER!BA384+PER!BA424+PER!BA464+PER!BA504+PER!BA544+PER!BA584+PER!BA624)=0,"",_xlfn.IFS(PER!BA64=1,PER!$V$34,PER!BA104=1,PER!$V$35,PER!BA144=1,PER!$V$36,PER!BA184=1,PER!$V$37,PER!BA224=1,PER!$V$38,PER!BA264=1,PER!$V$39,PER!BA304=1,PER!$V$40,PER!BA344=1,PER!$V$41,PER!BA384=1,PER!$V$42,PER!BA424=1,PER!$V$43,PER!BA464=1,PER!$V$44,PER!BA504=1,PER!$V$45,PER!BA544=1,PER!$V$46,PER!BA584=1,PER!$V$47,PER!BA624=1,PER!$V$48)))</f>
        <v/>
      </c>
      <c r="M33" s="54" t="str" cm="1">
        <f t="array" ref="M33">IF(PER!AG83=0,"",IF((PER!BB64+PER!BB104+PER!BB144+PER!BB184+PER!BB224+PER!BB264+PER!BB304+PER!BB344+PER!BB384+PER!BB424+PER!BB464+PER!BB504+PER!BB544+PER!BB584+PER!BB624)=0,"",_xlfn.IFS(PER!BB64=1,PER!$V$34,PER!BB104=1,PER!$V$35,PER!BB144=1,PER!$V$36,PER!BB184=1,PER!$V$37,PER!BB224=1,PER!$V$38,PER!BB264=1,PER!$V$39,PER!BB304=1,PER!$V$40,PER!BB344=1,PER!$V$41,PER!BB384=1,PER!$V$42,PER!BB424=1,PER!$V$43,PER!BB464=1,PER!$V$44,PER!BB504=1,PER!$V$45,PER!BB544=1,PER!$V$46,PER!BB584=1,PER!$V$47,PER!BB624=1,PER!$V$48)))</f>
        <v/>
      </c>
      <c r="N33" s="54" t="str" cm="1">
        <f t="array" ref="N33">IF(PER!AH83=0,"",IF((PER!BC64+PER!BC104+PER!BC144+PER!BC184+PER!BC224+PER!BC264+PER!BC304+PER!BC344+PER!BC384+PER!BC424+PER!BC464+PER!BC504+PER!BC544+PER!BC584+PER!BC624)=0,"",_xlfn.IFS(PER!BC64=1,PER!$V$34,PER!BC104=1,PER!$V$35,PER!BC144=1,PER!$V$36,PER!BC184=1,PER!$V$37,PER!BC224=1,PER!$V$38,PER!BC264=1,PER!$V$39,PER!BC304=1,PER!$V$40,PER!BC344=1,PER!$V$41,PER!BC384=1,PER!$V$42,PER!BC424=1,PER!$V$43,PER!BC464=1,PER!$V$44,PER!BC504=1,PER!$V$45,PER!BC544=1,PER!$V$46,PER!BC584=1,PER!$V$47,PER!BC624=1,PER!$V$48)))</f>
        <v/>
      </c>
      <c r="O33" s="54" t="str" cm="1">
        <f t="array" ref="O33">IF(PER!AI83=0,"",IF((PER!BD64+PER!BD104+PER!BD144+PER!BD184+PER!BD224+PER!BD264+PER!BD304+PER!BD344+PER!BD384+PER!BD424+PER!BD464+PER!BD504+PER!BD544+PER!BD584+PER!BD624)=0,"",_xlfn.IFS(PER!BD64=1,PER!$V$34,PER!BD104=1,PER!$V$35,PER!BD144=1,PER!$V$36,PER!BD184=1,PER!$V$37,PER!BD224=1,PER!$V$38,PER!BD264=1,PER!$V$39,PER!BD304=1,PER!$V$40,PER!BD344=1,PER!$V$41,PER!BD384=1,PER!$V$42,PER!BD424=1,PER!$V$43,PER!BD464=1,PER!$V$44,PER!BD504=1,PER!$V$45,PER!BD544=1,PER!$V$46,PER!BD584=1,PER!$V$47,PER!BD624=1,PER!$V$48)))</f>
        <v/>
      </c>
      <c r="P33" s="54" t="str" cm="1">
        <f t="array" ref="P33">IF(PER!AJ83=0,"",IF((PER!BE64+PER!BE104+PER!BE144+PER!BE184+PER!BE224+PER!BE264+PER!BE304+PER!BE344+PER!BE384+PER!BE424+PER!BE464+PER!BE504+PER!BE544+PER!BE584+PER!BE624)=0,"",_xlfn.IFS(PER!BE64=1,PER!$V$34,PER!BE104=1,PER!$V$35,PER!BE144=1,PER!$V$36,PER!BE184=1,PER!$V$37,PER!BE224=1,PER!$V$38,PER!BE264=1,PER!$V$39,PER!BE304=1,PER!$V$40,PER!BE344=1,PER!$V$41,PER!BE384=1,PER!$V$42,PER!BE424=1,PER!$V$43,PER!BE464=1,PER!$V$44,PER!BE504=1,PER!$V$45,PER!BE544=1,PER!$V$46,PER!BE584=1,PER!$V$47,PER!BE624=1,PER!$V$48)))</f>
        <v/>
      </c>
      <c r="Q33" s="54" t="str" cm="1">
        <f t="array" ref="Q33">IF(PER!AK83=0,"",IF((PER!BF64+PER!BF104+PER!BF144+PER!BF184+PER!BF224+PER!BF264+PER!BF304+PER!BF344+PER!BF384+PER!BF424+PER!BF464+PER!BF504+PER!BF544+PER!BF584+PER!BF624)=0,"",_xlfn.IFS(PER!BF64=1,PER!$V$34,PER!BF104=1,PER!$V$35,PER!BF144=1,PER!$V$36,PER!BF184=1,PER!$V$37,PER!BF224=1,PER!$V$38,PER!BF264=1,PER!$V$39,PER!BF304=1,PER!$V$40,PER!BF344=1,PER!$V$41,PER!BF384=1,PER!$V$42,PER!BF424=1,PER!$V$43,PER!BF464=1,PER!$V$44,PER!BF504=1,PER!$V$45,PER!BF544=1,PER!$V$46,PER!BF584=1,PER!$V$47,PER!BF624=1,PER!$V$48)))</f>
        <v/>
      </c>
      <c r="R33" s="54" t="str" cm="1">
        <f t="array" ref="R33">IF(PER!AL83=0,"",IF((PER!BG64+PER!BG104+PER!BG144+PER!BG184+PER!BG224+PER!BG264+PER!BG304+PER!BG344+PER!BG384+PER!BG424+PER!BG464+PER!BG504+PER!BG544+PER!BG584+PER!BG624)=0,"",_xlfn.IFS(PER!BG64=1,PER!$V$34,PER!BG104=1,PER!$V$35,PER!BG144=1,PER!$V$36,PER!BG184=1,PER!$V$37,PER!BG224=1,PER!$V$38,PER!BG264=1,PER!$V$39,PER!BG304=1,PER!$V$40,PER!BG344=1,PER!$V$41,PER!BG384=1,PER!$V$42,PER!BG424=1,PER!$V$43,PER!BG464=1,PER!$V$44,PER!BG504=1,PER!$V$45,PER!BG544=1,PER!$V$46,PER!BG584=1,PER!$V$47,PER!BG624=1,PER!$V$48)))</f>
        <v/>
      </c>
      <c r="S33" s="54" t="str" cm="1">
        <f t="array" ref="S33">IF(PER!AM83=0,"",IF((PER!BH64+PER!BH104+PER!BH144+PER!BH184+PER!BH224+PER!BH264+PER!BH304+PER!BH344+PER!BH384+PER!BH424+PER!BH464+PER!BH504+PER!BH544+PER!BH584+PER!BH624)=0,"",_xlfn.IFS(PER!BH64=1,PER!$V$34,PER!BH104=1,PER!$V$35,PER!BH144=1,PER!$V$36,PER!BH184=1,PER!$V$37,PER!BH224=1,PER!$V$38,PER!BH264=1,PER!$V$39,PER!BH304=1,PER!$V$40,PER!BH344=1,PER!$V$41,PER!BH384=1,PER!$V$42,PER!BH424=1,PER!$V$43,PER!BH464=1,PER!$V$44,PER!BH504=1,PER!$V$45,PER!BH544=1,PER!$V$46,PER!BH584=1,PER!$V$47,PER!BH624=1,PER!$V$48)))</f>
        <v/>
      </c>
    </row>
    <row r="34" spans="1:19" x14ac:dyDescent="0.55000000000000004">
      <c r="A34">
        <v>32</v>
      </c>
      <c r="B34" t="s">
        <v>146</v>
      </c>
      <c r="C34" s="54" t="str" cm="1">
        <f t="array" ref="C34">IF(PER!W84=0,"",IF((PER!AR65+PER!AR105+PER!AR145+PER!AR185+PER!AR225+PER!AR265+PER!AR305+PER!AR345+PER!AR385+PER!AR425+PER!AR465+PER!AR505+PER!AR545+PER!AR585+PER!AR625)=0,"",_xlfn.IFS(PER!AR65=1,PER!$V$34,PER!AR105=1,PER!$V$35,PER!AR145=1,PER!$V$36,PER!AR185=1,PER!$V$37,PER!AR225=1,PER!$V$38,PER!AR265=1,PER!$V$39,PER!AR305=1,PER!$V$40,PER!AR345=1,PER!$V$41,PER!AR385=1,PER!$V$42,PER!AR425=1,PER!$V$43,PER!AR465=1,PER!$V$44,PER!AR505=1,PER!$V$45,PER!AR545=1,PER!$V$46,PER!AR585=1,PER!$V$47,PER!AR625=1,PER!$V$48)))</f>
        <v/>
      </c>
      <c r="D34" s="54" t="str" cm="1">
        <f t="array" ref="D34">IF(PER!X84=0,"",IF((PER!AS65+PER!AS105+PER!AS145+PER!AS185+PER!AS225+PER!AS265+PER!AS305+PER!AS345+PER!AS385+PER!AS425+PER!AS465+PER!AS505+PER!AS545+PER!AS585+PER!AS625)=0,"",_xlfn.IFS(PER!AS65=1,PER!$V$34,PER!AS105=1,PER!$V$35,PER!AS145=1,PER!$V$36,PER!AS185=1,PER!$V$37,PER!AS225=1,PER!$V$38,PER!AS265=1,PER!$V$39,PER!AS305=1,PER!$V$40,PER!AS345=1,PER!$V$41,PER!AS385=1,PER!$V$42,PER!AS425=1,PER!$V$43,PER!AS465=1,PER!$V$44,PER!AS505=1,PER!$V$45,PER!AS545=1,PER!$V$46,PER!AS585=1,PER!$V$47,PER!AS625=1,PER!$V$48)))</f>
        <v/>
      </c>
      <c r="E34" s="54" t="str" cm="1">
        <f t="array" ref="E34">IF(PER!Y84=0,"",IF((PER!AT65+PER!AT105+PER!AT145+PER!AT185+PER!AT225+PER!AT265+PER!AT305+PER!AT345+PER!AT385+PER!AT425+PER!AT465+PER!AT505+PER!AT545+PER!AT585+PER!AT625)=0,"",_xlfn.IFS(PER!AT65=1,PER!$V$34,PER!AT105=1,PER!$V$35,PER!AT145=1,PER!$V$36,PER!AT185=1,PER!$V$37,PER!AT225=1,PER!$V$38,PER!AT265=1,PER!$V$39,PER!AT305=1,PER!$V$40,PER!AT345=1,PER!$V$41,PER!AT385=1,PER!$V$42,PER!AT425=1,PER!$V$43,PER!AT465=1,PER!$V$44,PER!AT505=1,PER!$V$45,PER!AT545=1,PER!$V$46,PER!AT585=1,PER!$V$47,PER!AT625=1,PER!$V$48)))</f>
        <v/>
      </c>
      <c r="F34" s="54" t="str" cm="1">
        <f t="array" ref="F34">IF(PER!Z84=0,"",IF((PER!AU65+PER!AU105+PER!AU145+PER!AU185+PER!AU225+PER!AU265+PER!AU305+PER!AU345+PER!AU385+PER!AU425+PER!AU465+PER!AU505+PER!AU545+PER!AU585+PER!AU625)=0,"",_xlfn.IFS(PER!AU65=1,PER!$V$34,PER!AU105=1,PER!$V$35,PER!AU145=1,PER!$V$36,PER!AU185=1,PER!$V$37,PER!AU225=1,PER!$V$38,PER!AU265=1,PER!$V$39,PER!AU305=1,PER!$V$40,PER!AU345=1,PER!$V$41,PER!AU385=1,PER!$V$42,PER!AU425=1,PER!$V$43,PER!AU465=1,PER!$V$44,PER!AU505=1,PER!$V$45,PER!AU545=1,PER!$V$46,PER!AU585=1,PER!$V$47,PER!AU625=1,PER!$V$48)))</f>
        <v/>
      </c>
      <c r="G34" s="54" t="str" cm="1">
        <f t="array" ref="G34">IF(PER!AA84=0,"",IF((PER!AV65+PER!AV105+PER!AV145+PER!AV185+PER!AV225+PER!AV265+PER!AV305+PER!AV345+PER!AV385+PER!AV425+PER!AV465+PER!AV505+PER!AV545+PER!AV585+PER!AV625)=0,"",_xlfn.IFS(PER!AV65=1,PER!$V$34,PER!AV105=1,PER!$V$35,PER!AV145=1,PER!$V$36,PER!AV185=1,PER!$V$37,PER!AV225=1,PER!$V$38,PER!AV265=1,PER!$V$39,PER!AV305=1,PER!$V$40,PER!AV345=1,PER!$V$41,PER!AV385=1,PER!$V$42,PER!AV425=1,PER!$V$43,PER!AV465=1,PER!$V$44,PER!AV505=1,PER!$V$45,PER!AV545=1,PER!$V$46,PER!AV585=1,PER!$V$47,PER!AV625=1,PER!$V$48)))</f>
        <v/>
      </c>
      <c r="H34" s="54" t="str" cm="1">
        <f t="array" ref="H34">IF(PER!AB84=0,"",IF((PER!AW65+PER!AW105+PER!AW145+PER!AW185+PER!AW225+PER!AW265+PER!AW305+PER!AW345+PER!AW385+PER!AW425+PER!AW465+PER!AW505+PER!AW545+PER!AW585+PER!AW625)=0,"",_xlfn.IFS(PER!AW65=1,PER!$V$34,PER!AW105=1,PER!$V$35,PER!AW145=1,PER!$V$36,PER!AW185=1,PER!$V$37,PER!AW225=1,PER!$V$38,PER!AW265=1,PER!$V$39,PER!AW305=1,PER!$V$40,PER!AW345=1,PER!$V$41,PER!AW385=1,PER!$V$42,PER!AW425=1,PER!$V$43,PER!AW465=1,PER!$V$44,PER!AW505=1,PER!$V$45,PER!AW545=1,PER!$V$46,PER!AW585=1,PER!$V$47,PER!AW625=1,PER!$V$48)))</f>
        <v/>
      </c>
      <c r="I34" s="54" t="str" cm="1">
        <f t="array" ref="I34">IF(PER!AC84=0,"",IF((PER!AX65+PER!AX105+PER!AX145+PER!AX185+PER!AX225+PER!AX265+PER!AX305+PER!AX345+PER!AX385+PER!AX425+PER!AX465+PER!AX505+PER!AX545+PER!AX585+PER!AX625)=0,"",_xlfn.IFS(PER!AX65=1,PER!$V$34,PER!AX105=1,PER!$V$35,PER!AX145=1,PER!$V$36,PER!AX185=1,PER!$V$37,PER!AX225=1,PER!$V$38,PER!AX265=1,PER!$V$39,PER!AX305=1,PER!$V$40,PER!AX345=1,PER!$V$41,PER!AX385=1,PER!$V$42,PER!AX425=1,PER!$V$43,PER!AX465=1,PER!$V$44,PER!AX505=1,PER!$V$45,PER!AX545=1,PER!$V$46,PER!AX585=1,PER!$V$47,PER!AX625=1,PER!$V$48)))</f>
        <v/>
      </c>
      <c r="J34" s="54" t="str" cm="1">
        <f t="array" ref="J34">IF(PER!AD84=0,"",IF((PER!AY65+PER!AY105+PER!AY145+PER!AY185+PER!AY225+PER!AY265+PER!AY305+PER!AY345+PER!AY385+PER!AY425+PER!AY465+PER!AY505+PER!AY545+PER!AY585+PER!AY625)=0,"",_xlfn.IFS(PER!AY65=1,PER!$V$34,PER!AY105=1,PER!$V$35,PER!AY145=1,PER!$V$36,PER!AY185=1,PER!$V$37,PER!AY225=1,PER!$V$38,PER!AY265=1,PER!$V$39,PER!AY305=1,PER!$V$40,PER!AY345=1,PER!$V$41,PER!AY385=1,PER!$V$42,PER!AY425=1,PER!$V$43,PER!AY465=1,PER!$V$44,PER!AY505=1,PER!$V$45,PER!AY545=1,PER!$V$46,PER!AY585=1,PER!$V$47,PER!AY625=1,PER!$V$48)))</f>
        <v/>
      </c>
      <c r="K34" s="54" t="str" cm="1">
        <f t="array" ref="K34">IF(PER!AE84=0,"",IF((PER!AZ65+PER!AZ105+PER!AZ145+PER!AZ185+PER!AZ225+PER!AZ265+PER!AZ305+PER!AZ345+PER!AZ385+PER!AZ425+PER!AZ465+PER!AZ505+PER!AZ545+PER!AZ585+PER!AZ625)=0,"",_xlfn.IFS(PER!AZ65=1,PER!$V$34,PER!AZ105=1,PER!$V$35,PER!AZ145=1,PER!$V$36,PER!AZ185=1,PER!$V$37,PER!AZ225=1,PER!$V$38,PER!AZ265=1,PER!$V$39,PER!AZ305=1,PER!$V$40,PER!AZ345=1,PER!$V$41,PER!AZ385=1,PER!$V$42,PER!AZ425=1,PER!$V$43,PER!AZ465=1,PER!$V$44,PER!AZ505=1,PER!$V$45,PER!AZ545=1,PER!$V$46,PER!AZ585=1,PER!$V$47,PER!AZ625=1,PER!$V$48)))</f>
        <v/>
      </c>
      <c r="L34" s="54" t="str" cm="1">
        <f t="array" ref="L34">IF(PER!AF84=0,"",IF((PER!BA65+PER!BA105+PER!BA145+PER!BA185+PER!BA225+PER!BA265+PER!BA305+PER!BA345+PER!BA385+PER!BA425+PER!BA465+PER!BA505+PER!BA545+PER!BA585+PER!BA625)=0,"",_xlfn.IFS(PER!BA65=1,PER!$V$34,PER!BA105=1,PER!$V$35,PER!BA145=1,PER!$V$36,PER!BA185=1,PER!$V$37,PER!BA225=1,PER!$V$38,PER!BA265=1,PER!$V$39,PER!BA305=1,PER!$V$40,PER!BA345=1,PER!$V$41,PER!BA385=1,PER!$V$42,PER!BA425=1,PER!$V$43,PER!BA465=1,PER!$V$44,PER!BA505=1,PER!$V$45,PER!BA545=1,PER!$V$46,PER!BA585=1,PER!$V$47,PER!BA625=1,PER!$V$48)))</f>
        <v/>
      </c>
      <c r="M34" s="54" t="str" cm="1">
        <f t="array" ref="M34">IF(PER!AG84=0,"",IF((PER!BB65+PER!BB105+PER!BB145+PER!BB185+PER!BB225+PER!BB265+PER!BB305+PER!BB345+PER!BB385+PER!BB425+PER!BB465+PER!BB505+PER!BB545+PER!BB585+PER!BB625)=0,"",_xlfn.IFS(PER!BB65=1,PER!$V$34,PER!BB105=1,PER!$V$35,PER!BB145=1,PER!$V$36,PER!BB185=1,PER!$V$37,PER!BB225=1,PER!$V$38,PER!BB265=1,PER!$V$39,PER!BB305=1,PER!$V$40,PER!BB345=1,PER!$V$41,PER!BB385=1,PER!$V$42,PER!BB425=1,PER!$V$43,PER!BB465=1,PER!$V$44,PER!BB505=1,PER!$V$45,PER!BB545=1,PER!$V$46,PER!BB585=1,PER!$V$47,PER!BB625=1,PER!$V$48)))</f>
        <v/>
      </c>
      <c r="N34" s="54" t="str" cm="1">
        <f t="array" ref="N34">IF(PER!AH84=0,"",IF((PER!BC65+PER!BC105+PER!BC145+PER!BC185+PER!BC225+PER!BC265+PER!BC305+PER!BC345+PER!BC385+PER!BC425+PER!BC465+PER!BC505+PER!BC545+PER!BC585+PER!BC625)=0,"",_xlfn.IFS(PER!BC65=1,PER!$V$34,PER!BC105=1,PER!$V$35,PER!BC145=1,PER!$V$36,PER!BC185=1,PER!$V$37,PER!BC225=1,PER!$V$38,PER!BC265=1,PER!$V$39,PER!BC305=1,PER!$V$40,PER!BC345=1,PER!$V$41,PER!BC385=1,PER!$V$42,PER!BC425=1,PER!$V$43,PER!BC465=1,PER!$V$44,PER!BC505=1,PER!$V$45,PER!BC545=1,PER!$V$46,PER!BC585=1,PER!$V$47,PER!BC625=1,PER!$V$48)))</f>
        <v/>
      </c>
      <c r="O34" s="54" t="str" cm="1">
        <f t="array" ref="O34">IF(PER!AI84=0,"",IF((PER!BD65+PER!BD105+PER!BD145+PER!BD185+PER!BD225+PER!BD265+PER!BD305+PER!BD345+PER!BD385+PER!BD425+PER!BD465+PER!BD505+PER!BD545+PER!BD585+PER!BD625)=0,"",_xlfn.IFS(PER!BD65=1,PER!$V$34,PER!BD105=1,PER!$V$35,PER!BD145=1,PER!$V$36,PER!BD185=1,PER!$V$37,PER!BD225=1,PER!$V$38,PER!BD265=1,PER!$V$39,PER!BD305=1,PER!$V$40,PER!BD345=1,PER!$V$41,PER!BD385=1,PER!$V$42,PER!BD425=1,PER!$V$43,PER!BD465=1,PER!$V$44,PER!BD505=1,PER!$V$45,PER!BD545=1,PER!$V$46,PER!BD585=1,PER!$V$47,PER!BD625=1,PER!$V$48)))</f>
        <v/>
      </c>
      <c r="P34" s="54" t="str" cm="1">
        <f t="array" ref="P34">IF(PER!AJ84=0,"",IF((PER!BE65+PER!BE105+PER!BE145+PER!BE185+PER!BE225+PER!BE265+PER!BE305+PER!BE345+PER!BE385+PER!BE425+PER!BE465+PER!BE505+PER!BE545+PER!BE585+PER!BE625)=0,"",_xlfn.IFS(PER!BE65=1,PER!$V$34,PER!BE105=1,PER!$V$35,PER!BE145=1,PER!$V$36,PER!BE185=1,PER!$V$37,PER!BE225=1,PER!$V$38,PER!BE265=1,PER!$V$39,PER!BE305=1,PER!$V$40,PER!BE345=1,PER!$V$41,PER!BE385=1,PER!$V$42,PER!BE425=1,PER!$V$43,PER!BE465=1,PER!$V$44,PER!BE505=1,PER!$V$45,PER!BE545=1,PER!$V$46,PER!BE585=1,PER!$V$47,PER!BE625=1,PER!$V$48)))</f>
        <v/>
      </c>
      <c r="Q34" s="54" t="str" cm="1">
        <f t="array" ref="Q34">IF(PER!AK84=0,"",IF((PER!BF65+PER!BF105+PER!BF145+PER!BF185+PER!BF225+PER!BF265+PER!BF305+PER!BF345+PER!BF385+PER!BF425+PER!BF465+PER!BF505+PER!BF545+PER!BF585+PER!BF625)=0,"",_xlfn.IFS(PER!BF65=1,PER!$V$34,PER!BF105=1,PER!$V$35,PER!BF145=1,PER!$V$36,PER!BF185=1,PER!$V$37,PER!BF225=1,PER!$V$38,PER!BF265=1,PER!$V$39,PER!BF305=1,PER!$V$40,PER!BF345=1,PER!$V$41,PER!BF385=1,PER!$V$42,PER!BF425=1,PER!$V$43,PER!BF465=1,PER!$V$44,PER!BF505=1,PER!$V$45,PER!BF545=1,PER!$V$46,PER!BF585=1,PER!$V$47,PER!BF625=1,PER!$V$48)))</f>
        <v/>
      </c>
      <c r="R34" s="54" t="str" cm="1">
        <f t="array" ref="R34">IF(PER!AL84=0,"",IF((PER!BG65+PER!BG105+PER!BG145+PER!BG185+PER!BG225+PER!BG265+PER!BG305+PER!BG345+PER!BG385+PER!BG425+PER!BG465+PER!BG505+PER!BG545+PER!BG585+PER!BG625)=0,"",_xlfn.IFS(PER!BG65=1,PER!$V$34,PER!BG105=1,PER!$V$35,PER!BG145=1,PER!$V$36,PER!BG185=1,PER!$V$37,PER!BG225=1,PER!$V$38,PER!BG265=1,PER!$V$39,PER!BG305=1,PER!$V$40,PER!BG345=1,PER!$V$41,PER!BG385=1,PER!$V$42,PER!BG425=1,PER!$V$43,PER!BG465=1,PER!$V$44,PER!BG505=1,PER!$V$45,PER!BG545=1,PER!$V$46,PER!BG585=1,PER!$V$47,PER!BG625=1,PER!$V$48)))</f>
        <v/>
      </c>
      <c r="S34" s="54" t="str" cm="1">
        <f t="array" ref="S34">IF(PER!AM84=0,"",IF((PER!BH65+PER!BH105+PER!BH145+PER!BH185+PER!BH225+PER!BH265+PER!BH305+PER!BH345+PER!BH385+PER!BH425+PER!BH465+PER!BH505+PER!BH545+PER!BH585+PER!BH625)=0,"",_xlfn.IFS(PER!BH65=1,PER!$V$34,PER!BH105=1,PER!$V$35,PER!BH145=1,PER!$V$36,PER!BH185=1,PER!$V$37,PER!BH225=1,PER!$V$38,PER!BH265=1,PER!$V$39,PER!BH305=1,PER!$V$40,PER!BH345=1,PER!$V$41,PER!BH385=1,PER!$V$42,PER!BH425=1,PER!$V$43,PER!BH465=1,PER!$V$44,PER!BH505=1,PER!$V$45,PER!BH545=1,PER!$V$46,PER!BH585=1,PER!$V$47,PER!BH625=1,PER!$V$48)))</f>
        <v/>
      </c>
    </row>
    <row r="35" spans="1:19" x14ac:dyDescent="0.55000000000000004">
      <c r="A35">
        <v>33</v>
      </c>
      <c r="B35" t="s">
        <v>146</v>
      </c>
      <c r="C35" s="54" t="str" cm="1">
        <f t="array" ref="C35">IF(PER!W85=0,"",IF((PER!AR66+PER!AR106+PER!AR146+PER!AR186+PER!AR226+PER!AR266+PER!AR306+PER!AR346+PER!AR386+PER!AR426+PER!AR466+PER!AR506+PER!AR546+PER!AR586+PER!AR626)=0,"",_xlfn.IFS(PER!AR66=1,PER!$V$34,PER!AR106=1,PER!$V$35,PER!AR146=1,PER!$V$36,PER!AR186=1,PER!$V$37,PER!AR226=1,PER!$V$38,PER!AR266=1,PER!$V$39,PER!AR306=1,PER!$V$40,PER!AR346=1,PER!$V$41,PER!AR386=1,PER!$V$42,PER!AR426=1,PER!$V$43,PER!AR466=1,PER!$V$44,PER!AR506=1,PER!$V$45,PER!AR546=1,PER!$V$46,PER!AR586=1,PER!$V$47,PER!AR626=1,PER!$V$48)))</f>
        <v/>
      </c>
      <c r="D35" s="54" t="str" cm="1">
        <f t="array" ref="D35">IF(PER!X85=0,"",IF((PER!AS66+PER!AS106+PER!AS146+PER!AS186+PER!AS226+PER!AS266+PER!AS306+PER!AS346+PER!AS386+PER!AS426+PER!AS466+PER!AS506+PER!AS546+PER!AS586+PER!AS626)=0,"",_xlfn.IFS(PER!AS66=1,PER!$V$34,PER!AS106=1,PER!$V$35,PER!AS146=1,PER!$V$36,PER!AS186=1,PER!$V$37,PER!AS226=1,PER!$V$38,PER!AS266=1,PER!$V$39,PER!AS306=1,PER!$V$40,PER!AS346=1,PER!$V$41,PER!AS386=1,PER!$V$42,PER!AS426=1,PER!$V$43,PER!AS466=1,PER!$V$44,PER!AS506=1,PER!$V$45,PER!AS546=1,PER!$V$46,PER!AS586=1,PER!$V$47,PER!AS626=1,PER!$V$48)))</f>
        <v/>
      </c>
      <c r="E35" s="54" t="str" cm="1">
        <f t="array" ref="E35">IF(PER!Y85=0,"",IF((PER!AT66+PER!AT106+PER!AT146+PER!AT186+PER!AT226+PER!AT266+PER!AT306+PER!AT346+PER!AT386+PER!AT426+PER!AT466+PER!AT506+PER!AT546+PER!AT586+PER!AT626)=0,"",_xlfn.IFS(PER!AT66=1,PER!$V$34,PER!AT106=1,PER!$V$35,PER!AT146=1,PER!$V$36,PER!AT186=1,PER!$V$37,PER!AT226=1,PER!$V$38,PER!AT266=1,PER!$V$39,PER!AT306=1,PER!$V$40,PER!AT346=1,PER!$V$41,PER!AT386=1,PER!$V$42,PER!AT426=1,PER!$V$43,PER!AT466=1,PER!$V$44,PER!AT506=1,PER!$V$45,PER!AT546=1,PER!$V$46,PER!AT586=1,PER!$V$47,PER!AT626=1,PER!$V$48)))</f>
        <v/>
      </c>
      <c r="F35" s="54" t="str" cm="1">
        <f t="array" ref="F35">IF(PER!Z85=0,"",IF((PER!AU66+PER!AU106+PER!AU146+PER!AU186+PER!AU226+PER!AU266+PER!AU306+PER!AU346+PER!AU386+PER!AU426+PER!AU466+PER!AU506+PER!AU546+PER!AU586+PER!AU626)=0,"",_xlfn.IFS(PER!AU66=1,PER!$V$34,PER!AU106=1,PER!$V$35,PER!AU146=1,PER!$V$36,PER!AU186=1,PER!$V$37,PER!AU226=1,PER!$V$38,PER!AU266=1,PER!$V$39,PER!AU306=1,PER!$V$40,PER!AU346=1,PER!$V$41,PER!AU386=1,PER!$V$42,PER!AU426=1,PER!$V$43,PER!AU466=1,PER!$V$44,PER!AU506=1,PER!$V$45,PER!AU546=1,PER!$V$46,PER!AU586=1,PER!$V$47,PER!AU626=1,PER!$V$48)))</f>
        <v/>
      </c>
      <c r="G35" s="54" t="str" cm="1">
        <f t="array" ref="G35">IF(PER!AA85=0,"",IF((PER!AV66+PER!AV106+PER!AV146+PER!AV186+PER!AV226+PER!AV266+PER!AV306+PER!AV346+PER!AV386+PER!AV426+PER!AV466+PER!AV506+PER!AV546+PER!AV586+PER!AV626)=0,"",_xlfn.IFS(PER!AV66=1,PER!$V$34,PER!AV106=1,PER!$V$35,PER!AV146=1,PER!$V$36,PER!AV186=1,PER!$V$37,PER!AV226=1,PER!$V$38,PER!AV266=1,PER!$V$39,PER!AV306=1,PER!$V$40,PER!AV346=1,PER!$V$41,PER!AV386=1,PER!$V$42,PER!AV426=1,PER!$V$43,PER!AV466=1,PER!$V$44,PER!AV506=1,PER!$V$45,PER!AV546=1,PER!$V$46,PER!AV586=1,PER!$V$47,PER!AV626=1,PER!$V$48)))</f>
        <v/>
      </c>
      <c r="H35" s="54" t="str" cm="1">
        <f t="array" ref="H35">IF(PER!AB85=0,"",IF((PER!AW66+PER!AW106+PER!AW146+PER!AW186+PER!AW226+PER!AW266+PER!AW306+PER!AW346+PER!AW386+PER!AW426+PER!AW466+PER!AW506+PER!AW546+PER!AW586+PER!AW626)=0,"",_xlfn.IFS(PER!AW66=1,PER!$V$34,PER!AW106=1,PER!$V$35,PER!AW146=1,PER!$V$36,PER!AW186=1,PER!$V$37,PER!AW226=1,PER!$V$38,PER!AW266=1,PER!$V$39,PER!AW306=1,PER!$V$40,PER!AW346=1,PER!$V$41,PER!AW386=1,PER!$V$42,PER!AW426=1,PER!$V$43,PER!AW466=1,PER!$V$44,PER!AW506=1,PER!$V$45,PER!AW546=1,PER!$V$46,PER!AW586=1,PER!$V$47,PER!AW626=1,PER!$V$48)))</f>
        <v/>
      </c>
      <c r="I35" s="54" t="str" cm="1">
        <f t="array" ref="I35">IF(PER!AC85=0,"",IF((PER!AX66+PER!AX106+PER!AX146+PER!AX186+PER!AX226+PER!AX266+PER!AX306+PER!AX346+PER!AX386+PER!AX426+PER!AX466+PER!AX506+PER!AX546+PER!AX586+PER!AX626)=0,"",_xlfn.IFS(PER!AX66=1,PER!$V$34,PER!AX106=1,PER!$V$35,PER!AX146=1,PER!$V$36,PER!AX186=1,PER!$V$37,PER!AX226=1,PER!$V$38,PER!AX266=1,PER!$V$39,PER!AX306=1,PER!$V$40,PER!AX346=1,PER!$V$41,PER!AX386=1,PER!$V$42,PER!AX426=1,PER!$V$43,PER!AX466=1,PER!$V$44,PER!AX506=1,PER!$V$45,PER!AX546=1,PER!$V$46,PER!AX586=1,PER!$V$47,PER!AX626=1,PER!$V$48)))</f>
        <v/>
      </c>
      <c r="J35" s="54" t="str" cm="1">
        <f t="array" ref="J35">IF(PER!AD85=0,"",IF((PER!AY66+PER!AY106+PER!AY146+PER!AY186+PER!AY226+PER!AY266+PER!AY306+PER!AY346+PER!AY386+PER!AY426+PER!AY466+PER!AY506+PER!AY546+PER!AY586+PER!AY626)=0,"",_xlfn.IFS(PER!AY66=1,PER!$V$34,PER!AY106=1,PER!$V$35,PER!AY146=1,PER!$V$36,PER!AY186=1,PER!$V$37,PER!AY226=1,PER!$V$38,PER!AY266=1,PER!$V$39,PER!AY306=1,PER!$V$40,PER!AY346=1,PER!$V$41,PER!AY386=1,PER!$V$42,PER!AY426=1,PER!$V$43,PER!AY466=1,PER!$V$44,PER!AY506=1,PER!$V$45,PER!AY546=1,PER!$V$46,PER!AY586=1,PER!$V$47,PER!AY626=1,PER!$V$48)))</f>
        <v/>
      </c>
      <c r="K35" s="54" t="str" cm="1">
        <f t="array" ref="K35">IF(PER!AE85=0,"",IF((PER!AZ66+PER!AZ106+PER!AZ146+PER!AZ186+PER!AZ226+PER!AZ266+PER!AZ306+PER!AZ346+PER!AZ386+PER!AZ426+PER!AZ466+PER!AZ506+PER!AZ546+PER!AZ586+PER!AZ626)=0,"",_xlfn.IFS(PER!AZ66=1,PER!$V$34,PER!AZ106=1,PER!$V$35,PER!AZ146=1,PER!$V$36,PER!AZ186=1,PER!$V$37,PER!AZ226=1,PER!$V$38,PER!AZ266=1,PER!$V$39,PER!AZ306=1,PER!$V$40,PER!AZ346=1,PER!$V$41,PER!AZ386=1,PER!$V$42,PER!AZ426=1,PER!$V$43,PER!AZ466=1,PER!$V$44,PER!AZ506=1,PER!$V$45,PER!AZ546=1,PER!$V$46,PER!AZ586=1,PER!$V$47,PER!AZ626=1,PER!$V$48)))</f>
        <v/>
      </c>
      <c r="L35" s="54" t="str" cm="1">
        <f t="array" ref="L35">IF(PER!AF85=0,"",IF((PER!BA66+PER!BA106+PER!BA146+PER!BA186+PER!BA226+PER!BA266+PER!BA306+PER!BA346+PER!BA386+PER!BA426+PER!BA466+PER!BA506+PER!BA546+PER!BA586+PER!BA626)=0,"",_xlfn.IFS(PER!BA66=1,PER!$V$34,PER!BA106=1,PER!$V$35,PER!BA146=1,PER!$V$36,PER!BA186=1,PER!$V$37,PER!BA226=1,PER!$V$38,PER!BA266=1,PER!$V$39,PER!BA306=1,PER!$V$40,PER!BA346=1,PER!$V$41,PER!BA386=1,PER!$V$42,PER!BA426=1,PER!$V$43,PER!BA466=1,PER!$V$44,PER!BA506=1,PER!$V$45,PER!BA546=1,PER!$V$46,PER!BA586=1,PER!$V$47,PER!BA626=1,PER!$V$48)))</f>
        <v/>
      </c>
      <c r="M35" s="54" t="str" cm="1">
        <f t="array" ref="M35">IF(PER!AG85=0,"",IF((PER!BB66+PER!BB106+PER!BB146+PER!BB186+PER!BB226+PER!BB266+PER!BB306+PER!BB346+PER!BB386+PER!BB426+PER!BB466+PER!BB506+PER!BB546+PER!BB586+PER!BB626)=0,"",_xlfn.IFS(PER!BB66=1,PER!$V$34,PER!BB106=1,PER!$V$35,PER!BB146=1,PER!$V$36,PER!BB186=1,PER!$V$37,PER!BB226=1,PER!$V$38,PER!BB266=1,PER!$V$39,PER!BB306=1,PER!$V$40,PER!BB346=1,PER!$V$41,PER!BB386=1,PER!$V$42,PER!BB426=1,PER!$V$43,PER!BB466=1,PER!$V$44,PER!BB506=1,PER!$V$45,PER!BB546=1,PER!$V$46,PER!BB586=1,PER!$V$47,PER!BB626=1,PER!$V$48)))</f>
        <v/>
      </c>
      <c r="N35" s="54" t="str" cm="1">
        <f t="array" ref="N35">IF(PER!AH85=0,"",IF((PER!BC66+PER!BC106+PER!BC146+PER!BC186+PER!BC226+PER!BC266+PER!BC306+PER!BC346+PER!BC386+PER!BC426+PER!BC466+PER!BC506+PER!BC546+PER!BC586+PER!BC626)=0,"",_xlfn.IFS(PER!BC66=1,PER!$V$34,PER!BC106=1,PER!$V$35,PER!BC146=1,PER!$V$36,PER!BC186=1,PER!$V$37,PER!BC226=1,PER!$V$38,PER!BC266=1,PER!$V$39,PER!BC306=1,PER!$V$40,PER!BC346=1,PER!$V$41,PER!BC386=1,PER!$V$42,PER!BC426=1,PER!$V$43,PER!BC466=1,PER!$V$44,PER!BC506=1,PER!$V$45,PER!BC546=1,PER!$V$46,PER!BC586=1,PER!$V$47,PER!BC626=1,PER!$V$48)))</f>
        <v/>
      </c>
      <c r="O35" s="54" t="str" cm="1">
        <f t="array" ref="O35">IF(PER!AI85=0,"",IF((PER!BD66+PER!BD106+PER!BD146+PER!BD186+PER!BD226+PER!BD266+PER!BD306+PER!BD346+PER!BD386+PER!BD426+PER!BD466+PER!BD506+PER!BD546+PER!BD586+PER!BD626)=0,"",_xlfn.IFS(PER!BD66=1,PER!$V$34,PER!BD106=1,PER!$V$35,PER!BD146=1,PER!$V$36,PER!BD186=1,PER!$V$37,PER!BD226=1,PER!$V$38,PER!BD266=1,PER!$V$39,PER!BD306=1,PER!$V$40,PER!BD346=1,PER!$V$41,PER!BD386=1,PER!$V$42,PER!BD426=1,PER!$V$43,PER!BD466=1,PER!$V$44,PER!BD506=1,PER!$V$45,PER!BD546=1,PER!$V$46,PER!BD586=1,PER!$V$47,PER!BD626=1,PER!$V$48)))</f>
        <v/>
      </c>
      <c r="P35" s="54" t="str" cm="1">
        <f t="array" ref="P35">IF(PER!AJ85=0,"",IF((PER!BE66+PER!BE106+PER!BE146+PER!BE186+PER!BE226+PER!BE266+PER!BE306+PER!BE346+PER!BE386+PER!BE426+PER!BE466+PER!BE506+PER!BE546+PER!BE586+PER!BE626)=0,"",_xlfn.IFS(PER!BE66=1,PER!$V$34,PER!BE106=1,PER!$V$35,PER!BE146=1,PER!$V$36,PER!BE186=1,PER!$V$37,PER!BE226=1,PER!$V$38,PER!BE266=1,PER!$V$39,PER!BE306=1,PER!$V$40,PER!BE346=1,PER!$V$41,PER!BE386=1,PER!$V$42,PER!BE426=1,PER!$V$43,PER!BE466=1,PER!$V$44,PER!BE506=1,PER!$V$45,PER!BE546=1,PER!$V$46,PER!BE586=1,PER!$V$47,PER!BE626=1,PER!$V$48)))</f>
        <v/>
      </c>
      <c r="Q35" s="54" t="str" cm="1">
        <f t="array" ref="Q35">IF(PER!AK85=0,"",IF((PER!BF66+PER!BF106+PER!BF146+PER!BF186+PER!BF226+PER!BF266+PER!BF306+PER!BF346+PER!BF386+PER!BF426+PER!BF466+PER!BF506+PER!BF546+PER!BF586+PER!BF626)=0,"",_xlfn.IFS(PER!BF66=1,PER!$V$34,PER!BF106=1,PER!$V$35,PER!BF146=1,PER!$V$36,PER!BF186=1,PER!$V$37,PER!BF226=1,PER!$V$38,PER!BF266=1,PER!$V$39,PER!BF306=1,PER!$V$40,PER!BF346=1,PER!$V$41,PER!BF386=1,PER!$V$42,PER!BF426=1,PER!$V$43,PER!BF466=1,PER!$V$44,PER!BF506=1,PER!$V$45,PER!BF546=1,PER!$V$46,PER!BF586=1,PER!$V$47,PER!BF626=1,PER!$V$48)))</f>
        <v/>
      </c>
      <c r="R35" s="54" t="str" cm="1">
        <f t="array" ref="R35">IF(PER!AL85=0,"",IF((PER!BG66+PER!BG106+PER!BG146+PER!BG186+PER!BG226+PER!BG266+PER!BG306+PER!BG346+PER!BG386+PER!BG426+PER!BG466+PER!BG506+PER!BG546+PER!BG586+PER!BG626)=0,"",_xlfn.IFS(PER!BG66=1,PER!$V$34,PER!BG106=1,PER!$V$35,PER!BG146=1,PER!$V$36,PER!BG186=1,PER!$V$37,PER!BG226=1,PER!$V$38,PER!BG266=1,PER!$V$39,PER!BG306=1,PER!$V$40,PER!BG346=1,PER!$V$41,PER!BG386=1,PER!$V$42,PER!BG426=1,PER!$V$43,PER!BG466=1,PER!$V$44,PER!BG506=1,PER!$V$45,PER!BG546=1,PER!$V$46,PER!BG586=1,PER!$V$47,PER!BG626=1,PER!$V$48)))</f>
        <v/>
      </c>
      <c r="S35" s="54" t="str" cm="1">
        <f t="array" ref="S35">IF(PER!AM85=0,"",IF((PER!BH66+PER!BH106+PER!BH146+PER!BH186+PER!BH226+PER!BH266+PER!BH306+PER!BH346+PER!BH386+PER!BH426+PER!BH466+PER!BH506+PER!BH546+PER!BH586+PER!BH626)=0,"",_xlfn.IFS(PER!BH66=1,PER!$V$34,PER!BH106=1,PER!$V$35,PER!BH146=1,PER!$V$36,PER!BH186=1,PER!$V$37,PER!BH226=1,PER!$V$38,PER!BH266=1,PER!$V$39,PER!BH306=1,PER!$V$40,PER!BH346=1,PER!$V$41,PER!BH386=1,PER!$V$42,PER!BH426=1,PER!$V$43,PER!BH466=1,PER!$V$44,PER!BH506=1,PER!$V$45,PER!BH546=1,PER!$V$46,PER!BH586=1,PER!$V$47,PER!BH626=1,PER!$V$48)))</f>
        <v/>
      </c>
    </row>
    <row r="36" spans="1:19" x14ac:dyDescent="0.55000000000000004">
      <c r="A36">
        <v>34</v>
      </c>
      <c r="B36" t="s">
        <v>146</v>
      </c>
      <c r="C36" s="54" t="str" cm="1">
        <f t="array" ref="C36">IF(PER!W86=0,"",IF((PER!AR67+PER!AR107+PER!AR147+PER!AR187+PER!AR227+PER!AR267+PER!AR307+PER!AR347+PER!AR387+PER!AR427+PER!AR467+PER!AR507+PER!AR547+PER!AR587+PER!AR627)=0,"",_xlfn.IFS(PER!AR67=1,PER!$V$34,PER!AR107=1,PER!$V$35,PER!AR147=1,PER!$V$36,PER!AR187=1,PER!$V$37,PER!AR227=1,PER!$V$38,PER!AR267=1,PER!$V$39,PER!AR307=1,PER!$V$40,PER!AR347=1,PER!$V$41,PER!AR387=1,PER!$V$42,PER!AR427=1,PER!$V$43,PER!AR467=1,PER!$V$44,PER!AR507=1,PER!$V$45,PER!AR547=1,PER!$V$46,PER!AR587=1,PER!$V$47,PER!AR627=1,PER!$V$48)))</f>
        <v/>
      </c>
      <c r="D36" s="54" t="str" cm="1">
        <f t="array" ref="D36">IF(PER!X86=0,"",IF((PER!AS67+PER!AS107+PER!AS147+PER!AS187+PER!AS227+PER!AS267+PER!AS307+PER!AS347+PER!AS387+PER!AS427+PER!AS467+PER!AS507+PER!AS547+PER!AS587+PER!AS627)=0,"",_xlfn.IFS(PER!AS67=1,PER!$V$34,PER!AS107=1,PER!$V$35,PER!AS147=1,PER!$V$36,PER!AS187=1,PER!$V$37,PER!AS227=1,PER!$V$38,PER!AS267=1,PER!$V$39,PER!AS307=1,PER!$V$40,PER!AS347=1,PER!$V$41,PER!AS387=1,PER!$V$42,PER!AS427=1,PER!$V$43,PER!AS467=1,PER!$V$44,PER!AS507=1,PER!$V$45,PER!AS547=1,PER!$V$46,PER!AS587=1,PER!$V$47,PER!AS627=1,PER!$V$48)))</f>
        <v/>
      </c>
      <c r="E36" s="54" t="str" cm="1">
        <f t="array" ref="E36">IF(PER!Y86=0,"",IF((PER!AT67+PER!AT107+PER!AT147+PER!AT187+PER!AT227+PER!AT267+PER!AT307+PER!AT347+PER!AT387+PER!AT427+PER!AT467+PER!AT507+PER!AT547+PER!AT587+PER!AT627)=0,"",_xlfn.IFS(PER!AT67=1,PER!$V$34,PER!AT107=1,PER!$V$35,PER!AT147=1,PER!$V$36,PER!AT187=1,PER!$V$37,PER!AT227=1,PER!$V$38,PER!AT267=1,PER!$V$39,PER!AT307=1,PER!$V$40,PER!AT347=1,PER!$V$41,PER!AT387=1,PER!$V$42,PER!AT427=1,PER!$V$43,PER!AT467=1,PER!$V$44,PER!AT507=1,PER!$V$45,PER!AT547=1,PER!$V$46,PER!AT587=1,PER!$V$47,PER!AT627=1,PER!$V$48)))</f>
        <v/>
      </c>
      <c r="F36" s="54" t="str" cm="1">
        <f t="array" ref="F36">IF(PER!Z86=0,"",IF((PER!AU67+PER!AU107+PER!AU147+PER!AU187+PER!AU227+PER!AU267+PER!AU307+PER!AU347+PER!AU387+PER!AU427+PER!AU467+PER!AU507+PER!AU547+PER!AU587+PER!AU627)=0,"",_xlfn.IFS(PER!AU67=1,PER!$V$34,PER!AU107=1,PER!$V$35,PER!AU147=1,PER!$V$36,PER!AU187=1,PER!$V$37,PER!AU227=1,PER!$V$38,PER!AU267=1,PER!$V$39,PER!AU307=1,PER!$V$40,PER!AU347=1,PER!$V$41,PER!AU387=1,PER!$V$42,PER!AU427=1,PER!$V$43,PER!AU467=1,PER!$V$44,PER!AU507=1,PER!$V$45,PER!AU547=1,PER!$V$46,PER!AU587=1,PER!$V$47,PER!AU627=1,PER!$V$48)))</f>
        <v/>
      </c>
      <c r="G36" s="54" t="str" cm="1">
        <f t="array" ref="G36">IF(PER!AA86=0,"",IF((PER!AV67+PER!AV107+PER!AV147+PER!AV187+PER!AV227+PER!AV267+PER!AV307+PER!AV347+PER!AV387+PER!AV427+PER!AV467+PER!AV507+PER!AV547+PER!AV587+PER!AV627)=0,"",_xlfn.IFS(PER!AV67=1,PER!$V$34,PER!AV107=1,PER!$V$35,PER!AV147=1,PER!$V$36,PER!AV187=1,PER!$V$37,PER!AV227=1,PER!$V$38,PER!AV267=1,PER!$V$39,PER!AV307=1,PER!$V$40,PER!AV347=1,PER!$V$41,PER!AV387=1,PER!$V$42,PER!AV427=1,PER!$V$43,PER!AV467=1,PER!$V$44,PER!AV507=1,PER!$V$45,PER!AV547=1,PER!$V$46,PER!AV587=1,PER!$V$47,PER!AV627=1,PER!$V$48)))</f>
        <v/>
      </c>
      <c r="H36" s="54" t="str" cm="1">
        <f t="array" ref="H36">IF(PER!AB86=0,"",IF((PER!AW67+PER!AW107+PER!AW147+PER!AW187+PER!AW227+PER!AW267+PER!AW307+PER!AW347+PER!AW387+PER!AW427+PER!AW467+PER!AW507+PER!AW547+PER!AW587+PER!AW627)=0,"",_xlfn.IFS(PER!AW67=1,PER!$V$34,PER!AW107=1,PER!$V$35,PER!AW147=1,PER!$V$36,PER!AW187=1,PER!$V$37,PER!AW227=1,PER!$V$38,PER!AW267=1,PER!$V$39,PER!AW307=1,PER!$V$40,PER!AW347=1,PER!$V$41,PER!AW387=1,PER!$V$42,PER!AW427=1,PER!$V$43,PER!AW467=1,PER!$V$44,PER!AW507=1,PER!$V$45,PER!AW547=1,PER!$V$46,PER!AW587=1,PER!$V$47,PER!AW627=1,PER!$V$48)))</f>
        <v/>
      </c>
      <c r="I36" s="54" t="str" cm="1">
        <f t="array" ref="I36">IF(PER!AC86=0,"",IF((PER!AX67+PER!AX107+PER!AX147+PER!AX187+PER!AX227+PER!AX267+PER!AX307+PER!AX347+PER!AX387+PER!AX427+PER!AX467+PER!AX507+PER!AX547+PER!AX587+PER!AX627)=0,"",_xlfn.IFS(PER!AX67=1,PER!$V$34,PER!AX107=1,PER!$V$35,PER!AX147=1,PER!$V$36,PER!AX187=1,PER!$V$37,PER!AX227=1,PER!$V$38,PER!AX267=1,PER!$V$39,PER!AX307=1,PER!$V$40,PER!AX347=1,PER!$V$41,PER!AX387=1,PER!$V$42,PER!AX427=1,PER!$V$43,PER!AX467=1,PER!$V$44,PER!AX507=1,PER!$V$45,PER!AX547=1,PER!$V$46,PER!AX587=1,PER!$V$47,PER!AX627=1,PER!$V$48)))</f>
        <v/>
      </c>
      <c r="J36" s="54" t="str" cm="1">
        <f t="array" ref="J36">IF(PER!AD86=0,"",IF((PER!AY67+PER!AY107+PER!AY147+PER!AY187+PER!AY227+PER!AY267+PER!AY307+PER!AY347+PER!AY387+PER!AY427+PER!AY467+PER!AY507+PER!AY547+PER!AY587+PER!AY627)=0,"",_xlfn.IFS(PER!AY67=1,PER!$V$34,PER!AY107=1,PER!$V$35,PER!AY147=1,PER!$V$36,PER!AY187=1,PER!$V$37,PER!AY227=1,PER!$V$38,PER!AY267=1,PER!$V$39,PER!AY307=1,PER!$V$40,PER!AY347=1,PER!$V$41,PER!AY387=1,PER!$V$42,PER!AY427=1,PER!$V$43,PER!AY467=1,PER!$V$44,PER!AY507=1,PER!$V$45,PER!AY547=1,PER!$V$46,PER!AY587=1,PER!$V$47,PER!AY627=1,PER!$V$48)))</f>
        <v/>
      </c>
      <c r="K36" s="54" t="str" cm="1">
        <f t="array" ref="K36">IF(PER!AE86=0,"",IF((PER!AZ67+PER!AZ107+PER!AZ147+PER!AZ187+PER!AZ227+PER!AZ267+PER!AZ307+PER!AZ347+PER!AZ387+PER!AZ427+PER!AZ467+PER!AZ507+PER!AZ547+PER!AZ587+PER!AZ627)=0,"",_xlfn.IFS(PER!AZ67=1,PER!$V$34,PER!AZ107=1,PER!$V$35,PER!AZ147=1,PER!$V$36,PER!AZ187=1,PER!$V$37,PER!AZ227=1,PER!$V$38,PER!AZ267=1,PER!$V$39,PER!AZ307=1,PER!$V$40,PER!AZ347=1,PER!$V$41,PER!AZ387=1,PER!$V$42,PER!AZ427=1,PER!$V$43,PER!AZ467=1,PER!$V$44,PER!AZ507=1,PER!$V$45,PER!AZ547=1,PER!$V$46,PER!AZ587=1,PER!$V$47,PER!AZ627=1,PER!$V$48)))</f>
        <v/>
      </c>
      <c r="L36" s="54" t="str" cm="1">
        <f t="array" ref="L36">IF(PER!AF86=0,"",IF((PER!BA67+PER!BA107+PER!BA147+PER!BA187+PER!BA227+PER!BA267+PER!BA307+PER!BA347+PER!BA387+PER!BA427+PER!BA467+PER!BA507+PER!BA547+PER!BA587+PER!BA627)=0,"",_xlfn.IFS(PER!BA67=1,PER!$V$34,PER!BA107=1,PER!$V$35,PER!BA147=1,PER!$V$36,PER!BA187=1,PER!$V$37,PER!BA227=1,PER!$V$38,PER!BA267=1,PER!$V$39,PER!BA307=1,PER!$V$40,PER!BA347=1,PER!$V$41,PER!BA387=1,PER!$V$42,PER!BA427=1,PER!$V$43,PER!BA467=1,PER!$V$44,PER!BA507=1,PER!$V$45,PER!BA547=1,PER!$V$46,PER!BA587=1,PER!$V$47,PER!BA627=1,PER!$V$48)))</f>
        <v/>
      </c>
      <c r="M36" s="54" t="str" cm="1">
        <f t="array" ref="M36">IF(PER!AG86=0,"",IF((PER!BB67+PER!BB107+PER!BB147+PER!BB187+PER!BB227+PER!BB267+PER!BB307+PER!BB347+PER!BB387+PER!BB427+PER!BB467+PER!BB507+PER!BB547+PER!BB587+PER!BB627)=0,"",_xlfn.IFS(PER!BB67=1,PER!$V$34,PER!BB107=1,PER!$V$35,PER!BB147=1,PER!$V$36,PER!BB187=1,PER!$V$37,PER!BB227=1,PER!$V$38,PER!BB267=1,PER!$V$39,PER!BB307=1,PER!$V$40,PER!BB347=1,PER!$V$41,PER!BB387=1,PER!$V$42,PER!BB427=1,PER!$V$43,PER!BB467=1,PER!$V$44,PER!BB507=1,PER!$V$45,PER!BB547=1,PER!$V$46,PER!BB587=1,PER!$V$47,PER!BB627=1,PER!$V$48)))</f>
        <v/>
      </c>
      <c r="N36" s="54" t="str" cm="1">
        <f t="array" ref="N36">IF(PER!AH86=0,"",IF((PER!BC67+PER!BC107+PER!BC147+PER!BC187+PER!BC227+PER!BC267+PER!BC307+PER!BC347+PER!BC387+PER!BC427+PER!BC467+PER!BC507+PER!BC547+PER!BC587+PER!BC627)=0,"",_xlfn.IFS(PER!BC67=1,PER!$V$34,PER!BC107=1,PER!$V$35,PER!BC147=1,PER!$V$36,PER!BC187=1,PER!$V$37,PER!BC227=1,PER!$V$38,PER!BC267=1,PER!$V$39,PER!BC307=1,PER!$V$40,PER!BC347=1,PER!$V$41,PER!BC387=1,PER!$V$42,PER!BC427=1,PER!$V$43,PER!BC467=1,PER!$V$44,PER!BC507=1,PER!$V$45,PER!BC547=1,PER!$V$46,PER!BC587=1,PER!$V$47,PER!BC627=1,PER!$V$48)))</f>
        <v/>
      </c>
      <c r="O36" s="54" t="str" cm="1">
        <f t="array" ref="O36">IF(PER!AI86=0,"",IF((PER!BD67+PER!BD107+PER!BD147+PER!BD187+PER!BD227+PER!BD267+PER!BD307+PER!BD347+PER!BD387+PER!BD427+PER!BD467+PER!BD507+PER!BD547+PER!BD587+PER!BD627)=0,"",_xlfn.IFS(PER!BD67=1,PER!$V$34,PER!BD107=1,PER!$V$35,PER!BD147=1,PER!$V$36,PER!BD187=1,PER!$V$37,PER!BD227=1,PER!$V$38,PER!BD267=1,PER!$V$39,PER!BD307=1,PER!$V$40,PER!BD347=1,PER!$V$41,PER!BD387=1,PER!$V$42,PER!BD427=1,PER!$V$43,PER!BD467=1,PER!$V$44,PER!BD507=1,PER!$V$45,PER!BD547=1,PER!$V$46,PER!BD587=1,PER!$V$47,PER!BD627=1,PER!$V$48)))</f>
        <v/>
      </c>
      <c r="P36" s="54" t="str" cm="1">
        <f t="array" ref="P36">IF(PER!AJ86=0,"",IF((PER!BE67+PER!BE107+PER!BE147+PER!BE187+PER!BE227+PER!BE267+PER!BE307+PER!BE347+PER!BE387+PER!BE427+PER!BE467+PER!BE507+PER!BE547+PER!BE587+PER!BE627)=0,"",_xlfn.IFS(PER!BE67=1,PER!$V$34,PER!BE107=1,PER!$V$35,PER!BE147=1,PER!$V$36,PER!BE187=1,PER!$V$37,PER!BE227=1,PER!$V$38,PER!BE267=1,PER!$V$39,PER!BE307=1,PER!$V$40,PER!BE347=1,PER!$V$41,PER!BE387=1,PER!$V$42,PER!BE427=1,PER!$V$43,PER!BE467=1,PER!$V$44,PER!BE507=1,PER!$V$45,PER!BE547=1,PER!$V$46,PER!BE587=1,PER!$V$47,PER!BE627=1,PER!$V$48)))</f>
        <v/>
      </c>
      <c r="Q36" s="54" t="str" cm="1">
        <f t="array" ref="Q36">IF(PER!AK86=0,"",IF((PER!BF67+PER!BF107+PER!BF147+PER!BF187+PER!BF227+PER!BF267+PER!BF307+PER!BF347+PER!BF387+PER!BF427+PER!BF467+PER!BF507+PER!BF547+PER!BF587+PER!BF627)=0,"",_xlfn.IFS(PER!BF67=1,PER!$V$34,PER!BF107=1,PER!$V$35,PER!BF147=1,PER!$V$36,PER!BF187=1,PER!$V$37,PER!BF227=1,PER!$V$38,PER!BF267=1,PER!$V$39,PER!BF307=1,PER!$V$40,PER!BF347=1,PER!$V$41,PER!BF387=1,PER!$V$42,PER!BF427=1,PER!$V$43,PER!BF467=1,PER!$V$44,PER!BF507=1,PER!$V$45,PER!BF547=1,PER!$V$46,PER!BF587=1,PER!$V$47,PER!BF627=1,PER!$V$48)))</f>
        <v/>
      </c>
      <c r="R36" s="54" t="str" cm="1">
        <f t="array" ref="R36">IF(PER!AL86=0,"",IF((PER!BG67+PER!BG107+PER!BG147+PER!BG187+PER!BG227+PER!BG267+PER!BG307+PER!BG347+PER!BG387+PER!BG427+PER!BG467+PER!BG507+PER!BG547+PER!BG587+PER!BG627)=0,"",_xlfn.IFS(PER!BG67=1,PER!$V$34,PER!BG107=1,PER!$V$35,PER!BG147=1,PER!$V$36,PER!BG187=1,PER!$V$37,PER!BG227=1,PER!$V$38,PER!BG267=1,PER!$V$39,PER!BG307=1,PER!$V$40,PER!BG347=1,PER!$V$41,PER!BG387=1,PER!$V$42,PER!BG427=1,PER!$V$43,PER!BG467=1,PER!$V$44,PER!BG507=1,PER!$V$45,PER!BG547=1,PER!$V$46,PER!BG587=1,PER!$V$47,PER!BG627=1,PER!$V$48)))</f>
        <v/>
      </c>
      <c r="S36" s="54" t="str" cm="1">
        <f t="array" ref="S36">IF(PER!AM86=0,"",IF((PER!BH67+PER!BH107+PER!BH147+PER!BH187+PER!BH227+PER!BH267+PER!BH307+PER!BH347+PER!BH387+PER!BH427+PER!BH467+PER!BH507+PER!BH547+PER!BH587+PER!BH627)=0,"",_xlfn.IFS(PER!BH67=1,PER!$V$34,PER!BH107=1,PER!$V$35,PER!BH147=1,PER!$V$36,PER!BH187=1,PER!$V$37,PER!BH227=1,PER!$V$38,PER!BH267=1,PER!$V$39,PER!BH307=1,PER!$V$40,PER!BH347=1,PER!$V$41,PER!BH387=1,PER!$V$42,PER!BH427=1,PER!$V$43,PER!BH467=1,PER!$V$44,PER!BH507=1,PER!$V$45,PER!BH547=1,PER!$V$46,PER!BH587=1,PER!$V$47,PER!BH627=1,PER!$V$48)))</f>
        <v/>
      </c>
    </row>
    <row r="37" spans="1:19" x14ac:dyDescent="0.55000000000000004">
      <c r="A37">
        <v>35</v>
      </c>
      <c r="B37" t="s">
        <v>146</v>
      </c>
      <c r="C37" s="54" t="str" cm="1">
        <f t="array" ref="C37">IF(PER!W87=0,"",IF((PER!AR68+PER!AR108+PER!AR148+PER!AR188+PER!AR228+PER!AR268+PER!AR308+PER!AR348+PER!AR388+PER!AR428+PER!AR468+PER!AR508+PER!AR548+PER!AR588+PER!AR628)=0,"",_xlfn.IFS(PER!AR68=1,PER!$V$34,PER!AR108=1,PER!$V$35,PER!AR148=1,PER!$V$36,PER!AR188=1,PER!$V$37,PER!AR228=1,PER!$V$38,PER!AR268=1,PER!$V$39,PER!AR308=1,PER!$V$40,PER!AR348=1,PER!$V$41,PER!AR388=1,PER!$V$42,PER!AR428=1,PER!$V$43,PER!AR468=1,PER!$V$44,PER!AR508=1,PER!$V$45,PER!AR548=1,PER!$V$46,PER!AR588=1,PER!$V$47,PER!AR628=1,PER!$V$48)))</f>
        <v/>
      </c>
      <c r="D37" s="54" t="str" cm="1">
        <f t="array" ref="D37">IF(PER!X87=0,"",IF((PER!AS68+PER!AS108+PER!AS148+PER!AS188+PER!AS228+PER!AS268+PER!AS308+PER!AS348+PER!AS388+PER!AS428+PER!AS468+PER!AS508+PER!AS548+PER!AS588+PER!AS628)=0,"",_xlfn.IFS(PER!AS68=1,PER!$V$34,PER!AS108=1,PER!$V$35,PER!AS148=1,PER!$V$36,PER!AS188=1,PER!$V$37,PER!AS228=1,PER!$V$38,PER!AS268=1,PER!$V$39,PER!AS308=1,PER!$V$40,PER!AS348=1,PER!$V$41,PER!AS388=1,PER!$V$42,PER!AS428=1,PER!$V$43,PER!AS468=1,PER!$V$44,PER!AS508=1,PER!$V$45,PER!AS548=1,PER!$V$46,PER!AS588=1,PER!$V$47,PER!AS628=1,PER!$V$48)))</f>
        <v/>
      </c>
      <c r="E37" s="54" t="str" cm="1">
        <f t="array" ref="E37">IF(PER!Y87=0,"",IF((PER!AT68+PER!AT108+PER!AT148+PER!AT188+PER!AT228+PER!AT268+PER!AT308+PER!AT348+PER!AT388+PER!AT428+PER!AT468+PER!AT508+PER!AT548+PER!AT588+PER!AT628)=0,"",_xlfn.IFS(PER!AT68=1,PER!$V$34,PER!AT108=1,PER!$V$35,PER!AT148=1,PER!$V$36,PER!AT188=1,PER!$V$37,PER!AT228=1,PER!$V$38,PER!AT268=1,PER!$V$39,PER!AT308=1,PER!$V$40,PER!AT348=1,PER!$V$41,PER!AT388=1,PER!$V$42,PER!AT428=1,PER!$V$43,PER!AT468=1,PER!$V$44,PER!AT508=1,PER!$V$45,PER!AT548=1,PER!$V$46,PER!AT588=1,PER!$V$47,PER!AT628=1,PER!$V$48)))</f>
        <v/>
      </c>
      <c r="F37" s="54" t="str" cm="1">
        <f t="array" ref="F37">IF(PER!Z87=0,"",IF((PER!AU68+PER!AU108+PER!AU148+PER!AU188+PER!AU228+PER!AU268+PER!AU308+PER!AU348+PER!AU388+PER!AU428+PER!AU468+PER!AU508+PER!AU548+PER!AU588+PER!AU628)=0,"",_xlfn.IFS(PER!AU68=1,PER!$V$34,PER!AU108=1,PER!$V$35,PER!AU148=1,PER!$V$36,PER!AU188=1,PER!$V$37,PER!AU228=1,PER!$V$38,PER!AU268=1,PER!$V$39,PER!AU308=1,PER!$V$40,PER!AU348=1,PER!$V$41,PER!AU388=1,PER!$V$42,PER!AU428=1,PER!$V$43,PER!AU468=1,PER!$V$44,PER!AU508=1,PER!$V$45,PER!AU548=1,PER!$V$46,PER!AU588=1,PER!$V$47,PER!AU628=1,PER!$V$48)))</f>
        <v/>
      </c>
      <c r="G37" s="54" t="str" cm="1">
        <f t="array" ref="G37">IF(PER!AA87=0,"",IF((PER!AV68+PER!AV108+PER!AV148+PER!AV188+PER!AV228+PER!AV268+PER!AV308+PER!AV348+PER!AV388+PER!AV428+PER!AV468+PER!AV508+PER!AV548+PER!AV588+PER!AV628)=0,"",_xlfn.IFS(PER!AV68=1,PER!$V$34,PER!AV108=1,PER!$V$35,PER!AV148=1,PER!$V$36,PER!AV188=1,PER!$V$37,PER!AV228=1,PER!$V$38,PER!AV268=1,PER!$V$39,PER!AV308=1,PER!$V$40,PER!AV348=1,PER!$V$41,PER!AV388=1,PER!$V$42,PER!AV428=1,PER!$V$43,PER!AV468=1,PER!$V$44,PER!AV508=1,PER!$V$45,PER!AV548=1,PER!$V$46,PER!AV588=1,PER!$V$47,PER!AV628=1,PER!$V$48)))</f>
        <v/>
      </c>
      <c r="H37" s="54" t="str" cm="1">
        <f t="array" ref="H37">IF(PER!AB87=0,"",IF((PER!AW68+PER!AW108+PER!AW148+PER!AW188+PER!AW228+PER!AW268+PER!AW308+PER!AW348+PER!AW388+PER!AW428+PER!AW468+PER!AW508+PER!AW548+PER!AW588+PER!AW628)=0,"",_xlfn.IFS(PER!AW68=1,PER!$V$34,PER!AW108=1,PER!$V$35,PER!AW148=1,PER!$V$36,PER!AW188=1,PER!$V$37,PER!AW228=1,PER!$V$38,PER!AW268=1,PER!$V$39,PER!AW308=1,PER!$V$40,PER!AW348=1,PER!$V$41,PER!AW388=1,PER!$V$42,PER!AW428=1,PER!$V$43,PER!AW468=1,PER!$V$44,PER!AW508=1,PER!$V$45,PER!AW548=1,PER!$V$46,PER!AW588=1,PER!$V$47,PER!AW628=1,PER!$V$48)))</f>
        <v/>
      </c>
      <c r="I37" s="54" t="str" cm="1">
        <f t="array" ref="I37">IF(PER!AC87=0,"",IF((PER!AX68+PER!AX108+PER!AX148+PER!AX188+PER!AX228+PER!AX268+PER!AX308+PER!AX348+PER!AX388+PER!AX428+PER!AX468+PER!AX508+PER!AX548+PER!AX588+PER!AX628)=0,"",_xlfn.IFS(PER!AX68=1,PER!$V$34,PER!AX108=1,PER!$V$35,PER!AX148=1,PER!$V$36,PER!AX188=1,PER!$V$37,PER!AX228=1,PER!$V$38,PER!AX268=1,PER!$V$39,PER!AX308=1,PER!$V$40,PER!AX348=1,PER!$V$41,PER!AX388=1,PER!$V$42,PER!AX428=1,PER!$V$43,PER!AX468=1,PER!$V$44,PER!AX508=1,PER!$V$45,PER!AX548=1,PER!$V$46,PER!AX588=1,PER!$V$47,PER!AX628=1,PER!$V$48)))</f>
        <v/>
      </c>
      <c r="J37" s="54" t="str" cm="1">
        <f t="array" ref="J37">IF(PER!AD87=0,"",IF((PER!AY68+PER!AY108+PER!AY148+PER!AY188+PER!AY228+PER!AY268+PER!AY308+PER!AY348+PER!AY388+PER!AY428+PER!AY468+PER!AY508+PER!AY548+PER!AY588+PER!AY628)=0,"",_xlfn.IFS(PER!AY68=1,PER!$V$34,PER!AY108=1,PER!$V$35,PER!AY148=1,PER!$V$36,PER!AY188=1,PER!$V$37,PER!AY228=1,PER!$V$38,PER!AY268=1,PER!$V$39,PER!AY308=1,PER!$V$40,PER!AY348=1,PER!$V$41,PER!AY388=1,PER!$V$42,PER!AY428=1,PER!$V$43,PER!AY468=1,PER!$V$44,PER!AY508=1,PER!$V$45,PER!AY548=1,PER!$V$46,PER!AY588=1,PER!$V$47,PER!AY628=1,PER!$V$48)))</f>
        <v/>
      </c>
      <c r="K37" s="54" t="str" cm="1">
        <f t="array" ref="K37">IF(PER!AE87=0,"",IF((PER!AZ68+PER!AZ108+PER!AZ148+PER!AZ188+PER!AZ228+PER!AZ268+PER!AZ308+PER!AZ348+PER!AZ388+PER!AZ428+PER!AZ468+PER!AZ508+PER!AZ548+PER!AZ588+PER!AZ628)=0,"",_xlfn.IFS(PER!AZ68=1,PER!$V$34,PER!AZ108=1,PER!$V$35,PER!AZ148=1,PER!$V$36,PER!AZ188=1,PER!$V$37,PER!AZ228=1,PER!$V$38,PER!AZ268=1,PER!$V$39,PER!AZ308=1,PER!$V$40,PER!AZ348=1,PER!$V$41,PER!AZ388=1,PER!$V$42,PER!AZ428=1,PER!$V$43,PER!AZ468=1,PER!$V$44,PER!AZ508=1,PER!$V$45,PER!AZ548=1,PER!$V$46,PER!AZ588=1,PER!$V$47,PER!AZ628=1,PER!$V$48)))</f>
        <v/>
      </c>
      <c r="L37" s="54" t="str" cm="1">
        <f t="array" ref="L37">IF(PER!AF87=0,"",IF((PER!BA68+PER!BA108+PER!BA148+PER!BA188+PER!BA228+PER!BA268+PER!BA308+PER!BA348+PER!BA388+PER!BA428+PER!BA468+PER!BA508+PER!BA548+PER!BA588+PER!BA628)=0,"",_xlfn.IFS(PER!BA68=1,PER!$V$34,PER!BA108=1,PER!$V$35,PER!BA148=1,PER!$V$36,PER!BA188=1,PER!$V$37,PER!BA228=1,PER!$V$38,PER!BA268=1,PER!$V$39,PER!BA308=1,PER!$V$40,PER!BA348=1,PER!$V$41,PER!BA388=1,PER!$V$42,PER!BA428=1,PER!$V$43,PER!BA468=1,PER!$V$44,PER!BA508=1,PER!$V$45,PER!BA548=1,PER!$V$46,PER!BA588=1,PER!$V$47,PER!BA628=1,PER!$V$48)))</f>
        <v/>
      </c>
      <c r="M37" s="54" t="str" cm="1">
        <f t="array" ref="M37">IF(PER!AG87=0,"",IF((PER!BB68+PER!BB108+PER!BB148+PER!BB188+PER!BB228+PER!BB268+PER!BB308+PER!BB348+PER!BB388+PER!BB428+PER!BB468+PER!BB508+PER!BB548+PER!BB588+PER!BB628)=0,"",_xlfn.IFS(PER!BB68=1,PER!$V$34,PER!BB108=1,PER!$V$35,PER!BB148=1,PER!$V$36,PER!BB188=1,PER!$V$37,PER!BB228=1,PER!$V$38,PER!BB268=1,PER!$V$39,PER!BB308=1,PER!$V$40,PER!BB348=1,PER!$V$41,PER!BB388=1,PER!$V$42,PER!BB428=1,PER!$V$43,PER!BB468=1,PER!$V$44,PER!BB508=1,PER!$V$45,PER!BB548=1,PER!$V$46,PER!BB588=1,PER!$V$47,PER!BB628=1,PER!$V$48)))</f>
        <v/>
      </c>
      <c r="N37" s="54" t="str" cm="1">
        <f t="array" ref="N37">IF(PER!AH87=0,"",IF((PER!BC68+PER!BC108+PER!BC148+PER!BC188+PER!BC228+PER!BC268+PER!BC308+PER!BC348+PER!BC388+PER!BC428+PER!BC468+PER!BC508+PER!BC548+PER!BC588+PER!BC628)=0,"",_xlfn.IFS(PER!BC68=1,PER!$V$34,PER!BC108=1,PER!$V$35,PER!BC148=1,PER!$V$36,PER!BC188=1,PER!$V$37,PER!BC228=1,PER!$V$38,PER!BC268=1,PER!$V$39,PER!BC308=1,PER!$V$40,PER!BC348=1,PER!$V$41,PER!BC388=1,PER!$V$42,PER!BC428=1,PER!$V$43,PER!BC468=1,PER!$V$44,PER!BC508=1,PER!$V$45,PER!BC548=1,PER!$V$46,PER!BC588=1,PER!$V$47,PER!BC628=1,PER!$V$48)))</f>
        <v/>
      </c>
      <c r="O37" s="54" t="str" cm="1">
        <f t="array" ref="O37">IF(PER!AI87=0,"",IF((PER!BD68+PER!BD108+PER!BD148+PER!BD188+PER!BD228+PER!BD268+PER!BD308+PER!BD348+PER!BD388+PER!BD428+PER!BD468+PER!BD508+PER!BD548+PER!BD588+PER!BD628)=0,"",_xlfn.IFS(PER!BD68=1,PER!$V$34,PER!BD108=1,PER!$V$35,PER!BD148=1,PER!$V$36,PER!BD188=1,PER!$V$37,PER!BD228=1,PER!$V$38,PER!BD268=1,PER!$V$39,PER!BD308=1,PER!$V$40,PER!BD348=1,PER!$V$41,PER!BD388=1,PER!$V$42,PER!BD428=1,PER!$V$43,PER!BD468=1,PER!$V$44,PER!BD508=1,PER!$V$45,PER!BD548=1,PER!$V$46,PER!BD588=1,PER!$V$47,PER!BD628=1,PER!$V$48)))</f>
        <v/>
      </c>
      <c r="P37" s="54" t="str" cm="1">
        <f t="array" ref="P37">IF(PER!AJ87=0,"",IF((PER!BE68+PER!BE108+PER!BE148+PER!BE188+PER!BE228+PER!BE268+PER!BE308+PER!BE348+PER!BE388+PER!BE428+PER!BE468+PER!BE508+PER!BE548+PER!BE588+PER!BE628)=0,"",_xlfn.IFS(PER!BE68=1,PER!$V$34,PER!BE108=1,PER!$V$35,PER!BE148=1,PER!$V$36,PER!BE188=1,PER!$V$37,PER!BE228=1,PER!$V$38,PER!BE268=1,PER!$V$39,PER!BE308=1,PER!$V$40,PER!BE348=1,PER!$V$41,PER!BE388=1,PER!$V$42,PER!BE428=1,PER!$V$43,PER!BE468=1,PER!$V$44,PER!BE508=1,PER!$V$45,PER!BE548=1,PER!$V$46,PER!BE588=1,PER!$V$47,PER!BE628=1,PER!$V$48)))</f>
        <v/>
      </c>
      <c r="Q37" s="54" t="str" cm="1">
        <f t="array" ref="Q37">IF(PER!AK87=0,"",IF((PER!BF68+PER!BF108+PER!BF148+PER!BF188+PER!BF228+PER!BF268+PER!BF308+PER!BF348+PER!BF388+PER!BF428+PER!BF468+PER!BF508+PER!BF548+PER!BF588+PER!BF628)=0,"",_xlfn.IFS(PER!BF68=1,PER!$V$34,PER!BF108=1,PER!$V$35,PER!BF148=1,PER!$V$36,PER!BF188=1,PER!$V$37,PER!BF228=1,PER!$V$38,PER!BF268=1,PER!$V$39,PER!BF308=1,PER!$V$40,PER!BF348=1,PER!$V$41,PER!BF388=1,PER!$V$42,PER!BF428=1,PER!$V$43,PER!BF468=1,PER!$V$44,PER!BF508=1,PER!$V$45,PER!BF548=1,PER!$V$46,PER!BF588=1,PER!$V$47,PER!BF628=1,PER!$V$48)))</f>
        <v/>
      </c>
      <c r="R37" s="54" t="str" cm="1">
        <f t="array" ref="R37">IF(PER!AL87=0,"",IF((PER!BG68+PER!BG108+PER!BG148+PER!BG188+PER!BG228+PER!BG268+PER!BG308+PER!BG348+PER!BG388+PER!BG428+PER!BG468+PER!BG508+PER!BG548+PER!BG588+PER!BG628)=0,"",_xlfn.IFS(PER!BG68=1,PER!$V$34,PER!BG108=1,PER!$V$35,PER!BG148=1,PER!$V$36,PER!BG188=1,PER!$V$37,PER!BG228=1,PER!$V$38,PER!BG268=1,PER!$V$39,PER!BG308=1,PER!$V$40,PER!BG348=1,PER!$V$41,PER!BG388=1,PER!$V$42,PER!BG428=1,PER!$V$43,PER!BG468=1,PER!$V$44,PER!BG508=1,PER!$V$45,PER!BG548=1,PER!$V$46,PER!BG588=1,PER!$V$47,PER!BG628=1,PER!$V$48)))</f>
        <v/>
      </c>
      <c r="S37" s="54" t="str" cm="1">
        <f t="array" ref="S37">IF(PER!AM87=0,"",IF((PER!BH68+PER!BH108+PER!BH148+PER!BH188+PER!BH228+PER!BH268+PER!BH308+PER!BH348+PER!BH388+PER!BH428+PER!BH468+PER!BH508+PER!BH548+PER!BH588+PER!BH628)=0,"",_xlfn.IFS(PER!BH68=1,PER!$V$34,PER!BH108=1,PER!$V$35,PER!BH148=1,PER!$V$36,PER!BH188=1,PER!$V$37,PER!BH228=1,PER!$V$38,PER!BH268=1,PER!$V$39,PER!BH308=1,PER!$V$40,PER!BH348=1,PER!$V$41,PER!BH388=1,PER!$V$42,PER!BH428=1,PER!$V$43,PER!BH468=1,PER!$V$44,PER!BH508=1,PER!$V$45,PER!BH548=1,PER!$V$46,PER!BH588=1,PER!$V$47,PER!BH628=1,PER!$V$48)))</f>
        <v/>
      </c>
    </row>
    <row r="38" spans="1:19" x14ac:dyDescent="0.55000000000000004">
      <c r="A38">
        <v>36</v>
      </c>
      <c r="B38" t="s">
        <v>146</v>
      </c>
      <c r="C38" s="54" t="str" cm="1">
        <f t="array" ref="C38">IF(PER!W88=0,"",IF((PER!AR69+PER!AR109+PER!AR149+PER!AR189+PER!AR229+PER!AR269+PER!AR309+PER!AR349+PER!AR389+PER!AR429+PER!AR469+PER!AR509+PER!AR549+PER!AR589+PER!AR629)=0,"",_xlfn.IFS(PER!AR69=1,PER!$V$34,PER!AR109=1,PER!$V$35,PER!AR149=1,PER!$V$36,PER!AR189=1,PER!$V$37,PER!AR229=1,PER!$V$38,PER!AR269=1,PER!$V$39,PER!AR309=1,PER!$V$40,PER!AR349=1,PER!$V$41,PER!AR389=1,PER!$V$42,PER!AR429=1,PER!$V$43,PER!AR469=1,PER!$V$44,PER!AR509=1,PER!$V$45,PER!AR549=1,PER!$V$46,PER!AR589=1,PER!$V$47,PER!AR629=1,PER!$V$48)))</f>
        <v/>
      </c>
      <c r="D38" s="54" t="str" cm="1">
        <f t="array" ref="D38">IF(PER!X88=0,"",IF((PER!AS69+PER!AS109+PER!AS149+PER!AS189+PER!AS229+PER!AS269+PER!AS309+PER!AS349+PER!AS389+PER!AS429+PER!AS469+PER!AS509+PER!AS549+PER!AS589+PER!AS629)=0,"",_xlfn.IFS(PER!AS69=1,PER!$V$34,PER!AS109=1,PER!$V$35,PER!AS149=1,PER!$V$36,PER!AS189=1,PER!$V$37,PER!AS229=1,PER!$V$38,PER!AS269=1,PER!$V$39,PER!AS309=1,PER!$V$40,PER!AS349=1,PER!$V$41,PER!AS389=1,PER!$V$42,PER!AS429=1,PER!$V$43,PER!AS469=1,PER!$V$44,PER!AS509=1,PER!$V$45,PER!AS549=1,PER!$V$46,PER!AS589=1,PER!$V$47,PER!AS629=1,PER!$V$48)))</f>
        <v/>
      </c>
      <c r="E38" s="54" t="str" cm="1">
        <f t="array" ref="E38">IF(PER!Y88=0,"",IF((PER!AT69+PER!AT109+PER!AT149+PER!AT189+PER!AT229+PER!AT269+PER!AT309+PER!AT349+PER!AT389+PER!AT429+PER!AT469+PER!AT509+PER!AT549+PER!AT589+PER!AT629)=0,"",_xlfn.IFS(PER!AT69=1,PER!$V$34,PER!AT109=1,PER!$V$35,PER!AT149=1,PER!$V$36,PER!AT189=1,PER!$V$37,PER!AT229=1,PER!$V$38,PER!AT269=1,PER!$V$39,PER!AT309=1,PER!$V$40,PER!AT349=1,PER!$V$41,PER!AT389=1,PER!$V$42,PER!AT429=1,PER!$V$43,PER!AT469=1,PER!$V$44,PER!AT509=1,PER!$V$45,PER!AT549=1,PER!$V$46,PER!AT589=1,PER!$V$47,PER!AT629=1,PER!$V$48)))</f>
        <v/>
      </c>
      <c r="F38" s="54" t="str" cm="1">
        <f t="array" ref="F38">IF(PER!Z88=0,"",IF((PER!AU69+PER!AU109+PER!AU149+PER!AU189+PER!AU229+PER!AU269+PER!AU309+PER!AU349+PER!AU389+PER!AU429+PER!AU469+PER!AU509+PER!AU549+PER!AU589+PER!AU629)=0,"",_xlfn.IFS(PER!AU69=1,PER!$V$34,PER!AU109=1,PER!$V$35,PER!AU149=1,PER!$V$36,PER!AU189=1,PER!$V$37,PER!AU229=1,PER!$V$38,PER!AU269=1,PER!$V$39,PER!AU309=1,PER!$V$40,PER!AU349=1,PER!$V$41,PER!AU389=1,PER!$V$42,PER!AU429=1,PER!$V$43,PER!AU469=1,PER!$V$44,PER!AU509=1,PER!$V$45,PER!AU549=1,PER!$V$46,PER!AU589=1,PER!$V$47,PER!AU629=1,PER!$V$48)))</f>
        <v/>
      </c>
      <c r="G38" s="54" t="str" cm="1">
        <f t="array" ref="G38">IF(PER!AA88=0,"",IF((PER!AV69+PER!AV109+PER!AV149+PER!AV189+PER!AV229+PER!AV269+PER!AV309+PER!AV349+PER!AV389+PER!AV429+PER!AV469+PER!AV509+PER!AV549+PER!AV589+PER!AV629)=0,"",_xlfn.IFS(PER!AV69=1,PER!$V$34,PER!AV109=1,PER!$V$35,PER!AV149=1,PER!$V$36,PER!AV189=1,PER!$V$37,PER!AV229=1,PER!$V$38,PER!AV269=1,PER!$V$39,PER!AV309=1,PER!$V$40,PER!AV349=1,PER!$V$41,PER!AV389=1,PER!$V$42,PER!AV429=1,PER!$V$43,PER!AV469=1,PER!$V$44,PER!AV509=1,PER!$V$45,PER!AV549=1,PER!$V$46,PER!AV589=1,PER!$V$47,PER!AV629=1,PER!$V$48)))</f>
        <v/>
      </c>
      <c r="H38" s="54" t="str" cm="1">
        <f t="array" ref="H38">IF(PER!AB88=0,"",IF((PER!AW69+PER!AW109+PER!AW149+PER!AW189+PER!AW229+PER!AW269+PER!AW309+PER!AW349+PER!AW389+PER!AW429+PER!AW469+PER!AW509+PER!AW549+PER!AW589+PER!AW629)=0,"",_xlfn.IFS(PER!AW69=1,PER!$V$34,PER!AW109=1,PER!$V$35,PER!AW149=1,PER!$V$36,PER!AW189=1,PER!$V$37,PER!AW229=1,PER!$V$38,PER!AW269=1,PER!$V$39,PER!AW309=1,PER!$V$40,PER!AW349=1,PER!$V$41,PER!AW389=1,PER!$V$42,PER!AW429=1,PER!$V$43,PER!AW469=1,PER!$V$44,PER!AW509=1,PER!$V$45,PER!AW549=1,PER!$V$46,PER!AW589=1,PER!$V$47,PER!AW629=1,PER!$V$48)))</f>
        <v/>
      </c>
      <c r="I38" s="54" t="str" cm="1">
        <f t="array" ref="I38">IF(PER!AC88=0,"",IF((PER!AX69+PER!AX109+PER!AX149+PER!AX189+PER!AX229+PER!AX269+PER!AX309+PER!AX349+PER!AX389+PER!AX429+PER!AX469+PER!AX509+PER!AX549+PER!AX589+PER!AX629)=0,"",_xlfn.IFS(PER!AX69=1,PER!$V$34,PER!AX109=1,PER!$V$35,PER!AX149=1,PER!$V$36,PER!AX189=1,PER!$V$37,PER!AX229=1,PER!$V$38,PER!AX269=1,PER!$V$39,PER!AX309=1,PER!$V$40,PER!AX349=1,PER!$V$41,PER!AX389=1,PER!$V$42,PER!AX429=1,PER!$V$43,PER!AX469=1,PER!$V$44,PER!AX509=1,PER!$V$45,PER!AX549=1,PER!$V$46,PER!AX589=1,PER!$V$47,PER!AX629=1,PER!$V$48)))</f>
        <v/>
      </c>
      <c r="J38" s="54" t="str" cm="1">
        <f t="array" ref="J38">IF(PER!AD88=0,"",IF((PER!AY69+PER!AY109+PER!AY149+PER!AY189+PER!AY229+PER!AY269+PER!AY309+PER!AY349+PER!AY389+PER!AY429+PER!AY469+PER!AY509+PER!AY549+PER!AY589+PER!AY629)=0,"",_xlfn.IFS(PER!AY69=1,PER!$V$34,PER!AY109=1,PER!$V$35,PER!AY149=1,PER!$V$36,PER!AY189=1,PER!$V$37,PER!AY229=1,PER!$V$38,PER!AY269=1,PER!$V$39,PER!AY309=1,PER!$V$40,PER!AY349=1,PER!$V$41,PER!AY389=1,PER!$V$42,PER!AY429=1,PER!$V$43,PER!AY469=1,PER!$V$44,PER!AY509=1,PER!$V$45,PER!AY549=1,PER!$V$46,PER!AY589=1,PER!$V$47,PER!AY629=1,PER!$V$48)))</f>
        <v/>
      </c>
      <c r="K38" s="54" t="str" cm="1">
        <f t="array" ref="K38">IF(PER!AE88=0,"",IF((PER!AZ69+PER!AZ109+PER!AZ149+PER!AZ189+PER!AZ229+PER!AZ269+PER!AZ309+PER!AZ349+PER!AZ389+PER!AZ429+PER!AZ469+PER!AZ509+PER!AZ549+PER!AZ589+PER!AZ629)=0,"",_xlfn.IFS(PER!AZ69=1,PER!$V$34,PER!AZ109=1,PER!$V$35,PER!AZ149=1,PER!$V$36,PER!AZ189=1,PER!$V$37,PER!AZ229=1,PER!$V$38,PER!AZ269=1,PER!$V$39,PER!AZ309=1,PER!$V$40,PER!AZ349=1,PER!$V$41,PER!AZ389=1,PER!$V$42,PER!AZ429=1,PER!$V$43,PER!AZ469=1,PER!$V$44,PER!AZ509=1,PER!$V$45,PER!AZ549=1,PER!$V$46,PER!AZ589=1,PER!$V$47,PER!AZ629=1,PER!$V$48)))</f>
        <v/>
      </c>
      <c r="L38" s="54" t="str" cm="1">
        <f t="array" ref="L38">IF(PER!AF88=0,"",IF((PER!BA69+PER!BA109+PER!BA149+PER!BA189+PER!BA229+PER!BA269+PER!BA309+PER!BA349+PER!BA389+PER!BA429+PER!BA469+PER!BA509+PER!BA549+PER!BA589+PER!BA629)=0,"",_xlfn.IFS(PER!BA69=1,PER!$V$34,PER!BA109=1,PER!$V$35,PER!BA149=1,PER!$V$36,PER!BA189=1,PER!$V$37,PER!BA229=1,PER!$V$38,PER!BA269=1,PER!$V$39,PER!BA309=1,PER!$V$40,PER!BA349=1,PER!$V$41,PER!BA389=1,PER!$V$42,PER!BA429=1,PER!$V$43,PER!BA469=1,PER!$V$44,PER!BA509=1,PER!$V$45,PER!BA549=1,PER!$V$46,PER!BA589=1,PER!$V$47,PER!BA629=1,PER!$V$48)))</f>
        <v/>
      </c>
      <c r="M38" s="54" t="str" cm="1">
        <f t="array" ref="M38">IF(PER!AG88=0,"",IF((PER!BB69+PER!BB109+PER!BB149+PER!BB189+PER!BB229+PER!BB269+PER!BB309+PER!BB349+PER!BB389+PER!BB429+PER!BB469+PER!BB509+PER!BB549+PER!BB589+PER!BB629)=0,"",_xlfn.IFS(PER!BB69=1,PER!$V$34,PER!BB109=1,PER!$V$35,PER!BB149=1,PER!$V$36,PER!BB189=1,PER!$V$37,PER!BB229=1,PER!$V$38,PER!BB269=1,PER!$V$39,PER!BB309=1,PER!$V$40,PER!BB349=1,PER!$V$41,PER!BB389=1,PER!$V$42,PER!BB429=1,PER!$V$43,PER!BB469=1,PER!$V$44,PER!BB509=1,PER!$V$45,PER!BB549=1,PER!$V$46,PER!BB589=1,PER!$V$47,PER!BB629=1,PER!$V$48)))</f>
        <v/>
      </c>
      <c r="N38" s="54" t="str" cm="1">
        <f t="array" ref="N38">IF(PER!AH88=0,"",IF((PER!BC69+PER!BC109+PER!BC149+PER!BC189+PER!BC229+PER!BC269+PER!BC309+PER!BC349+PER!BC389+PER!BC429+PER!BC469+PER!BC509+PER!BC549+PER!BC589+PER!BC629)=0,"",_xlfn.IFS(PER!BC69=1,PER!$V$34,PER!BC109=1,PER!$V$35,PER!BC149=1,PER!$V$36,PER!BC189=1,PER!$V$37,PER!BC229=1,PER!$V$38,PER!BC269=1,PER!$V$39,PER!BC309=1,PER!$V$40,PER!BC349=1,PER!$V$41,PER!BC389=1,PER!$V$42,PER!BC429=1,PER!$V$43,PER!BC469=1,PER!$V$44,PER!BC509=1,PER!$V$45,PER!BC549=1,PER!$V$46,PER!BC589=1,PER!$V$47,PER!BC629=1,PER!$V$48)))</f>
        <v/>
      </c>
      <c r="O38" s="54" t="str" cm="1">
        <f t="array" ref="O38">IF(PER!AI88=0,"",IF((PER!BD69+PER!BD109+PER!BD149+PER!BD189+PER!BD229+PER!BD269+PER!BD309+PER!BD349+PER!BD389+PER!BD429+PER!BD469+PER!BD509+PER!BD549+PER!BD589+PER!BD629)=0,"",_xlfn.IFS(PER!BD69=1,PER!$V$34,PER!BD109=1,PER!$V$35,PER!BD149=1,PER!$V$36,PER!BD189=1,PER!$V$37,PER!BD229=1,PER!$V$38,PER!BD269=1,PER!$V$39,PER!BD309=1,PER!$V$40,PER!BD349=1,PER!$V$41,PER!BD389=1,PER!$V$42,PER!BD429=1,PER!$V$43,PER!BD469=1,PER!$V$44,PER!BD509=1,PER!$V$45,PER!BD549=1,PER!$V$46,PER!BD589=1,PER!$V$47,PER!BD629=1,PER!$V$48)))</f>
        <v/>
      </c>
      <c r="P38" s="54" t="str" cm="1">
        <f t="array" ref="P38">IF(PER!AJ88=0,"",IF((PER!BE69+PER!BE109+PER!BE149+PER!BE189+PER!BE229+PER!BE269+PER!BE309+PER!BE349+PER!BE389+PER!BE429+PER!BE469+PER!BE509+PER!BE549+PER!BE589+PER!BE629)=0,"",_xlfn.IFS(PER!BE69=1,PER!$V$34,PER!BE109=1,PER!$V$35,PER!BE149=1,PER!$V$36,PER!BE189=1,PER!$V$37,PER!BE229=1,PER!$V$38,PER!BE269=1,PER!$V$39,PER!BE309=1,PER!$V$40,PER!BE349=1,PER!$V$41,PER!BE389=1,PER!$V$42,PER!BE429=1,PER!$V$43,PER!BE469=1,PER!$V$44,PER!BE509=1,PER!$V$45,PER!BE549=1,PER!$V$46,PER!BE589=1,PER!$V$47,PER!BE629=1,PER!$V$48)))</f>
        <v/>
      </c>
      <c r="Q38" s="54" t="str" cm="1">
        <f t="array" ref="Q38">IF(PER!AK88=0,"",IF((PER!BF69+PER!BF109+PER!BF149+PER!BF189+PER!BF229+PER!BF269+PER!BF309+PER!BF349+PER!BF389+PER!BF429+PER!BF469+PER!BF509+PER!BF549+PER!BF589+PER!BF629)=0,"",_xlfn.IFS(PER!BF69=1,PER!$V$34,PER!BF109=1,PER!$V$35,PER!BF149=1,PER!$V$36,PER!BF189=1,PER!$V$37,PER!BF229=1,PER!$V$38,PER!BF269=1,PER!$V$39,PER!BF309=1,PER!$V$40,PER!BF349=1,PER!$V$41,PER!BF389=1,PER!$V$42,PER!BF429=1,PER!$V$43,PER!BF469=1,PER!$V$44,PER!BF509=1,PER!$V$45,PER!BF549=1,PER!$V$46,PER!BF589=1,PER!$V$47,PER!BF629=1,PER!$V$48)))</f>
        <v/>
      </c>
      <c r="R38" s="54" t="str" cm="1">
        <f t="array" ref="R38">IF(PER!AL88=0,"",IF((PER!BG69+PER!BG109+PER!BG149+PER!BG189+PER!BG229+PER!BG269+PER!BG309+PER!BG349+PER!BG389+PER!BG429+PER!BG469+PER!BG509+PER!BG549+PER!BG589+PER!BG629)=0,"",_xlfn.IFS(PER!BG69=1,PER!$V$34,PER!BG109=1,PER!$V$35,PER!BG149=1,PER!$V$36,PER!BG189=1,PER!$V$37,PER!BG229=1,PER!$V$38,PER!BG269=1,PER!$V$39,PER!BG309=1,PER!$V$40,PER!BG349=1,PER!$V$41,PER!BG389=1,PER!$V$42,PER!BG429=1,PER!$V$43,PER!BG469=1,PER!$V$44,PER!BG509=1,PER!$V$45,PER!BG549=1,PER!$V$46,PER!BG589=1,PER!$V$47,PER!BG629=1,PER!$V$48)))</f>
        <v/>
      </c>
      <c r="S38" s="54" t="str" cm="1">
        <f t="array" ref="S38">IF(PER!AM88=0,"",IF((PER!BH69+PER!BH109+PER!BH149+PER!BH189+PER!BH229+PER!BH269+PER!BH309+PER!BH349+PER!BH389+PER!BH429+PER!BH469+PER!BH509+PER!BH549+PER!BH589+PER!BH629)=0,"",_xlfn.IFS(PER!BH69=1,PER!$V$34,PER!BH109=1,PER!$V$35,PER!BH149=1,PER!$V$36,PER!BH189=1,PER!$V$37,PER!BH229=1,PER!$V$38,PER!BH269=1,PER!$V$39,PER!BH309=1,PER!$V$40,PER!BH349=1,PER!$V$41,PER!BH389=1,PER!$V$42,PER!BH429=1,PER!$V$43,PER!BH469=1,PER!$V$44,PER!BH509=1,PER!$V$45,PER!BH549=1,PER!$V$46,PER!BH589=1,PER!$V$47,PER!BH629=1,PER!$V$48)))</f>
        <v/>
      </c>
    </row>
    <row r="39" spans="1:19" x14ac:dyDescent="0.55000000000000004">
      <c r="A39">
        <v>37</v>
      </c>
      <c r="B39" t="s">
        <v>146</v>
      </c>
      <c r="C39" s="54" t="str" cm="1">
        <f t="array" ref="C39">IF(PER!W89=0,"",IF((PER!AR70+PER!AR110+PER!AR150+PER!AR190+PER!AR230+PER!AR270+PER!AR310+PER!AR350+PER!AR390+PER!AR430+PER!AR470+PER!AR510+PER!AR550+PER!AR590+PER!AR630)=0,"",_xlfn.IFS(PER!AR70=1,PER!$V$34,PER!AR110=1,PER!$V$35,PER!AR150=1,PER!$V$36,PER!AR190=1,PER!$V$37,PER!AR230=1,PER!$V$38,PER!AR270=1,PER!$V$39,PER!AR310=1,PER!$V$40,PER!AR350=1,PER!$V$41,PER!AR390=1,PER!$V$42,PER!AR430=1,PER!$V$43,PER!AR470=1,PER!$V$44,PER!AR510=1,PER!$V$45,PER!AR550=1,PER!$V$46,PER!AR590=1,PER!$V$47,PER!AR630=1,PER!$V$48)))</f>
        <v/>
      </c>
      <c r="D39" s="54" t="str" cm="1">
        <f t="array" ref="D39">IF(PER!X89=0,"",IF((PER!AS70+PER!AS110+PER!AS150+PER!AS190+PER!AS230+PER!AS270+PER!AS310+PER!AS350+PER!AS390+PER!AS430+PER!AS470+PER!AS510+PER!AS550+PER!AS590+PER!AS630)=0,"",_xlfn.IFS(PER!AS70=1,PER!$V$34,PER!AS110=1,PER!$V$35,PER!AS150=1,PER!$V$36,PER!AS190=1,PER!$V$37,PER!AS230=1,PER!$V$38,PER!AS270=1,PER!$V$39,PER!AS310=1,PER!$V$40,PER!AS350=1,PER!$V$41,PER!AS390=1,PER!$V$42,PER!AS430=1,PER!$V$43,PER!AS470=1,PER!$V$44,PER!AS510=1,PER!$V$45,PER!AS550=1,PER!$V$46,PER!AS590=1,PER!$V$47,PER!AS630=1,PER!$V$48)))</f>
        <v/>
      </c>
      <c r="E39" s="54" t="str" cm="1">
        <f t="array" ref="E39">IF(PER!Y89=0,"",IF((PER!AT70+PER!AT110+PER!AT150+PER!AT190+PER!AT230+PER!AT270+PER!AT310+PER!AT350+PER!AT390+PER!AT430+PER!AT470+PER!AT510+PER!AT550+PER!AT590+PER!AT630)=0,"",_xlfn.IFS(PER!AT70=1,PER!$V$34,PER!AT110=1,PER!$V$35,PER!AT150=1,PER!$V$36,PER!AT190=1,PER!$V$37,PER!AT230=1,PER!$V$38,PER!AT270=1,PER!$V$39,PER!AT310=1,PER!$V$40,PER!AT350=1,PER!$V$41,PER!AT390=1,PER!$V$42,PER!AT430=1,PER!$V$43,PER!AT470=1,PER!$V$44,PER!AT510=1,PER!$V$45,PER!AT550=1,PER!$V$46,PER!AT590=1,PER!$V$47,PER!AT630=1,PER!$V$48)))</f>
        <v/>
      </c>
      <c r="F39" s="54" t="str" cm="1">
        <f t="array" ref="F39">IF(PER!Z89=0,"",IF((PER!AU70+PER!AU110+PER!AU150+PER!AU190+PER!AU230+PER!AU270+PER!AU310+PER!AU350+PER!AU390+PER!AU430+PER!AU470+PER!AU510+PER!AU550+PER!AU590+PER!AU630)=0,"",_xlfn.IFS(PER!AU70=1,PER!$V$34,PER!AU110=1,PER!$V$35,PER!AU150=1,PER!$V$36,PER!AU190=1,PER!$V$37,PER!AU230=1,PER!$V$38,PER!AU270=1,PER!$V$39,PER!AU310=1,PER!$V$40,PER!AU350=1,PER!$V$41,PER!AU390=1,PER!$V$42,PER!AU430=1,PER!$V$43,PER!AU470=1,PER!$V$44,PER!AU510=1,PER!$V$45,PER!AU550=1,PER!$V$46,PER!AU590=1,PER!$V$47,PER!AU630=1,PER!$V$48)))</f>
        <v/>
      </c>
      <c r="G39" s="54" t="str" cm="1">
        <f t="array" ref="G39">IF(PER!AA89=0,"",IF((PER!AV70+PER!AV110+PER!AV150+PER!AV190+PER!AV230+PER!AV270+PER!AV310+PER!AV350+PER!AV390+PER!AV430+PER!AV470+PER!AV510+PER!AV550+PER!AV590+PER!AV630)=0,"",_xlfn.IFS(PER!AV70=1,PER!$V$34,PER!AV110=1,PER!$V$35,PER!AV150=1,PER!$V$36,PER!AV190=1,PER!$V$37,PER!AV230=1,PER!$V$38,PER!AV270=1,PER!$V$39,PER!AV310=1,PER!$V$40,PER!AV350=1,PER!$V$41,PER!AV390=1,PER!$V$42,PER!AV430=1,PER!$V$43,PER!AV470=1,PER!$V$44,PER!AV510=1,PER!$V$45,PER!AV550=1,PER!$V$46,PER!AV590=1,PER!$V$47,PER!AV630=1,PER!$V$48)))</f>
        <v/>
      </c>
      <c r="H39" s="54" t="str" cm="1">
        <f t="array" ref="H39">IF(PER!AB89=0,"",IF((PER!AW70+PER!AW110+PER!AW150+PER!AW190+PER!AW230+PER!AW270+PER!AW310+PER!AW350+PER!AW390+PER!AW430+PER!AW470+PER!AW510+PER!AW550+PER!AW590+PER!AW630)=0,"",_xlfn.IFS(PER!AW70=1,PER!$V$34,PER!AW110=1,PER!$V$35,PER!AW150=1,PER!$V$36,PER!AW190=1,PER!$V$37,PER!AW230=1,PER!$V$38,PER!AW270=1,PER!$V$39,PER!AW310=1,PER!$V$40,PER!AW350=1,PER!$V$41,PER!AW390=1,PER!$V$42,PER!AW430=1,PER!$V$43,PER!AW470=1,PER!$V$44,PER!AW510=1,PER!$V$45,PER!AW550=1,PER!$V$46,PER!AW590=1,PER!$V$47,PER!AW630=1,PER!$V$48)))</f>
        <v/>
      </c>
      <c r="I39" s="54" t="str" cm="1">
        <f t="array" ref="I39">IF(PER!AC89=0,"",IF((PER!AX70+PER!AX110+PER!AX150+PER!AX190+PER!AX230+PER!AX270+PER!AX310+PER!AX350+PER!AX390+PER!AX430+PER!AX470+PER!AX510+PER!AX550+PER!AX590+PER!AX630)=0,"",_xlfn.IFS(PER!AX70=1,PER!$V$34,PER!AX110=1,PER!$V$35,PER!AX150=1,PER!$V$36,PER!AX190=1,PER!$V$37,PER!AX230=1,PER!$V$38,PER!AX270=1,PER!$V$39,PER!AX310=1,PER!$V$40,PER!AX350=1,PER!$V$41,PER!AX390=1,PER!$V$42,PER!AX430=1,PER!$V$43,PER!AX470=1,PER!$V$44,PER!AX510=1,PER!$V$45,PER!AX550=1,PER!$V$46,PER!AX590=1,PER!$V$47,PER!AX630=1,PER!$V$48)))</f>
        <v/>
      </c>
      <c r="J39" s="54" t="str" cm="1">
        <f t="array" ref="J39">IF(PER!AD89=0,"",IF((PER!AY70+PER!AY110+PER!AY150+PER!AY190+PER!AY230+PER!AY270+PER!AY310+PER!AY350+PER!AY390+PER!AY430+PER!AY470+PER!AY510+PER!AY550+PER!AY590+PER!AY630)=0,"",_xlfn.IFS(PER!AY70=1,PER!$V$34,PER!AY110=1,PER!$V$35,PER!AY150=1,PER!$V$36,PER!AY190=1,PER!$V$37,PER!AY230=1,PER!$V$38,PER!AY270=1,PER!$V$39,PER!AY310=1,PER!$V$40,PER!AY350=1,PER!$V$41,PER!AY390=1,PER!$V$42,PER!AY430=1,PER!$V$43,PER!AY470=1,PER!$V$44,PER!AY510=1,PER!$V$45,PER!AY550=1,PER!$V$46,PER!AY590=1,PER!$V$47,PER!AY630=1,PER!$V$48)))</f>
        <v/>
      </c>
      <c r="K39" s="54" t="str" cm="1">
        <f t="array" ref="K39">IF(PER!AE89=0,"",IF((PER!AZ70+PER!AZ110+PER!AZ150+PER!AZ190+PER!AZ230+PER!AZ270+PER!AZ310+PER!AZ350+PER!AZ390+PER!AZ430+PER!AZ470+PER!AZ510+PER!AZ550+PER!AZ590+PER!AZ630)=0,"",_xlfn.IFS(PER!AZ70=1,PER!$V$34,PER!AZ110=1,PER!$V$35,PER!AZ150=1,PER!$V$36,PER!AZ190=1,PER!$V$37,PER!AZ230=1,PER!$V$38,PER!AZ270=1,PER!$V$39,PER!AZ310=1,PER!$V$40,PER!AZ350=1,PER!$V$41,PER!AZ390=1,PER!$V$42,PER!AZ430=1,PER!$V$43,PER!AZ470=1,PER!$V$44,PER!AZ510=1,PER!$V$45,PER!AZ550=1,PER!$V$46,PER!AZ590=1,PER!$V$47,PER!AZ630=1,PER!$V$48)))</f>
        <v/>
      </c>
      <c r="L39" s="54" t="str" cm="1">
        <f t="array" ref="L39">IF(PER!AF89=0,"",IF((PER!BA70+PER!BA110+PER!BA150+PER!BA190+PER!BA230+PER!BA270+PER!BA310+PER!BA350+PER!BA390+PER!BA430+PER!BA470+PER!BA510+PER!BA550+PER!BA590+PER!BA630)=0,"",_xlfn.IFS(PER!BA70=1,PER!$V$34,PER!BA110=1,PER!$V$35,PER!BA150=1,PER!$V$36,PER!BA190=1,PER!$V$37,PER!BA230=1,PER!$V$38,PER!BA270=1,PER!$V$39,PER!BA310=1,PER!$V$40,PER!BA350=1,PER!$V$41,PER!BA390=1,PER!$V$42,PER!BA430=1,PER!$V$43,PER!BA470=1,PER!$V$44,PER!BA510=1,PER!$V$45,PER!BA550=1,PER!$V$46,PER!BA590=1,PER!$V$47,PER!BA630=1,PER!$V$48)))</f>
        <v/>
      </c>
      <c r="M39" s="54" t="str" cm="1">
        <f t="array" ref="M39">IF(PER!AG89=0,"",IF((PER!BB70+PER!BB110+PER!BB150+PER!BB190+PER!BB230+PER!BB270+PER!BB310+PER!BB350+PER!BB390+PER!BB430+PER!BB470+PER!BB510+PER!BB550+PER!BB590+PER!BB630)=0,"",_xlfn.IFS(PER!BB70=1,PER!$V$34,PER!BB110=1,PER!$V$35,PER!BB150=1,PER!$V$36,PER!BB190=1,PER!$V$37,PER!BB230=1,PER!$V$38,PER!BB270=1,PER!$V$39,PER!BB310=1,PER!$V$40,PER!BB350=1,PER!$V$41,PER!BB390=1,PER!$V$42,PER!BB430=1,PER!$V$43,PER!BB470=1,PER!$V$44,PER!BB510=1,PER!$V$45,PER!BB550=1,PER!$V$46,PER!BB590=1,PER!$V$47,PER!BB630=1,PER!$V$48)))</f>
        <v/>
      </c>
      <c r="N39" s="54" t="str" cm="1">
        <f t="array" ref="N39">IF(PER!AH89=0,"",IF((PER!BC70+PER!BC110+PER!BC150+PER!BC190+PER!BC230+PER!BC270+PER!BC310+PER!BC350+PER!BC390+PER!BC430+PER!BC470+PER!BC510+PER!BC550+PER!BC590+PER!BC630)=0,"",_xlfn.IFS(PER!BC70=1,PER!$V$34,PER!BC110=1,PER!$V$35,PER!BC150=1,PER!$V$36,PER!BC190=1,PER!$V$37,PER!BC230=1,PER!$V$38,PER!BC270=1,PER!$V$39,PER!BC310=1,PER!$V$40,PER!BC350=1,PER!$V$41,PER!BC390=1,PER!$V$42,PER!BC430=1,PER!$V$43,PER!BC470=1,PER!$V$44,PER!BC510=1,PER!$V$45,PER!BC550=1,PER!$V$46,PER!BC590=1,PER!$V$47,PER!BC630=1,PER!$V$48)))</f>
        <v/>
      </c>
      <c r="O39" s="54" t="str" cm="1">
        <f t="array" ref="O39">IF(PER!AI89=0,"",IF((PER!BD70+PER!BD110+PER!BD150+PER!BD190+PER!BD230+PER!BD270+PER!BD310+PER!BD350+PER!BD390+PER!BD430+PER!BD470+PER!BD510+PER!BD550+PER!BD590+PER!BD630)=0,"",_xlfn.IFS(PER!BD70=1,PER!$V$34,PER!BD110=1,PER!$V$35,PER!BD150=1,PER!$V$36,PER!BD190=1,PER!$V$37,PER!BD230=1,PER!$V$38,PER!BD270=1,PER!$V$39,PER!BD310=1,PER!$V$40,PER!BD350=1,PER!$V$41,PER!BD390=1,PER!$V$42,PER!BD430=1,PER!$V$43,PER!BD470=1,PER!$V$44,PER!BD510=1,PER!$V$45,PER!BD550=1,PER!$V$46,PER!BD590=1,PER!$V$47,PER!BD630=1,PER!$V$48)))</f>
        <v/>
      </c>
      <c r="P39" s="54" t="str" cm="1">
        <f t="array" ref="P39">IF(PER!AJ89=0,"",IF((PER!BE70+PER!BE110+PER!BE150+PER!BE190+PER!BE230+PER!BE270+PER!BE310+PER!BE350+PER!BE390+PER!BE430+PER!BE470+PER!BE510+PER!BE550+PER!BE590+PER!BE630)=0,"",_xlfn.IFS(PER!BE70=1,PER!$V$34,PER!BE110=1,PER!$V$35,PER!BE150=1,PER!$V$36,PER!BE190=1,PER!$V$37,PER!BE230=1,PER!$V$38,PER!BE270=1,PER!$V$39,PER!BE310=1,PER!$V$40,PER!BE350=1,PER!$V$41,PER!BE390=1,PER!$V$42,PER!BE430=1,PER!$V$43,PER!BE470=1,PER!$V$44,PER!BE510=1,PER!$V$45,PER!BE550=1,PER!$V$46,PER!BE590=1,PER!$V$47,PER!BE630=1,PER!$V$48)))</f>
        <v/>
      </c>
      <c r="Q39" s="54" t="str" cm="1">
        <f t="array" ref="Q39">IF(PER!AK89=0,"",IF((PER!BF70+PER!BF110+PER!BF150+PER!BF190+PER!BF230+PER!BF270+PER!BF310+PER!BF350+PER!BF390+PER!BF430+PER!BF470+PER!BF510+PER!BF550+PER!BF590+PER!BF630)=0,"",_xlfn.IFS(PER!BF70=1,PER!$V$34,PER!BF110=1,PER!$V$35,PER!BF150=1,PER!$V$36,PER!BF190=1,PER!$V$37,PER!BF230=1,PER!$V$38,PER!BF270=1,PER!$V$39,PER!BF310=1,PER!$V$40,PER!BF350=1,PER!$V$41,PER!BF390=1,PER!$V$42,PER!BF430=1,PER!$V$43,PER!BF470=1,PER!$V$44,PER!BF510=1,PER!$V$45,PER!BF550=1,PER!$V$46,PER!BF590=1,PER!$V$47,PER!BF630=1,PER!$V$48)))</f>
        <v/>
      </c>
      <c r="R39" s="54" t="str" cm="1">
        <f t="array" ref="R39">IF(PER!AL89=0,"",IF((PER!BG70+PER!BG110+PER!BG150+PER!BG190+PER!BG230+PER!BG270+PER!BG310+PER!BG350+PER!BG390+PER!BG430+PER!BG470+PER!BG510+PER!BG550+PER!BG590+PER!BG630)=0,"",_xlfn.IFS(PER!BG70=1,PER!$V$34,PER!BG110=1,PER!$V$35,PER!BG150=1,PER!$V$36,PER!BG190=1,PER!$V$37,PER!BG230=1,PER!$V$38,PER!BG270=1,PER!$V$39,PER!BG310=1,PER!$V$40,PER!BG350=1,PER!$V$41,PER!BG390=1,PER!$V$42,PER!BG430=1,PER!$V$43,PER!BG470=1,PER!$V$44,PER!BG510=1,PER!$V$45,PER!BG550=1,PER!$V$46,PER!BG590=1,PER!$V$47,PER!BG630=1,PER!$V$48)))</f>
        <v/>
      </c>
      <c r="S39" s="54" t="str" cm="1">
        <f t="array" ref="S39">IF(PER!AM89=0,"",IF((PER!BH70+PER!BH110+PER!BH150+PER!BH190+PER!BH230+PER!BH270+PER!BH310+PER!BH350+PER!BH390+PER!BH430+PER!BH470+PER!BH510+PER!BH550+PER!BH590+PER!BH630)=0,"",_xlfn.IFS(PER!BH70=1,PER!$V$34,PER!BH110=1,PER!$V$35,PER!BH150=1,PER!$V$36,PER!BH190=1,PER!$V$37,PER!BH230=1,PER!$V$38,PER!BH270=1,PER!$V$39,PER!BH310=1,PER!$V$40,PER!BH350=1,PER!$V$41,PER!BH390=1,PER!$V$42,PER!BH430=1,PER!$V$43,PER!BH470=1,PER!$V$44,PER!BH510=1,PER!$V$45,PER!BH550=1,PER!$V$46,PER!BH590=1,PER!$V$47,PER!BH630=1,PER!$V$48)))</f>
        <v/>
      </c>
    </row>
    <row r="40" spans="1:19" x14ac:dyDescent="0.55000000000000004">
      <c r="A40">
        <v>38</v>
      </c>
      <c r="B40" t="s">
        <v>146</v>
      </c>
      <c r="C40" s="54" t="str" cm="1">
        <f t="array" ref="C40">IF(PER!W90=0,"",IF((PER!AR71+PER!AR111+PER!AR151+PER!AR191+PER!AR231+PER!AR271+PER!AR311+PER!AR351+PER!AR391+PER!AR431+PER!AR471+PER!AR511+PER!AR551+PER!AR591+PER!AR631)=0,"",_xlfn.IFS(PER!AR71=1,PER!$V$34,PER!AR111=1,PER!$V$35,PER!AR151=1,PER!$V$36,PER!AR191=1,PER!$V$37,PER!AR231=1,PER!$V$38,PER!AR271=1,PER!$V$39,PER!AR311=1,PER!$V$40,PER!AR351=1,PER!$V$41,PER!AR391=1,PER!$V$42,PER!AR431=1,PER!$V$43,PER!AR471=1,PER!$V$44,PER!AR511=1,PER!$V$45,PER!AR551=1,PER!$V$46,PER!AR591=1,PER!$V$47,PER!AR631=1,PER!$V$48)))</f>
        <v/>
      </c>
      <c r="D40" s="54" t="str" cm="1">
        <f t="array" ref="D40">IF(PER!X90=0,"",IF((PER!AS71+PER!AS111+PER!AS151+PER!AS191+PER!AS231+PER!AS271+PER!AS311+PER!AS351+PER!AS391+PER!AS431+PER!AS471+PER!AS511+PER!AS551+PER!AS591+PER!AS631)=0,"",_xlfn.IFS(PER!AS71=1,PER!$V$34,PER!AS111=1,PER!$V$35,PER!AS151=1,PER!$V$36,PER!AS191=1,PER!$V$37,PER!AS231=1,PER!$V$38,PER!AS271=1,PER!$V$39,PER!AS311=1,PER!$V$40,PER!AS351=1,PER!$V$41,PER!AS391=1,PER!$V$42,PER!AS431=1,PER!$V$43,PER!AS471=1,PER!$V$44,PER!AS511=1,PER!$V$45,PER!AS551=1,PER!$V$46,PER!AS591=1,PER!$V$47,PER!AS631=1,PER!$V$48)))</f>
        <v/>
      </c>
      <c r="E40" s="54" t="str" cm="1">
        <f t="array" ref="E40">IF(PER!Y90=0,"",IF((PER!AT71+PER!AT111+PER!AT151+PER!AT191+PER!AT231+PER!AT271+PER!AT311+PER!AT351+PER!AT391+PER!AT431+PER!AT471+PER!AT511+PER!AT551+PER!AT591+PER!AT631)=0,"",_xlfn.IFS(PER!AT71=1,PER!$V$34,PER!AT111=1,PER!$V$35,PER!AT151=1,PER!$V$36,PER!AT191=1,PER!$V$37,PER!AT231=1,PER!$V$38,PER!AT271=1,PER!$V$39,PER!AT311=1,PER!$V$40,PER!AT351=1,PER!$V$41,PER!AT391=1,PER!$V$42,PER!AT431=1,PER!$V$43,PER!AT471=1,PER!$V$44,PER!AT511=1,PER!$V$45,PER!AT551=1,PER!$V$46,PER!AT591=1,PER!$V$47,PER!AT631=1,PER!$V$48)))</f>
        <v/>
      </c>
      <c r="F40" s="54" t="str" cm="1">
        <f t="array" ref="F40">IF(PER!Z90=0,"",IF((PER!AU71+PER!AU111+PER!AU151+PER!AU191+PER!AU231+PER!AU271+PER!AU311+PER!AU351+PER!AU391+PER!AU431+PER!AU471+PER!AU511+PER!AU551+PER!AU591+PER!AU631)=0,"",_xlfn.IFS(PER!AU71=1,PER!$V$34,PER!AU111=1,PER!$V$35,PER!AU151=1,PER!$V$36,PER!AU191=1,PER!$V$37,PER!AU231=1,PER!$V$38,PER!AU271=1,PER!$V$39,PER!AU311=1,PER!$V$40,PER!AU351=1,PER!$V$41,PER!AU391=1,PER!$V$42,PER!AU431=1,PER!$V$43,PER!AU471=1,PER!$V$44,PER!AU511=1,PER!$V$45,PER!AU551=1,PER!$V$46,PER!AU591=1,PER!$V$47,PER!AU631=1,PER!$V$48)))</f>
        <v/>
      </c>
      <c r="G40" s="54" t="str" cm="1">
        <f t="array" ref="G40">IF(PER!AA90=0,"",IF((PER!AV71+PER!AV111+PER!AV151+PER!AV191+PER!AV231+PER!AV271+PER!AV311+PER!AV351+PER!AV391+PER!AV431+PER!AV471+PER!AV511+PER!AV551+PER!AV591+PER!AV631)=0,"",_xlfn.IFS(PER!AV71=1,PER!$V$34,PER!AV111=1,PER!$V$35,PER!AV151=1,PER!$V$36,PER!AV191=1,PER!$V$37,PER!AV231=1,PER!$V$38,PER!AV271=1,PER!$V$39,PER!AV311=1,PER!$V$40,PER!AV351=1,PER!$V$41,PER!AV391=1,PER!$V$42,PER!AV431=1,PER!$V$43,PER!AV471=1,PER!$V$44,PER!AV511=1,PER!$V$45,PER!AV551=1,PER!$V$46,PER!AV591=1,PER!$V$47,PER!AV631=1,PER!$V$48)))</f>
        <v/>
      </c>
      <c r="H40" s="54" t="str" cm="1">
        <f t="array" ref="H40">IF(PER!AB90=0,"",IF((PER!AW71+PER!AW111+PER!AW151+PER!AW191+PER!AW231+PER!AW271+PER!AW311+PER!AW351+PER!AW391+PER!AW431+PER!AW471+PER!AW511+PER!AW551+PER!AW591+PER!AW631)=0,"",_xlfn.IFS(PER!AW71=1,PER!$V$34,PER!AW111=1,PER!$V$35,PER!AW151=1,PER!$V$36,PER!AW191=1,PER!$V$37,PER!AW231=1,PER!$V$38,PER!AW271=1,PER!$V$39,PER!AW311=1,PER!$V$40,PER!AW351=1,PER!$V$41,PER!AW391=1,PER!$V$42,PER!AW431=1,PER!$V$43,PER!AW471=1,PER!$V$44,PER!AW511=1,PER!$V$45,PER!AW551=1,PER!$V$46,PER!AW591=1,PER!$V$47,PER!AW631=1,PER!$V$48)))</f>
        <v/>
      </c>
      <c r="I40" s="54" t="str" cm="1">
        <f t="array" ref="I40">IF(PER!AC90=0,"",IF((PER!AX71+PER!AX111+PER!AX151+PER!AX191+PER!AX231+PER!AX271+PER!AX311+PER!AX351+PER!AX391+PER!AX431+PER!AX471+PER!AX511+PER!AX551+PER!AX591+PER!AX631)=0,"",_xlfn.IFS(PER!AX71=1,PER!$V$34,PER!AX111=1,PER!$V$35,PER!AX151=1,PER!$V$36,PER!AX191=1,PER!$V$37,PER!AX231=1,PER!$V$38,PER!AX271=1,PER!$V$39,PER!AX311=1,PER!$V$40,PER!AX351=1,PER!$V$41,PER!AX391=1,PER!$V$42,PER!AX431=1,PER!$V$43,PER!AX471=1,PER!$V$44,PER!AX511=1,PER!$V$45,PER!AX551=1,PER!$V$46,PER!AX591=1,PER!$V$47,PER!AX631=1,PER!$V$48)))</f>
        <v/>
      </c>
      <c r="J40" s="54" t="str" cm="1">
        <f t="array" ref="J40">IF(PER!AD90=0,"",IF((PER!AY71+PER!AY111+PER!AY151+PER!AY191+PER!AY231+PER!AY271+PER!AY311+PER!AY351+PER!AY391+PER!AY431+PER!AY471+PER!AY511+PER!AY551+PER!AY591+PER!AY631)=0,"",_xlfn.IFS(PER!AY71=1,PER!$V$34,PER!AY111=1,PER!$V$35,PER!AY151=1,PER!$V$36,PER!AY191=1,PER!$V$37,PER!AY231=1,PER!$V$38,PER!AY271=1,PER!$V$39,PER!AY311=1,PER!$V$40,PER!AY351=1,PER!$V$41,PER!AY391=1,PER!$V$42,PER!AY431=1,PER!$V$43,PER!AY471=1,PER!$V$44,PER!AY511=1,PER!$V$45,PER!AY551=1,PER!$V$46,PER!AY591=1,PER!$V$47,PER!AY631=1,PER!$V$48)))</f>
        <v/>
      </c>
      <c r="K40" s="54" t="str" cm="1">
        <f t="array" ref="K40">IF(PER!AE90=0,"",IF((PER!AZ71+PER!AZ111+PER!AZ151+PER!AZ191+PER!AZ231+PER!AZ271+PER!AZ311+PER!AZ351+PER!AZ391+PER!AZ431+PER!AZ471+PER!AZ511+PER!AZ551+PER!AZ591+PER!AZ631)=0,"",_xlfn.IFS(PER!AZ71=1,PER!$V$34,PER!AZ111=1,PER!$V$35,PER!AZ151=1,PER!$V$36,PER!AZ191=1,PER!$V$37,PER!AZ231=1,PER!$V$38,PER!AZ271=1,PER!$V$39,PER!AZ311=1,PER!$V$40,PER!AZ351=1,PER!$V$41,PER!AZ391=1,PER!$V$42,PER!AZ431=1,PER!$V$43,PER!AZ471=1,PER!$V$44,PER!AZ511=1,PER!$V$45,PER!AZ551=1,PER!$V$46,PER!AZ591=1,PER!$V$47,PER!AZ631=1,PER!$V$48)))</f>
        <v/>
      </c>
      <c r="L40" s="54" t="str" cm="1">
        <f t="array" ref="L40">IF(PER!AF90=0,"",IF((PER!BA71+PER!BA111+PER!BA151+PER!BA191+PER!BA231+PER!BA271+PER!BA311+PER!BA351+PER!BA391+PER!BA431+PER!BA471+PER!BA511+PER!BA551+PER!BA591+PER!BA631)=0,"",_xlfn.IFS(PER!BA71=1,PER!$V$34,PER!BA111=1,PER!$V$35,PER!BA151=1,PER!$V$36,PER!BA191=1,PER!$V$37,PER!BA231=1,PER!$V$38,PER!BA271=1,PER!$V$39,PER!BA311=1,PER!$V$40,PER!BA351=1,PER!$V$41,PER!BA391=1,PER!$V$42,PER!BA431=1,PER!$V$43,PER!BA471=1,PER!$V$44,PER!BA511=1,PER!$V$45,PER!BA551=1,PER!$V$46,PER!BA591=1,PER!$V$47,PER!BA631=1,PER!$V$48)))</f>
        <v/>
      </c>
      <c r="M40" s="54" t="str" cm="1">
        <f t="array" ref="M40">IF(PER!AG90=0,"",IF((PER!BB71+PER!BB111+PER!BB151+PER!BB191+PER!BB231+PER!BB271+PER!BB311+PER!BB351+PER!BB391+PER!BB431+PER!BB471+PER!BB511+PER!BB551+PER!BB591+PER!BB631)=0,"",_xlfn.IFS(PER!BB71=1,PER!$V$34,PER!BB111=1,PER!$V$35,PER!BB151=1,PER!$V$36,PER!BB191=1,PER!$V$37,PER!BB231=1,PER!$V$38,PER!BB271=1,PER!$V$39,PER!BB311=1,PER!$V$40,PER!BB351=1,PER!$V$41,PER!BB391=1,PER!$V$42,PER!BB431=1,PER!$V$43,PER!BB471=1,PER!$V$44,PER!BB511=1,PER!$V$45,PER!BB551=1,PER!$V$46,PER!BB591=1,PER!$V$47,PER!BB631=1,PER!$V$48)))</f>
        <v/>
      </c>
      <c r="N40" s="54" t="str" cm="1">
        <f t="array" ref="N40">IF(PER!AH90=0,"",IF((PER!BC71+PER!BC111+PER!BC151+PER!BC191+PER!BC231+PER!BC271+PER!BC311+PER!BC351+PER!BC391+PER!BC431+PER!BC471+PER!BC511+PER!BC551+PER!BC591+PER!BC631)=0,"",_xlfn.IFS(PER!BC71=1,PER!$V$34,PER!BC111=1,PER!$V$35,PER!BC151=1,PER!$V$36,PER!BC191=1,PER!$V$37,PER!BC231=1,PER!$V$38,PER!BC271=1,PER!$V$39,PER!BC311=1,PER!$V$40,PER!BC351=1,PER!$V$41,PER!BC391=1,PER!$V$42,PER!BC431=1,PER!$V$43,PER!BC471=1,PER!$V$44,PER!BC511=1,PER!$V$45,PER!BC551=1,PER!$V$46,PER!BC591=1,PER!$V$47,PER!BC631=1,PER!$V$48)))</f>
        <v/>
      </c>
      <c r="O40" s="54" t="str" cm="1">
        <f t="array" ref="O40">IF(PER!AI90=0,"",IF((PER!BD71+PER!BD111+PER!BD151+PER!BD191+PER!BD231+PER!BD271+PER!BD311+PER!BD351+PER!BD391+PER!BD431+PER!BD471+PER!BD511+PER!BD551+PER!BD591+PER!BD631)=0,"",_xlfn.IFS(PER!BD71=1,PER!$V$34,PER!BD111=1,PER!$V$35,PER!BD151=1,PER!$V$36,PER!BD191=1,PER!$V$37,PER!BD231=1,PER!$V$38,PER!BD271=1,PER!$V$39,PER!BD311=1,PER!$V$40,PER!BD351=1,PER!$V$41,PER!BD391=1,PER!$V$42,PER!BD431=1,PER!$V$43,PER!BD471=1,PER!$V$44,PER!BD511=1,PER!$V$45,PER!BD551=1,PER!$V$46,PER!BD591=1,PER!$V$47,PER!BD631=1,PER!$V$48)))</f>
        <v/>
      </c>
      <c r="P40" s="54" t="str" cm="1">
        <f t="array" ref="P40">IF(PER!AJ90=0,"",IF((PER!BE71+PER!BE111+PER!BE151+PER!BE191+PER!BE231+PER!BE271+PER!BE311+PER!BE351+PER!BE391+PER!BE431+PER!BE471+PER!BE511+PER!BE551+PER!BE591+PER!BE631)=0,"",_xlfn.IFS(PER!BE71=1,PER!$V$34,PER!BE111=1,PER!$V$35,PER!BE151=1,PER!$V$36,PER!BE191=1,PER!$V$37,PER!BE231=1,PER!$V$38,PER!BE271=1,PER!$V$39,PER!BE311=1,PER!$V$40,PER!BE351=1,PER!$V$41,PER!BE391=1,PER!$V$42,PER!BE431=1,PER!$V$43,PER!BE471=1,PER!$V$44,PER!BE511=1,PER!$V$45,PER!BE551=1,PER!$V$46,PER!BE591=1,PER!$V$47,PER!BE631=1,PER!$V$48)))</f>
        <v/>
      </c>
      <c r="Q40" s="54" t="str" cm="1">
        <f t="array" ref="Q40">IF(PER!AK90=0,"",IF((PER!BF71+PER!BF111+PER!BF151+PER!BF191+PER!BF231+PER!BF271+PER!BF311+PER!BF351+PER!BF391+PER!BF431+PER!BF471+PER!BF511+PER!BF551+PER!BF591+PER!BF631)=0,"",_xlfn.IFS(PER!BF71=1,PER!$V$34,PER!BF111=1,PER!$V$35,PER!BF151=1,PER!$V$36,PER!BF191=1,PER!$V$37,PER!BF231=1,PER!$V$38,PER!BF271=1,PER!$V$39,PER!BF311=1,PER!$V$40,PER!BF351=1,PER!$V$41,PER!BF391=1,PER!$V$42,PER!BF431=1,PER!$V$43,PER!BF471=1,PER!$V$44,PER!BF511=1,PER!$V$45,PER!BF551=1,PER!$V$46,PER!BF591=1,PER!$V$47,PER!BF631=1,PER!$V$48)))</f>
        <v/>
      </c>
      <c r="R40" s="54" t="str" cm="1">
        <f t="array" ref="R40">IF(PER!AL90=0,"",IF((PER!BG71+PER!BG111+PER!BG151+PER!BG191+PER!BG231+PER!BG271+PER!BG311+PER!BG351+PER!BG391+PER!BG431+PER!BG471+PER!BG511+PER!BG551+PER!BG591+PER!BG631)=0,"",_xlfn.IFS(PER!BG71=1,PER!$V$34,PER!BG111=1,PER!$V$35,PER!BG151=1,PER!$V$36,PER!BG191=1,PER!$V$37,PER!BG231=1,PER!$V$38,PER!BG271=1,PER!$V$39,PER!BG311=1,PER!$V$40,PER!BG351=1,PER!$V$41,PER!BG391=1,PER!$V$42,PER!BG431=1,PER!$V$43,PER!BG471=1,PER!$V$44,PER!BG511=1,PER!$V$45,PER!BG551=1,PER!$V$46,PER!BG591=1,PER!$V$47,PER!BG631=1,PER!$V$48)))</f>
        <v/>
      </c>
      <c r="S40" s="54" t="str" cm="1">
        <f t="array" ref="S40">IF(PER!AM90=0,"",IF((PER!BH71+PER!BH111+PER!BH151+PER!BH191+PER!BH231+PER!BH271+PER!BH311+PER!BH351+PER!BH391+PER!BH431+PER!BH471+PER!BH511+PER!BH551+PER!BH591+PER!BH631)=0,"",_xlfn.IFS(PER!BH71=1,PER!$V$34,PER!BH111=1,PER!$V$35,PER!BH151=1,PER!$V$36,PER!BH191=1,PER!$V$37,PER!BH231=1,PER!$V$38,PER!BH271=1,PER!$V$39,PER!BH311=1,PER!$V$40,PER!BH351=1,PER!$V$41,PER!BH391=1,PER!$V$42,PER!BH431=1,PER!$V$43,PER!BH471=1,PER!$V$44,PER!BH511=1,PER!$V$45,PER!BH551=1,PER!$V$46,PER!BH591=1,PER!$V$47,PER!BH631=1,PER!$V$48)))</f>
        <v/>
      </c>
    </row>
    <row r="41" spans="1:19" x14ac:dyDescent="0.55000000000000004">
      <c r="A41">
        <v>39</v>
      </c>
      <c r="B41" t="s">
        <v>146</v>
      </c>
      <c r="C41" s="54" t="str" cm="1">
        <f t="array" ref="C41">IF(PER!W91=0,"",IF((PER!AR72+PER!AR112+PER!AR152+PER!AR192+PER!AR232+PER!AR272+PER!AR312+PER!AR352+PER!AR392+PER!AR432+PER!AR472+PER!AR512+PER!AR552+PER!AR592+PER!AR632)=0,"",_xlfn.IFS(PER!AR72=1,PER!$V$34,PER!AR112=1,PER!$V$35,PER!AR152=1,PER!$V$36,PER!AR192=1,PER!$V$37,PER!AR232=1,PER!$V$38,PER!AR272=1,PER!$V$39,PER!AR312=1,PER!$V$40,PER!AR352=1,PER!$V$41,PER!AR392=1,PER!$V$42,PER!AR432=1,PER!$V$43,PER!AR472=1,PER!$V$44,PER!AR512=1,PER!$V$45,PER!AR552=1,PER!$V$46,PER!AR592=1,PER!$V$47,PER!AR632=1,PER!$V$48)))</f>
        <v/>
      </c>
      <c r="D41" s="54" t="str" cm="1">
        <f t="array" ref="D41">IF(PER!X91=0,"",IF((PER!AS72+PER!AS112+PER!AS152+PER!AS192+PER!AS232+PER!AS272+PER!AS312+PER!AS352+PER!AS392+PER!AS432+PER!AS472+PER!AS512+PER!AS552+PER!AS592+PER!AS632)=0,"",_xlfn.IFS(PER!AS72=1,PER!$V$34,PER!AS112=1,PER!$V$35,PER!AS152=1,PER!$V$36,PER!AS192=1,PER!$V$37,PER!AS232=1,PER!$V$38,PER!AS272=1,PER!$V$39,PER!AS312=1,PER!$V$40,PER!AS352=1,PER!$V$41,PER!AS392=1,PER!$V$42,PER!AS432=1,PER!$V$43,PER!AS472=1,PER!$V$44,PER!AS512=1,PER!$V$45,PER!AS552=1,PER!$V$46,PER!AS592=1,PER!$V$47,PER!AS632=1,PER!$V$48)))</f>
        <v/>
      </c>
      <c r="E41" s="54" t="str" cm="1">
        <f t="array" ref="E41">IF(PER!Y91=0,"",IF((PER!AT72+PER!AT112+PER!AT152+PER!AT192+PER!AT232+PER!AT272+PER!AT312+PER!AT352+PER!AT392+PER!AT432+PER!AT472+PER!AT512+PER!AT552+PER!AT592+PER!AT632)=0,"",_xlfn.IFS(PER!AT72=1,PER!$V$34,PER!AT112=1,PER!$V$35,PER!AT152=1,PER!$V$36,PER!AT192=1,PER!$V$37,PER!AT232=1,PER!$V$38,PER!AT272=1,PER!$V$39,PER!AT312=1,PER!$V$40,PER!AT352=1,PER!$V$41,PER!AT392=1,PER!$V$42,PER!AT432=1,PER!$V$43,PER!AT472=1,PER!$V$44,PER!AT512=1,PER!$V$45,PER!AT552=1,PER!$V$46,PER!AT592=1,PER!$V$47,PER!AT632=1,PER!$V$48)))</f>
        <v/>
      </c>
      <c r="F41" s="54" t="str" cm="1">
        <f t="array" ref="F41">IF(PER!Z91=0,"",IF((PER!AU72+PER!AU112+PER!AU152+PER!AU192+PER!AU232+PER!AU272+PER!AU312+PER!AU352+PER!AU392+PER!AU432+PER!AU472+PER!AU512+PER!AU552+PER!AU592+PER!AU632)=0,"",_xlfn.IFS(PER!AU72=1,PER!$V$34,PER!AU112=1,PER!$V$35,PER!AU152=1,PER!$V$36,PER!AU192=1,PER!$V$37,PER!AU232=1,PER!$V$38,PER!AU272=1,PER!$V$39,PER!AU312=1,PER!$V$40,PER!AU352=1,PER!$V$41,PER!AU392=1,PER!$V$42,PER!AU432=1,PER!$V$43,PER!AU472=1,PER!$V$44,PER!AU512=1,PER!$V$45,PER!AU552=1,PER!$V$46,PER!AU592=1,PER!$V$47,PER!AU632=1,PER!$V$48)))</f>
        <v/>
      </c>
      <c r="G41" s="54" t="str" cm="1">
        <f t="array" ref="G41">IF(PER!AA91=0,"",IF((PER!AV72+PER!AV112+PER!AV152+PER!AV192+PER!AV232+PER!AV272+PER!AV312+PER!AV352+PER!AV392+PER!AV432+PER!AV472+PER!AV512+PER!AV552+PER!AV592+PER!AV632)=0,"",_xlfn.IFS(PER!AV72=1,PER!$V$34,PER!AV112=1,PER!$V$35,PER!AV152=1,PER!$V$36,PER!AV192=1,PER!$V$37,PER!AV232=1,PER!$V$38,PER!AV272=1,PER!$V$39,PER!AV312=1,PER!$V$40,PER!AV352=1,PER!$V$41,PER!AV392=1,PER!$V$42,PER!AV432=1,PER!$V$43,PER!AV472=1,PER!$V$44,PER!AV512=1,PER!$V$45,PER!AV552=1,PER!$V$46,PER!AV592=1,PER!$V$47,PER!AV632=1,PER!$V$48)))</f>
        <v/>
      </c>
      <c r="H41" s="54" t="str" cm="1">
        <f t="array" ref="H41">IF(PER!AB91=0,"",IF((PER!AW72+PER!AW112+PER!AW152+PER!AW192+PER!AW232+PER!AW272+PER!AW312+PER!AW352+PER!AW392+PER!AW432+PER!AW472+PER!AW512+PER!AW552+PER!AW592+PER!AW632)=0,"",_xlfn.IFS(PER!AW72=1,PER!$V$34,PER!AW112=1,PER!$V$35,PER!AW152=1,PER!$V$36,PER!AW192=1,PER!$V$37,PER!AW232=1,PER!$V$38,PER!AW272=1,PER!$V$39,PER!AW312=1,PER!$V$40,PER!AW352=1,PER!$V$41,PER!AW392=1,PER!$V$42,PER!AW432=1,PER!$V$43,PER!AW472=1,PER!$V$44,PER!AW512=1,PER!$V$45,PER!AW552=1,PER!$V$46,PER!AW592=1,PER!$V$47,PER!AW632=1,PER!$V$48)))</f>
        <v/>
      </c>
      <c r="I41" s="54" t="str" cm="1">
        <f t="array" ref="I41">IF(PER!AC91=0,"",IF((PER!AX72+PER!AX112+PER!AX152+PER!AX192+PER!AX232+PER!AX272+PER!AX312+PER!AX352+PER!AX392+PER!AX432+PER!AX472+PER!AX512+PER!AX552+PER!AX592+PER!AX632)=0,"",_xlfn.IFS(PER!AX72=1,PER!$V$34,PER!AX112=1,PER!$V$35,PER!AX152=1,PER!$V$36,PER!AX192=1,PER!$V$37,PER!AX232=1,PER!$V$38,PER!AX272=1,PER!$V$39,PER!AX312=1,PER!$V$40,PER!AX352=1,PER!$V$41,PER!AX392=1,PER!$V$42,PER!AX432=1,PER!$V$43,PER!AX472=1,PER!$V$44,PER!AX512=1,PER!$V$45,PER!AX552=1,PER!$V$46,PER!AX592=1,PER!$V$47,PER!AX632=1,PER!$V$48)))</f>
        <v/>
      </c>
      <c r="J41" s="54" t="str" cm="1">
        <f t="array" ref="J41">IF(PER!AD91=0,"",IF((PER!AY72+PER!AY112+PER!AY152+PER!AY192+PER!AY232+PER!AY272+PER!AY312+PER!AY352+PER!AY392+PER!AY432+PER!AY472+PER!AY512+PER!AY552+PER!AY592+PER!AY632)=0,"",_xlfn.IFS(PER!AY72=1,PER!$V$34,PER!AY112=1,PER!$V$35,PER!AY152=1,PER!$V$36,PER!AY192=1,PER!$V$37,PER!AY232=1,PER!$V$38,PER!AY272=1,PER!$V$39,PER!AY312=1,PER!$V$40,PER!AY352=1,PER!$V$41,PER!AY392=1,PER!$V$42,PER!AY432=1,PER!$V$43,PER!AY472=1,PER!$V$44,PER!AY512=1,PER!$V$45,PER!AY552=1,PER!$V$46,PER!AY592=1,PER!$V$47,PER!AY632=1,PER!$V$48)))</f>
        <v/>
      </c>
      <c r="K41" s="54" t="str" cm="1">
        <f t="array" ref="K41">IF(PER!AE91=0,"",IF((PER!AZ72+PER!AZ112+PER!AZ152+PER!AZ192+PER!AZ232+PER!AZ272+PER!AZ312+PER!AZ352+PER!AZ392+PER!AZ432+PER!AZ472+PER!AZ512+PER!AZ552+PER!AZ592+PER!AZ632)=0,"",_xlfn.IFS(PER!AZ72=1,PER!$V$34,PER!AZ112=1,PER!$V$35,PER!AZ152=1,PER!$V$36,PER!AZ192=1,PER!$V$37,PER!AZ232=1,PER!$V$38,PER!AZ272=1,PER!$V$39,PER!AZ312=1,PER!$V$40,PER!AZ352=1,PER!$V$41,PER!AZ392=1,PER!$V$42,PER!AZ432=1,PER!$V$43,PER!AZ472=1,PER!$V$44,PER!AZ512=1,PER!$V$45,PER!AZ552=1,PER!$V$46,PER!AZ592=1,PER!$V$47,PER!AZ632=1,PER!$V$48)))</f>
        <v/>
      </c>
      <c r="L41" s="54" t="str" cm="1">
        <f t="array" ref="L41">IF(PER!AF91=0,"",IF((PER!BA72+PER!BA112+PER!BA152+PER!BA192+PER!BA232+PER!BA272+PER!BA312+PER!BA352+PER!BA392+PER!BA432+PER!BA472+PER!BA512+PER!BA552+PER!BA592+PER!BA632)=0,"",_xlfn.IFS(PER!BA72=1,PER!$V$34,PER!BA112=1,PER!$V$35,PER!BA152=1,PER!$V$36,PER!BA192=1,PER!$V$37,PER!BA232=1,PER!$V$38,PER!BA272=1,PER!$V$39,PER!BA312=1,PER!$V$40,PER!BA352=1,PER!$V$41,PER!BA392=1,PER!$V$42,PER!BA432=1,PER!$V$43,PER!BA472=1,PER!$V$44,PER!BA512=1,PER!$V$45,PER!BA552=1,PER!$V$46,PER!BA592=1,PER!$V$47,PER!BA632=1,PER!$V$48)))</f>
        <v/>
      </c>
      <c r="M41" s="54" t="str" cm="1">
        <f t="array" ref="M41">IF(PER!AG91=0,"",IF((PER!BB72+PER!BB112+PER!BB152+PER!BB192+PER!BB232+PER!BB272+PER!BB312+PER!BB352+PER!BB392+PER!BB432+PER!BB472+PER!BB512+PER!BB552+PER!BB592+PER!BB632)=0,"",_xlfn.IFS(PER!BB72=1,PER!$V$34,PER!BB112=1,PER!$V$35,PER!BB152=1,PER!$V$36,PER!BB192=1,PER!$V$37,PER!BB232=1,PER!$V$38,PER!BB272=1,PER!$V$39,PER!BB312=1,PER!$V$40,PER!BB352=1,PER!$V$41,PER!BB392=1,PER!$V$42,PER!BB432=1,PER!$V$43,PER!BB472=1,PER!$V$44,PER!BB512=1,PER!$V$45,PER!BB552=1,PER!$V$46,PER!BB592=1,PER!$V$47,PER!BB632=1,PER!$V$48)))</f>
        <v/>
      </c>
      <c r="N41" s="54" t="str" cm="1">
        <f t="array" ref="N41">IF(PER!AH91=0,"",IF((PER!BC72+PER!BC112+PER!BC152+PER!BC192+PER!BC232+PER!BC272+PER!BC312+PER!BC352+PER!BC392+PER!BC432+PER!BC472+PER!BC512+PER!BC552+PER!BC592+PER!BC632)=0,"",_xlfn.IFS(PER!BC72=1,PER!$V$34,PER!BC112=1,PER!$V$35,PER!BC152=1,PER!$V$36,PER!BC192=1,PER!$V$37,PER!BC232=1,PER!$V$38,PER!BC272=1,PER!$V$39,PER!BC312=1,PER!$V$40,PER!BC352=1,PER!$V$41,PER!BC392=1,PER!$V$42,PER!BC432=1,PER!$V$43,PER!BC472=1,PER!$V$44,PER!BC512=1,PER!$V$45,PER!BC552=1,PER!$V$46,PER!BC592=1,PER!$V$47,PER!BC632=1,PER!$V$48)))</f>
        <v/>
      </c>
      <c r="O41" s="54" t="str" cm="1">
        <f t="array" ref="O41">IF(PER!AI91=0,"",IF((PER!BD72+PER!BD112+PER!BD152+PER!BD192+PER!BD232+PER!BD272+PER!BD312+PER!BD352+PER!BD392+PER!BD432+PER!BD472+PER!BD512+PER!BD552+PER!BD592+PER!BD632)=0,"",_xlfn.IFS(PER!BD72=1,PER!$V$34,PER!BD112=1,PER!$V$35,PER!BD152=1,PER!$V$36,PER!BD192=1,PER!$V$37,PER!BD232=1,PER!$V$38,PER!BD272=1,PER!$V$39,PER!BD312=1,PER!$V$40,PER!BD352=1,PER!$V$41,PER!BD392=1,PER!$V$42,PER!BD432=1,PER!$V$43,PER!BD472=1,PER!$V$44,PER!BD512=1,PER!$V$45,PER!BD552=1,PER!$V$46,PER!BD592=1,PER!$V$47,PER!BD632=1,PER!$V$48)))</f>
        <v/>
      </c>
      <c r="P41" s="54" t="str" cm="1">
        <f t="array" ref="P41">IF(PER!AJ91=0,"",IF((PER!BE72+PER!BE112+PER!BE152+PER!BE192+PER!BE232+PER!BE272+PER!BE312+PER!BE352+PER!BE392+PER!BE432+PER!BE472+PER!BE512+PER!BE552+PER!BE592+PER!BE632)=0,"",_xlfn.IFS(PER!BE72=1,PER!$V$34,PER!BE112=1,PER!$V$35,PER!BE152=1,PER!$V$36,PER!BE192=1,PER!$V$37,PER!BE232=1,PER!$V$38,PER!BE272=1,PER!$V$39,PER!BE312=1,PER!$V$40,PER!BE352=1,PER!$V$41,PER!BE392=1,PER!$V$42,PER!BE432=1,PER!$V$43,PER!BE472=1,PER!$V$44,PER!BE512=1,PER!$V$45,PER!BE552=1,PER!$V$46,PER!BE592=1,PER!$V$47,PER!BE632=1,PER!$V$48)))</f>
        <v/>
      </c>
      <c r="Q41" s="54" t="str" cm="1">
        <f t="array" ref="Q41">IF(PER!AK91=0,"",IF((PER!BF72+PER!BF112+PER!BF152+PER!BF192+PER!BF232+PER!BF272+PER!BF312+PER!BF352+PER!BF392+PER!BF432+PER!BF472+PER!BF512+PER!BF552+PER!BF592+PER!BF632)=0,"",_xlfn.IFS(PER!BF72=1,PER!$V$34,PER!BF112=1,PER!$V$35,PER!BF152=1,PER!$V$36,PER!BF192=1,PER!$V$37,PER!BF232=1,PER!$V$38,PER!BF272=1,PER!$V$39,PER!BF312=1,PER!$V$40,PER!BF352=1,PER!$V$41,PER!BF392=1,PER!$V$42,PER!BF432=1,PER!$V$43,PER!BF472=1,PER!$V$44,PER!BF512=1,PER!$V$45,PER!BF552=1,PER!$V$46,PER!BF592=1,PER!$V$47,PER!BF632=1,PER!$V$48)))</f>
        <v/>
      </c>
      <c r="R41" s="54" t="str" cm="1">
        <f t="array" ref="R41">IF(PER!AL91=0,"",IF((PER!BG72+PER!BG112+PER!BG152+PER!BG192+PER!BG232+PER!BG272+PER!BG312+PER!BG352+PER!BG392+PER!BG432+PER!BG472+PER!BG512+PER!BG552+PER!BG592+PER!BG632)=0,"",_xlfn.IFS(PER!BG72=1,PER!$V$34,PER!BG112=1,PER!$V$35,PER!BG152=1,PER!$V$36,PER!BG192=1,PER!$V$37,PER!BG232=1,PER!$V$38,PER!BG272=1,PER!$V$39,PER!BG312=1,PER!$V$40,PER!BG352=1,PER!$V$41,PER!BG392=1,PER!$V$42,PER!BG432=1,PER!$V$43,PER!BG472=1,PER!$V$44,PER!BG512=1,PER!$V$45,PER!BG552=1,PER!$V$46,PER!BG592=1,PER!$V$47,PER!BG632=1,PER!$V$48)))</f>
        <v/>
      </c>
      <c r="S41" s="54" t="str" cm="1">
        <f t="array" ref="S41">IF(PER!AM91=0,"",IF((PER!BH72+PER!BH112+PER!BH152+PER!BH192+PER!BH232+PER!BH272+PER!BH312+PER!BH352+PER!BH392+PER!BH432+PER!BH472+PER!BH512+PER!BH552+PER!BH592+PER!BH632)=0,"",_xlfn.IFS(PER!BH72=1,PER!$V$34,PER!BH112=1,PER!$V$35,PER!BH152=1,PER!$V$36,PER!BH192=1,PER!$V$37,PER!BH232=1,PER!$V$38,PER!BH272=1,PER!$V$39,PER!BH312=1,PER!$V$40,PER!BH352=1,PER!$V$41,PER!BH392=1,PER!$V$42,PER!BH432=1,PER!$V$43,PER!BH472=1,PER!$V$44,PER!BH512=1,PER!$V$45,PER!BH552=1,PER!$V$46,PER!BH592=1,PER!$V$47,PER!BH632=1,PER!$V$48)))</f>
        <v/>
      </c>
    </row>
    <row r="42" spans="1:19" x14ac:dyDescent="0.55000000000000004">
      <c r="A42">
        <v>40</v>
      </c>
      <c r="B42" t="s">
        <v>146</v>
      </c>
      <c r="C42" s="54" t="str" cm="1">
        <f t="array" ref="C42">IF(PER!W92=0,"",IF((PER!AR73+PER!AR113+PER!AR153+PER!AR193+PER!AR233+PER!AR273+PER!AR313+PER!AR353+PER!AR393+PER!AR433+PER!AR473+PER!AR513+PER!AR553+PER!AR593+PER!AR633)=0,"",_xlfn.IFS(PER!AR73=1,PER!$V$34,PER!AR113=1,PER!$V$35,PER!AR153=1,PER!$V$36,PER!AR193=1,PER!$V$37,PER!AR233=1,PER!$V$38,PER!AR273=1,PER!$V$39,PER!AR313=1,PER!$V$40,PER!AR353=1,PER!$V$41,PER!AR393=1,PER!$V$42,PER!AR433=1,PER!$V$43,PER!AR473=1,PER!$V$44,PER!AR513=1,PER!$V$45,PER!AR553=1,PER!$V$46,PER!AR593=1,PER!$V$47,PER!AR633=1,PER!$V$48)))</f>
        <v/>
      </c>
      <c r="D42" s="54" t="str" cm="1">
        <f t="array" ref="D42">IF(PER!X92=0,"",IF((PER!AS73+PER!AS113+PER!AS153+PER!AS193+PER!AS233+PER!AS273+PER!AS313+PER!AS353+PER!AS393+PER!AS433+PER!AS473+PER!AS513+PER!AS553+PER!AS593+PER!AS633)=0,"",_xlfn.IFS(PER!AS73=1,PER!$V$34,PER!AS113=1,PER!$V$35,PER!AS153=1,PER!$V$36,PER!AS193=1,PER!$V$37,PER!AS233=1,PER!$V$38,PER!AS273=1,PER!$V$39,PER!AS313=1,PER!$V$40,PER!AS353=1,PER!$V$41,PER!AS393=1,PER!$V$42,PER!AS433=1,PER!$V$43,PER!AS473=1,PER!$V$44,PER!AS513=1,PER!$V$45,PER!AS553=1,PER!$V$46,PER!AS593=1,PER!$V$47,PER!AS633=1,PER!$V$48)))</f>
        <v/>
      </c>
      <c r="E42" s="54" t="str" cm="1">
        <f t="array" ref="E42">IF(PER!Y92=0,"",IF((PER!AT73+PER!AT113+PER!AT153+PER!AT193+PER!AT233+PER!AT273+PER!AT313+PER!AT353+PER!AT393+PER!AT433+PER!AT473+PER!AT513+PER!AT553+PER!AT593+PER!AT633)=0,"",_xlfn.IFS(PER!AT73=1,PER!$V$34,PER!AT113=1,PER!$V$35,PER!AT153=1,PER!$V$36,PER!AT193=1,PER!$V$37,PER!AT233=1,PER!$V$38,PER!AT273=1,PER!$V$39,PER!AT313=1,PER!$V$40,PER!AT353=1,PER!$V$41,PER!AT393=1,PER!$V$42,PER!AT433=1,PER!$V$43,PER!AT473=1,PER!$V$44,PER!AT513=1,PER!$V$45,PER!AT553=1,PER!$V$46,PER!AT593=1,PER!$V$47,PER!AT633=1,PER!$V$48)))</f>
        <v/>
      </c>
      <c r="F42" s="54" t="str" cm="1">
        <f t="array" ref="F42">IF(PER!Z92=0,"",IF((PER!AU73+PER!AU113+PER!AU153+PER!AU193+PER!AU233+PER!AU273+PER!AU313+PER!AU353+PER!AU393+PER!AU433+PER!AU473+PER!AU513+PER!AU553+PER!AU593+PER!AU633)=0,"",_xlfn.IFS(PER!AU73=1,PER!$V$34,PER!AU113=1,PER!$V$35,PER!AU153=1,PER!$V$36,PER!AU193=1,PER!$V$37,PER!AU233=1,PER!$V$38,PER!AU273=1,PER!$V$39,PER!AU313=1,PER!$V$40,PER!AU353=1,PER!$V$41,PER!AU393=1,PER!$V$42,PER!AU433=1,PER!$V$43,PER!AU473=1,PER!$V$44,PER!AU513=1,PER!$V$45,PER!AU553=1,PER!$V$46,PER!AU593=1,PER!$V$47,PER!AU633=1,PER!$V$48)))</f>
        <v/>
      </c>
      <c r="G42" s="54" t="str" cm="1">
        <f t="array" ref="G42">IF(PER!AA92=0,"",IF((PER!AV73+PER!AV113+PER!AV153+PER!AV193+PER!AV233+PER!AV273+PER!AV313+PER!AV353+PER!AV393+PER!AV433+PER!AV473+PER!AV513+PER!AV553+PER!AV593+PER!AV633)=0,"",_xlfn.IFS(PER!AV73=1,PER!$V$34,PER!AV113=1,PER!$V$35,PER!AV153=1,PER!$V$36,PER!AV193=1,PER!$V$37,PER!AV233=1,PER!$V$38,PER!AV273=1,PER!$V$39,PER!AV313=1,PER!$V$40,PER!AV353=1,PER!$V$41,PER!AV393=1,PER!$V$42,PER!AV433=1,PER!$V$43,PER!AV473=1,PER!$V$44,PER!AV513=1,PER!$V$45,PER!AV553=1,PER!$V$46,PER!AV593=1,PER!$V$47,PER!AV633=1,PER!$V$48)))</f>
        <v/>
      </c>
      <c r="H42" s="54" t="str" cm="1">
        <f t="array" ref="H42">IF(PER!AB92=0,"",IF((PER!AW73+PER!AW113+PER!AW153+PER!AW193+PER!AW233+PER!AW273+PER!AW313+PER!AW353+PER!AW393+PER!AW433+PER!AW473+PER!AW513+PER!AW553+PER!AW593+PER!AW633)=0,"",_xlfn.IFS(PER!AW73=1,PER!$V$34,PER!AW113=1,PER!$V$35,PER!AW153=1,PER!$V$36,PER!AW193=1,PER!$V$37,PER!AW233=1,PER!$V$38,PER!AW273=1,PER!$V$39,PER!AW313=1,PER!$V$40,PER!AW353=1,PER!$V$41,PER!AW393=1,PER!$V$42,PER!AW433=1,PER!$V$43,PER!AW473=1,PER!$V$44,PER!AW513=1,PER!$V$45,PER!AW553=1,PER!$V$46,PER!AW593=1,PER!$V$47,PER!AW633=1,PER!$V$48)))</f>
        <v/>
      </c>
      <c r="I42" s="54" t="str" cm="1">
        <f t="array" ref="I42">IF(PER!AC92=0,"",IF((PER!AX73+PER!AX113+PER!AX153+PER!AX193+PER!AX233+PER!AX273+PER!AX313+PER!AX353+PER!AX393+PER!AX433+PER!AX473+PER!AX513+PER!AX553+PER!AX593+PER!AX633)=0,"",_xlfn.IFS(PER!AX73=1,PER!$V$34,PER!AX113=1,PER!$V$35,PER!AX153=1,PER!$V$36,PER!AX193=1,PER!$V$37,PER!AX233=1,PER!$V$38,PER!AX273=1,PER!$V$39,PER!AX313=1,PER!$V$40,PER!AX353=1,PER!$V$41,PER!AX393=1,PER!$V$42,PER!AX433=1,PER!$V$43,PER!AX473=1,PER!$V$44,PER!AX513=1,PER!$V$45,PER!AX553=1,PER!$V$46,PER!AX593=1,PER!$V$47,PER!AX633=1,PER!$V$48)))</f>
        <v/>
      </c>
      <c r="J42" s="54" t="str" cm="1">
        <f t="array" ref="J42">IF(PER!AD92=0,"",IF((PER!AY73+PER!AY113+PER!AY153+PER!AY193+PER!AY233+PER!AY273+PER!AY313+PER!AY353+PER!AY393+PER!AY433+PER!AY473+PER!AY513+PER!AY553+PER!AY593+PER!AY633)=0,"",_xlfn.IFS(PER!AY73=1,PER!$V$34,PER!AY113=1,PER!$V$35,PER!AY153=1,PER!$V$36,PER!AY193=1,PER!$V$37,PER!AY233=1,PER!$V$38,PER!AY273=1,PER!$V$39,PER!AY313=1,PER!$V$40,PER!AY353=1,PER!$V$41,PER!AY393=1,PER!$V$42,PER!AY433=1,PER!$V$43,PER!AY473=1,PER!$V$44,PER!AY513=1,PER!$V$45,PER!AY553=1,PER!$V$46,PER!AY593=1,PER!$V$47,PER!AY633=1,PER!$V$48)))</f>
        <v/>
      </c>
      <c r="K42" s="54" t="str" cm="1">
        <f t="array" ref="K42">IF(PER!AE92=0,"",IF((PER!AZ73+PER!AZ113+PER!AZ153+PER!AZ193+PER!AZ233+PER!AZ273+PER!AZ313+PER!AZ353+PER!AZ393+PER!AZ433+PER!AZ473+PER!AZ513+PER!AZ553+PER!AZ593+PER!AZ633)=0,"",_xlfn.IFS(PER!AZ73=1,PER!$V$34,PER!AZ113=1,PER!$V$35,PER!AZ153=1,PER!$V$36,PER!AZ193=1,PER!$V$37,PER!AZ233=1,PER!$V$38,PER!AZ273=1,PER!$V$39,PER!AZ313=1,PER!$V$40,PER!AZ353=1,PER!$V$41,PER!AZ393=1,PER!$V$42,PER!AZ433=1,PER!$V$43,PER!AZ473=1,PER!$V$44,PER!AZ513=1,PER!$V$45,PER!AZ553=1,PER!$V$46,PER!AZ593=1,PER!$V$47,PER!AZ633=1,PER!$V$48)))</f>
        <v/>
      </c>
      <c r="L42" s="54" t="str" cm="1">
        <f t="array" ref="L42">IF(PER!AF92=0,"",IF((PER!BA73+PER!BA113+PER!BA153+PER!BA193+PER!BA233+PER!BA273+PER!BA313+PER!BA353+PER!BA393+PER!BA433+PER!BA473+PER!BA513+PER!BA553+PER!BA593+PER!BA633)=0,"",_xlfn.IFS(PER!BA73=1,PER!$V$34,PER!BA113=1,PER!$V$35,PER!BA153=1,PER!$V$36,PER!BA193=1,PER!$V$37,PER!BA233=1,PER!$V$38,PER!BA273=1,PER!$V$39,PER!BA313=1,PER!$V$40,PER!BA353=1,PER!$V$41,PER!BA393=1,PER!$V$42,PER!BA433=1,PER!$V$43,PER!BA473=1,PER!$V$44,PER!BA513=1,PER!$V$45,PER!BA553=1,PER!$V$46,PER!BA593=1,PER!$V$47,PER!BA633=1,PER!$V$48)))</f>
        <v/>
      </c>
      <c r="M42" s="54" t="str" cm="1">
        <f t="array" ref="M42">IF(PER!AG92=0,"",IF((PER!BB73+PER!BB113+PER!BB153+PER!BB193+PER!BB233+PER!BB273+PER!BB313+PER!BB353+PER!BB393+PER!BB433+PER!BB473+PER!BB513+PER!BB553+PER!BB593+PER!BB633)=0,"",_xlfn.IFS(PER!BB73=1,PER!$V$34,PER!BB113=1,PER!$V$35,PER!BB153=1,PER!$V$36,PER!BB193=1,PER!$V$37,PER!BB233=1,PER!$V$38,PER!BB273=1,PER!$V$39,PER!BB313=1,PER!$V$40,PER!BB353=1,PER!$V$41,PER!BB393=1,PER!$V$42,PER!BB433=1,PER!$V$43,PER!BB473=1,PER!$V$44,PER!BB513=1,PER!$V$45,PER!BB553=1,PER!$V$46,PER!BB593=1,PER!$V$47,PER!BB633=1,PER!$V$48)))</f>
        <v/>
      </c>
      <c r="N42" s="54" t="str" cm="1">
        <f t="array" ref="N42">IF(PER!AH92=0,"",IF((PER!BC73+PER!BC113+PER!BC153+PER!BC193+PER!BC233+PER!BC273+PER!BC313+PER!BC353+PER!BC393+PER!BC433+PER!BC473+PER!BC513+PER!BC553+PER!BC593+PER!BC633)=0,"",_xlfn.IFS(PER!BC73=1,PER!$V$34,PER!BC113=1,PER!$V$35,PER!BC153=1,PER!$V$36,PER!BC193=1,PER!$V$37,PER!BC233=1,PER!$V$38,PER!BC273=1,PER!$V$39,PER!BC313=1,PER!$V$40,PER!BC353=1,PER!$V$41,PER!BC393=1,PER!$V$42,PER!BC433=1,PER!$V$43,PER!BC473=1,PER!$V$44,PER!BC513=1,PER!$V$45,PER!BC553=1,PER!$V$46,PER!BC593=1,PER!$V$47,PER!BC633=1,PER!$V$48)))</f>
        <v/>
      </c>
      <c r="O42" s="54" t="str" cm="1">
        <f t="array" ref="O42">IF(PER!AI92=0,"",IF((PER!BD73+PER!BD113+PER!BD153+PER!BD193+PER!BD233+PER!BD273+PER!BD313+PER!BD353+PER!BD393+PER!BD433+PER!BD473+PER!BD513+PER!BD553+PER!BD593+PER!BD633)=0,"",_xlfn.IFS(PER!BD73=1,PER!$V$34,PER!BD113=1,PER!$V$35,PER!BD153=1,PER!$V$36,PER!BD193=1,PER!$V$37,PER!BD233=1,PER!$V$38,PER!BD273=1,PER!$V$39,PER!BD313=1,PER!$V$40,PER!BD353=1,PER!$V$41,PER!BD393=1,PER!$V$42,PER!BD433=1,PER!$V$43,PER!BD473=1,PER!$V$44,PER!BD513=1,PER!$V$45,PER!BD553=1,PER!$V$46,PER!BD593=1,PER!$V$47,PER!BD633=1,PER!$V$48)))</f>
        <v/>
      </c>
      <c r="P42" s="54" t="str" cm="1">
        <f t="array" ref="P42">IF(PER!AJ92=0,"",IF((PER!BE73+PER!BE113+PER!BE153+PER!BE193+PER!BE233+PER!BE273+PER!BE313+PER!BE353+PER!BE393+PER!BE433+PER!BE473+PER!BE513+PER!BE553+PER!BE593+PER!BE633)=0,"",_xlfn.IFS(PER!BE73=1,PER!$V$34,PER!BE113=1,PER!$V$35,PER!BE153=1,PER!$V$36,PER!BE193=1,PER!$V$37,PER!BE233=1,PER!$V$38,PER!BE273=1,PER!$V$39,PER!BE313=1,PER!$V$40,PER!BE353=1,PER!$V$41,PER!BE393=1,PER!$V$42,PER!BE433=1,PER!$V$43,PER!BE473=1,PER!$V$44,PER!BE513=1,PER!$V$45,PER!BE553=1,PER!$V$46,PER!BE593=1,PER!$V$47,PER!BE633=1,PER!$V$48)))</f>
        <v/>
      </c>
      <c r="Q42" s="54" t="str" cm="1">
        <f t="array" ref="Q42">IF(PER!AK92=0,"",IF((PER!BF73+PER!BF113+PER!BF153+PER!BF193+PER!BF233+PER!BF273+PER!BF313+PER!BF353+PER!BF393+PER!BF433+PER!BF473+PER!BF513+PER!BF553+PER!BF593+PER!BF633)=0,"",_xlfn.IFS(PER!BF73=1,PER!$V$34,PER!BF113=1,PER!$V$35,PER!BF153=1,PER!$V$36,PER!BF193=1,PER!$V$37,PER!BF233=1,PER!$V$38,PER!BF273=1,PER!$V$39,PER!BF313=1,PER!$V$40,PER!BF353=1,PER!$V$41,PER!BF393=1,PER!$V$42,PER!BF433=1,PER!$V$43,PER!BF473=1,PER!$V$44,PER!BF513=1,PER!$V$45,PER!BF553=1,PER!$V$46,PER!BF593=1,PER!$V$47,PER!BF633=1,PER!$V$48)))</f>
        <v/>
      </c>
      <c r="R42" s="54" t="str" cm="1">
        <f t="array" ref="R42">IF(PER!AL92=0,"",IF((PER!BG73+PER!BG113+PER!BG153+PER!BG193+PER!BG233+PER!BG273+PER!BG313+PER!BG353+PER!BG393+PER!BG433+PER!BG473+PER!BG513+PER!BG553+PER!BG593+PER!BG633)=0,"",_xlfn.IFS(PER!BG73=1,PER!$V$34,PER!BG113=1,PER!$V$35,PER!BG153=1,PER!$V$36,PER!BG193=1,PER!$V$37,PER!BG233=1,PER!$V$38,PER!BG273=1,PER!$V$39,PER!BG313=1,PER!$V$40,PER!BG353=1,PER!$V$41,PER!BG393=1,PER!$V$42,PER!BG433=1,PER!$V$43,PER!BG473=1,PER!$V$44,PER!BG513=1,PER!$V$45,PER!BG553=1,PER!$V$46,PER!BG593=1,PER!$V$47,PER!BG633=1,PER!$V$48)))</f>
        <v/>
      </c>
      <c r="S42" s="54" t="str" cm="1">
        <f t="array" ref="S42">IF(PER!AM92=0,"",IF((PER!BH73+PER!BH113+PER!BH153+PER!BH193+PER!BH233+PER!BH273+PER!BH313+PER!BH353+PER!BH393+PER!BH433+PER!BH473+PER!BH513+PER!BH553+PER!BH593+PER!BH633)=0,"",_xlfn.IFS(PER!BH73=1,PER!$V$34,PER!BH113=1,PER!$V$35,PER!BH153=1,PER!$V$36,PER!BH193=1,PER!$V$37,PER!BH233=1,PER!$V$38,PER!BH273=1,PER!$V$39,PER!BH313=1,PER!$V$40,PER!BH353=1,PER!$V$41,PER!BH393=1,PER!$V$42,PER!BH433=1,PER!$V$43,PER!BH473=1,PER!$V$44,PER!BH513=1,PER!$V$45,PER!BH553=1,PER!$V$46,PER!BH593=1,PER!$V$47,PER!BH633=1,PER!$V$48)))</f>
        <v/>
      </c>
    </row>
  </sheetData>
  <conditionalFormatting sqref="C3:S42">
    <cfRule type="cellIs" dxfId="171" priority="1" operator="equal">
      <formula>"Volante"</formula>
    </cfRule>
    <cfRule type="cellIs" dxfId="170" priority="2" operator="equal">
      <formula>"Tidying"</formula>
    </cfRule>
    <cfRule type="cellIs" dxfId="169" priority="3" operator="equal">
      <formula>"Çapèse"</formula>
    </cfRule>
    <cfRule type="cellIs" dxfId="168" priority="4" operator="equal">
      <formula>"Level"</formula>
    </cfRule>
    <cfRule type="cellIs" dxfId="167" priority="5" operator="equal">
      <formula>"Toilets"</formula>
    </cfRule>
    <cfRule type="cellIs" dxfId="166" priority="6" operator="equal">
      <formula>"Homing"</formula>
    </cfRule>
    <cfRule type="cellIs" dxfId="165" priority="7" operator="equal">
      <formula>"Rez"</formula>
    </cfRule>
    <cfRule type="cellIs" dxfId="164" priority="8" operator="equal">
      <formula>"C-mix"</formula>
    </cfRule>
    <cfRule type="cellIs" dxfId="163" priority="9" operator="equal">
      <formula>"Bar"</formula>
    </cfRule>
    <cfRule type="cellIs" dxfId="162" priority="10" operator="equal">
      <formula>"Entry"</formula>
    </cfRule>
    <cfRule type="cellIs" dxfId="161" priority="11" operator="equal">
      <formula>"Set up"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33D4-527D-417A-8436-92A4810C39DE}">
  <dimension ref="A2:AA201"/>
  <sheetViews>
    <sheetView topLeftCell="C1" zoomScale="70" zoomScaleNormal="70" workbookViewId="0">
      <selection activeCell="M16" sqref="M16"/>
    </sheetView>
  </sheetViews>
  <sheetFormatPr baseColWidth="10" defaultRowHeight="14.4" x14ac:dyDescent="0.55000000000000004"/>
  <cols>
    <col min="1" max="1" width="10.9453125" style="102"/>
    <col min="2" max="2" width="10.9453125" style="104"/>
    <col min="3" max="9" width="10.9453125" style="102"/>
    <col min="10" max="10" width="14.9453125" style="104" bestFit="1" customWidth="1"/>
    <col min="11" max="16384" width="10.9453125" style="102"/>
  </cols>
  <sheetData>
    <row r="2" spans="2:27" x14ac:dyDescent="0.55000000000000004">
      <c r="B2" s="104" t="s">
        <v>116</v>
      </c>
      <c r="C2" s="102" t="s">
        <v>92</v>
      </c>
      <c r="D2" s="102" t="s">
        <v>93</v>
      </c>
      <c r="E2" s="102" t="s">
        <v>94</v>
      </c>
      <c r="F2" s="102" t="s">
        <v>95</v>
      </c>
      <c r="G2" s="102" t="s">
        <v>96</v>
      </c>
      <c r="H2" s="102" t="s">
        <v>97</v>
      </c>
      <c r="J2" s="104" t="s">
        <v>128</v>
      </c>
      <c r="K2" s="102" t="s">
        <v>92</v>
      </c>
      <c r="L2" s="102" t="s">
        <v>93</v>
      </c>
      <c r="M2" s="102" t="s">
        <v>94</v>
      </c>
      <c r="N2" s="102" t="s">
        <v>95</v>
      </c>
      <c r="O2" s="102" t="s">
        <v>96</v>
      </c>
      <c r="P2" s="102" t="s">
        <v>97</v>
      </c>
      <c r="Q2" s="102" t="s">
        <v>129</v>
      </c>
      <c r="T2" s="104" t="s">
        <v>128</v>
      </c>
      <c r="U2" s="102" t="s">
        <v>92</v>
      </c>
      <c r="V2" s="102" t="s">
        <v>93</v>
      </c>
      <c r="W2" s="102" t="s">
        <v>94</v>
      </c>
      <c r="X2" s="102" t="s">
        <v>95</v>
      </c>
      <c r="Y2" s="102" t="s">
        <v>96</v>
      </c>
      <c r="Z2" s="102" t="s">
        <v>97</v>
      </c>
    </row>
    <row r="3" spans="2:27" x14ac:dyDescent="0.55000000000000004">
      <c r="B3" s="104" t="s">
        <v>46</v>
      </c>
      <c r="C3" s="54">
        <v>0</v>
      </c>
      <c r="D3" s="54">
        <v>0</v>
      </c>
      <c r="E3" s="54">
        <v>0</v>
      </c>
      <c r="F3" s="54">
        <v>0</v>
      </c>
      <c r="G3" s="54">
        <v>1</v>
      </c>
      <c r="H3" s="54">
        <v>0</v>
      </c>
      <c r="J3" s="104" t="s">
        <v>46</v>
      </c>
      <c r="K3" s="53">
        <v>1</v>
      </c>
      <c r="L3" s="54">
        <v>1</v>
      </c>
      <c r="M3" s="54">
        <v>1</v>
      </c>
      <c r="N3" s="54">
        <v>1</v>
      </c>
      <c r="O3" s="54">
        <v>1</v>
      </c>
      <c r="P3" s="54">
        <v>0</v>
      </c>
      <c r="Q3" s="102">
        <f>SUM(K3:P3)</f>
        <v>5</v>
      </c>
      <c r="T3" s="104" t="s">
        <v>46</v>
      </c>
      <c r="U3" s="54" t="e" cm="1">
        <f t="array" ref="U3">IF(K3=0,"",_xlfn.IFS(C3=1,"Setup",C15=1,"Entry",C26=1,"Bar",#REF!=1,""))</f>
        <v>#REF!</v>
      </c>
      <c r="V3" s="54" t="e" cm="1">
        <f t="array" ref="V3">IF(L3=0,"",_xlfn.IFS(D3=1,"Setup",D15=1,"Entry",D26=1,"Bar",#REF!=1,""))</f>
        <v>#REF!</v>
      </c>
      <c r="W3" s="54" t="str" cm="1">
        <f t="array" ref="W3">IF(M3=0,"",_xlfn.IFS(E3=1,"Setup",E15=1,"Entry",E26=1,"Bar",#REF!=1,""))</f>
        <v>Entry</v>
      </c>
      <c r="X3" s="54" t="str" cm="1">
        <f t="array" ref="X3">IF(N3=0,"",_xlfn.IFS(F3=1,"Setup",F15=1,"Entry",F26=1,"Bar",#REF!=1,""))</f>
        <v>Bar</v>
      </c>
      <c r="Y3" s="54" t="str" cm="1">
        <f t="array" ref="Y3">IF(O3=0,"",_xlfn.IFS(G3=1,"Setup",G15=1,"Entry",G26=1,"Bar",#REF!=1,""))</f>
        <v>Setup</v>
      </c>
      <c r="Z3" s="54" t="str" cm="1">
        <f t="array" ref="Z3">IF(P3=0,"",_xlfn.IFS(H3=1,"Setup",H15=1,"Entry",H26=1,"Bar",#REF!=1,""))</f>
        <v/>
      </c>
      <c r="AA3" s="102">
        <f>SUM(C3:H3)+SUM(C15:H15)+SUM(C26:H26)</f>
        <v>3</v>
      </c>
    </row>
    <row r="4" spans="2:27" ht="14.7" thickBot="1" x14ac:dyDescent="0.6">
      <c r="B4" s="104" t="s">
        <v>47</v>
      </c>
      <c r="C4" s="54">
        <v>0</v>
      </c>
      <c r="D4" s="54">
        <v>0</v>
      </c>
      <c r="E4" s="54">
        <v>0</v>
      </c>
      <c r="F4" s="54">
        <v>0</v>
      </c>
      <c r="G4" s="54">
        <v>0</v>
      </c>
      <c r="H4" s="54">
        <v>0</v>
      </c>
      <c r="J4" s="104" t="s">
        <v>47</v>
      </c>
      <c r="K4" s="53">
        <v>1</v>
      </c>
      <c r="L4" s="53">
        <v>1</v>
      </c>
      <c r="M4" s="54">
        <v>1</v>
      </c>
      <c r="N4" s="54">
        <v>1</v>
      </c>
      <c r="O4" s="54">
        <v>1</v>
      </c>
      <c r="P4" s="54">
        <v>0</v>
      </c>
      <c r="Q4" s="102">
        <f t="shared" ref="Q4:Q8" si="0">SUM(K4:P4)</f>
        <v>5</v>
      </c>
      <c r="T4" s="104" t="s">
        <v>47</v>
      </c>
      <c r="U4" s="54" t="e" cm="1">
        <f t="array" ref="U4">IF(K4=0,"",_xlfn.IFS(C4=1,"Setup",C16=1,"Entry",C27=1,"Bar",#REF!=1,""))</f>
        <v>#REF!</v>
      </c>
      <c r="V4" s="54" t="e" cm="1">
        <f t="array" ref="V4">IF(L4=0,"",_xlfn.IFS(D4=1,"Setup",D16=1,"Entry",D27=1,"Bar",#REF!=1,""))</f>
        <v>#REF!</v>
      </c>
      <c r="W4" s="54" t="e" cm="1">
        <f t="array" ref="W4">IF(M4=0,"",_xlfn.IFS(E4=1,"Setup",E16=1,"Entry",E27=1,"Bar",#REF!=1,""))</f>
        <v>#REF!</v>
      </c>
      <c r="X4" s="54" t="e" cm="1">
        <f t="array" ref="X4">IF(N4=0,"",_xlfn.IFS(F4=1,"Setup",F16=1,"Entry",F27=1,"Bar",#REF!=1,""))</f>
        <v>#REF!</v>
      </c>
      <c r="Y4" s="54" t="e" cm="1">
        <f t="array" ref="Y4">IF(O4=0,"",_xlfn.IFS(G4=1,"Setup",G16=1,"Entry",G27=1,"Bar",#REF!=1,""))</f>
        <v>#REF!</v>
      </c>
      <c r="Z4" s="54" t="str" cm="1">
        <f t="array" ref="Z4">IF(P4=0,"",_xlfn.IFS(H4=1,"Setup",H16=1,"Entry",H27=1,"Bar",#REF!=1,""))</f>
        <v/>
      </c>
      <c r="AA4" s="102">
        <f t="shared" ref="AA4:AA9" si="1">SUM(C4:H4)+SUM(C16:H16)+SUM(C27:H27)</f>
        <v>0</v>
      </c>
    </row>
    <row r="5" spans="2:27" ht="14.7" thickBot="1" x14ac:dyDescent="0.6">
      <c r="B5" s="104" t="s">
        <v>48</v>
      </c>
      <c r="C5" s="54">
        <v>0</v>
      </c>
      <c r="D5" s="54">
        <v>0</v>
      </c>
      <c r="E5" s="54">
        <v>1</v>
      </c>
      <c r="F5" s="54">
        <v>0</v>
      </c>
      <c r="G5" s="54">
        <v>0</v>
      </c>
      <c r="H5" s="54">
        <v>0</v>
      </c>
      <c r="J5" s="104" t="s">
        <v>48</v>
      </c>
      <c r="K5" s="47">
        <v>1</v>
      </c>
      <c r="L5" s="53">
        <v>1</v>
      </c>
      <c r="M5" s="53">
        <v>1</v>
      </c>
      <c r="N5" s="54">
        <v>1</v>
      </c>
      <c r="O5" s="54">
        <v>1</v>
      </c>
      <c r="P5" s="54">
        <v>0</v>
      </c>
      <c r="Q5" s="102">
        <f t="shared" si="0"/>
        <v>5</v>
      </c>
      <c r="T5" s="104" t="s">
        <v>48</v>
      </c>
      <c r="U5" s="54" t="e" cm="1">
        <f t="array" ref="U5">IF(K5=0,"",_xlfn.IFS(C5=1,"Setup",C17=1,"Entry",C28=1,"Bar",#REF!=1,""))</f>
        <v>#REF!</v>
      </c>
      <c r="V5" s="54" t="e" cm="1">
        <f t="array" ref="V5">IF(L5=0,"",_xlfn.IFS(D5=1,"Setup",D17=1,"Entry",D28=1,"Bar",#REF!=1,""))</f>
        <v>#REF!</v>
      </c>
      <c r="W5" s="54" t="str" cm="1">
        <f t="array" ref="W5">IF(M5=0,"",_xlfn.IFS(E5=1,"Setup",E17=1,"Entry",E28=1,"Bar",#REF!=1,""))</f>
        <v>Setup</v>
      </c>
      <c r="X5" s="54" t="str" cm="1">
        <f t="array" ref="X5">IF(N5=0,"",_xlfn.IFS(F5=1,"Setup",F17=1,"Entry",F28=1,"Bar",#REF!=1,""))</f>
        <v>Entry</v>
      </c>
      <c r="Y5" s="54" t="str" cm="1">
        <f t="array" ref="Y5">IF(O5=0,"",_xlfn.IFS(G5=1,"Setup",G17=1,"Entry",G28=1,"Bar",#REF!=1,""))</f>
        <v>Bar</v>
      </c>
      <c r="Z5" s="54" t="str" cm="1">
        <f t="array" ref="Z5">IF(P5=0,"",_xlfn.IFS(H5=1,"Setup",H17=1,"Entry",H28=1,"Bar",#REF!=1,""))</f>
        <v/>
      </c>
      <c r="AA5" s="102">
        <f t="shared" si="1"/>
        <v>3</v>
      </c>
    </row>
    <row r="6" spans="2:27" x14ac:dyDescent="0.55000000000000004">
      <c r="B6" s="104" t="s">
        <v>49</v>
      </c>
      <c r="C6" s="54">
        <v>0</v>
      </c>
      <c r="D6" s="54">
        <v>0</v>
      </c>
      <c r="E6" s="54">
        <v>0</v>
      </c>
      <c r="F6" s="54">
        <v>1</v>
      </c>
      <c r="G6" s="54">
        <v>0</v>
      </c>
      <c r="H6" s="54">
        <v>0</v>
      </c>
      <c r="J6" s="104" t="s">
        <v>49</v>
      </c>
      <c r="K6" s="47">
        <v>1</v>
      </c>
      <c r="L6" s="53">
        <v>1</v>
      </c>
      <c r="M6" s="53">
        <v>1</v>
      </c>
      <c r="N6" s="54">
        <v>1</v>
      </c>
      <c r="O6" s="54">
        <v>1</v>
      </c>
      <c r="P6" s="54">
        <v>0</v>
      </c>
      <c r="Q6" s="102">
        <f t="shared" si="0"/>
        <v>5</v>
      </c>
      <c r="T6" s="104" t="s">
        <v>49</v>
      </c>
      <c r="U6" s="54" t="e" cm="1">
        <f t="array" ref="U6">IF(K6=0,"",_xlfn.IFS(C6=1,"Setup",C18=1,"Entry",C29=1,"Bar",#REF!=1,""))</f>
        <v>#REF!</v>
      </c>
      <c r="V6" s="54" t="e" cm="1">
        <f t="array" ref="V6">IF(L6=0,"",_xlfn.IFS(D6=1,"Setup",D18=1,"Entry",D29=1,"Bar",#REF!=1,""))</f>
        <v>#REF!</v>
      </c>
      <c r="W6" s="54" t="str" cm="1">
        <f t="array" ref="W6">IF(M6=0,"",_xlfn.IFS(E6=1,"Setup",E18=1,"Entry",E29=1,"Bar",#REF!=1,""))</f>
        <v>Bar</v>
      </c>
      <c r="X6" s="54" t="str" cm="1">
        <f t="array" ref="X6">IF(N6=0,"",_xlfn.IFS(F6=1,"Setup",F18=1,"Entry",F29=1,"Bar",#REF!=1,""))</f>
        <v>Setup</v>
      </c>
      <c r="Y6" s="54" t="str" cm="1">
        <f t="array" ref="Y6">IF(O6=0,"",_xlfn.IFS(G6=1,"Setup",G18=1,"Entry",G29=1,"Bar",#REF!=1,""))</f>
        <v>Entry</v>
      </c>
      <c r="Z6" s="54" t="str" cm="1">
        <f t="array" ref="Z6">IF(P6=0,"",_xlfn.IFS(H6=1,"Setup",H18=1,"Entry",H29=1,"Bar",#REF!=1,""))</f>
        <v/>
      </c>
      <c r="AA6" s="102">
        <f t="shared" si="1"/>
        <v>3</v>
      </c>
    </row>
    <row r="7" spans="2:27" x14ac:dyDescent="0.55000000000000004">
      <c r="B7" s="104" t="s">
        <v>50</v>
      </c>
      <c r="C7" s="54">
        <v>0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J7" s="104" t="s">
        <v>50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102">
        <f t="shared" si="0"/>
        <v>0</v>
      </c>
      <c r="T7" s="104" t="s">
        <v>50</v>
      </c>
      <c r="U7" s="54" t="str" cm="1">
        <f t="array" ref="U7">IF(K7=0,"",_xlfn.IFS(C7=1,"Setup",C19=1,"Entry",C30=1,"Bar",#REF!=1,""))</f>
        <v/>
      </c>
      <c r="V7" s="54" t="str" cm="1">
        <f t="array" ref="V7">IF(L7=0,"",_xlfn.IFS(D7=1,"Setup",D19=1,"Entry",D30=1,"Bar",#REF!=1,""))</f>
        <v/>
      </c>
      <c r="W7" s="54" t="str" cm="1">
        <f t="array" ref="W7">IF(M7=0,"",_xlfn.IFS(E7=1,"Setup",E19=1,"Entry",E30=1,"Bar",#REF!=1,""))</f>
        <v/>
      </c>
      <c r="X7" s="54" t="str" cm="1">
        <f t="array" ref="X7">IF(N7=0,"",_xlfn.IFS(F7=1,"Setup",F19=1,"Entry",F30=1,"Bar",#REF!=1,""))</f>
        <v/>
      </c>
      <c r="Y7" s="54" t="str" cm="1">
        <f t="array" ref="Y7">IF(O7=0,"",_xlfn.IFS(G7=1,"Setup",G19=1,"Entry",G30=1,"Bar",#REF!=1,""))</f>
        <v/>
      </c>
      <c r="Z7" s="54" t="str" cm="1">
        <f t="array" ref="Z7">IF(P7=0,"",_xlfn.IFS(H7=1,"Setup",H19=1,"Entry",H30=1,"Bar",#REF!=1,""))</f>
        <v/>
      </c>
      <c r="AA7" s="102">
        <f t="shared" si="1"/>
        <v>0</v>
      </c>
    </row>
    <row r="8" spans="2:27" x14ac:dyDescent="0.55000000000000004">
      <c r="B8" s="104" t="s">
        <v>51</v>
      </c>
      <c r="C8" s="54">
        <v>0</v>
      </c>
      <c r="D8" s="54">
        <v>0</v>
      </c>
      <c r="E8" s="54">
        <v>0</v>
      </c>
      <c r="F8" s="54">
        <v>0</v>
      </c>
      <c r="G8" s="54">
        <v>0</v>
      </c>
      <c r="H8" s="54">
        <v>0</v>
      </c>
      <c r="J8" s="104" t="s">
        <v>51</v>
      </c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3">
        <v>0</v>
      </c>
      <c r="Q8" s="102">
        <f t="shared" si="0"/>
        <v>0</v>
      </c>
      <c r="T8" s="104" t="s">
        <v>51</v>
      </c>
      <c r="U8" s="54" t="str" cm="1">
        <f t="array" ref="U8">IF(K8=0,"",_xlfn.IFS(C8=1,"Setup",C20=1,"Entry",C31=1,"Bar",#REF!=1,""))</f>
        <v/>
      </c>
      <c r="V8" s="54" t="str" cm="1">
        <f t="array" ref="V8">IF(L8=0,"",_xlfn.IFS(D8=1,"Setup",D20=1,"Entry",D31=1,"Bar",#REF!=1,""))</f>
        <v/>
      </c>
      <c r="W8" s="54" t="str" cm="1">
        <f t="array" ref="W8">IF(M8=0,"",_xlfn.IFS(E8=1,"Setup",E20=1,"Entry",E31=1,"Bar",#REF!=1,""))</f>
        <v/>
      </c>
      <c r="X8" s="54" t="str" cm="1">
        <f t="array" ref="X8">IF(N8=0,"",_xlfn.IFS(F8=1,"Setup",F20=1,"Entry",F31=1,"Bar",#REF!=1,""))</f>
        <v/>
      </c>
      <c r="Y8" s="54" t="str" cm="1">
        <f t="array" ref="Y8">IF(O8=0,"",_xlfn.IFS(G8=1,"Setup",G20=1,"Entry",G31=1,"Bar",#REF!=1,""))</f>
        <v/>
      </c>
      <c r="Z8" s="54" t="str" cm="1">
        <f t="array" ref="Z8">IF(P8=0,"",_xlfn.IFS(H8=1,"Setup",H20=1,"Entry",H31=1,"Bar",#REF!=1,""))</f>
        <v/>
      </c>
      <c r="AA8" s="102">
        <f t="shared" si="1"/>
        <v>0</v>
      </c>
    </row>
    <row r="9" spans="2:27" x14ac:dyDescent="0.55000000000000004">
      <c r="B9" s="104" t="s">
        <v>52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J9" s="104" t="s">
        <v>52</v>
      </c>
      <c r="K9" s="53">
        <v>0</v>
      </c>
      <c r="L9" s="53">
        <v>0</v>
      </c>
      <c r="M9" s="53">
        <v>0</v>
      </c>
      <c r="N9" s="53">
        <v>0</v>
      </c>
      <c r="O9" s="53">
        <v>0</v>
      </c>
      <c r="P9" s="53">
        <v>0</v>
      </c>
      <c r="Q9" s="102">
        <f>SUM(K9:P9)</f>
        <v>0</v>
      </c>
      <c r="T9" s="104" t="s">
        <v>52</v>
      </c>
      <c r="U9" s="54" t="str" cm="1">
        <f t="array" ref="U9">IF(K9=0,"",_xlfn.IFS(C9=1,"Setup",C21=1,"Entry",C32=1,"Bar",#REF!=1,""))</f>
        <v/>
      </c>
      <c r="V9" s="54" t="str" cm="1">
        <f t="array" ref="V9">IF(L9=0,"",_xlfn.IFS(D9=1,"Setup",D21=1,"Entry",D32=1,"Bar",#REF!=1,""))</f>
        <v/>
      </c>
      <c r="W9" s="54" t="str" cm="1">
        <f t="array" ref="W9">IF(M9=0,"",_xlfn.IFS(E9=1,"Setup",E21=1,"Entry",E32=1,"Bar",#REF!=1,""))</f>
        <v/>
      </c>
      <c r="X9" s="54" t="str" cm="1">
        <f t="array" ref="X9">IF(N9=0,"",_xlfn.IFS(F9=1,"Setup",F21=1,"Entry",F32=1,"Bar",#REF!=1,""))</f>
        <v/>
      </c>
      <c r="Y9" s="54" t="str" cm="1">
        <f t="array" ref="Y9">IF(O9=0,"",_xlfn.IFS(G9=1,"Setup",G21=1,"Entry",G32=1,"Bar",#REF!=1,""))</f>
        <v/>
      </c>
      <c r="Z9" s="54" t="str" cm="1">
        <f t="array" ref="Z9">IF(P9=0,"",_xlfn.IFS(H9=1,"Setup",H21=1,"Entry",H32=1,"Bar",#REF!=1,""))</f>
        <v/>
      </c>
      <c r="AA9" s="102">
        <f t="shared" si="1"/>
        <v>0</v>
      </c>
    </row>
    <row r="10" spans="2:27" x14ac:dyDescent="0.55000000000000004">
      <c r="J10" s="104" t="s">
        <v>130</v>
      </c>
      <c r="K10" s="102">
        <f>SUM(K3:K9)</f>
        <v>4</v>
      </c>
      <c r="L10" s="102">
        <f t="shared" ref="L10:O10" si="2">SUM(L3:L9)</f>
        <v>4</v>
      </c>
      <c r="M10" s="102">
        <f t="shared" si="2"/>
        <v>4</v>
      </c>
      <c r="N10" s="102">
        <f t="shared" si="2"/>
        <v>4</v>
      </c>
      <c r="O10" s="102">
        <f t="shared" si="2"/>
        <v>4</v>
      </c>
      <c r="P10" s="102">
        <f>SUM(P3:P9)</f>
        <v>0</v>
      </c>
      <c r="T10" s="104"/>
    </row>
    <row r="13" spans="2:27" x14ac:dyDescent="0.55000000000000004">
      <c r="J13" s="104" t="s">
        <v>137</v>
      </c>
    </row>
    <row r="14" spans="2:27" x14ac:dyDescent="0.55000000000000004">
      <c r="B14" s="104" t="s">
        <v>35</v>
      </c>
      <c r="C14" s="102" t="s">
        <v>92</v>
      </c>
      <c r="D14" s="102" t="s">
        <v>93</v>
      </c>
      <c r="E14" s="102" t="s">
        <v>94</v>
      </c>
      <c r="F14" s="102" t="s">
        <v>95</v>
      </c>
      <c r="G14" s="102" t="s">
        <v>96</v>
      </c>
      <c r="H14" s="102" t="s">
        <v>97</v>
      </c>
      <c r="K14" s="102" t="s">
        <v>92</v>
      </c>
      <c r="L14" s="102" t="s">
        <v>93</v>
      </c>
      <c r="M14" s="102" t="s">
        <v>94</v>
      </c>
      <c r="N14" s="102" t="s">
        <v>95</v>
      </c>
      <c r="O14" s="102" t="s">
        <v>96</v>
      </c>
      <c r="P14" s="102" t="s">
        <v>97</v>
      </c>
    </row>
    <row r="15" spans="2:27" x14ac:dyDescent="0.55000000000000004">
      <c r="B15" s="104" t="s">
        <v>46</v>
      </c>
      <c r="C15" s="54">
        <v>0</v>
      </c>
      <c r="D15" s="54">
        <v>0</v>
      </c>
      <c r="E15" s="54">
        <v>1</v>
      </c>
      <c r="F15" s="54">
        <v>0</v>
      </c>
      <c r="G15" s="54">
        <v>0</v>
      </c>
      <c r="H15" s="54">
        <v>0</v>
      </c>
      <c r="J15" s="104" t="s">
        <v>116</v>
      </c>
      <c r="K15" s="71">
        <v>0</v>
      </c>
      <c r="L15" s="71">
        <v>0</v>
      </c>
      <c r="M15" s="71">
        <v>1</v>
      </c>
      <c r="N15" s="71">
        <v>1</v>
      </c>
      <c r="O15" s="71">
        <v>1</v>
      </c>
      <c r="P15" s="71">
        <v>0</v>
      </c>
    </row>
    <row r="16" spans="2:27" x14ac:dyDescent="0.55000000000000004">
      <c r="B16" s="104" t="s">
        <v>47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J16" s="104" t="s">
        <v>35</v>
      </c>
      <c r="K16" s="71">
        <v>0</v>
      </c>
      <c r="L16" s="71">
        <v>0</v>
      </c>
      <c r="M16" s="71">
        <v>1</v>
      </c>
      <c r="N16" s="71">
        <v>1</v>
      </c>
      <c r="O16" s="71">
        <v>1</v>
      </c>
      <c r="P16" s="71">
        <v>0</v>
      </c>
    </row>
    <row r="17" spans="2:16" x14ac:dyDescent="0.55000000000000004">
      <c r="B17" s="104" t="s">
        <v>48</v>
      </c>
      <c r="C17" s="54">
        <v>0</v>
      </c>
      <c r="D17" s="54">
        <v>0</v>
      </c>
      <c r="E17" s="54">
        <v>0</v>
      </c>
      <c r="F17" s="54">
        <v>1</v>
      </c>
      <c r="G17" s="54">
        <v>0</v>
      </c>
      <c r="H17" s="54">
        <v>0</v>
      </c>
      <c r="J17" s="104" t="s">
        <v>36</v>
      </c>
      <c r="K17" s="71">
        <v>0</v>
      </c>
      <c r="L17" s="71">
        <v>0</v>
      </c>
      <c r="M17" s="71">
        <v>1</v>
      </c>
      <c r="N17" s="71">
        <v>1</v>
      </c>
      <c r="O17" s="71">
        <v>1</v>
      </c>
      <c r="P17" s="71">
        <v>0</v>
      </c>
    </row>
    <row r="18" spans="2:16" x14ac:dyDescent="0.55000000000000004">
      <c r="B18" s="104" t="s">
        <v>49</v>
      </c>
      <c r="C18" s="54">
        <v>0</v>
      </c>
      <c r="D18" s="54">
        <v>0</v>
      </c>
      <c r="E18" s="54">
        <v>0</v>
      </c>
      <c r="F18" s="54">
        <v>0</v>
      </c>
      <c r="G18" s="54">
        <v>1</v>
      </c>
      <c r="H18" s="54">
        <v>0</v>
      </c>
    </row>
    <row r="19" spans="2:16" x14ac:dyDescent="0.55000000000000004">
      <c r="B19" s="104" t="s">
        <v>50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</row>
    <row r="20" spans="2:16" x14ac:dyDescent="0.55000000000000004">
      <c r="B20" s="104" t="s">
        <v>51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</row>
    <row r="21" spans="2:16" x14ac:dyDescent="0.55000000000000004">
      <c r="B21" s="104" t="s">
        <v>52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</row>
    <row r="25" spans="2:16" x14ac:dyDescent="0.55000000000000004">
      <c r="B25" s="104" t="s">
        <v>36</v>
      </c>
      <c r="C25" s="102" t="s">
        <v>92</v>
      </c>
      <c r="D25" s="102" t="s">
        <v>93</v>
      </c>
      <c r="E25" s="102" t="s">
        <v>94</v>
      </c>
      <c r="F25" s="102" t="s">
        <v>95</v>
      </c>
      <c r="G25" s="102" t="s">
        <v>96</v>
      </c>
      <c r="H25" s="102" t="s">
        <v>97</v>
      </c>
    </row>
    <row r="26" spans="2:16" x14ac:dyDescent="0.55000000000000004">
      <c r="B26" s="104" t="s">
        <v>46</v>
      </c>
      <c r="C26" s="54">
        <v>0</v>
      </c>
      <c r="D26" s="54">
        <v>0</v>
      </c>
      <c r="E26" s="54">
        <v>0</v>
      </c>
      <c r="F26" s="54">
        <v>1</v>
      </c>
      <c r="G26" s="54">
        <v>0</v>
      </c>
      <c r="H26" s="54">
        <v>0</v>
      </c>
      <c r="J26" s="104" t="s">
        <v>140</v>
      </c>
    </row>
    <row r="27" spans="2:16" x14ac:dyDescent="0.55000000000000004">
      <c r="B27" s="104" t="s">
        <v>47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K27" s="102" t="s">
        <v>116</v>
      </c>
      <c r="L27" s="102" t="s">
        <v>35</v>
      </c>
      <c r="M27" s="102" t="s">
        <v>36</v>
      </c>
    </row>
    <row r="28" spans="2:16" x14ac:dyDescent="0.55000000000000004">
      <c r="B28" s="104" t="s">
        <v>48</v>
      </c>
      <c r="C28" s="54">
        <v>0</v>
      </c>
      <c r="D28" s="54">
        <v>0</v>
      </c>
      <c r="E28" s="54">
        <v>0</v>
      </c>
      <c r="F28" s="54">
        <v>0</v>
      </c>
      <c r="G28" s="54">
        <v>1</v>
      </c>
      <c r="H28" s="54">
        <v>0</v>
      </c>
      <c r="J28" s="104" t="s">
        <v>46</v>
      </c>
      <c r="K28" s="54">
        <v>1</v>
      </c>
      <c r="L28" s="54">
        <v>1</v>
      </c>
      <c r="M28" s="54">
        <v>1</v>
      </c>
    </row>
    <row r="29" spans="2:16" x14ac:dyDescent="0.55000000000000004">
      <c r="B29" s="104" t="s">
        <v>49</v>
      </c>
      <c r="C29" s="54">
        <v>0</v>
      </c>
      <c r="D29" s="54">
        <v>0</v>
      </c>
      <c r="E29" s="54">
        <v>1</v>
      </c>
      <c r="F29" s="54">
        <v>0</v>
      </c>
      <c r="G29" s="54">
        <v>0</v>
      </c>
      <c r="H29" s="54">
        <v>0</v>
      </c>
      <c r="J29" s="104" t="s">
        <v>47</v>
      </c>
      <c r="K29" s="54">
        <v>1</v>
      </c>
      <c r="L29" s="54">
        <v>1</v>
      </c>
      <c r="M29" s="54">
        <v>1</v>
      </c>
    </row>
    <row r="30" spans="2:16" x14ac:dyDescent="0.55000000000000004">
      <c r="B30" s="104" t="s">
        <v>50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J30" s="104" t="s">
        <v>48</v>
      </c>
      <c r="K30" s="54">
        <v>1</v>
      </c>
      <c r="L30" s="54">
        <v>1</v>
      </c>
      <c r="M30" s="54">
        <v>1</v>
      </c>
    </row>
    <row r="31" spans="2:16" x14ac:dyDescent="0.55000000000000004">
      <c r="B31" s="104" t="s">
        <v>51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J31" s="104" t="s">
        <v>49</v>
      </c>
      <c r="K31" s="54">
        <v>1</v>
      </c>
      <c r="L31" s="54">
        <v>1</v>
      </c>
      <c r="M31" s="54">
        <v>1</v>
      </c>
    </row>
    <row r="32" spans="2:16" x14ac:dyDescent="0.55000000000000004">
      <c r="B32" s="104" t="s">
        <v>52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J32" s="104" t="s">
        <v>50</v>
      </c>
      <c r="K32" s="54">
        <v>1</v>
      </c>
      <c r="L32" s="54">
        <v>1</v>
      </c>
      <c r="M32" s="54">
        <v>1</v>
      </c>
    </row>
    <row r="33" spans="2:16" x14ac:dyDescent="0.55000000000000004">
      <c r="J33" s="104" t="s">
        <v>51</v>
      </c>
      <c r="K33" s="54">
        <v>1</v>
      </c>
      <c r="L33" s="54">
        <v>1</v>
      </c>
      <c r="M33" s="54">
        <v>1</v>
      </c>
    </row>
    <row r="34" spans="2:16" x14ac:dyDescent="0.55000000000000004">
      <c r="J34" s="104" t="s">
        <v>52</v>
      </c>
      <c r="K34" s="54">
        <v>1</v>
      </c>
      <c r="L34" s="54">
        <v>1</v>
      </c>
      <c r="M34" s="54">
        <v>1</v>
      </c>
    </row>
    <row r="35" spans="2:16" x14ac:dyDescent="0.55000000000000004">
      <c r="B35" s="104" t="s">
        <v>135</v>
      </c>
    </row>
    <row r="36" spans="2:16" x14ac:dyDescent="0.55000000000000004">
      <c r="C36" s="102" t="str">
        <f>CONCATENATE(K2," - ",L2)</f>
        <v>16h - 17h</v>
      </c>
      <c r="D36" s="102" t="str">
        <f>CONCATENATE(L2," - ",M2)</f>
        <v>17h - 18h</v>
      </c>
      <c r="E36" s="102" t="str">
        <f>CONCATENATE(M2," - ",N2)</f>
        <v>18h - 19h</v>
      </c>
      <c r="F36" s="102" t="str">
        <f>CONCATENATE(N2," - ",O2)</f>
        <v>19h - 20h</v>
      </c>
      <c r="G36" s="102" t="str">
        <f>CONCATENATE(O2," - ",P2)</f>
        <v>20h - 21h</v>
      </c>
      <c r="M36" s="104"/>
    </row>
    <row r="37" spans="2:16" x14ac:dyDescent="0.55000000000000004">
      <c r="B37" s="102" t="s">
        <v>46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</row>
    <row r="38" spans="2:16" x14ac:dyDescent="0.55000000000000004">
      <c r="B38" s="102" t="s">
        <v>47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</row>
    <row r="39" spans="2:16" x14ac:dyDescent="0.55000000000000004">
      <c r="B39" s="102" t="s">
        <v>48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</row>
    <row r="40" spans="2:16" x14ac:dyDescent="0.55000000000000004">
      <c r="B40" s="102" t="s">
        <v>49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</row>
    <row r="41" spans="2:16" x14ac:dyDescent="0.55000000000000004">
      <c r="B41" s="102" t="s">
        <v>50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</row>
    <row r="42" spans="2:16" x14ac:dyDescent="0.55000000000000004">
      <c r="B42" s="102" t="s">
        <v>51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P42" s="104"/>
    </row>
    <row r="43" spans="2:16" x14ac:dyDescent="0.55000000000000004">
      <c r="B43" s="102" t="s">
        <v>52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</row>
    <row r="44" spans="2:16" x14ac:dyDescent="0.55000000000000004">
      <c r="B44" s="102"/>
      <c r="C44" s="54"/>
      <c r="D44" s="54"/>
      <c r="E44" s="54"/>
      <c r="F44" s="54"/>
      <c r="G44" s="54"/>
    </row>
    <row r="45" spans="2:16" x14ac:dyDescent="0.55000000000000004">
      <c r="B45" s="102"/>
      <c r="D45" s="54"/>
      <c r="E45" s="54"/>
      <c r="F45" s="54"/>
      <c r="G45" s="54"/>
    </row>
    <row r="46" spans="2:16" x14ac:dyDescent="0.55000000000000004">
      <c r="B46" s="104" t="s">
        <v>139</v>
      </c>
    </row>
    <row r="47" spans="2:16" x14ac:dyDescent="0.55000000000000004">
      <c r="C47" s="102" t="s">
        <v>92</v>
      </c>
      <c r="D47" s="102" t="s">
        <v>93</v>
      </c>
      <c r="E47" s="102" t="s">
        <v>94</v>
      </c>
      <c r="F47" s="102" t="s">
        <v>95</v>
      </c>
      <c r="G47" s="102" t="s">
        <v>96</v>
      </c>
      <c r="H47" s="104" t="s">
        <v>97</v>
      </c>
    </row>
    <row r="48" spans="2:16" x14ac:dyDescent="0.55000000000000004">
      <c r="B48" s="102" t="s">
        <v>46</v>
      </c>
      <c r="C48" s="54">
        <v>0</v>
      </c>
      <c r="D48" s="54">
        <v>0</v>
      </c>
      <c r="E48" s="54">
        <v>1</v>
      </c>
      <c r="F48" s="54">
        <v>0</v>
      </c>
      <c r="G48" s="54">
        <v>0</v>
      </c>
      <c r="H48" s="54">
        <v>0</v>
      </c>
    </row>
    <row r="49" spans="2:16" x14ac:dyDescent="0.55000000000000004">
      <c r="B49" s="102" t="s">
        <v>47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</row>
    <row r="50" spans="2:16" x14ac:dyDescent="0.55000000000000004">
      <c r="B50" s="102" t="s">
        <v>48</v>
      </c>
      <c r="C50" s="54">
        <v>0</v>
      </c>
      <c r="D50" s="54">
        <v>0</v>
      </c>
      <c r="E50" s="54">
        <v>1</v>
      </c>
      <c r="F50" s="54">
        <v>0</v>
      </c>
      <c r="G50" s="54">
        <v>0</v>
      </c>
      <c r="H50" s="54">
        <v>0</v>
      </c>
    </row>
    <row r="51" spans="2:16" x14ac:dyDescent="0.55000000000000004">
      <c r="B51" s="102" t="s">
        <v>49</v>
      </c>
      <c r="C51" s="54">
        <v>0</v>
      </c>
      <c r="D51" s="54">
        <v>0</v>
      </c>
      <c r="E51" s="54">
        <v>1</v>
      </c>
      <c r="F51" s="54">
        <v>0</v>
      </c>
      <c r="G51" s="54">
        <v>0</v>
      </c>
      <c r="H51" s="54">
        <v>0</v>
      </c>
    </row>
    <row r="52" spans="2:16" x14ac:dyDescent="0.55000000000000004">
      <c r="B52" s="102" t="s">
        <v>50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</row>
    <row r="53" spans="2:16" x14ac:dyDescent="0.55000000000000004">
      <c r="B53" s="102" t="s">
        <v>51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  <c r="H53" s="54">
        <v>0</v>
      </c>
    </row>
    <row r="54" spans="2:16" x14ac:dyDescent="0.55000000000000004">
      <c r="B54" s="102" t="s">
        <v>52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</row>
    <row r="55" spans="2:16" x14ac:dyDescent="0.55000000000000004">
      <c r="B55" s="102"/>
    </row>
    <row r="56" spans="2:16" x14ac:dyDescent="0.55000000000000004">
      <c r="B56" s="102"/>
    </row>
    <row r="57" spans="2:16" x14ac:dyDescent="0.55000000000000004">
      <c r="B57" s="102"/>
    </row>
    <row r="58" spans="2:16" x14ac:dyDescent="0.55000000000000004">
      <c r="B58" s="102"/>
    </row>
    <row r="59" spans="2:16" x14ac:dyDescent="0.55000000000000004">
      <c r="B59" s="104" t="s">
        <v>141</v>
      </c>
    </row>
    <row r="60" spans="2:16" x14ac:dyDescent="0.55000000000000004">
      <c r="C60" s="102" t="s">
        <v>92</v>
      </c>
      <c r="D60" s="102" t="s">
        <v>93</v>
      </c>
      <c r="E60" s="102" t="s">
        <v>94</v>
      </c>
      <c r="F60" s="102" t="s">
        <v>95</v>
      </c>
      <c r="G60" s="102" t="s">
        <v>96</v>
      </c>
      <c r="H60" s="104" t="s">
        <v>97</v>
      </c>
      <c r="J60" s="104" t="s">
        <v>138</v>
      </c>
      <c r="K60" s="102" t="s">
        <v>92</v>
      </c>
      <c r="L60" s="102" t="s">
        <v>93</v>
      </c>
      <c r="M60" s="102" t="s">
        <v>94</v>
      </c>
      <c r="N60" s="102" t="s">
        <v>95</v>
      </c>
      <c r="O60" s="102" t="s">
        <v>96</v>
      </c>
      <c r="P60" s="102" t="s">
        <v>97</v>
      </c>
    </row>
    <row r="61" spans="2:16" x14ac:dyDescent="0.55000000000000004">
      <c r="B61" s="102" t="s">
        <v>46</v>
      </c>
      <c r="C61" s="54">
        <v>1</v>
      </c>
      <c r="D61" s="54">
        <v>1</v>
      </c>
      <c r="E61" s="54">
        <v>0</v>
      </c>
      <c r="F61" s="54">
        <v>0</v>
      </c>
      <c r="G61" s="54">
        <v>0</v>
      </c>
      <c r="H61" s="54">
        <v>0</v>
      </c>
      <c r="J61" s="104" t="s">
        <v>46</v>
      </c>
      <c r="K61" s="53">
        <v>1</v>
      </c>
      <c r="L61" s="53">
        <v>1</v>
      </c>
      <c r="M61" s="53">
        <v>1</v>
      </c>
      <c r="N61" s="53">
        <v>1</v>
      </c>
      <c r="O61" s="53">
        <v>1</v>
      </c>
      <c r="P61" s="53">
        <v>0</v>
      </c>
    </row>
    <row r="62" spans="2:16" x14ac:dyDescent="0.55000000000000004">
      <c r="B62" s="102" t="s">
        <v>47</v>
      </c>
      <c r="C62" s="54">
        <v>1</v>
      </c>
      <c r="D62" s="54">
        <v>1</v>
      </c>
      <c r="E62" s="54">
        <v>1</v>
      </c>
      <c r="F62" s="54">
        <v>1</v>
      </c>
      <c r="G62" s="54">
        <v>1</v>
      </c>
      <c r="H62" s="54">
        <v>0</v>
      </c>
      <c r="J62" s="104" t="s">
        <v>47</v>
      </c>
      <c r="K62" s="53">
        <v>1</v>
      </c>
      <c r="L62" s="53">
        <v>1</v>
      </c>
      <c r="M62" s="53">
        <v>1</v>
      </c>
      <c r="N62" s="53">
        <v>1</v>
      </c>
      <c r="O62" s="53">
        <v>1</v>
      </c>
      <c r="P62" s="53">
        <v>0</v>
      </c>
    </row>
    <row r="63" spans="2:16" x14ac:dyDescent="0.55000000000000004">
      <c r="B63" s="102" t="s">
        <v>48</v>
      </c>
      <c r="C63" s="54">
        <v>1</v>
      </c>
      <c r="D63" s="54">
        <v>1</v>
      </c>
      <c r="E63" s="54">
        <v>0</v>
      </c>
      <c r="F63" s="54">
        <v>0</v>
      </c>
      <c r="G63" s="54">
        <v>0</v>
      </c>
      <c r="H63" s="54">
        <v>0</v>
      </c>
      <c r="J63" s="104" t="s">
        <v>48</v>
      </c>
      <c r="K63" s="53">
        <v>1</v>
      </c>
      <c r="L63" s="53">
        <v>1</v>
      </c>
      <c r="M63" s="53">
        <v>1</v>
      </c>
      <c r="N63" s="53">
        <v>1</v>
      </c>
      <c r="O63" s="53">
        <v>1</v>
      </c>
      <c r="P63" s="53">
        <v>0</v>
      </c>
    </row>
    <row r="64" spans="2:16" x14ac:dyDescent="0.55000000000000004">
      <c r="B64" s="102" t="s">
        <v>49</v>
      </c>
      <c r="C64" s="54">
        <v>1</v>
      </c>
      <c r="D64" s="54">
        <v>1</v>
      </c>
      <c r="E64" s="54">
        <v>0</v>
      </c>
      <c r="F64" s="54">
        <v>0</v>
      </c>
      <c r="G64" s="54">
        <v>0</v>
      </c>
      <c r="H64" s="54">
        <v>0</v>
      </c>
      <c r="J64" s="104" t="s">
        <v>49</v>
      </c>
      <c r="K64" s="53">
        <v>1</v>
      </c>
      <c r="L64" s="53">
        <v>1</v>
      </c>
      <c r="M64" s="53">
        <v>1</v>
      </c>
      <c r="N64" s="53">
        <v>1</v>
      </c>
      <c r="O64" s="53">
        <v>1</v>
      </c>
      <c r="P64" s="53">
        <v>0</v>
      </c>
    </row>
    <row r="65" spans="1:26" x14ac:dyDescent="0.55000000000000004">
      <c r="B65" s="102" t="s">
        <v>50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J65" s="104" t="s">
        <v>50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</row>
    <row r="66" spans="1:26" x14ac:dyDescent="0.55000000000000004">
      <c r="B66" s="102" t="s">
        <v>51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J66" s="104" t="s">
        <v>51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</row>
    <row r="67" spans="1:26" x14ac:dyDescent="0.55000000000000004">
      <c r="B67" s="102" t="s">
        <v>52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J67" s="104" t="s">
        <v>52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</row>
    <row r="70" spans="1:26" x14ac:dyDescent="0.55000000000000004">
      <c r="B70" s="104" t="s">
        <v>134</v>
      </c>
      <c r="C70" s="102">
        <v>3</v>
      </c>
    </row>
    <row r="71" spans="1:26" x14ac:dyDescent="0.55000000000000004">
      <c r="B71" s="104" t="s">
        <v>13</v>
      </c>
      <c r="C71" s="102">
        <v>0</v>
      </c>
      <c r="E71" s="104" t="s">
        <v>108</v>
      </c>
      <c r="G71" s="104">
        <f>100*(C70-C71)+10*SUM(C37:G43)+10*SUM(C48:H54)+100*SUM(C61:H67)</f>
        <v>1430</v>
      </c>
    </row>
    <row r="74" spans="1:26" ht="3.6" customHeight="1" x14ac:dyDescent="0.55000000000000004">
      <c r="A74" s="103"/>
      <c r="B74" s="105"/>
      <c r="C74" s="103"/>
      <c r="D74" s="103"/>
      <c r="E74" s="103"/>
      <c r="F74" s="103"/>
      <c r="G74" s="103"/>
      <c r="H74" s="103"/>
      <c r="I74" s="103"/>
      <c r="J74" s="105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7" spans="1:26" x14ac:dyDescent="0.55000000000000004">
      <c r="B77" s="104" t="s">
        <v>141</v>
      </c>
    </row>
    <row r="78" spans="1:26" x14ac:dyDescent="0.55000000000000004">
      <c r="C78" s="102" t="s">
        <v>92</v>
      </c>
      <c r="D78" s="102" t="s">
        <v>93</v>
      </c>
      <c r="E78" s="102" t="s">
        <v>94</v>
      </c>
      <c r="F78" s="102" t="s">
        <v>95</v>
      </c>
      <c r="G78" s="102" t="s">
        <v>96</v>
      </c>
      <c r="H78" s="104" t="s">
        <v>97</v>
      </c>
      <c r="K78" s="102" t="s">
        <v>92</v>
      </c>
      <c r="L78" s="102" t="s">
        <v>93</v>
      </c>
      <c r="M78" s="102" t="s">
        <v>94</v>
      </c>
      <c r="N78" s="102" t="s">
        <v>95</v>
      </c>
      <c r="O78" s="102" t="s">
        <v>96</v>
      </c>
      <c r="P78" s="102" t="s">
        <v>97</v>
      </c>
    </row>
    <row r="79" spans="1:26" x14ac:dyDescent="0.55000000000000004">
      <c r="B79" s="102" t="s">
        <v>46</v>
      </c>
      <c r="C79" s="54">
        <f t="shared" ref="C79:H85" si="3">C61</f>
        <v>1</v>
      </c>
      <c r="D79" s="54">
        <f t="shared" si="3"/>
        <v>1</v>
      </c>
      <c r="E79" s="54">
        <f t="shared" si="3"/>
        <v>0</v>
      </c>
      <c r="F79" s="54">
        <f t="shared" si="3"/>
        <v>0</v>
      </c>
      <c r="G79" s="54">
        <f t="shared" si="3"/>
        <v>0</v>
      </c>
      <c r="H79" s="54">
        <f t="shared" si="3"/>
        <v>0</v>
      </c>
      <c r="I79" s="28" t="s">
        <v>26</v>
      </c>
      <c r="J79" s="104" t="s">
        <v>46</v>
      </c>
      <c r="K79" s="53">
        <f t="shared" ref="K79:P85" si="4">K61-(C3+C15+C26)</f>
        <v>1</v>
      </c>
      <c r="L79" s="53">
        <f t="shared" si="4"/>
        <v>1</v>
      </c>
      <c r="M79" s="53">
        <f t="shared" si="4"/>
        <v>0</v>
      </c>
      <c r="N79" s="53">
        <f t="shared" si="4"/>
        <v>0</v>
      </c>
      <c r="O79" s="53">
        <f t="shared" si="4"/>
        <v>0</v>
      </c>
      <c r="P79" s="53">
        <f t="shared" si="4"/>
        <v>0</v>
      </c>
    </row>
    <row r="80" spans="1:26" x14ac:dyDescent="0.55000000000000004">
      <c r="B80" s="102" t="s">
        <v>47</v>
      </c>
      <c r="C80" s="54">
        <f t="shared" si="3"/>
        <v>1</v>
      </c>
      <c r="D80" s="54">
        <f t="shared" si="3"/>
        <v>1</v>
      </c>
      <c r="E80" s="54">
        <f t="shared" si="3"/>
        <v>1</v>
      </c>
      <c r="F80" s="54">
        <f t="shared" si="3"/>
        <v>1</v>
      </c>
      <c r="G80" s="54">
        <f t="shared" si="3"/>
        <v>1</v>
      </c>
      <c r="H80" s="54">
        <f t="shared" si="3"/>
        <v>0</v>
      </c>
      <c r="I80" s="28" t="s">
        <v>26</v>
      </c>
      <c r="J80" s="104" t="s">
        <v>47</v>
      </c>
      <c r="K80" s="53">
        <f t="shared" si="4"/>
        <v>1</v>
      </c>
      <c r="L80" s="53">
        <f t="shared" si="4"/>
        <v>1</v>
      </c>
      <c r="M80" s="53">
        <f t="shared" si="4"/>
        <v>1</v>
      </c>
      <c r="N80" s="53">
        <f t="shared" si="4"/>
        <v>1</v>
      </c>
      <c r="O80" s="53">
        <f t="shared" si="4"/>
        <v>1</v>
      </c>
      <c r="P80" s="53">
        <f t="shared" si="4"/>
        <v>0</v>
      </c>
    </row>
    <row r="81" spans="2:16" x14ac:dyDescent="0.55000000000000004">
      <c r="B81" s="102" t="s">
        <v>48</v>
      </c>
      <c r="C81" s="54">
        <f t="shared" si="3"/>
        <v>1</v>
      </c>
      <c r="D81" s="54">
        <f t="shared" si="3"/>
        <v>1</v>
      </c>
      <c r="E81" s="54">
        <f t="shared" si="3"/>
        <v>0</v>
      </c>
      <c r="F81" s="54">
        <f t="shared" si="3"/>
        <v>0</v>
      </c>
      <c r="G81" s="54">
        <f t="shared" si="3"/>
        <v>0</v>
      </c>
      <c r="H81" s="54">
        <f t="shared" si="3"/>
        <v>0</v>
      </c>
      <c r="I81" s="28" t="s">
        <v>26</v>
      </c>
      <c r="J81" s="104" t="s">
        <v>48</v>
      </c>
      <c r="K81" s="53">
        <f t="shared" si="4"/>
        <v>1</v>
      </c>
      <c r="L81" s="53">
        <f t="shared" si="4"/>
        <v>1</v>
      </c>
      <c r="M81" s="53">
        <f t="shared" si="4"/>
        <v>0</v>
      </c>
      <c r="N81" s="53">
        <f t="shared" si="4"/>
        <v>0</v>
      </c>
      <c r="O81" s="53">
        <f t="shared" si="4"/>
        <v>0</v>
      </c>
      <c r="P81" s="53">
        <f t="shared" si="4"/>
        <v>0</v>
      </c>
    </row>
    <row r="82" spans="2:16" x14ac:dyDescent="0.55000000000000004">
      <c r="B82" s="102" t="s">
        <v>49</v>
      </c>
      <c r="C82" s="54">
        <f t="shared" si="3"/>
        <v>1</v>
      </c>
      <c r="D82" s="54">
        <f t="shared" si="3"/>
        <v>1</v>
      </c>
      <c r="E82" s="54">
        <f t="shared" si="3"/>
        <v>0</v>
      </c>
      <c r="F82" s="54">
        <f t="shared" si="3"/>
        <v>0</v>
      </c>
      <c r="G82" s="54">
        <f t="shared" si="3"/>
        <v>0</v>
      </c>
      <c r="H82" s="54">
        <f t="shared" si="3"/>
        <v>0</v>
      </c>
      <c r="I82" s="28" t="s">
        <v>26</v>
      </c>
      <c r="J82" s="104" t="s">
        <v>49</v>
      </c>
      <c r="K82" s="53">
        <f t="shared" si="4"/>
        <v>1</v>
      </c>
      <c r="L82" s="53">
        <f t="shared" si="4"/>
        <v>1</v>
      </c>
      <c r="M82" s="53">
        <f t="shared" si="4"/>
        <v>0</v>
      </c>
      <c r="N82" s="53">
        <f t="shared" si="4"/>
        <v>0</v>
      </c>
      <c r="O82" s="53">
        <f t="shared" si="4"/>
        <v>0</v>
      </c>
      <c r="P82" s="53">
        <f t="shared" si="4"/>
        <v>0</v>
      </c>
    </row>
    <row r="83" spans="2:16" x14ac:dyDescent="0.55000000000000004">
      <c r="B83" s="102" t="s">
        <v>50</v>
      </c>
      <c r="C83" s="54">
        <f t="shared" si="3"/>
        <v>0</v>
      </c>
      <c r="D83" s="54">
        <f t="shared" si="3"/>
        <v>0</v>
      </c>
      <c r="E83" s="54">
        <f t="shared" si="3"/>
        <v>0</v>
      </c>
      <c r="F83" s="54">
        <f t="shared" si="3"/>
        <v>0</v>
      </c>
      <c r="G83" s="54">
        <f t="shared" si="3"/>
        <v>0</v>
      </c>
      <c r="H83" s="54">
        <f t="shared" si="3"/>
        <v>0</v>
      </c>
      <c r="I83" s="28" t="s">
        <v>26</v>
      </c>
      <c r="J83" s="104" t="s">
        <v>50</v>
      </c>
      <c r="K83" s="53">
        <f t="shared" si="4"/>
        <v>0</v>
      </c>
      <c r="L83" s="53">
        <f t="shared" si="4"/>
        <v>0</v>
      </c>
      <c r="M83" s="53">
        <f t="shared" si="4"/>
        <v>0</v>
      </c>
      <c r="N83" s="53">
        <f t="shared" si="4"/>
        <v>0</v>
      </c>
      <c r="O83" s="53">
        <f t="shared" si="4"/>
        <v>0</v>
      </c>
      <c r="P83" s="53">
        <f t="shared" si="4"/>
        <v>0</v>
      </c>
    </row>
    <row r="84" spans="2:16" x14ac:dyDescent="0.55000000000000004">
      <c r="B84" s="102" t="s">
        <v>51</v>
      </c>
      <c r="C84" s="54">
        <f t="shared" si="3"/>
        <v>0</v>
      </c>
      <c r="D84" s="54">
        <f t="shared" si="3"/>
        <v>0</v>
      </c>
      <c r="E84" s="54">
        <f t="shared" si="3"/>
        <v>0</v>
      </c>
      <c r="F84" s="54">
        <f t="shared" si="3"/>
        <v>0</v>
      </c>
      <c r="G84" s="54">
        <f t="shared" si="3"/>
        <v>0</v>
      </c>
      <c r="H84" s="54">
        <f t="shared" si="3"/>
        <v>0</v>
      </c>
      <c r="I84" s="28" t="s">
        <v>26</v>
      </c>
      <c r="J84" s="104" t="s">
        <v>51</v>
      </c>
      <c r="K84" s="53">
        <f t="shared" si="4"/>
        <v>0</v>
      </c>
      <c r="L84" s="53">
        <f t="shared" si="4"/>
        <v>0</v>
      </c>
      <c r="M84" s="53">
        <f t="shared" si="4"/>
        <v>0</v>
      </c>
      <c r="N84" s="53">
        <f t="shared" si="4"/>
        <v>0</v>
      </c>
      <c r="O84" s="53">
        <f t="shared" si="4"/>
        <v>0</v>
      </c>
      <c r="P84" s="53">
        <f t="shared" si="4"/>
        <v>0</v>
      </c>
    </row>
    <row r="85" spans="2:16" x14ac:dyDescent="0.55000000000000004">
      <c r="B85" s="102" t="s">
        <v>52</v>
      </c>
      <c r="C85" s="54">
        <f t="shared" si="3"/>
        <v>0</v>
      </c>
      <c r="D85" s="54">
        <f t="shared" si="3"/>
        <v>0</v>
      </c>
      <c r="E85" s="54">
        <f t="shared" si="3"/>
        <v>0</v>
      </c>
      <c r="F85" s="54">
        <f t="shared" si="3"/>
        <v>0</v>
      </c>
      <c r="G85" s="54">
        <f t="shared" si="3"/>
        <v>0</v>
      </c>
      <c r="H85" s="54">
        <f t="shared" si="3"/>
        <v>0</v>
      </c>
      <c r="I85" s="28" t="s">
        <v>26</v>
      </c>
      <c r="J85" s="104" t="s">
        <v>52</v>
      </c>
      <c r="K85" s="53">
        <f t="shared" si="4"/>
        <v>0</v>
      </c>
      <c r="L85" s="53">
        <f t="shared" si="4"/>
        <v>0</v>
      </c>
      <c r="M85" s="53">
        <f t="shared" si="4"/>
        <v>0</v>
      </c>
      <c r="N85" s="53">
        <f t="shared" si="4"/>
        <v>0</v>
      </c>
      <c r="O85" s="53">
        <f t="shared" si="4"/>
        <v>0</v>
      </c>
      <c r="P85" s="53">
        <f t="shared" si="4"/>
        <v>0</v>
      </c>
    </row>
    <row r="86" spans="2:16" x14ac:dyDescent="0.55000000000000004">
      <c r="B86" s="102"/>
    </row>
    <row r="91" spans="2:16" x14ac:dyDescent="0.55000000000000004">
      <c r="B91" s="16" t="s">
        <v>17</v>
      </c>
    </row>
    <row r="92" spans="2:16" x14ac:dyDescent="0.55000000000000004">
      <c r="B92" s="104" t="s">
        <v>115</v>
      </c>
      <c r="C92" s="102" t="s">
        <v>92</v>
      </c>
      <c r="D92" s="102" t="s">
        <v>93</v>
      </c>
      <c r="E92" s="102" t="s">
        <v>94</v>
      </c>
      <c r="F92" s="102" t="s">
        <v>95</v>
      </c>
      <c r="G92" s="102" t="s">
        <v>96</v>
      </c>
      <c r="H92" s="102" t="s">
        <v>97</v>
      </c>
      <c r="J92" s="104" t="s">
        <v>128</v>
      </c>
      <c r="K92" s="102" t="s">
        <v>92</v>
      </c>
      <c r="L92" s="102" t="s">
        <v>93</v>
      </c>
      <c r="M92" s="102" t="s">
        <v>94</v>
      </c>
      <c r="N92" s="102" t="s">
        <v>95</v>
      </c>
      <c r="O92" s="102" t="s">
        <v>96</v>
      </c>
      <c r="P92" s="102" t="s">
        <v>97</v>
      </c>
    </row>
    <row r="93" spans="2:16" x14ac:dyDescent="0.55000000000000004">
      <c r="B93" s="104" t="s">
        <v>46</v>
      </c>
      <c r="C93" s="102">
        <f>C3+C15+C26</f>
        <v>0</v>
      </c>
      <c r="D93" s="102">
        <f t="shared" ref="D93:H93" si="5">D3+D15+D26</f>
        <v>0</v>
      </c>
      <c r="E93" s="102">
        <f t="shared" si="5"/>
        <v>1</v>
      </c>
      <c r="F93" s="102">
        <f t="shared" si="5"/>
        <v>1</v>
      </c>
      <c r="G93" s="102">
        <f t="shared" si="5"/>
        <v>1</v>
      </c>
      <c r="H93" s="102">
        <f t="shared" si="5"/>
        <v>0</v>
      </c>
      <c r="I93" s="102" t="s">
        <v>20</v>
      </c>
      <c r="J93" s="104" t="s">
        <v>46</v>
      </c>
      <c r="K93" s="102">
        <f t="shared" ref="K93:P99" si="6">K3</f>
        <v>1</v>
      </c>
      <c r="L93" s="102">
        <f t="shared" si="6"/>
        <v>1</v>
      </c>
      <c r="M93" s="102">
        <f t="shared" si="6"/>
        <v>1</v>
      </c>
      <c r="N93" s="102">
        <f t="shared" si="6"/>
        <v>1</v>
      </c>
      <c r="O93" s="102">
        <f t="shared" si="6"/>
        <v>1</v>
      </c>
      <c r="P93" s="102">
        <f t="shared" si="6"/>
        <v>0</v>
      </c>
    </row>
    <row r="94" spans="2:16" x14ac:dyDescent="0.55000000000000004">
      <c r="B94" s="104" t="s">
        <v>47</v>
      </c>
      <c r="C94" s="102">
        <f t="shared" ref="C94:H99" si="7">C4+C16+C27</f>
        <v>0</v>
      </c>
      <c r="D94" s="102">
        <f t="shared" si="7"/>
        <v>0</v>
      </c>
      <c r="E94" s="102">
        <f t="shared" si="7"/>
        <v>0</v>
      </c>
      <c r="F94" s="102">
        <f t="shared" si="7"/>
        <v>0</v>
      </c>
      <c r="G94" s="102">
        <f t="shared" si="7"/>
        <v>0</v>
      </c>
      <c r="H94" s="102">
        <f t="shared" si="7"/>
        <v>0</v>
      </c>
      <c r="I94" s="102" t="s">
        <v>20</v>
      </c>
      <c r="J94" s="104" t="s">
        <v>47</v>
      </c>
      <c r="K94" s="102">
        <f t="shared" si="6"/>
        <v>1</v>
      </c>
      <c r="L94" s="102">
        <f t="shared" si="6"/>
        <v>1</v>
      </c>
      <c r="M94" s="102">
        <f t="shared" si="6"/>
        <v>1</v>
      </c>
      <c r="N94" s="102">
        <f t="shared" si="6"/>
        <v>1</v>
      </c>
      <c r="O94" s="102">
        <f t="shared" si="6"/>
        <v>1</v>
      </c>
      <c r="P94" s="102">
        <f t="shared" si="6"/>
        <v>0</v>
      </c>
    </row>
    <row r="95" spans="2:16" x14ac:dyDescent="0.55000000000000004">
      <c r="B95" s="104" t="s">
        <v>48</v>
      </c>
      <c r="C95" s="102">
        <f t="shared" si="7"/>
        <v>0</v>
      </c>
      <c r="D95" s="102">
        <f t="shared" si="7"/>
        <v>0</v>
      </c>
      <c r="E95" s="102">
        <f t="shared" si="7"/>
        <v>1</v>
      </c>
      <c r="F95" s="102">
        <f t="shared" si="7"/>
        <v>1</v>
      </c>
      <c r="G95" s="102">
        <f t="shared" si="7"/>
        <v>1</v>
      </c>
      <c r="H95" s="102">
        <f t="shared" si="7"/>
        <v>0</v>
      </c>
      <c r="I95" s="102" t="s">
        <v>20</v>
      </c>
      <c r="J95" s="104" t="s">
        <v>48</v>
      </c>
      <c r="K95" s="102">
        <f t="shared" si="6"/>
        <v>1</v>
      </c>
      <c r="L95" s="102">
        <f t="shared" si="6"/>
        <v>1</v>
      </c>
      <c r="M95" s="102">
        <f t="shared" si="6"/>
        <v>1</v>
      </c>
      <c r="N95" s="102">
        <f t="shared" si="6"/>
        <v>1</v>
      </c>
      <c r="O95" s="102">
        <f t="shared" si="6"/>
        <v>1</v>
      </c>
      <c r="P95" s="102">
        <f t="shared" si="6"/>
        <v>0</v>
      </c>
    </row>
    <row r="96" spans="2:16" x14ac:dyDescent="0.55000000000000004">
      <c r="B96" s="104" t="s">
        <v>49</v>
      </c>
      <c r="C96" s="102">
        <f t="shared" si="7"/>
        <v>0</v>
      </c>
      <c r="D96" s="102">
        <f t="shared" si="7"/>
        <v>0</v>
      </c>
      <c r="E96" s="102">
        <f t="shared" si="7"/>
        <v>1</v>
      </c>
      <c r="F96" s="102">
        <f t="shared" si="7"/>
        <v>1</v>
      </c>
      <c r="G96" s="102">
        <f t="shared" si="7"/>
        <v>1</v>
      </c>
      <c r="H96" s="102">
        <f t="shared" si="7"/>
        <v>0</v>
      </c>
      <c r="I96" s="102" t="s">
        <v>20</v>
      </c>
      <c r="J96" s="104" t="s">
        <v>49</v>
      </c>
      <c r="K96" s="102">
        <f t="shared" si="6"/>
        <v>1</v>
      </c>
      <c r="L96" s="102">
        <f t="shared" si="6"/>
        <v>1</v>
      </c>
      <c r="M96" s="102">
        <f t="shared" si="6"/>
        <v>1</v>
      </c>
      <c r="N96" s="102">
        <f t="shared" si="6"/>
        <v>1</v>
      </c>
      <c r="O96" s="102">
        <f t="shared" si="6"/>
        <v>1</v>
      </c>
      <c r="P96" s="102">
        <f t="shared" si="6"/>
        <v>0</v>
      </c>
    </row>
    <row r="97" spans="2:16" x14ac:dyDescent="0.55000000000000004">
      <c r="B97" s="104" t="s">
        <v>50</v>
      </c>
      <c r="C97" s="102">
        <f t="shared" si="7"/>
        <v>0</v>
      </c>
      <c r="D97" s="102">
        <f t="shared" si="7"/>
        <v>0</v>
      </c>
      <c r="E97" s="102">
        <f t="shared" si="7"/>
        <v>0</v>
      </c>
      <c r="F97" s="102">
        <f t="shared" si="7"/>
        <v>0</v>
      </c>
      <c r="G97" s="102">
        <f t="shared" si="7"/>
        <v>0</v>
      </c>
      <c r="H97" s="102">
        <f t="shared" si="7"/>
        <v>0</v>
      </c>
      <c r="I97" s="102" t="s">
        <v>20</v>
      </c>
      <c r="J97" s="104" t="s">
        <v>50</v>
      </c>
      <c r="K97" s="102">
        <f t="shared" si="6"/>
        <v>0</v>
      </c>
      <c r="L97" s="102">
        <f t="shared" si="6"/>
        <v>0</v>
      </c>
      <c r="M97" s="102">
        <f t="shared" si="6"/>
        <v>0</v>
      </c>
      <c r="N97" s="102">
        <f t="shared" si="6"/>
        <v>0</v>
      </c>
      <c r="O97" s="102">
        <f t="shared" si="6"/>
        <v>0</v>
      </c>
      <c r="P97" s="102">
        <f t="shared" si="6"/>
        <v>0</v>
      </c>
    </row>
    <row r="98" spans="2:16" x14ac:dyDescent="0.55000000000000004">
      <c r="B98" s="104" t="s">
        <v>51</v>
      </c>
      <c r="C98" s="102">
        <f t="shared" si="7"/>
        <v>0</v>
      </c>
      <c r="D98" s="102">
        <f t="shared" si="7"/>
        <v>0</v>
      </c>
      <c r="E98" s="102">
        <f t="shared" si="7"/>
        <v>0</v>
      </c>
      <c r="F98" s="102">
        <f t="shared" si="7"/>
        <v>0</v>
      </c>
      <c r="G98" s="102">
        <f t="shared" si="7"/>
        <v>0</v>
      </c>
      <c r="H98" s="102">
        <f t="shared" si="7"/>
        <v>0</v>
      </c>
      <c r="I98" s="102" t="s">
        <v>20</v>
      </c>
      <c r="J98" s="104" t="s">
        <v>51</v>
      </c>
      <c r="K98" s="102">
        <f t="shared" si="6"/>
        <v>0</v>
      </c>
      <c r="L98" s="102">
        <f t="shared" si="6"/>
        <v>0</v>
      </c>
      <c r="M98" s="102">
        <f t="shared" si="6"/>
        <v>0</v>
      </c>
      <c r="N98" s="102">
        <f t="shared" si="6"/>
        <v>0</v>
      </c>
      <c r="O98" s="102">
        <f t="shared" si="6"/>
        <v>0</v>
      </c>
      <c r="P98" s="102">
        <f t="shared" si="6"/>
        <v>0</v>
      </c>
    </row>
    <row r="99" spans="2:16" x14ac:dyDescent="0.55000000000000004">
      <c r="B99" s="104" t="s">
        <v>52</v>
      </c>
      <c r="C99" s="102">
        <f t="shared" si="7"/>
        <v>0</v>
      </c>
      <c r="D99" s="102">
        <f t="shared" si="7"/>
        <v>0</v>
      </c>
      <c r="E99" s="102">
        <f t="shared" si="7"/>
        <v>0</v>
      </c>
      <c r="F99" s="102">
        <f t="shared" si="7"/>
        <v>0</v>
      </c>
      <c r="G99" s="102">
        <f t="shared" si="7"/>
        <v>0</v>
      </c>
      <c r="H99" s="102">
        <f t="shared" si="7"/>
        <v>0</v>
      </c>
      <c r="I99" s="102" t="s">
        <v>20</v>
      </c>
      <c r="J99" s="104" t="s">
        <v>52</v>
      </c>
      <c r="K99" s="102">
        <f t="shared" si="6"/>
        <v>0</v>
      </c>
      <c r="L99" s="102">
        <f t="shared" si="6"/>
        <v>0</v>
      </c>
      <c r="M99" s="102">
        <f t="shared" si="6"/>
        <v>0</v>
      </c>
      <c r="N99" s="102">
        <f t="shared" si="6"/>
        <v>0</v>
      </c>
      <c r="O99" s="102">
        <f t="shared" si="6"/>
        <v>0</v>
      </c>
      <c r="P99" s="102">
        <f t="shared" si="6"/>
        <v>0</v>
      </c>
    </row>
    <row r="103" spans="2:16" x14ac:dyDescent="0.55000000000000004">
      <c r="C103" s="102" t="s">
        <v>92</v>
      </c>
      <c r="D103" s="102" t="s">
        <v>93</v>
      </c>
      <c r="E103" s="102" t="s">
        <v>94</v>
      </c>
      <c r="F103" s="102" t="s">
        <v>95</v>
      </c>
      <c r="G103" s="102" t="s">
        <v>96</v>
      </c>
      <c r="H103" s="102" t="s">
        <v>97</v>
      </c>
      <c r="K103" s="102" t="s">
        <v>92</v>
      </c>
      <c r="L103" s="102" t="s">
        <v>93</v>
      </c>
      <c r="M103" s="102" t="s">
        <v>94</v>
      </c>
      <c r="N103" s="102" t="s">
        <v>95</v>
      </c>
      <c r="O103" s="102" t="s">
        <v>96</v>
      </c>
      <c r="P103" s="102" t="s">
        <v>97</v>
      </c>
    </row>
    <row r="104" spans="2:16" x14ac:dyDescent="0.55000000000000004">
      <c r="B104" s="104" t="s">
        <v>116</v>
      </c>
      <c r="C104" s="102">
        <f t="shared" ref="C104:H104" si="8">SUM(C3:C9)</f>
        <v>0</v>
      </c>
      <c r="D104" s="102">
        <f t="shared" si="8"/>
        <v>0</v>
      </c>
      <c r="E104" s="102">
        <f t="shared" si="8"/>
        <v>1</v>
      </c>
      <c r="F104" s="102">
        <f t="shared" si="8"/>
        <v>1</v>
      </c>
      <c r="G104" s="102">
        <f t="shared" si="8"/>
        <v>1</v>
      </c>
      <c r="H104" s="102">
        <f t="shared" si="8"/>
        <v>0</v>
      </c>
      <c r="I104" s="102" t="s">
        <v>20</v>
      </c>
      <c r="J104" s="104" t="s">
        <v>116</v>
      </c>
      <c r="K104" s="102">
        <f t="shared" ref="K104:P106" si="9">K15</f>
        <v>0</v>
      </c>
      <c r="L104" s="102">
        <f t="shared" si="9"/>
        <v>0</v>
      </c>
      <c r="M104" s="102">
        <f t="shared" si="9"/>
        <v>1</v>
      </c>
      <c r="N104" s="102">
        <f t="shared" si="9"/>
        <v>1</v>
      </c>
      <c r="O104" s="102">
        <f t="shared" si="9"/>
        <v>1</v>
      </c>
      <c r="P104" s="102">
        <f t="shared" si="9"/>
        <v>0</v>
      </c>
    </row>
    <row r="105" spans="2:16" x14ac:dyDescent="0.55000000000000004">
      <c r="B105" s="104" t="s">
        <v>35</v>
      </c>
      <c r="C105" s="102">
        <f t="shared" ref="C105:H105" si="10">SUM(C15:C21)</f>
        <v>0</v>
      </c>
      <c r="D105" s="102">
        <f t="shared" si="10"/>
        <v>0</v>
      </c>
      <c r="E105" s="102">
        <f t="shared" si="10"/>
        <v>1</v>
      </c>
      <c r="F105" s="102">
        <f t="shared" si="10"/>
        <v>1</v>
      </c>
      <c r="G105" s="102">
        <f t="shared" si="10"/>
        <v>1</v>
      </c>
      <c r="H105" s="102">
        <f t="shared" si="10"/>
        <v>0</v>
      </c>
      <c r="I105" s="102" t="s">
        <v>20</v>
      </c>
      <c r="J105" s="104" t="s">
        <v>35</v>
      </c>
      <c r="K105" s="102">
        <f>K16</f>
        <v>0</v>
      </c>
      <c r="L105" s="102">
        <f t="shared" si="9"/>
        <v>0</v>
      </c>
      <c r="M105" s="102">
        <f t="shared" si="9"/>
        <v>1</v>
      </c>
      <c r="N105" s="102">
        <f t="shared" si="9"/>
        <v>1</v>
      </c>
      <c r="O105" s="102">
        <f t="shared" si="9"/>
        <v>1</v>
      </c>
      <c r="P105" s="102">
        <f t="shared" si="9"/>
        <v>0</v>
      </c>
    </row>
    <row r="106" spans="2:16" x14ac:dyDescent="0.55000000000000004">
      <c r="B106" s="104" t="s">
        <v>36</v>
      </c>
      <c r="C106" s="102">
        <f t="shared" ref="C106:H106" si="11">SUM(C26:C32)</f>
        <v>0</v>
      </c>
      <c r="D106" s="102">
        <f t="shared" si="11"/>
        <v>0</v>
      </c>
      <c r="E106" s="102">
        <f t="shared" si="11"/>
        <v>1</v>
      </c>
      <c r="F106" s="102">
        <f t="shared" si="11"/>
        <v>1</v>
      </c>
      <c r="G106" s="102">
        <f t="shared" si="11"/>
        <v>1</v>
      </c>
      <c r="H106" s="102">
        <f t="shared" si="11"/>
        <v>0</v>
      </c>
      <c r="I106" s="102" t="s">
        <v>20</v>
      </c>
      <c r="J106" s="104" t="s">
        <v>36</v>
      </c>
      <c r="K106" s="102">
        <f>K17</f>
        <v>0</v>
      </c>
      <c r="L106" s="102">
        <f t="shared" si="9"/>
        <v>0</v>
      </c>
      <c r="M106" s="102">
        <f t="shared" si="9"/>
        <v>1</v>
      </c>
      <c r="N106" s="102">
        <f t="shared" si="9"/>
        <v>1</v>
      </c>
      <c r="O106" s="102">
        <f t="shared" si="9"/>
        <v>1</v>
      </c>
      <c r="P106" s="102">
        <f t="shared" si="9"/>
        <v>0</v>
      </c>
    </row>
    <row r="113" spans="4:13" x14ac:dyDescent="0.55000000000000004">
      <c r="D113" s="104" t="s">
        <v>140</v>
      </c>
      <c r="E113" s="102" t="s">
        <v>116</v>
      </c>
      <c r="F113" s="102" t="s">
        <v>35</v>
      </c>
      <c r="G113" s="102" t="s">
        <v>36</v>
      </c>
      <c r="I113" s="28"/>
      <c r="J113" s="104" t="s">
        <v>140</v>
      </c>
      <c r="K113" s="102" t="s">
        <v>116</v>
      </c>
      <c r="L113" s="102" t="s">
        <v>35</v>
      </c>
      <c r="M113" s="102" t="s">
        <v>36</v>
      </c>
    </row>
    <row r="114" spans="4:13" x14ac:dyDescent="0.55000000000000004">
      <c r="D114" s="104" t="s">
        <v>46</v>
      </c>
      <c r="E114" s="102">
        <f t="shared" ref="E114:E120" si="12">SUM(C3:H3)</f>
        <v>1</v>
      </c>
      <c r="F114" s="102">
        <f t="shared" ref="F114:F120" si="13">SUM(C15:H15)</f>
        <v>1</v>
      </c>
      <c r="G114" s="102">
        <f t="shared" ref="G114:G120" si="14">SUM(C26:H26)</f>
        <v>1</v>
      </c>
      <c r="I114" s="28" t="s">
        <v>18</v>
      </c>
      <c r="J114" s="104" t="s">
        <v>46</v>
      </c>
      <c r="K114" s="102">
        <f t="shared" ref="K114:M120" si="15">$Q3*K28</f>
        <v>5</v>
      </c>
      <c r="L114" s="102">
        <f t="shared" si="15"/>
        <v>5</v>
      </c>
      <c r="M114" s="102">
        <f t="shared" si="15"/>
        <v>5</v>
      </c>
    </row>
    <row r="115" spans="4:13" x14ac:dyDescent="0.55000000000000004">
      <c r="D115" s="104" t="s">
        <v>47</v>
      </c>
      <c r="E115" s="102">
        <f t="shared" si="12"/>
        <v>0</v>
      </c>
      <c r="F115" s="102">
        <f t="shared" si="13"/>
        <v>0</v>
      </c>
      <c r="G115" s="102">
        <f t="shared" si="14"/>
        <v>0</v>
      </c>
      <c r="I115" s="28" t="s">
        <v>18</v>
      </c>
      <c r="J115" s="104" t="s">
        <v>47</v>
      </c>
      <c r="K115" s="102">
        <f t="shared" si="15"/>
        <v>5</v>
      </c>
      <c r="L115" s="102">
        <f t="shared" si="15"/>
        <v>5</v>
      </c>
      <c r="M115" s="102">
        <f t="shared" si="15"/>
        <v>5</v>
      </c>
    </row>
    <row r="116" spans="4:13" x14ac:dyDescent="0.55000000000000004">
      <c r="D116" s="104" t="s">
        <v>48</v>
      </c>
      <c r="E116" s="102">
        <f t="shared" si="12"/>
        <v>1</v>
      </c>
      <c r="F116" s="102">
        <f t="shared" si="13"/>
        <v>1</v>
      </c>
      <c r="G116" s="102">
        <f t="shared" si="14"/>
        <v>1</v>
      </c>
      <c r="I116" s="28" t="s">
        <v>18</v>
      </c>
      <c r="J116" s="104" t="s">
        <v>48</v>
      </c>
      <c r="K116" s="102">
        <f t="shared" si="15"/>
        <v>5</v>
      </c>
      <c r="L116" s="102">
        <f t="shared" si="15"/>
        <v>5</v>
      </c>
      <c r="M116" s="102">
        <f t="shared" si="15"/>
        <v>5</v>
      </c>
    </row>
    <row r="117" spans="4:13" x14ac:dyDescent="0.55000000000000004">
      <c r="D117" s="104" t="s">
        <v>49</v>
      </c>
      <c r="E117" s="102">
        <f t="shared" si="12"/>
        <v>1</v>
      </c>
      <c r="F117" s="102">
        <f t="shared" si="13"/>
        <v>1</v>
      </c>
      <c r="G117" s="102">
        <f t="shared" si="14"/>
        <v>1</v>
      </c>
      <c r="I117" s="28" t="s">
        <v>18</v>
      </c>
      <c r="J117" s="104" t="s">
        <v>49</v>
      </c>
      <c r="K117" s="102">
        <f t="shared" si="15"/>
        <v>5</v>
      </c>
      <c r="L117" s="102">
        <f t="shared" si="15"/>
        <v>5</v>
      </c>
      <c r="M117" s="102">
        <f t="shared" si="15"/>
        <v>5</v>
      </c>
    </row>
    <row r="118" spans="4:13" x14ac:dyDescent="0.55000000000000004">
      <c r="D118" s="104" t="s">
        <v>50</v>
      </c>
      <c r="E118" s="102">
        <f t="shared" si="12"/>
        <v>0</v>
      </c>
      <c r="F118" s="102">
        <f t="shared" si="13"/>
        <v>0</v>
      </c>
      <c r="G118" s="102">
        <f t="shared" si="14"/>
        <v>0</v>
      </c>
      <c r="I118" s="28" t="s">
        <v>18</v>
      </c>
      <c r="J118" s="104" t="s">
        <v>50</v>
      </c>
      <c r="K118" s="102">
        <f t="shared" si="15"/>
        <v>0</v>
      </c>
      <c r="L118" s="102">
        <f t="shared" si="15"/>
        <v>0</v>
      </c>
      <c r="M118" s="102">
        <f t="shared" si="15"/>
        <v>0</v>
      </c>
    </row>
    <row r="119" spans="4:13" x14ac:dyDescent="0.55000000000000004">
      <c r="D119" s="104" t="s">
        <v>51</v>
      </c>
      <c r="E119" s="102">
        <f t="shared" si="12"/>
        <v>0</v>
      </c>
      <c r="F119" s="102">
        <f t="shared" si="13"/>
        <v>0</v>
      </c>
      <c r="G119" s="102">
        <f t="shared" si="14"/>
        <v>0</v>
      </c>
      <c r="I119" s="28" t="s">
        <v>18</v>
      </c>
      <c r="J119" s="104" t="s">
        <v>51</v>
      </c>
      <c r="K119" s="102">
        <f t="shared" si="15"/>
        <v>0</v>
      </c>
      <c r="L119" s="102">
        <f t="shared" si="15"/>
        <v>0</v>
      </c>
      <c r="M119" s="102">
        <f t="shared" si="15"/>
        <v>0</v>
      </c>
    </row>
    <row r="120" spans="4:13" x14ac:dyDescent="0.55000000000000004">
      <c r="D120" s="104" t="s">
        <v>52</v>
      </c>
      <c r="E120" s="102">
        <f t="shared" si="12"/>
        <v>0</v>
      </c>
      <c r="F120" s="102">
        <f t="shared" si="13"/>
        <v>0</v>
      </c>
      <c r="G120" s="102">
        <f t="shared" si="14"/>
        <v>0</v>
      </c>
      <c r="I120" s="28" t="s">
        <v>18</v>
      </c>
      <c r="J120" s="104" t="s">
        <v>52</v>
      </c>
      <c r="K120" s="102">
        <f t="shared" si="15"/>
        <v>0</v>
      </c>
      <c r="L120" s="102">
        <f t="shared" si="15"/>
        <v>0</v>
      </c>
      <c r="M120" s="102">
        <f t="shared" si="15"/>
        <v>0</v>
      </c>
    </row>
    <row r="125" spans="4:13" x14ac:dyDescent="0.55000000000000004">
      <c r="H125" s="102" t="s">
        <v>133</v>
      </c>
      <c r="K125" s="104" t="s">
        <v>134</v>
      </c>
    </row>
    <row r="126" spans="4:13" x14ac:dyDescent="0.55000000000000004">
      <c r="G126" s="104" t="s">
        <v>46</v>
      </c>
      <c r="H126" s="102">
        <f t="shared" ref="H126:H132" si="16">SUM(C3:H3)+SUM(C15:H15)+SUM(C26:H26)</f>
        <v>3</v>
      </c>
      <c r="I126" s="28" t="s">
        <v>18</v>
      </c>
      <c r="J126" s="104" t="s">
        <v>46</v>
      </c>
      <c r="K126" s="102">
        <f t="shared" ref="K126:K132" si="17">$C$70</f>
        <v>3</v>
      </c>
    </row>
    <row r="127" spans="4:13" x14ac:dyDescent="0.55000000000000004">
      <c r="G127" s="104" t="s">
        <v>47</v>
      </c>
      <c r="H127" s="102">
        <f>SUM(C4:H4)+SUM(C16:H16)+SUM(C27:H27)</f>
        <v>0</v>
      </c>
      <c r="I127" s="28" t="s">
        <v>18</v>
      </c>
      <c r="J127" s="104" t="s">
        <v>47</v>
      </c>
      <c r="K127" s="102">
        <f t="shared" si="17"/>
        <v>3</v>
      </c>
    </row>
    <row r="128" spans="4:13" x14ac:dyDescent="0.55000000000000004">
      <c r="G128" s="104" t="s">
        <v>48</v>
      </c>
      <c r="H128" s="102">
        <f t="shared" si="16"/>
        <v>3</v>
      </c>
      <c r="I128" s="28" t="s">
        <v>18</v>
      </c>
      <c r="J128" s="104" t="s">
        <v>48</v>
      </c>
      <c r="K128" s="102">
        <f t="shared" si="17"/>
        <v>3</v>
      </c>
    </row>
    <row r="129" spans="7:11" x14ac:dyDescent="0.55000000000000004">
      <c r="G129" s="104" t="s">
        <v>49</v>
      </c>
      <c r="H129" s="102">
        <f t="shared" si="16"/>
        <v>3</v>
      </c>
      <c r="I129" s="28" t="s">
        <v>18</v>
      </c>
      <c r="J129" s="104" t="s">
        <v>49</v>
      </c>
      <c r="K129" s="102">
        <f t="shared" si="17"/>
        <v>3</v>
      </c>
    </row>
    <row r="130" spans="7:11" x14ac:dyDescent="0.55000000000000004">
      <c r="G130" s="104" t="s">
        <v>50</v>
      </c>
      <c r="H130" s="102">
        <f t="shared" si="16"/>
        <v>0</v>
      </c>
      <c r="I130" s="28" t="s">
        <v>18</v>
      </c>
      <c r="J130" s="104" t="s">
        <v>50</v>
      </c>
      <c r="K130" s="102">
        <f t="shared" si="17"/>
        <v>3</v>
      </c>
    </row>
    <row r="131" spans="7:11" x14ac:dyDescent="0.55000000000000004">
      <c r="G131" s="104" t="s">
        <v>51</v>
      </c>
      <c r="H131" s="102">
        <f t="shared" si="16"/>
        <v>0</v>
      </c>
      <c r="I131" s="28" t="s">
        <v>18</v>
      </c>
      <c r="J131" s="104" t="s">
        <v>51</v>
      </c>
      <c r="K131" s="102">
        <f t="shared" si="17"/>
        <v>3</v>
      </c>
    </row>
    <row r="132" spans="7:11" x14ac:dyDescent="0.55000000000000004">
      <c r="G132" s="104" t="s">
        <v>52</v>
      </c>
      <c r="H132" s="102">
        <f t="shared" si="16"/>
        <v>0</v>
      </c>
      <c r="I132" s="28" t="s">
        <v>18</v>
      </c>
      <c r="J132" s="104" t="s">
        <v>52</v>
      </c>
      <c r="K132" s="102">
        <f t="shared" si="17"/>
        <v>3</v>
      </c>
    </row>
    <row r="137" spans="7:11" x14ac:dyDescent="0.55000000000000004">
      <c r="H137" s="102" t="s">
        <v>133</v>
      </c>
      <c r="K137" s="104" t="s">
        <v>13</v>
      </c>
    </row>
    <row r="138" spans="7:11" x14ac:dyDescent="0.55000000000000004">
      <c r="G138" s="104" t="s">
        <v>46</v>
      </c>
      <c r="H138" s="102">
        <f t="shared" ref="H138:H144" si="18">SUM(C3:H3)+SUM(C15:H15)+SUM(C26:H26)</f>
        <v>3</v>
      </c>
      <c r="I138" s="28" t="s">
        <v>26</v>
      </c>
      <c r="J138" s="104" t="s">
        <v>46</v>
      </c>
      <c r="K138" s="102">
        <f t="shared" ref="K138:K144" si="19">$C$71</f>
        <v>0</v>
      </c>
    </row>
    <row r="139" spans="7:11" x14ac:dyDescent="0.55000000000000004">
      <c r="G139" s="104" t="s">
        <v>47</v>
      </c>
      <c r="H139" s="102">
        <f t="shared" si="18"/>
        <v>0</v>
      </c>
      <c r="I139" s="28" t="s">
        <v>26</v>
      </c>
      <c r="J139" s="104" t="s">
        <v>47</v>
      </c>
      <c r="K139" s="102">
        <f t="shared" si="19"/>
        <v>0</v>
      </c>
    </row>
    <row r="140" spans="7:11" x14ac:dyDescent="0.55000000000000004">
      <c r="G140" s="104" t="s">
        <v>48</v>
      </c>
      <c r="H140" s="102">
        <f t="shared" si="18"/>
        <v>3</v>
      </c>
      <c r="I140" s="28" t="s">
        <v>26</v>
      </c>
      <c r="J140" s="104" t="s">
        <v>48</v>
      </c>
      <c r="K140" s="102">
        <f t="shared" si="19"/>
        <v>0</v>
      </c>
    </row>
    <row r="141" spans="7:11" x14ac:dyDescent="0.55000000000000004">
      <c r="G141" s="104" t="s">
        <v>49</v>
      </c>
      <c r="H141" s="102">
        <f t="shared" si="18"/>
        <v>3</v>
      </c>
      <c r="I141" s="28" t="s">
        <v>26</v>
      </c>
      <c r="J141" s="104" t="s">
        <v>49</v>
      </c>
      <c r="K141" s="102">
        <f t="shared" si="19"/>
        <v>0</v>
      </c>
    </row>
    <row r="142" spans="7:11" x14ac:dyDescent="0.55000000000000004">
      <c r="G142" s="104" t="s">
        <v>50</v>
      </c>
      <c r="H142" s="102">
        <f t="shared" si="18"/>
        <v>0</v>
      </c>
      <c r="I142" s="28" t="s">
        <v>26</v>
      </c>
      <c r="J142" s="104" t="s">
        <v>50</v>
      </c>
      <c r="K142" s="102">
        <f t="shared" si="19"/>
        <v>0</v>
      </c>
    </row>
    <row r="143" spans="7:11" x14ac:dyDescent="0.55000000000000004">
      <c r="G143" s="104" t="s">
        <v>51</v>
      </c>
      <c r="H143" s="102">
        <f t="shared" si="18"/>
        <v>0</v>
      </c>
      <c r="I143" s="28" t="s">
        <v>26</v>
      </c>
      <c r="J143" s="104" t="s">
        <v>51</v>
      </c>
      <c r="K143" s="102">
        <f t="shared" si="19"/>
        <v>0</v>
      </c>
    </row>
    <row r="144" spans="7:11" x14ac:dyDescent="0.55000000000000004">
      <c r="G144" s="104" t="s">
        <v>52</v>
      </c>
      <c r="H144" s="102">
        <f t="shared" si="18"/>
        <v>0</v>
      </c>
      <c r="I144" s="28" t="s">
        <v>26</v>
      </c>
      <c r="J144" s="104" t="s">
        <v>52</v>
      </c>
      <c r="K144" s="102">
        <f t="shared" si="19"/>
        <v>0</v>
      </c>
    </row>
    <row r="145" spans="2:16" x14ac:dyDescent="0.55000000000000004">
      <c r="B145" s="102"/>
    </row>
    <row r="146" spans="2:16" x14ac:dyDescent="0.55000000000000004">
      <c r="B146" s="102"/>
    </row>
    <row r="147" spans="2:16" x14ac:dyDescent="0.55000000000000004">
      <c r="B147" s="102"/>
    </row>
    <row r="148" spans="2:16" x14ac:dyDescent="0.55000000000000004">
      <c r="B148" s="104" t="s">
        <v>139</v>
      </c>
    </row>
    <row r="149" spans="2:16" x14ac:dyDescent="0.55000000000000004">
      <c r="C149" s="102" t="s">
        <v>92</v>
      </c>
      <c r="D149" s="102" t="str">
        <f t="shared" ref="D149:G156" si="20">D47</f>
        <v>17h</v>
      </c>
      <c r="E149" s="102" t="str">
        <f t="shared" si="20"/>
        <v>18h</v>
      </c>
      <c r="F149" s="102" t="str">
        <f t="shared" si="20"/>
        <v>19h</v>
      </c>
      <c r="G149" s="102" t="str">
        <f t="shared" si="20"/>
        <v>20h</v>
      </c>
      <c r="H149" s="102" t="s">
        <v>97</v>
      </c>
      <c r="K149" s="102" t="s">
        <v>92</v>
      </c>
      <c r="L149" s="102" t="str">
        <f>D149</f>
        <v>17h</v>
      </c>
      <c r="M149" s="102" t="str">
        <f>E149</f>
        <v>18h</v>
      </c>
      <c r="N149" s="102" t="str">
        <f>F149</f>
        <v>19h</v>
      </c>
      <c r="O149" s="102" t="str">
        <f>G149</f>
        <v>20h</v>
      </c>
      <c r="P149" s="102" t="s">
        <v>97</v>
      </c>
    </row>
    <row r="150" spans="2:16" x14ac:dyDescent="0.55000000000000004">
      <c r="B150" s="102" t="s">
        <v>46</v>
      </c>
      <c r="C150" s="102">
        <f t="shared" ref="C150:C156" si="21">C48</f>
        <v>0</v>
      </c>
      <c r="D150" s="102">
        <f t="shared" si="20"/>
        <v>0</v>
      </c>
      <c r="E150" s="102">
        <f t="shared" si="20"/>
        <v>1</v>
      </c>
      <c r="F150" s="102">
        <f t="shared" si="20"/>
        <v>0</v>
      </c>
      <c r="G150" s="102">
        <f t="shared" si="20"/>
        <v>0</v>
      </c>
      <c r="H150" s="102">
        <f t="shared" ref="H150:H156" si="22">H48</f>
        <v>0</v>
      </c>
      <c r="I150" s="28" t="s">
        <v>26</v>
      </c>
      <c r="J150" s="102" t="s">
        <v>46</v>
      </c>
      <c r="K150" s="102">
        <f>(C3+C15+C26)*L3</f>
        <v>0</v>
      </c>
      <c r="L150" s="102">
        <f>(D3+D15+D26)*L3-(C3+C15+C26)*K3</f>
        <v>0</v>
      </c>
      <c r="M150" s="102">
        <f t="shared" ref="M150:P156" si="23">(E3+E15+E26)*M3-(D3+D15+D26)*L3</f>
        <v>1</v>
      </c>
      <c r="N150" s="102">
        <f t="shared" si="23"/>
        <v>0</v>
      </c>
      <c r="O150" s="102">
        <f t="shared" si="23"/>
        <v>0</v>
      </c>
      <c r="P150" s="102">
        <f t="shared" si="23"/>
        <v>-1</v>
      </c>
    </row>
    <row r="151" spans="2:16" x14ac:dyDescent="0.55000000000000004">
      <c r="B151" s="102" t="s">
        <v>47</v>
      </c>
      <c r="C151" s="102">
        <f t="shared" si="21"/>
        <v>0</v>
      </c>
      <c r="D151" s="102">
        <f t="shared" si="20"/>
        <v>0</v>
      </c>
      <c r="E151" s="102">
        <f t="shared" si="20"/>
        <v>0</v>
      </c>
      <c r="F151" s="102">
        <f t="shared" si="20"/>
        <v>0</v>
      </c>
      <c r="G151" s="102">
        <f t="shared" si="20"/>
        <v>0</v>
      </c>
      <c r="H151" s="102">
        <f t="shared" si="22"/>
        <v>0</v>
      </c>
      <c r="I151" s="28" t="s">
        <v>26</v>
      </c>
      <c r="J151" s="102" t="s">
        <v>47</v>
      </c>
      <c r="K151" s="102">
        <f t="shared" ref="K151:K156" si="24">(C4+C16+C27)*L4</f>
        <v>0</v>
      </c>
      <c r="L151" s="102">
        <f t="shared" ref="L151:L156" si="25">(D4+D16+D27)*L4-(C4+C16+C27)*K4</f>
        <v>0</v>
      </c>
      <c r="M151" s="102">
        <f t="shared" si="23"/>
        <v>0</v>
      </c>
      <c r="N151" s="102">
        <f t="shared" si="23"/>
        <v>0</v>
      </c>
      <c r="O151" s="102">
        <f t="shared" si="23"/>
        <v>0</v>
      </c>
      <c r="P151" s="102">
        <f t="shared" si="23"/>
        <v>0</v>
      </c>
    </row>
    <row r="152" spans="2:16" x14ac:dyDescent="0.55000000000000004">
      <c r="B152" s="102" t="s">
        <v>48</v>
      </c>
      <c r="C152" s="102">
        <f t="shared" si="21"/>
        <v>0</v>
      </c>
      <c r="D152" s="102">
        <f t="shared" si="20"/>
        <v>0</v>
      </c>
      <c r="E152" s="102">
        <f t="shared" si="20"/>
        <v>1</v>
      </c>
      <c r="F152" s="102">
        <f t="shared" si="20"/>
        <v>0</v>
      </c>
      <c r="G152" s="102">
        <f t="shared" si="20"/>
        <v>0</v>
      </c>
      <c r="H152" s="102">
        <f t="shared" si="22"/>
        <v>0</v>
      </c>
      <c r="I152" s="28" t="s">
        <v>26</v>
      </c>
      <c r="J152" s="102" t="s">
        <v>48</v>
      </c>
      <c r="K152" s="102">
        <f t="shared" si="24"/>
        <v>0</v>
      </c>
      <c r="L152" s="102">
        <f t="shared" si="25"/>
        <v>0</v>
      </c>
      <c r="M152" s="102">
        <f t="shared" si="23"/>
        <v>1</v>
      </c>
      <c r="N152" s="102">
        <f t="shared" si="23"/>
        <v>0</v>
      </c>
      <c r="O152" s="102">
        <f t="shared" si="23"/>
        <v>0</v>
      </c>
      <c r="P152" s="102">
        <f t="shared" si="23"/>
        <v>-1</v>
      </c>
    </row>
    <row r="153" spans="2:16" x14ac:dyDescent="0.55000000000000004">
      <c r="B153" s="102" t="s">
        <v>49</v>
      </c>
      <c r="C153" s="102">
        <f t="shared" si="21"/>
        <v>0</v>
      </c>
      <c r="D153" s="102">
        <f t="shared" si="20"/>
        <v>0</v>
      </c>
      <c r="E153" s="102">
        <f t="shared" si="20"/>
        <v>1</v>
      </c>
      <c r="F153" s="102">
        <f t="shared" si="20"/>
        <v>0</v>
      </c>
      <c r="G153" s="102">
        <f t="shared" si="20"/>
        <v>0</v>
      </c>
      <c r="H153" s="102">
        <f t="shared" si="22"/>
        <v>0</v>
      </c>
      <c r="I153" s="28" t="s">
        <v>26</v>
      </c>
      <c r="J153" s="102" t="s">
        <v>49</v>
      </c>
      <c r="K153" s="102">
        <f t="shared" si="24"/>
        <v>0</v>
      </c>
      <c r="L153" s="102">
        <f t="shared" si="25"/>
        <v>0</v>
      </c>
      <c r="M153" s="102">
        <f t="shared" si="23"/>
        <v>1</v>
      </c>
      <c r="N153" s="102">
        <f t="shared" si="23"/>
        <v>0</v>
      </c>
      <c r="O153" s="102">
        <f t="shared" si="23"/>
        <v>0</v>
      </c>
      <c r="P153" s="102">
        <f>(H6+H18+H29)*P6-(G6+G18+G29)*O6</f>
        <v>-1</v>
      </c>
    </row>
    <row r="154" spans="2:16" x14ac:dyDescent="0.55000000000000004">
      <c r="B154" s="102" t="s">
        <v>50</v>
      </c>
      <c r="C154" s="102">
        <f t="shared" si="21"/>
        <v>0</v>
      </c>
      <c r="D154" s="102">
        <f t="shared" si="20"/>
        <v>0</v>
      </c>
      <c r="E154" s="102">
        <f t="shared" si="20"/>
        <v>0</v>
      </c>
      <c r="F154" s="102">
        <f t="shared" si="20"/>
        <v>0</v>
      </c>
      <c r="G154" s="102">
        <f t="shared" si="20"/>
        <v>0</v>
      </c>
      <c r="H154" s="102">
        <f t="shared" si="22"/>
        <v>0</v>
      </c>
      <c r="I154" s="28" t="s">
        <v>26</v>
      </c>
      <c r="J154" s="102" t="s">
        <v>50</v>
      </c>
      <c r="K154" s="102">
        <f t="shared" si="24"/>
        <v>0</v>
      </c>
      <c r="L154" s="102">
        <f t="shared" si="25"/>
        <v>0</v>
      </c>
      <c r="M154" s="102">
        <f t="shared" si="23"/>
        <v>0</v>
      </c>
      <c r="N154" s="102">
        <f t="shared" si="23"/>
        <v>0</v>
      </c>
      <c r="O154" s="102">
        <f t="shared" si="23"/>
        <v>0</v>
      </c>
      <c r="P154" s="102">
        <f t="shared" si="23"/>
        <v>0</v>
      </c>
    </row>
    <row r="155" spans="2:16" x14ac:dyDescent="0.55000000000000004">
      <c r="B155" s="102" t="s">
        <v>51</v>
      </c>
      <c r="C155" s="102">
        <f t="shared" si="21"/>
        <v>0</v>
      </c>
      <c r="D155" s="102">
        <f t="shared" si="20"/>
        <v>0</v>
      </c>
      <c r="E155" s="102">
        <f t="shared" si="20"/>
        <v>0</v>
      </c>
      <c r="F155" s="102">
        <f t="shared" si="20"/>
        <v>0</v>
      </c>
      <c r="G155" s="102">
        <f t="shared" si="20"/>
        <v>0</v>
      </c>
      <c r="H155" s="102">
        <f t="shared" si="22"/>
        <v>0</v>
      </c>
      <c r="I155" s="28" t="s">
        <v>26</v>
      </c>
      <c r="J155" s="102" t="s">
        <v>51</v>
      </c>
      <c r="K155" s="102">
        <f t="shared" si="24"/>
        <v>0</v>
      </c>
      <c r="L155" s="102">
        <f t="shared" si="25"/>
        <v>0</v>
      </c>
      <c r="M155" s="102">
        <f t="shared" si="23"/>
        <v>0</v>
      </c>
      <c r="N155" s="102">
        <f t="shared" si="23"/>
        <v>0</v>
      </c>
      <c r="O155" s="102">
        <f t="shared" si="23"/>
        <v>0</v>
      </c>
      <c r="P155" s="102">
        <f t="shared" si="23"/>
        <v>0</v>
      </c>
    </row>
    <row r="156" spans="2:16" x14ac:dyDescent="0.55000000000000004">
      <c r="B156" s="102" t="s">
        <v>52</v>
      </c>
      <c r="C156" s="102">
        <f t="shared" si="21"/>
        <v>0</v>
      </c>
      <c r="D156" s="102">
        <f t="shared" si="20"/>
        <v>0</v>
      </c>
      <c r="E156" s="102">
        <f t="shared" si="20"/>
        <v>0</v>
      </c>
      <c r="F156" s="102">
        <f t="shared" si="20"/>
        <v>0</v>
      </c>
      <c r="G156" s="102">
        <f t="shared" si="20"/>
        <v>0</v>
      </c>
      <c r="H156" s="102">
        <f t="shared" si="22"/>
        <v>0</v>
      </c>
      <c r="I156" s="28" t="s">
        <v>26</v>
      </c>
      <c r="J156" s="102" t="s">
        <v>52</v>
      </c>
      <c r="K156" s="102">
        <f t="shared" si="24"/>
        <v>0</v>
      </c>
      <c r="L156" s="102">
        <f t="shared" si="25"/>
        <v>0</v>
      </c>
      <c r="M156" s="102">
        <f t="shared" si="23"/>
        <v>0</v>
      </c>
      <c r="N156" s="102">
        <f t="shared" si="23"/>
        <v>0</v>
      </c>
      <c r="O156" s="102">
        <f t="shared" si="23"/>
        <v>0</v>
      </c>
      <c r="P156" s="102">
        <f t="shared" si="23"/>
        <v>0</v>
      </c>
    </row>
    <row r="157" spans="2:16" x14ac:dyDescent="0.55000000000000004">
      <c r="B157" s="102"/>
    </row>
    <row r="158" spans="2:16" x14ac:dyDescent="0.55000000000000004">
      <c r="B158" s="102"/>
    </row>
    <row r="159" spans="2:16" x14ac:dyDescent="0.55000000000000004">
      <c r="B159" s="102"/>
    </row>
    <row r="172" spans="3:15" x14ac:dyDescent="0.55000000000000004">
      <c r="C172" s="102" t="s">
        <v>116</v>
      </c>
      <c r="D172" s="102" t="s">
        <v>92</v>
      </c>
      <c r="E172" s="102" t="s">
        <v>93</v>
      </c>
      <c r="F172" s="102" t="s">
        <v>94</v>
      </c>
      <c r="G172" s="102" t="s">
        <v>95</v>
      </c>
      <c r="H172" s="102" t="s">
        <v>96</v>
      </c>
      <c r="J172" s="102"/>
      <c r="K172" s="102" t="s">
        <v>92</v>
      </c>
      <c r="L172" s="102" t="s">
        <v>93</v>
      </c>
      <c r="M172" s="102" t="s">
        <v>94</v>
      </c>
      <c r="N172" s="102" t="s">
        <v>95</v>
      </c>
      <c r="O172" s="102" t="s">
        <v>96</v>
      </c>
    </row>
    <row r="173" spans="3:15" x14ac:dyDescent="0.55000000000000004">
      <c r="C173" s="102" t="s">
        <v>46</v>
      </c>
      <c r="D173" s="102">
        <f t="shared" ref="D173:H179" si="26">C37</f>
        <v>0</v>
      </c>
      <c r="E173" s="102">
        <f t="shared" si="26"/>
        <v>0</v>
      </c>
      <c r="F173" s="102">
        <f t="shared" si="26"/>
        <v>0</v>
      </c>
      <c r="G173" s="102">
        <f t="shared" si="26"/>
        <v>0</v>
      </c>
      <c r="H173" s="102">
        <f t="shared" si="26"/>
        <v>0</v>
      </c>
      <c r="I173" s="28" t="s">
        <v>26</v>
      </c>
      <c r="J173" s="102" t="s">
        <v>46</v>
      </c>
      <c r="K173" s="102">
        <f>C3+D3-1</f>
        <v>-1</v>
      </c>
      <c r="L173" s="102">
        <f t="shared" ref="K173:O179" si="27">D3+E3-1</f>
        <v>-1</v>
      </c>
      <c r="M173" s="102">
        <f t="shared" si="27"/>
        <v>-1</v>
      </c>
      <c r="N173" s="102">
        <f t="shared" si="27"/>
        <v>0</v>
      </c>
      <c r="O173" s="102">
        <f>G3+H3-1</f>
        <v>0</v>
      </c>
    </row>
    <row r="174" spans="3:15" x14ac:dyDescent="0.55000000000000004">
      <c r="C174" s="102" t="s">
        <v>47</v>
      </c>
      <c r="D174" s="102">
        <f t="shared" si="26"/>
        <v>0</v>
      </c>
      <c r="E174" s="102">
        <f t="shared" si="26"/>
        <v>0</v>
      </c>
      <c r="F174" s="102">
        <f t="shared" si="26"/>
        <v>0</v>
      </c>
      <c r="G174" s="102">
        <f t="shared" si="26"/>
        <v>0</v>
      </c>
      <c r="H174" s="102">
        <f t="shared" si="26"/>
        <v>0</v>
      </c>
      <c r="I174" s="28" t="s">
        <v>26</v>
      </c>
      <c r="J174" s="102" t="s">
        <v>47</v>
      </c>
      <c r="K174" s="102">
        <f t="shared" si="27"/>
        <v>-1</v>
      </c>
      <c r="L174" s="102">
        <f t="shared" si="27"/>
        <v>-1</v>
      </c>
      <c r="M174" s="102">
        <f t="shared" si="27"/>
        <v>-1</v>
      </c>
      <c r="N174" s="102">
        <f t="shared" si="27"/>
        <v>-1</v>
      </c>
      <c r="O174" s="102">
        <f t="shared" si="27"/>
        <v>-1</v>
      </c>
    </row>
    <row r="175" spans="3:15" x14ac:dyDescent="0.55000000000000004">
      <c r="C175" s="102" t="s">
        <v>48</v>
      </c>
      <c r="D175" s="102">
        <f t="shared" si="26"/>
        <v>0</v>
      </c>
      <c r="E175" s="102">
        <f t="shared" si="26"/>
        <v>0</v>
      </c>
      <c r="F175" s="102">
        <f t="shared" si="26"/>
        <v>0</v>
      </c>
      <c r="G175" s="102">
        <f t="shared" si="26"/>
        <v>0</v>
      </c>
      <c r="H175" s="102">
        <f t="shared" si="26"/>
        <v>0</v>
      </c>
      <c r="I175" s="28" t="s">
        <v>26</v>
      </c>
      <c r="J175" s="102" t="s">
        <v>48</v>
      </c>
      <c r="K175" s="102">
        <f t="shared" si="27"/>
        <v>-1</v>
      </c>
      <c r="L175" s="102">
        <f t="shared" si="27"/>
        <v>0</v>
      </c>
      <c r="M175" s="102">
        <f t="shared" si="27"/>
        <v>0</v>
      </c>
      <c r="N175" s="102">
        <f t="shared" si="27"/>
        <v>-1</v>
      </c>
      <c r="O175" s="102">
        <f t="shared" si="27"/>
        <v>-1</v>
      </c>
    </row>
    <row r="176" spans="3:15" x14ac:dyDescent="0.55000000000000004">
      <c r="C176" s="102" t="s">
        <v>49</v>
      </c>
      <c r="D176" s="102">
        <f t="shared" si="26"/>
        <v>0</v>
      </c>
      <c r="E176" s="102">
        <f t="shared" si="26"/>
        <v>0</v>
      </c>
      <c r="F176" s="102">
        <f t="shared" si="26"/>
        <v>0</v>
      </c>
      <c r="G176" s="102">
        <f t="shared" si="26"/>
        <v>0</v>
      </c>
      <c r="H176" s="102">
        <f t="shared" si="26"/>
        <v>0</v>
      </c>
      <c r="I176" s="28" t="s">
        <v>26</v>
      </c>
      <c r="J176" s="102" t="s">
        <v>49</v>
      </c>
      <c r="K176" s="102">
        <f t="shared" si="27"/>
        <v>-1</v>
      </c>
      <c r="L176" s="102">
        <f t="shared" si="27"/>
        <v>-1</v>
      </c>
      <c r="M176" s="102">
        <f t="shared" si="27"/>
        <v>0</v>
      </c>
      <c r="N176" s="102">
        <f t="shared" si="27"/>
        <v>0</v>
      </c>
      <c r="O176" s="102">
        <f t="shared" si="27"/>
        <v>-1</v>
      </c>
    </row>
    <row r="177" spans="3:15" x14ac:dyDescent="0.55000000000000004">
      <c r="C177" s="102" t="s">
        <v>50</v>
      </c>
      <c r="D177" s="102">
        <f t="shared" si="26"/>
        <v>0</v>
      </c>
      <c r="E177" s="102">
        <f t="shared" si="26"/>
        <v>0</v>
      </c>
      <c r="F177" s="102">
        <f t="shared" si="26"/>
        <v>0</v>
      </c>
      <c r="G177" s="102">
        <f t="shared" si="26"/>
        <v>0</v>
      </c>
      <c r="H177" s="102">
        <f t="shared" si="26"/>
        <v>0</v>
      </c>
      <c r="I177" s="28" t="s">
        <v>26</v>
      </c>
      <c r="J177" s="102" t="s">
        <v>50</v>
      </c>
      <c r="K177" s="102">
        <f t="shared" si="27"/>
        <v>-1</v>
      </c>
      <c r="L177" s="102">
        <f t="shared" si="27"/>
        <v>-1</v>
      </c>
      <c r="M177" s="102">
        <f t="shared" si="27"/>
        <v>-1</v>
      </c>
      <c r="N177" s="102">
        <f t="shared" si="27"/>
        <v>-1</v>
      </c>
      <c r="O177" s="102">
        <f t="shared" si="27"/>
        <v>-1</v>
      </c>
    </row>
    <row r="178" spans="3:15" x14ac:dyDescent="0.55000000000000004">
      <c r="C178" s="102" t="s">
        <v>51</v>
      </c>
      <c r="D178" s="102">
        <f t="shared" si="26"/>
        <v>0</v>
      </c>
      <c r="E178" s="102">
        <f t="shared" si="26"/>
        <v>0</v>
      </c>
      <c r="F178" s="102">
        <f t="shared" si="26"/>
        <v>0</v>
      </c>
      <c r="G178" s="102">
        <f t="shared" si="26"/>
        <v>0</v>
      </c>
      <c r="H178" s="102">
        <f t="shared" si="26"/>
        <v>0</v>
      </c>
      <c r="I178" s="28" t="s">
        <v>26</v>
      </c>
      <c r="J178" s="102" t="s">
        <v>51</v>
      </c>
      <c r="K178" s="102">
        <f t="shared" si="27"/>
        <v>-1</v>
      </c>
      <c r="L178" s="102">
        <f t="shared" si="27"/>
        <v>-1</v>
      </c>
      <c r="M178" s="102">
        <f t="shared" si="27"/>
        <v>-1</v>
      </c>
      <c r="N178" s="102">
        <f t="shared" si="27"/>
        <v>-1</v>
      </c>
      <c r="O178" s="102">
        <f t="shared" si="27"/>
        <v>-1</v>
      </c>
    </row>
    <row r="179" spans="3:15" x14ac:dyDescent="0.55000000000000004">
      <c r="C179" s="102" t="s">
        <v>52</v>
      </c>
      <c r="D179" s="102">
        <f t="shared" si="26"/>
        <v>0</v>
      </c>
      <c r="E179" s="102">
        <f t="shared" si="26"/>
        <v>0</v>
      </c>
      <c r="F179" s="102">
        <f t="shared" si="26"/>
        <v>0</v>
      </c>
      <c r="G179" s="102">
        <f t="shared" si="26"/>
        <v>0</v>
      </c>
      <c r="H179" s="102">
        <f t="shared" si="26"/>
        <v>0</v>
      </c>
      <c r="I179" s="28" t="s">
        <v>26</v>
      </c>
      <c r="J179" s="102" t="s">
        <v>52</v>
      </c>
      <c r="K179" s="102">
        <f t="shared" si="27"/>
        <v>-1</v>
      </c>
      <c r="L179" s="102">
        <f t="shared" si="27"/>
        <v>-1</v>
      </c>
      <c r="M179" s="102">
        <f t="shared" si="27"/>
        <v>-1</v>
      </c>
      <c r="N179" s="102">
        <f t="shared" si="27"/>
        <v>-1</v>
      </c>
      <c r="O179" s="102">
        <f t="shared" si="27"/>
        <v>-1</v>
      </c>
    </row>
    <row r="183" spans="3:15" x14ac:dyDescent="0.55000000000000004">
      <c r="C183" s="102" t="s">
        <v>35</v>
      </c>
      <c r="D183" s="102" t="s">
        <v>92</v>
      </c>
      <c r="E183" s="102" t="s">
        <v>93</v>
      </c>
      <c r="F183" s="102" t="s">
        <v>94</v>
      </c>
      <c r="G183" s="102" t="s">
        <v>95</v>
      </c>
      <c r="H183" s="102" t="s">
        <v>96</v>
      </c>
      <c r="J183" s="102"/>
      <c r="K183" s="102" t="s">
        <v>92</v>
      </c>
      <c r="L183" s="102" t="s">
        <v>93</v>
      </c>
      <c r="M183" s="102" t="s">
        <v>94</v>
      </c>
      <c r="N183" s="102" t="s">
        <v>95</v>
      </c>
      <c r="O183" s="102" t="s">
        <v>96</v>
      </c>
    </row>
    <row r="184" spans="3:15" x14ac:dyDescent="0.55000000000000004">
      <c r="C184" s="102" t="s">
        <v>46</v>
      </c>
      <c r="D184" s="102">
        <f t="shared" ref="D184:H190" si="28">C37</f>
        <v>0</v>
      </c>
      <c r="E184" s="102">
        <f t="shared" si="28"/>
        <v>0</v>
      </c>
      <c r="F184" s="102">
        <f t="shared" si="28"/>
        <v>0</v>
      </c>
      <c r="G184" s="102">
        <f t="shared" si="28"/>
        <v>0</v>
      </c>
      <c r="H184" s="102">
        <f t="shared" si="28"/>
        <v>0</v>
      </c>
      <c r="I184" s="28" t="s">
        <v>26</v>
      </c>
      <c r="J184" s="102" t="s">
        <v>46</v>
      </c>
      <c r="K184" s="102">
        <f t="shared" ref="K184:O190" si="29">C15+D15-1</f>
        <v>-1</v>
      </c>
      <c r="L184" s="102">
        <f t="shared" si="29"/>
        <v>0</v>
      </c>
      <c r="M184" s="102">
        <f t="shared" si="29"/>
        <v>0</v>
      </c>
      <c r="N184" s="102">
        <f t="shared" si="29"/>
        <v>-1</v>
      </c>
      <c r="O184" s="102">
        <f t="shared" si="29"/>
        <v>-1</v>
      </c>
    </row>
    <row r="185" spans="3:15" x14ac:dyDescent="0.55000000000000004">
      <c r="C185" s="102" t="s">
        <v>47</v>
      </c>
      <c r="D185" s="102">
        <f t="shared" si="28"/>
        <v>0</v>
      </c>
      <c r="E185" s="102">
        <f t="shared" si="28"/>
        <v>0</v>
      </c>
      <c r="F185" s="102">
        <f t="shared" si="28"/>
        <v>0</v>
      </c>
      <c r="G185" s="102">
        <f t="shared" si="28"/>
        <v>0</v>
      </c>
      <c r="H185" s="102">
        <f t="shared" si="28"/>
        <v>0</v>
      </c>
      <c r="I185" s="28" t="s">
        <v>26</v>
      </c>
      <c r="J185" s="102" t="s">
        <v>47</v>
      </c>
      <c r="K185" s="102">
        <f t="shared" si="29"/>
        <v>-1</v>
      </c>
      <c r="L185" s="102">
        <f t="shared" si="29"/>
        <v>-1</v>
      </c>
      <c r="M185" s="102">
        <f t="shared" si="29"/>
        <v>-1</v>
      </c>
      <c r="N185" s="102">
        <f t="shared" si="29"/>
        <v>-1</v>
      </c>
      <c r="O185" s="102">
        <f t="shared" si="29"/>
        <v>-1</v>
      </c>
    </row>
    <row r="186" spans="3:15" x14ac:dyDescent="0.55000000000000004">
      <c r="C186" s="102" t="s">
        <v>48</v>
      </c>
      <c r="D186" s="102">
        <f t="shared" si="28"/>
        <v>0</v>
      </c>
      <c r="E186" s="102">
        <f t="shared" si="28"/>
        <v>0</v>
      </c>
      <c r="F186" s="102">
        <f t="shared" si="28"/>
        <v>0</v>
      </c>
      <c r="G186" s="102">
        <f t="shared" si="28"/>
        <v>0</v>
      </c>
      <c r="H186" s="102">
        <f t="shared" si="28"/>
        <v>0</v>
      </c>
      <c r="I186" s="28" t="s">
        <v>26</v>
      </c>
      <c r="J186" s="102" t="s">
        <v>48</v>
      </c>
      <c r="K186" s="102">
        <f t="shared" si="29"/>
        <v>-1</v>
      </c>
      <c r="L186" s="102">
        <f t="shared" si="29"/>
        <v>-1</v>
      </c>
      <c r="M186" s="102">
        <f t="shared" si="29"/>
        <v>0</v>
      </c>
      <c r="N186" s="102">
        <f t="shared" si="29"/>
        <v>0</v>
      </c>
      <c r="O186" s="102">
        <f t="shared" si="29"/>
        <v>-1</v>
      </c>
    </row>
    <row r="187" spans="3:15" x14ac:dyDescent="0.55000000000000004">
      <c r="C187" s="102" t="s">
        <v>49</v>
      </c>
      <c r="D187" s="102">
        <f t="shared" si="28"/>
        <v>0</v>
      </c>
      <c r="E187" s="102">
        <f t="shared" si="28"/>
        <v>0</v>
      </c>
      <c r="F187" s="102">
        <f t="shared" si="28"/>
        <v>0</v>
      </c>
      <c r="G187" s="102">
        <f t="shared" si="28"/>
        <v>0</v>
      </c>
      <c r="H187" s="102">
        <f t="shared" si="28"/>
        <v>0</v>
      </c>
      <c r="I187" s="28" t="s">
        <v>26</v>
      </c>
      <c r="J187" s="102" t="s">
        <v>49</v>
      </c>
      <c r="K187" s="102">
        <f t="shared" si="29"/>
        <v>-1</v>
      </c>
      <c r="L187" s="102">
        <f t="shared" si="29"/>
        <v>-1</v>
      </c>
      <c r="M187" s="102">
        <f t="shared" si="29"/>
        <v>-1</v>
      </c>
      <c r="N187" s="102">
        <f t="shared" si="29"/>
        <v>0</v>
      </c>
      <c r="O187" s="102">
        <f t="shared" si="29"/>
        <v>0</v>
      </c>
    </row>
    <row r="188" spans="3:15" x14ac:dyDescent="0.55000000000000004">
      <c r="C188" s="102" t="s">
        <v>50</v>
      </c>
      <c r="D188" s="102">
        <f t="shared" si="28"/>
        <v>0</v>
      </c>
      <c r="E188" s="102">
        <f t="shared" si="28"/>
        <v>0</v>
      </c>
      <c r="F188" s="102">
        <f t="shared" si="28"/>
        <v>0</v>
      </c>
      <c r="G188" s="102">
        <f t="shared" si="28"/>
        <v>0</v>
      </c>
      <c r="H188" s="102">
        <f t="shared" si="28"/>
        <v>0</v>
      </c>
      <c r="I188" s="28" t="s">
        <v>26</v>
      </c>
      <c r="J188" s="102" t="s">
        <v>50</v>
      </c>
      <c r="K188" s="102">
        <f t="shared" si="29"/>
        <v>-1</v>
      </c>
      <c r="L188" s="102">
        <f t="shared" si="29"/>
        <v>-1</v>
      </c>
      <c r="M188" s="102">
        <f t="shared" si="29"/>
        <v>-1</v>
      </c>
      <c r="N188" s="102">
        <f t="shared" si="29"/>
        <v>-1</v>
      </c>
      <c r="O188" s="102">
        <f t="shared" si="29"/>
        <v>-1</v>
      </c>
    </row>
    <row r="189" spans="3:15" x14ac:dyDescent="0.55000000000000004">
      <c r="C189" s="102" t="s">
        <v>51</v>
      </c>
      <c r="D189" s="102">
        <f t="shared" si="28"/>
        <v>0</v>
      </c>
      <c r="E189" s="102">
        <f t="shared" si="28"/>
        <v>0</v>
      </c>
      <c r="F189" s="102">
        <f t="shared" si="28"/>
        <v>0</v>
      </c>
      <c r="G189" s="102">
        <f t="shared" si="28"/>
        <v>0</v>
      </c>
      <c r="H189" s="102">
        <f t="shared" si="28"/>
        <v>0</v>
      </c>
      <c r="I189" s="28" t="s">
        <v>26</v>
      </c>
      <c r="J189" s="102" t="s">
        <v>51</v>
      </c>
      <c r="K189" s="102">
        <f t="shared" si="29"/>
        <v>-1</v>
      </c>
      <c r="L189" s="102">
        <f t="shared" si="29"/>
        <v>-1</v>
      </c>
      <c r="M189" s="102">
        <f t="shared" si="29"/>
        <v>-1</v>
      </c>
      <c r="N189" s="102">
        <f t="shared" si="29"/>
        <v>-1</v>
      </c>
      <c r="O189" s="102">
        <f t="shared" si="29"/>
        <v>-1</v>
      </c>
    </row>
    <row r="190" spans="3:15" x14ac:dyDescent="0.55000000000000004">
      <c r="C190" s="102" t="s">
        <v>52</v>
      </c>
      <c r="D190" s="102">
        <f t="shared" si="28"/>
        <v>0</v>
      </c>
      <c r="E190" s="102">
        <f t="shared" si="28"/>
        <v>0</v>
      </c>
      <c r="F190" s="102">
        <f t="shared" si="28"/>
        <v>0</v>
      </c>
      <c r="G190" s="102">
        <f t="shared" si="28"/>
        <v>0</v>
      </c>
      <c r="H190" s="102">
        <f t="shared" si="28"/>
        <v>0</v>
      </c>
      <c r="I190" s="28" t="s">
        <v>26</v>
      </c>
      <c r="J190" s="102" t="s">
        <v>52</v>
      </c>
      <c r="K190" s="102">
        <f t="shared" si="29"/>
        <v>-1</v>
      </c>
      <c r="L190" s="102">
        <f t="shared" si="29"/>
        <v>-1</v>
      </c>
      <c r="M190" s="102">
        <f t="shared" si="29"/>
        <v>-1</v>
      </c>
      <c r="N190" s="102">
        <f t="shared" si="29"/>
        <v>-1</v>
      </c>
      <c r="O190" s="102">
        <f t="shared" si="29"/>
        <v>-1</v>
      </c>
    </row>
    <row r="194" spans="3:15" x14ac:dyDescent="0.55000000000000004">
      <c r="C194" s="102" t="s">
        <v>36</v>
      </c>
      <c r="D194" s="102" t="s">
        <v>92</v>
      </c>
      <c r="E194" s="102" t="s">
        <v>93</v>
      </c>
      <c r="F194" s="102" t="s">
        <v>94</v>
      </c>
      <c r="G194" s="102" t="s">
        <v>95</v>
      </c>
      <c r="H194" s="102" t="s">
        <v>96</v>
      </c>
      <c r="J194" s="102"/>
      <c r="K194" s="102" t="s">
        <v>92</v>
      </c>
      <c r="L194" s="102" t="s">
        <v>93</v>
      </c>
      <c r="M194" s="102" t="s">
        <v>94</v>
      </c>
      <c r="N194" s="102" t="s">
        <v>95</v>
      </c>
      <c r="O194" s="102" t="s">
        <v>96</v>
      </c>
    </row>
    <row r="195" spans="3:15" x14ac:dyDescent="0.55000000000000004">
      <c r="C195" s="102" t="s">
        <v>46</v>
      </c>
      <c r="D195" s="102">
        <f t="shared" ref="D195:H201" si="30">C37</f>
        <v>0</v>
      </c>
      <c r="E195" s="102">
        <f t="shared" si="30"/>
        <v>0</v>
      </c>
      <c r="F195" s="102">
        <f t="shared" si="30"/>
        <v>0</v>
      </c>
      <c r="G195" s="102">
        <f t="shared" si="30"/>
        <v>0</v>
      </c>
      <c r="H195" s="102">
        <f t="shared" si="30"/>
        <v>0</v>
      </c>
      <c r="I195" s="28" t="s">
        <v>26</v>
      </c>
      <c r="J195" s="102" t="s">
        <v>46</v>
      </c>
      <c r="K195" s="102">
        <f t="shared" ref="K195:O201" si="31">C26+D26-1</f>
        <v>-1</v>
      </c>
      <c r="L195" s="102">
        <f t="shared" si="31"/>
        <v>-1</v>
      </c>
      <c r="M195" s="102">
        <f t="shared" si="31"/>
        <v>0</v>
      </c>
      <c r="N195" s="102">
        <f t="shared" si="31"/>
        <v>0</v>
      </c>
      <c r="O195" s="102">
        <f t="shared" si="31"/>
        <v>-1</v>
      </c>
    </row>
    <row r="196" spans="3:15" x14ac:dyDescent="0.55000000000000004">
      <c r="C196" s="102" t="s">
        <v>47</v>
      </c>
      <c r="D196" s="102">
        <f t="shared" si="30"/>
        <v>0</v>
      </c>
      <c r="E196" s="102">
        <f t="shared" si="30"/>
        <v>0</v>
      </c>
      <c r="F196" s="102">
        <f t="shared" si="30"/>
        <v>0</v>
      </c>
      <c r="G196" s="102">
        <f t="shared" si="30"/>
        <v>0</v>
      </c>
      <c r="H196" s="102">
        <f t="shared" si="30"/>
        <v>0</v>
      </c>
      <c r="I196" s="28" t="s">
        <v>26</v>
      </c>
      <c r="J196" s="102" t="s">
        <v>47</v>
      </c>
      <c r="K196" s="102">
        <f t="shared" si="31"/>
        <v>-1</v>
      </c>
      <c r="L196" s="102">
        <f t="shared" si="31"/>
        <v>-1</v>
      </c>
      <c r="M196" s="102">
        <f t="shared" si="31"/>
        <v>-1</v>
      </c>
      <c r="N196" s="102">
        <f t="shared" si="31"/>
        <v>-1</v>
      </c>
      <c r="O196" s="102">
        <f t="shared" si="31"/>
        <v>-1</v>
      </c>
    </row>
    <row r="197" spans="3:15" x14ac:dyDescent="0.55000000000000004">
      <c r="C197" s="102" t="s">
        <v>48</v>
      </c>
      <c r="D197" s="102">
        <f t="shared" si="30"/>
        <v>0</v>
      </c>
      <c r="E197" s="102">
        <f t="shared" si="30"/>
        <v>0</v>
      </c>
      <c r="F197" s="102">
        <f t="shared" si="30"/>
        <v>0</v>
      </c>
      <c r="G197" s="102">
        <f t="shared" si="30"/>
        <v>0</v>
      </c>
      <c r="H197" s="102">
        <f t="shared" si="30"/>
        <v>0</v>
      </c>
      <c r="I197" s="28" t="s">
        <v>26</v>
      </c>
      <c r="J197" s="102" t="s">
        <v>48</v>
      </c>
      <c r="K197" s="102">
        <f t="shared" si="31"/>
        <v>-1</v>
      </c>
      <c r="L197" s="102">
        <f t="shared" si="31"/>
        <v>-1</v>
      </c>
      <c r="M197" s="102">
        <f t="shared" si="31"/>
        <v>-1</v>
      </c>
      <c r="N197" s="102">
        <f t="shared" si="31"/>
        <v>0</v>
      </c>
      <c r="O197" s="102">
        <f t="shared" si="31"/>
        <v>0</v>
      </c>
    </row>
    <row r="198" spans="3:15" x14ac:dyDescent="0.55000000000000004">
      <c r="C198" s="102" t="s">
        <v>49</v>
      </c>
      <c r="D198" s="102">
        <f t="shared" si="30"/>
        <v>0</v>
      </c>
      <c r="E198" s="102">
        <f t="shared" si="30"/>
        <v>0</v>
      </c>
      <c r="F198" s="102">
        <f t="shared" si="30"/>
        <v>0</v>
      </c>
      <c r="G198" s="102">
        <f t="shared" si="30"/>
        <v>0</v>
      </c>
      <c r="H198" s="102">
        <f t="shared" si="30"/>
        <v>0</v>
      </c>
      <c r="I198" s="28" t="s">
        <v>26</v>
      </c>
      <c r="J198" s="102" t="s">
        <v>49</v>
      </c>
      <c r="K198" s="102">
        <f t="shared" si="31"/>
        <v>-1</v>
      </c>
      <c r="L198" s="102">
        <f t="shared" si="31"/>
        <v>0</v>
      </c>
      <c r="M198" s="102">
        <f t="shared" si="31"/>
        <v>0</v>
      </c>
      <c r="N198" s="102">
        <f t="shared" si="31"/>
        <v>-1</v>
      </c>
      <c r="O198" s="102">
        <f t="shared" si="31"/>
        <v>-1</v>
      </c>
    </row>
    <row r="199" spans="3:15" x14ac:dyDescent="0.55000000000000004">
      <c r="C199" s="102" t="s">
        <v>50</v>
      </c>
      <c r="D199" s="102">
        <f t="shared" si="30"/>
        <v>0</v>
      </c>
      <c r="E199" s="102">
        <f t="shared" si="30"/>
        <v>0</v>
      </c>
      <c r="F199" s="102">
        <f t="shared" si="30"/>
        <v>0</v>
      </c>
      <c r="G199" s="102">
        <f t="shared" si="30"/>
        <v>0</v>
      </c>
      <c r="H199" s="102">
        <f t="shared" si="30"/>
        <v>0</v>
      </c>
      <c r="I199" s="28" t="s">
        <v>26</v>
      </c>
      <c r="J199" s="102" t="s">
        <v>50</v>
      </c>
      <c r="K199" s="102">
        <f t="shared" si="31"/>
        <v>-1</v>
      </c>
      <c r="L199" s="102">
        <f t="shared" si="31"/>
        <v>-1</v>
      </c>
      <c r="M199" s="102">
        <f t="shared" si="31"/>
        <v>-1</v>
      </c>
      <c r="N199" s="102">
        <f t="shared" si="31"/>
        <v>-1</v>
      </c>
      <c r="O199" s="102">
        <f t="shared" si="31"/>
        <v>-1</v>
      </c>
    </row>
    <row r="200" spans="3:15" x14ac:dyDescent="0.55000000000000004">
      <c r="C200" s="102" t="s">
        <v>51</v>
      </c>
      <c r="D200" s="102">
        <f t="shared" si="30"/>
        <v>0</v>
      </c>
      <c r="E200" s="102">
        <f t="shared" si="30"/>
        <v>0</v>
      </c>
      <c r="F200" s="102">
        <f t="shared" si="30"/>
        <v>0</v>
      </c>
      <c r="G200" s="102">
        <f t="shared" si="30"/>
        <v>0</v>
      </c>
      <c r="H200" s="102">
        <f t="shared" si="30"/>
        <v>0</v>
      </c>
      <c r="I200" s="28" t="s">
        <v>26</v>
      </c>
      <c r="J200" s="102" t="s">
        <v>51</v>
      </c>
      <c r="K200" s="102">
        <f t="shared" si="31"/>
        <v>-1</v>
      </c>
      <c r="L200" s="102">
        <f t="shared" si="31"/>
        <v>-1</v>
      </c>
      <c r="M200" s="102">
        <f t="shared" si="31"/>
        <v>-1</v>
      </c>
      <c r="N200" s="102">
        <f t="shared" si="31"/>
        <v>-1</v>
      </c>
      <c r="O200" s="102">
        <f t="shared" si="31"/>
        <v>-1</v>
      </c>
    </row>
    <row r="201" spans="3:15" x14ac:dyDescent="0.55000000000000004">
      <c r="C201" s="102" t="s">
        <v>52</v>
      </c>
      <c r="D201" s="102">
        <f t="shared" si="30"/>
        <v>0</v>
      </c>
      <c r="E201" s="102">
        <f t="shared" si="30"/>
        <v>0</v>
      </c>
      <c r="F201" s="102">
        <f t="shared" si="30"/>
        <v>0</v>
      </c>
      <c r="G201" s="102">
        <f t="shared" si="30"/>
        <v>0</v>
      </c>
      <c r="H201" s="102">
        <f t="shared" si="30"/>
        <v>0</v>
      </c>
      <c r="I201" s="28" t="s">
        <v>26</v>
      </c>
      <c r="J201" s="102" t="s">
        <v>52</v>
      </c>
      <c r="K201" s="102">
        <f t="shared" si="31"/>
        <v>-1</v>
      </c>
      <c r="L201" s="102">
        <f t="shared" si="31"/>
        <v>-1</v>
      </c>
      <c r="M201" s="102">
        <f t="shared" si="31"/>
        <v>-1</v>
      </c>
      <c r="N201" s="102">
        <f t="shared" si="31"/>
        <v>-1</v>
      </c>
      <c r="O201" s="102">
        <f t="shared" si="31"/>
        <v>-1</v>
      </c>
    </row>
  </sheetData>
  <conditionalFormatting sqref="C3:H9 C37:G43">
    <cfRule type="cellIs" dxfId="102" priority="45" operator="equal">
      <formula>0</formula>
    </cfRule>
    <cfRule type="cellIs" dxfId="101" priority="46" operator="equal">
      <formula>1</formula>
    </cfRule>
  </conditionalFormatting>
  <conditionalFormatting sqref="C15:H21">
    <cfRule type="cellIs" dxfId="100" priority="44" operator="equal">
      <formula>1</formula>
    </cfRule>
    <cfRule type="cellIs" dxfId="99" priority="43" operator="equal">
      <formula>0</formula>
    </cfRule>
  </conditionalFormatting>
  <conditionalFormatting sqref="C26:H32">
    <cfRule type="cellIs" dxfId="98" priority="42" operator="equal">
      <formula>1</formula>
    </cfRule>
    <cfRule type="cellIs" dxfId="97" priority="41" operator="equal">
      <formula>0</formula>
    </cfRule>
  </conditionalFormatting>
  <conditionalFormatting sqref="C48:H54">
    <cfRule type="cellIs" dxfId="96" priority="17" operator="equal">
      <formula>0</formula>
    </cfRule>
    <cfRule type="cellIs" dxfId="95" priority="18" operator="equal">
      <formula>1</formula>
    </cfRule>
  </conditionalFormatting>
  <conditionalFormatting sqref="C61:H67">
    <cfRule type="cellIs" dxfId="94" priority="10" operator="equal">
      <formula>0</formula>
    </cfRule>
    <cfRule type="cellIs" dxfId="93" priority="11" operator="equal">
      <formula>1</formula>
    </cfRule>
  </conditionalFormatting>
  <conditionalFormatting sqref="K15:M17">
    <cfRule type="colorScale" priority="244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  <cfRule type="expression" dxfId="92" priority="242">
      <formula>K$33&lt;#REF!</formula>
    </cfRule>
    <cfRule type="cellIs" dxfId="91" priority="243" operator="equal">
      <formula>0</formula>
    </cfRule>
  </conditionalFormatting>
  <conditionalFormatting sqref="K28:M34">
    <cfRule type="cellIs" dxfId="90" priority="38" operator="equal">
      <formula>1</formula>
    </cfRule>
    <cfRule type="cellIs" dxfId="89" priority="37" operator="equal">
      <formula>0</formula>
    </cfRule>
  </conditionalFormatting>
  <conditionalFormatting sqref="K3:P9">
    <cfRule type="cellIs" dxfId="88" priority="39" operator="equal">
      <formula>0</formula>
    </cfRule>
    <cfRule type="cellIs" dxfId="87" priority="40" operator="equal">
      <formula>1</formula>
    </cfRule>
  </conditionalFormatting>
  <conditionalFormatting sqref="K61:P67">
    <cfRule type="cellIs" dxfId="86" priority="23" stopIfTrue="1" operator="equal">
      <formula>1</formula>
    </cfRule>
    <cfRule type="expression" dxfId="85" priority="24">
      <formula>K3=0</formula>
    </cfRule>
    <cfRule type="expression" dxfId="84" priority="25">
      <formula>K3=1</formula>
    </cfRule>
  </conditionalFormatting>
  <conditionalFormatting sqref="N15:P17">
    <cfRule type="expression" dxfId="83" priority="47">
      <formula>N$44&lt;#REF!</formula>
    </cfRule>
    <cfRule type="cellIs" dxfId="82" priority="48" operator="equal">
      <formula>0</formula>
    </cfRule>
    <cfRule type="colorScale" priority="49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</conditionalFormatting>
  <conditionalFormatting sqref="O15:O17">
    <cfRule type="expression" dxfId="81" priority="233">
      <formula>O$62&lt;O$42</formula>
    </cfRule>
    <cfRule type="cellIs" dxfId="80" priority="234" operator="equal">
      <formula>0</formula>
    </cfRule>
    <cfRule type="colorScale" priority="235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</conditionalFormatting>
  <conditionalFormatting sqref="P15:P17">
    <cfRule type="expression" dxfId="79" priority="236">
      <formula>P$62&lt;#REF!</formula>
    </cfRule>
    <cfRule type="cellIs" dxfId="78" priority="237" operator="equal">
      <formula>0</formula>
    </cfRule>
    <cfRule type="colorScale" priority="238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</conditionalFormatting>
  <conditionalFormatting sqref="U3:Z9">
    <cfRule type="cellIs" dxfId="77" priority="27" operator="equal">
      <formula>"Tidying"</formula>
    </cfRule>
    <cfRule type="cellIs" dxfId="76" priority="29" operator="equal">
      <formula>"Level"</formula>
    </cfRule>
    <cfRule type="cellIs" dxfId="75" priority="30" operator="equal">
      <formula>"Toilets"</formula>
    </cfRule>
    <cfRule type="cellIs" dxfId="74" priority="31" operator="equal">
      <formula>"Homing"</formula>
    </cfRule>
    <cfRule type="cellIs" dxfId="73" priority="32" operator="equal">
      <formula>"Rez"</formula>
    </cfRule>
    <cfRule type="cellIs" dxfId="72" priority="33" operator="equal">
      <formula>"C-mix"</formula>
    </cfRule>
    <cfRule type="cellIs" dxfId="71" priority="28" operator="equal">
      <formula>"Çapèse"</formula>
    </cfRule>
    <cfRule type="cellIs" dxfId="70" priority="35" operator="equal">
      <formula>"Entry"</formula>
    </cfRule>
    <cfRule type="cellIs" dxfId="69" priority="36" operator="equal">
      <formula>"Setup"</formula>
    </cfRule>
    <cfRule type="cellIs" dxfId="68" priority="34" operator="equal">
      <formula>"Bar"</formula>
    </cfRule>
    <cfRule type="cellIs" dxfId="67" priority="26" operator="equal">
      <formula>"Volante"</formula>
    </cfRule>
  </conditionalFormatting>
  <conditionalFormatting sqref="U12:Z18">
    <cfRule type="cellIs" dxfId="66" priority="16" operator="equal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F443-E1F0-47D7-9D5B-49B41D0A66B4}">
  <sheetPr codeName="Hoja3"/>
  <dimension ref="A2:AA145"/>
  <sheetViews>
    <sheetView zoomScale="85" zoomScaleNormal="85" workbookViewId="0">
      <selection activeCell="T15" sqref="T15"/>
    </sheetView>
  </sheetViews>
  <sheetFormatPr baseColWidth="10" defaultRowHeight="14.4" x14ac:dyDescent="0.55000000000000004"/>
  <cols>
    <col min="1" max="1" width="10.9453125" style="102"/>
    <col min="2" max="2" width="10.9453125" style="104"/>
    <col min="3" max="9" width="10.9453125" style="102"/>
    <col min="10" max="10" width="10.9453125" style="104"/>
    <col min="11" max="16384" width="10.9453125" style="102"/>
  </cols>
  <sheetData>
    <row r="2" spans="2:27" x14ac:dyDescent="0.55000000000000004">
      <c r="B2" s="104" t="s">
        <v>116</v>
      </c>
      <c r="C2" s="102" t="s">
        <v>92</v>
      </c>
      <c r="D2" s="102" t="s">
        <v>93</v>
      </c>
      <c r="E2" s="102" t="s">
        <v>94</v>
      </c>
      <c r="F2" s="102" t="s">
        <v>95</v>
      </c>
      <c r="G2" s="102" t="s">
        <v>96</v>
      </c>
      <c r="H2" s="102" t="s">
        <v>97</v>
      </c>
      <c r="J2" s="104" t="s">
        <v>128</v>
      </c>
      <c r="K2" s="102" t="s">
        <v>92</v>
      </c>
      <c r="L2" s="102" t="s">
        <v>93</v>
      </c>
      <c r="M2" s="102" t="s">
        <v>94</v>
      </c>
      <c r="N2" s="102" t="s">
        <v>95</v>
      </c>
      <c r="O2" s="102" t="s">
        <v>96</v>
      </c>
      <c r="P2" s="102" t="s">
        <v>97</v>
      </c>
      <c r="Q2" s="102" t="s">
        <v>129</v>
      </c>
      <c r="R2" s="102" t="s">
        <v>131</v>
      </c>
      <c r="T2" s="104" t="s">
        <v>128</v>
      </c>
      <c r="U2" s="102" t="s">
        <v>92</v>
      </c>
      <c r="V2" s="102" t="s">
        <v>93</v>
      </c>
      <c r="W2" s="102" t="s">
        <v>94</v>
      </c>
      <c r="X2" s="102" t="s">
        <v>95</v>
      </c>
      <c r="Y2" s="102" t="s">
        <v>96</v>
      </c>
      <c r="Z2" s="102" t="s">
        <v>97</v>
      </c>
    </row>
    <row r="3" spans="2:27" x14ac:dyDescent="0.55000000000000004">
      <c r="B3" s="104" t="s">
        <v>46</v>
      </c>
      <c r="C3" s="54">
        <v>0</v>
      </c>
      <c r="D3" s="54">
        <v>0</v>
      </c>
      <c r="E3" s="54">
        <v>1</v>
      </c>
      <c r="F3" s="54">
        <v>0</v>
      </c>
      <c r="G3" s="54">
        <v>0</v>
      </c>
      <c r="H3" s="54">
        <v>1</v>
      </c>
      <c r="J3" s="104" t="s">
        <v>46</v>
      </c>
      <c r="K3" s="53">
        <v>0</v>
      </c>
      <c r="L3" s="54">
        <v>1</v>
      </c>
      <c r="M3" s="54">
        <v>1</v>
      </c>
      <c r="N3" s="54">
        <v>1</v>
      </c>
      <c r="O3" s="54">
        <v>1</v>
      </c>
      <c r="P3" s="54">
        <v>1</v>
      </c>
      <c r="Q3" s="102">
        <f>SUM(K3:P3)</f>
        <v>5</v>
      </c>
      <c r="R3" s="102">
        <v>0</v>
      </c>
      <c r="T3" s="104" t="s">
        <v>46</v>
      </c>
      <c r="U3" s="54" t="str" cm="1">
        <f t="array" ref="U3">IF(K3=0,"",_xlfn.IFS(C3=1,"Setup",C15=1,"Entry",C26=1,"Bar",C37=1,""))</f>
        <v/>
      </c>
      <c r="V3" s="54" t="str" cm="1">
        <f t="array" ref="V3">IF(L3=0,"",_xlfn.IFS(D3=1,"Setup",D15=1,"Entry",D26=1,"Bar",D37=1,""))</f>
        <v>Bar</v>
      </c>
      <c r="W3" s="54" t="str" cm="1">
        <f t="array" ref="W3">IF(M3=0,"",_xlfn.IFS(E3=1,"Setup",E15=1,"Entry",E26=1,"Bar",E37=1,""))</f>
        <v>Setup</v>
      </c>
      <c r="X3" s="54" t="str" cm="1">
        <f t="array" ref="X3">IF(N3=0,"",_xlfn.IFS(F3=1,"Setup",F15=1,"Entry",F26=1,"Bar",F37=1,""))</f>
        <v/>
      </c>
      <c r="Y3" s="54" t="str" cm="1">
        <f t="array" ref="Y3">IF(O3=0,"",_xlfn.IFS(G3=1,"Setup",G15=1,"Entry",G26=1,"Bar",G37=1,""))</f>
        <v/>
      </c>
      <c r="Z3" s="54" t="str" cm="1">
        <f t="array" ref="Z3">IF(P3=0,"",_xlfn.IFS(H3=1,"Setup",H15=1,"Entry",H26=1,"Bar",H37=1,""))</f>
        <v>Setup</v>
      </c>
      <c r="AA3" s="102">
        <f>SUM(C3:H3)+SUM(C15:H15)+SUM(C26:H26)</f>
        <v>3</v>
      </c>
    </row>
    <row r="4" spans="2:27" ht="14.7" thickBot="1" x14ac:dyDescent="0.6">
      <c r="B4" s="104" t="s">
        <v>47</v>
      </c>
      <c r="C4" s="54">
        <v>0</v>
      </c>
      <c r="D4" s="54">
        <v>1</v>
      </c>
      <c r="E4" s="54">
        <v>0</v>
      </c>
      <c r="F4" s="54">
        <v>0</v>
      </c>
      <c r="G4" s="54">
        <v>0</v>
      </c>
      <c r="H4" s="54">
        <v>0</v>
      </c>
      <c r="J4" s="104" t="s">
        <v>47</v>
      </c>
      <c r="K4" s="53">
        <v>0</v>
      </c>
      <c r="L4" s="53">
        <v>1</v>
      </c>
      <c r="M4" s="54">
        <v>1</v>
      </c>
      <c r="N4" s="54">
        <v>1</v>
      </c>
      <c r="O4" s="54">
        <v>1</v>
      </c>
      <c r="P4" s="54">
        <v>1</v>
      </c>
      <c r="Q4" s="102">
        <f t="shared" ref="Q4:Q8" si="0">SUM(K4:P4)</f>
        <v>5</v>
      </c>
      <c r="R4" s="102">
        <v>0</v>
      </c>
      <c r="T4" s="104" t="s">
        <v>47</v>
      </c>
      <c r="U4" s="54" t="str" cm="1">
        <f t="array" ref="U4">IF(K4=0,"",_xlfn.IFS(C4=1,"Setup",C16=1,"Entry",C27=1,"Bar",C38=1,""))</f>
        <v/>
      </c>
      <c r="V4" s="54" t="str" cm="1">
        <f t="array" ref="V4">IF(L4=0,"",_xlfn.IFS(D4=1,"Setup",D16=1,"Entry",D27=1,"Bar",D38=1,""))</f>
        <v>Setup</v>
      </c>
      <c r="W4" s="54" t="str" cm="1">
        <f t="array" ref="W4">IF(M4=0,"",_xlfn.IFS(E4=1,"Setup",E16=1,"Entry",E27=1,"Bar",E38=1,""))</f>
        <v/>
      </c>
      <c r="X4" s="54" t="str" cm="1">
        <f t="array" ref="X4">IF(N4=0,"",_xlfn.IFS(F4=1,"Setup",F16=1,"Entry",F27=1,"Bar",F38=1,""))</f>
        <v>Entry</v>
      </c>
      <c r="Y4" s="54" t="str" cm="1">
        <f t="array" ref="Y4">IF(O4=0,"",_xlfn.IFS(G4=1,"Setup",G16=1,"Entry",G27=1,"Bar",G38=1,""))</f>
        <v/>
      </c>
      <c r="Z4" s="54" t="str" cm="1">
        <f t="array" ref="Z4">IF(P4=0,"",_xlfn.IFS(H4=1,"Setup",H16=1,"Entry",H27=1,"Bar",H38=1,""))</f>
        <v>Entry</v>
      </c>
      <c r="AA4" s="102">
        <f t="shared" ref="AA4:AA9" si="1">SUM(C4:H4)+SUM(C16:H16)+SUM(C27:H27)</f>
        <v>3</v>
      </c>
    </row>
    <row r="5" spans="2:27" ht="14.7" thickBot="1" x14ac:dyDescent="0.6">
      <c r="B5" s="104" t="s">
        <v>48</v>
      </c>
      <c r="C5" s="54">
        <v>0</v>
      </c>
      <c r="D5" s="54">
        <v>0</v>
      </c>
      <c r="E5" s="54">
        <v>0</v>
      </c>
      <c r="F5" s="54">
        <v>1</v>
      </c>
      <c r="G5" s="54">
        <v>0</v>
      </c>
      <c r="H5" s="54">
        <v>0</v>
      </c>
      <c r="J5" s="104" t="s">
        <v>48</v>
      </c>
      <c r="K5" s="47">
        <v>1</v>
      </c>
      <c r="L5" s="53">
        <v>0</v>
      </c>
      <c r="M5" s="53">
        <v>0</v>
      </c>
      <c r="N5" s="54">
        <v>1</v>
      </c>
      <c r="O5" s="54">
        <v>1</v>
      </c>
      <c r="P5" s="54">
        <v>1</v>
      </c>
      <c r="Q5" s="102">
        <f t="shared" si="0"/>
        <v>4</v>
      </c>
      <c r="R5" s="102">
        <v>0</v>
      </c>
      <c r="T5" s="104" t="s">
        <v>48</v>
      </c>
      <c r="U5" s="54" t="str" cm="1">
        <f t="array" ref="U5">IF(K5=0,"",_xlfn.IFS(C5=1,"Setup",C17=1,"Entry",C28=1,"Bar",C39=1,""))</f>
        <v>Entry</v>
      </c>
      <c r="V5" s="54" t="str" cm="1">
        <f t="array" ref="V5">IF(L5=0,"",_xlfn.IFS(D5=1,"Setup",D17=1,"Entry",D28=1,"Bar",D39=1,""))</f>
        <v/>
      </c>
      <c r="W5" s="54" t="str" cm="1">
        <f t="array" ref="W5">IF(M5=0,"",_xlfn.IFS(E5=1,"Setup",E17=1,"Entry",E28=1,"Bar",E39=1,""))</f>
        <v/>
      </c>
      <c r="X5" s="54" t="str" cm="1">
        <f t="array" ref="X5">IF(N5=0,"",_xlfn.IFS(F5=1,"Setup",F17=1,"Entry",F28=1,"Bar",F39=1,""))</f>
        <v>Setup</v>
      </c>
      <c r="Y5" s="54" t="str" cm="1">
        <f t="array" ref="Y5">IF(O5=0,"",_xlfn.IFS(G5=1,"Setup",G17=1,"Entry",G28=1,"Bar",G39=1,""))</f>
        <v>Bar</v>
      </c>
      <c r="Z5" s="54" t="str" cm="1">
        <f t="array" ref="Z5">IF(P5=0,"",_xlfn.IFS(H5=1,"Setup",H17=1,"Entry",H28=1,"Bar",H39=1,""))</f>
        <v/>
      </c>
      <c r="AA5" s="102">
        <f t="shared" si="1"/>
        <v>3</v>
      </c>
    </row>
    <row r="6" spans="2:27" x14ac:dyDescent="0.55000000000000004">
      <c r="B6" s="104" t="s">
        <v>49</v>
      </c>
      <c r="C6" s="54">
        <v>1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J6" s="104" t="s">
        <v>49</v>
      </c>
      <c r="K6" s="47">
        <v>1</v>
      </c>
      <c r="L6" s="47">
        <v>1</v>
      </c>
      <c r="M6" s="47">
        <v>1</v>
      </c>
      <c r="N6" s="47">
        <v>1</v>
      </c>
      <c r="O6" s="47">
        <v>1</v>
      </c>
      <c r="P6" s="54">
        <v>1</v>
      </c>
      <c r="Q6" s="102">
        <f t="shared" si="0"/>
        <v>6</v>
      </c>
      <c r="R6" s="102">
        <v>0</v>
      </c>
      <c r="T6" s="104" t="s">
        <v>49</v>
      </c>
      <c r="U6" s="54" t="str" cm="1">
        <f t="array" ref="U6">IF(K6=0,"",_xlfn.IFS(C6=1,"Setup",C18=1,"Entry",C29=1,"Bar",C40=1,""))</f>
        <v>Setup</v>
      </c>
      <c r="V6" s="54" t="str" cm="1">
        <f t="array" ref="V6">IF(L6=0,"",_xlfn.IFS(D6=1,"Setup",D18=1,"Entry",D29=1,"Bar",D40=1,""))</f>
        <v>Entry</v>
      </c>
      <c r="W6" s="54" t="str" cm="1">
        <f t="array" ref="W6">IF(M6=0,"",_xlfn.IFS(E6=1,"Setup",E18=1,"Entry",E29=1,"Bar",E40=1,""))</f>
        <v/>
      </c>
      <c r="X6" s="54" t="str" cm="1">
        <f t="array" ref="X6">IF(N6=0,"",_xlfn.IFS(F6=1,"Setup",F18=1,"Entry",F29=1,"Bar",F40=1,""))</f>
        <v/>
      </c>
      <c r="Y6" s="54" t="str" cm="1">
        <f t="array" ref="Y6">IF(O6=0,"",_xlfn.IFS(G6=1,"Setup",G18=1,"Entry",G29=1,"Bar",G40=1,""))</f>
        <v/>
      </c>
      <c r="Z6" s="54" t="str" cm="1">
        <f t="array" ref="Z6">IF(P6=0,"",_xlfn.IFS(H6=1,"Setup",H18=1,"Entry",H29=1,"Bar",H40=1,""))</f>
        <v>Bar</v>
      </c>
      <c r="AA6" s="102">
        <f t="shared" si="1"/>
        <v>3</v>
      </c>
    </row>
    <row r="7" spans="2:27" x14ac:dyDescent="0.55000000000000004">
      <c r="B7" s="104" t="s">
        <v>50</v>
      </c>
      <c r="C7" s="54">
        <v>0</v>
      </c>
      <c r="D7" s="54">
        <v>0</v>
      </c>
      <c r="E7" s="54">
        <v>0</v>
      </c>
      <c r="F7" s="54">
        <v>0</v>
      </c>
      <c r="G7" s="54">
        <v>1</v>
      </c>
      <c r="H7" s="54">
        <v>0</v>
      </c>
      <c r="J7" s="104" t="s">
        <v>50</v>
      </c>
      <c r="K7" s="53">
        <v>1</v>
      </c>
      <c r="L7" s="53">
        <v>0</v>
      </c>
      <c r="M7" s="53">
        <v>1</v>
      </c>
      <c r="N7" s="53">
        <v>1</v>
      </c>
      <c r="O7" s="53">
        <v>1</v>
      </c>
      <c r="P7" s="53">
        <v>1</v>
      </c>
      <c r="Q7" s="102">
        <f t="shared" si="0"/>
        <v>5</v>
      </c>
      <c r="R7" s="102">
        <v>0</v>
      </c>
      <c r="T7" s="104" t="s">
        <v>50</v>
      </c>
      <c r="U7" s="54" t="str" cm="1">
        <f t="array" ref="U7">IF(K7=0,"",_xlfn.IFS(C7=1,"Setup",C19=1,"Entry",C30=1,"Bar",C41=1,""))</f>
        <v>Bar</v>
      </c>
      <c r="V7" s="54" t="str" cm="1">
        <f t="array" ref="V7">IF(L7=0,"",_xlfn.IFS(D7=1,"Setup",D19=1,"Entry",D30=1,"Bar",D41=1,""))</f>
        <v/>
      </c>
      <c r="W7" s="54" t="str" cm="1">
        <f t="array" ref="W7">IF(M7=0,"",_xlfn.IFS(E7=1,"Setup",E19=1,"Entry",E30=1,"Bar",E41=1,""))</f>
        <v>Bar</v>
      </c>
      <c r="X7" s="54" t="str" cm="1">
        <f t="array" ref="X7">IF(N7=0,"",_xlfn.IFS(F7=1,"Setup",F19=1,"Entry",F30=1,"Bar",F41=1,""))</f>
        <v/>
      </c>
      <c r="Y7" s="54" t="str" cm="1">
        <f t="array" ref="Y7">IF(O7=0,"",_xlfn.IFS(G7=1,"Setup",G19=1,"Entry",G30=1,"Bar",G41=1,""))</f>
        <v>Setup</v>
      </c>
      <c r="Z7" s="54" t="str" cm="1">
        <f t="array" ref="Z7">IF(P7=0,"",_xlfn.IFS(H7=1,"Setup",H19=1,"Entry",H30=1,"Bar",H41=1,""))</f>
        <v/>
      </c>
      <c r="AA7" s="102">
        <f t="shared" si="1"/>
        <v>3</v>
      </c>
    </row>
    <row r="8" spans="2:27" x14ac:dyDescent="0.55000000000000004">
      <c r="B8" s="104" t="s">
        <v>51</v>
      </c>
      <c r="C8" s="54">
        <v>0</v>
      </c>
      <c r="D8" s="54">
        <v>0</v>
      </c>
      <c r="E8" s="54">
        <v>0</v>
      </c>
      <c r="F8" s="54">
        <v>0</v>
      </c>
      <c r="G8" s="54">
        <v>0</v>
      </c>
      <c r="H8" s="54">
        <v>0</v>
      </c>
      <c r="J8" s="104" t="s">
        <v>51</v>
      </c>
      <c r="K8" s="53">
        <v>0</v>
      </c>
      <c r="L8" s="53">
        <v>0</v>
      </c>
      <c r="M8" s="53">
        <v>1</v>
      </c>
      <c r="N8" s="53">
        <v>1</v>
      </c>
      <c r="O8" s="53">
        <v>1</v>
      </c>
      <c r="P8" s="53">
        <v>1</v>
      </c>
      <c r="Q8" s="102">
        <f t="shared" si="0"/>
        <v>4</v>
      </c>
      <c r="R8" s="102">
        <v>0</v>
      </c>
      <c r="T8" s="104" t="s">
        <v>51</v>
      </c>
      <c r="U8" s="54" t="str" cm="1">
        <f t="array" ref="U8">IF(K8=0,"",_xlfn.IFS(C8=1,"Setup",C20=1,"Entry",C31=1,"Bar",C42=1,""))</f>
        <v/>
      </c>
      <c r="V8" s="54" t="str" cm="1">
        <f t="array" ref="V8">IF(L8=0,"",_xlfn.IFS(D8=1,"Setup",D20=1,"Entry",D31=1,"Bar",D42=1,""))</f>
        <v/>
      </c>
      <c r="W8" s="54" t="str" cm="1">
        <f t="array" ref="W8">IF(M8=0,"",_xlfn.IFS(E8=1,"Setup",E20=1,"Entry",E31=1,"Bar",E42=1,""))</f>
        <v>Entry</v>
      </c>
      <c r="X8" s="54" t="str" cm="1">
        <f t="array" ref="X8">IF(N8=0,"",_xlfn.IFS(F8=1,"Setup",F20=1,"Entry",F31=1,"Bar",F42=1,""))</f>
        <v>Bar</v>
      </c>
      <c r="Y8" s="54" t="str" cm="1">
        <f t="array" ref="Y8">IF(O8=0,"",_xlfn.IFS(G8=1,"Setup",G20=1,"Entry",G31=1,"Bar",G42=1,""))</f>
        <v>Entry</v>
      </c>
      <c r="Z8" s="54" t="str" cm="1">
        <f t="array" ref="Z8">IF(P8=0,"",_xlfn.IFS(H8=1,"Setup",H20=1,"Entry",H31=1,"Bar",H42=1,""))</f>
        <v/>
      </c>
      <c r="AA8" s="102">
        <f t="shared" si="1"/>
        <v>3</v>
      </c>
    </row>
    <row r="9" spans="2:27" x14ac:dyDescent="0.55000000000000004">
      <c r="B9" s="104" t="s">
        <v>52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J9" s="104" t="s">
        <v>52</v>
      </c>
      <c r="K9" s="53">
        <v>0</v>
      </c>
      <c r="L9" s="53">
        <v>0</v>
      </c>
      <c r="M9" s="53">
        <v>0</v>
      </c>
      <c r="N9" s="53">
        <v>0</v>
      </c>
      <c r="O9" s="53">
        <v>0</v>
      </c>
      <c r="P9" s="53">
        <v>0</v>
      </c>
      <c r="Q9" s="102">
        <f>SUM(K9:P9)</f>
        <v>0</v>
      </c>
      <c r="R9" s="102">
        <v>0</v>
      </c>
      <c r="T9" s="104" t="s">
        <v>52</v>
      </c>
      <c r="U9" s="54" t="str" cm="1">
        <f t="array" ref="U9">IF(K9=0,"",_xlfn.IFS(C9=1,"Setup",C21=1,"Entry",C32=1,"Bar",C43=1,""))</f>
        <v/>
      </c>
      <c r="V9" s="54" t="str" cm="1">
        <f t="array" ref="V9">IF(L9=0,"",_xlfn.IFS(D9=1,"Setup",D21=1,"Entry",D32=1,"Bar",D43=1,""))</f>
        <v/>
      </c>
      <c r="W9" s="54" t="str" cm="1">
        <f t="array" ref="W9">IF(M9=0,"",_xlfn.IFS(E9=1,"Setup",E21=1,"Entry",E32=1,"Bar",E43=1,""))</f>
        <v/>
      </c>
      <c r="X9" s="54" t="str" cm="1">
        <f t="array" ref="X9">IF(N9=0,"",_xlfn.IFS(F9=1,"Setup",F21=1,"Entry",F32=1,"Bar",F43=1,""))</f>
        <v/>
      </c>
      <c r="Y9" s="54" t="str" cm="1">
        <f t="array" ref="Y9">IF(O9=0,"",_xlfn.IFS(G9=1,"Setup",G21=1,"Entry",G32=1,"Bar",G43=1,""))</f>
        <v/>
      </c>
      <c r="Z9" s="54" t="str" cm="1">
        <f t="array" ref="Z9">IF(P9=0,"",_xlfn.IFS(H9=1,"Setup",H21=1,"Entry",H32=1,"Bar",H43=1,""))</f>
        <v/>
      </c>
      <c r="AA9" s="102">
        <f t="shared" si="1"/>
        <v>0</v>
      </c>
    </row>
    <row r="10" spans="2:27" x14ac:dyDescent="0.55000000000000004">
      <c r="J10" s="104" t="s">
        <v>130</v>
      </c>
      <c r="K10" s="102">
        <f>SUM(K3:K9)</f>
        <v>3</v>
      </c>
      <c r="L10" s="102">
        <f t="shared" ref="L10:O10" si="2">SUM(L3:L9)</f>
        <v>3</v>
      </c>
      <c r="M10" s="102">
        <f t="shared" si="2"/>
        <v>5</v>
      </c>
      <c r="N10" s="102">
        <f t="shared" si="2"/>
        <v>6</v>
      </c>
      <c r="O10" s="102">
        <f t="shared" si="2"/>
        <v>6</v>
      </c>
      <c r="P10" s="102">
        <f>SUM(P3:P9)</f>
        <v>6</v>
      </c>
      <c r="T10" s="104"/>
    </row>
    <row r="13" spans="2:27" x14ac:dyDescent="0.55000000000000004">
      <c r="J13" s="104" t="s">
        <v>137</v>
      </c>
    </row>
    <row r="14" spans="2:27" ht="14.7" thickBot="1" x14ac:dyDescent="0.6">
      <c r="B14" s="104" t="s">
        <v>35</v>
      </c>
      <c r="C14" s="102" t="s">
        <v>92</v>
      </c>
      <c r="D14" s="102" t="s">
        <v>93</v>
      </c>
      <c r="E14" s="102" t="s">
        <v>94</v>
      </c>
      <c r="F14" s="102" t="s">
        <v>95</v>
      </c>
      <c r="G14" s="102" t="s">
        <v>96</v>
      </c>
      <c r="H14" s="102" t="s">
        <v>97</v>
      </c>
      <c r="K14" s="102" t="s">
        <v>92</v>
      </c>
      <c r="L14" s="102" t="s">
        <v>93</v>
      </c>
      <c r="M14" s="102" t="s">
        <v>94</v>
      </c>
      <c r="N14" s="102" t="s">
        <v>95</v>
      </c>
      <c r="O14" s="102" t="s">
        <v>96</v>
      </c>
      <c r="P14" s="102" t="s">
        <v>97</v>
      </c>
    </row>
    <row r="15" spans="2:27" x14ac:dyDescent="0.55000000000000004">
      <c r="B15" s="104" t="s">
        <v>46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J15" s="104" t="s">
        <v>116</v>
      </c>
      <c r="K15" s="68">
        <v>1</v>
      </c>
      <c r="L15" s="68">
        <v>1</v>
      </c>
      <c r="M15" s="68">
        <v>1</v>
      </c>
      <c r="N15" s="68">
        <v>1</v>
      </c>
      <c r="O15" s="68">
        <v>1</v>
      </c>
      <c r="P15" s="68">
        <v>1</v>
      </c>
    </row>
    <row r="16" spans="2:27" x14ac:dyDescent="0.55000000000000004">
      <c r="B16" s="104" t="s">
        <v>47</v>
      </c>
      <c r="C16" s="54">
        <v>0</v>
      </c>
      <c r="D16" s="54">
        <v>0</v>
      </c>
      <c r="E16" s="54">
        <v>0</v>
      </c>
      <c r="F16" s="54">
        <v>1</v>
      </c>
      <c r="G16" s="54">
        <v>0</v>
      </c>
      <c r="H16" s="54">
        <v>1</v>
      </c>
      <c r="J16" s="104" t="s">
        <v>35</v>
      </c>
      <c r="K16" s="71">
        <v>1</v>
      </c>
      <c r="L16" s="71">
        <v>1</v>
      </c>
      <c r="M16" s="71">
        <v>1</v>
      </c>
      <c r="N16" s="71">
        <v>1</v>
      </c>
      <c r="O16" s="71">
        <v>1</v>
      </c>
      <c r="P16" s="71">
        <v>1</v>
      </c>
    </row>
    <row r="17" spans="2:16" x14ac:dyDescent="0.55000000000000004">
      <c r="B17" s="104" t="s">
        <v>48</v>
      </c>
      <c r="C17" s="54">
        <v>1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J17" s="104" t="s">
        <v>36</v>
      </c>
      <c r="K17" s="71">
        <v>1</v>
      </c>
      <c r="L17" s="71">
        <v>1</v>
      </c>
      <c r="M17" s="71">
        <v>1</v>
      </c>
      <c r="N17" s="71">
        <v>1</v>
      </c>
      <c r="O17" s="71">
        <v>1</v>
      </c>
      <c r="P17" s="71">
        <v>1</v>
      </c>
    </row>
    <row r="18" spans="2:16" x14ac:dyDescent="0.55000000000000004">
      <c r="B18" s="104" t="s">
        <v>49</v>
      </c>
      <c r="C18" s="54">
        <v>0</v>
      </c>
      <c r="D18" s="54">
        <v>1</v>
      </c>
      <c r="E18" s="54">
        <v>0</v>
      </c>
      <c r="F18" s="54">
        <v>0</v>
      </c>
      <c r="G18" s="54">
        <v>0</v>
      </c>
      <c r="H18" s="54">
        <v>0</v>
      </c>
    </row>
    <row r="19" spans="2:16" x14ac:dyDescent="0.55000000000000004">
      <c r="B19" s="104" t="s">
        <v>50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</row>
    <row r="20" spans="2:16" x14ac:dyDescent="0.55000000000000004">
      <c r="B20" s="104" t="s">
        <v>51</v>
      </c>
      <c r="C20" s="54">
        <v>0</v>
      </c>
      <c r="D20" s="54">
        <v>0</v>
      </c>
      <c r="E20" s="54">
        <v>1</v>
      </c>
      <c r="F20" s="54">
        <v>0</v>
      </c>
      <c r="G20" s="54">
        <v>1</v>
      </c>
      <c r="H20" s="54">
        <v>0</v>
      </c>
      <c r="J20" s="104" t="s">
        <v>136</v>
      </c>
    </row>
    <row r="21" spans="2:16" x14ac:dyDescent="0.55000000000000004">
      <c r="B21" s="104" t="s">
        <v>52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K21" s="102" t="s">
        <v>116</v>
      </c>
      <c r="L21" s="102" t="s">
        <v>35</v>
      </c>
      <c r="M21" s="102" t="s">
        <v>36</v>
      </c>
      <c r="N21" s="102" t="s">
        <v>115</v>
      </c>
    </row>
    <row r="22" spans="2:16" x14ac:dyDescent="0.55000000000000004">
      <c r="J22" s="104" t="s">
        <v>46</v>
      </c>
      <c r="K22" s="54">
        <v>1</v>
      </c>
      <c r="L22" s="54">
        <v>1</v>
      </c>
      <c r="M22" s="54">
        <v>1</v>
      </c>
      <c r="N22" s="54">
        <v>1</v>
      </c>
    </row>
    <row r="23" spans="2:16" x14ac:dyDescent="0.55000000000000004">
      <c r="J23" s="104" t="s">
        <v>47</v>
      </c>
      <c r="K23" s="54">
        <v>1</v>
      </c>
      <c r="L23" s="54">
        <v>1</v>
      </c>
      <c r="M23" s="54">
        <v>1</v>
      </c>
      <c r="N23" s="54">
        <v>1</v>
      </c>
    </row>
    <row r="24" spans="2:16" x14ac:dyDescent="0.55000000000000004">
      <c r="J24" s="104" t="s">
        <v>48</v>
      </c>
      <c r="K24" s="54">
        <v>1</v>
      </c>
      <c r="L24" s="54">
        <v>1</v>
      </c>
      <c r="M24" s="54">
        <v>1</v>
      </c>
      <c r="N24" s="54">
        <v>1</v>
      </c>
    </row>
    <row r="25" spans="2:16" x14ac:dyDescent="0.55000000000000004">
      <c r="B25" s="104" t="s">
        <v>36</v>
      </c>
      <c r="C25" s="102" t="s">
        <v>92</v>
      </c>
      <c r="D25" s="102" t="s">
        <v>93</v>
      </c>
      <c r="E25" s="102" t="s">
        <v>94</v>
      </c>
      <c r="F25" s="102" t="s">
        <v>95</v>
      </c>
      <c r="G25" s="102" t="s">
        <v>96</v>
      </c>
      <c r="H25" s="102" t="s">
        <v>97</v>
      </c>
      <c r="J25" s="104" t="s">
        <v>49</v>
      </c>
      <c r="K25" s="54">
        <v>1</v>
      </c>
      <c r="L25" s="54">
        <v>1</v>
      </c>
      <c r="M25" s="54">
        <v>1</v>
      </c>
      <c r="N25" s="54">
        <v>1</v>
      </c>
    </row>
    <row r="26" spans="2:16" x14ac:dyDescent="0.55000000000000004">
      <c r="B26" s="104" t="s">
        <v>46</v>
      </c>
      <c r="C26" s="54">
        <v>0</v>
      </c>
      <c r="D26" s="54">
        <v>1</v>
      </c>
      <c r="E26" s="54">
        <v>0</v>
      </c>
      <c r="F26" s="54">
        <v>0</v>
      </c>
      <c r="G26" s="54">
        <v>0</v>
      </c>
      <c r="H26" s="54">
        <v>0</v>
      </c>
      <c r="J26" s="104" t="s">
        <v>50</v>
      </c>
      <c r="K26" s="54">
        <v>1</v>
      </c>
      <c r="L26" s="54">
        <v>1</v>
      </c>
      <c r="M26" s="54">
        <v>1</v>
      </c>
      <c r="N26" s="54">
        <v>1</v>
      </c>
    </row>
    <row r="27" spans="2:16" x14ac:dyDescent="0.55000000000000004">
      <c r="B27" s="104" t="s">
        <v>47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J27" s="104" t="s">
        <v>51</v>
      </c>
      <c r="K27" s="54">
        <v>1</v>
      </c>
      <c r="L27" s="54">
        <v>1</v>
      </c>
      <c r="M27" s="54">
        <v>1</v>
      </c>
      <c r="N27" s="54">
        <v>1</v>
      </c>
    </row>
    <row r="28" spans="2:16" x14ac:dyDescent="0.55000000000000004">
      <c r="B28" s="104" t="s">
        <v>48</v>
      </c>
      <c r="C28" s="54">
        <v>0</v>
      </c>
      <c r="D28" s="54">
        <v>0</v>
      </c>
      <c r="E28" s="54">
        <v>0</v>
      </c>
      <c r="F28" s="54">
        <v>0</v>
      </c>
      <c r="G28" s="54">
        <v>1</v>
      </c>
      <c r="H28" s="54">
        <v>0</v>
      </c>
      <c r="J28" s="104" t="s">
        <v>52</v>
      </c>
      <c r="K28" s="54">
        <v>1</v>
      </c>
      <c r="L28" s="54">
        <v>1</v>
      </c>
      <c r="M28" s="54">
        <v>1</v>
      </c>
      <c r="N28" s="54">
        <v>1</v>
      </c>
    </row>
    <row r="29" spans="2:16" x14ac:dyDescent="0.55000000000000004">
      <c r="B29" s="104" t="s">
        <v>49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1</v>
      </c>
    </row>
    <row r="30" spans="2:16" x14ac:dyDescent="0.55000000000000004">
      <c r="B30" s="104" t="s">
        <v>50</v>
      </c>
      <c r="C30" s="54">
        <v>1</v>
      </c>
      <c r="D30" s="54">
        <v>0</v>
      </c>
      <c r="E30" s="54">
        <v>1</v>
      </c>
      <c r="F30" s="54">
        <v>0</v>
      </c>
      <c r="G30" s="54">
        <v>0</v>
      </c>
      <c r="H30" s="54">
        <v>0</v>
      </c>
    </row>
    <row r="31" spans="2:16" x14ac:dyDescent="0.55000000000000004">
      <c r="B31" s="104" t="s">
        <v>51</v>
      </c>
      <c r="C31" s="54">
        <v>0</v>
      </c>
      <c r="D31" s="54">
        <v>0</v>
      </c>
      <c r="E31" s="54">
        <v>0</v>
      </c>
      <c r="F31" s="54">
        <v>1</v>
      </c>
      <c r="G31" s="54">
        <v>0</v>
      </c>
      <c r="H31" s="54">
        <v>0</v>
      </c>
    </row>
    <row r="32" spans="2:16" x14ac:dyDescent="0.55000000000000004">
      <c r="B32" s="104" t="s">
        <v>52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</row>
    <row r="36" spans="2:13" x14ac:dyDescent="0.55000000000000004">
      <c r="B36" s="104" t="s">
        <v>115</v>
      </c>
      <c r="C36" s="102" t="s">
        <v>92</v>
      </c>
      <c r="D36" s="102" t="s">
        <v>93</v>
      </c>
      <c r="E36" s="102" t="s">
        <v>94</v>
      </c>
      <c r="F36" s="102" t="s">
        <v>95</v>
      </c>
      <c r="G36" s="102" t="s">
        <v>96</v>
      </c>
      <c r="H36" s="102" t="s">
        <v>97</v>
      </c>
    </row>
    <row r="37" spans="2:13" x14ac:dyDescent="0.55000000000000004">
      <c r="B37" s="104" t="s">
        <v>46</v>
      </c>
      <c r="C37" s="54">
        <v>0</v>
      </c>
      <c r="D37" s="54">
        <v>0</v>
      </c>
      <c r="E37" s="54">
        <v>0</v>
      </c>
      <c r="F37" s="54">
        <v>1</v>
      </c>
      <c r="G37" s="54">
        <v>1</v>
      </c>
      <c r="H37" s="54">
        <v>0</v>
      </c>
    </row>
    <row r="38" spans="2:13" x14ac:dyDescent="0.55000000000000004">
      <c r="B38" s="104" t="s">
        <v>47</v>
      </c>
      <c r="C38" s="54">
        <v>0</v>
      </c>
      <c r="D38" s="54">
        <v>0</v>
      </c>
      <c r="E38" s="54">
        <v>1</v>
      </c>
      <c r="F38" s="54">
        <v>0</v>
      </c>
      <c r="G38" s="54">
        <v>1</v>
      </c>
      <c r="H38" s="54">
        <v>0</v>
      </c>
    </row>
    <row r="39" spans="2:13" x14ac:dyDescent="0.55000000000000004">
      <c r="B39" s="104" t="s">
        <v>48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1</v>
      </c>
    </row>
    <row r="40" spans="2:13" x14ac:dyDescent="0.55000000000000004">
      <c r="B40" s="104" t="s">
        <v>49</v>
      </c>
      <c r="C40" s="54">
        <v>0</v>
      </c>
      <c r="D40" s="54">
        <v>0</v>
      </c>
      <c r="E40" s="54">
        <v>1</v>
      </c>
      <c r="F40" s="54">
        <v>1</v>
      </c>
      <c r="G40" s="54">
        <v>1</v>
      </c>
      <c r="H40" s="54">
        <v>0</v>
      </c>
    </row>
    <row r="41" spans="2:13" x14ac:dyDescent="0.55000000000000004">
      <c r="B41" s="104" t="s">
        <v>50</v>
      </c>
      <c r="C41" s="54">
        <v>0</v>
      </c>
      <c r="D41" s="54">
        <v>0</v>
      </c>
      <c r="E41" s="54">
        <v>0</v>
      </c>
      <c r="F41" s="54">
        <v>1</v>
      </c>
      <c r="G41" s="54">
        <v>0</v>
      </c>
      <c r="H41" s="54">
        <v>1</v>
      </c>
    </row>
    <row r="42" spans="2:13" x14ac:dyDescent="0.55000000000000004">
      <c r="B42" s="104" t="s">
        <v>51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1</v>
      </c>
    </row>
    <row r="43" spans="2:13" x14ac:dyDescent="0.55000000000000004">
      <c r="B43" s="104" t="s">
        <v>52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</row>
    <row r="45" spans="2:13" x14ac:dyDescent="0.55000000000000004">
      <c r="B45" s="104" t="s">
        <v>134</v>
      </c>
      <c r="C45" s="102">
        <v>3</v>
      </c>
      <c r="M45" s="104"/>
    </row>
    <row r="46" spans="2:13" x14ac:dyDescent="0.55000000000000004">
      <c r="B46" s="104" t="s">
        <v>13</v>
      </c>
      <c r="C46" s="102">
        <v>0</v>
      </c>
      <c r="K46" s="104" t="s">
        <v>108</v>
      </c>
      <c r="M46" s="104">
        <f>C45-C46+10*SUM(C51:G57)</f>
        <v>3</v>
      </c>
    </row>
    <row r="47" spans="2:13" x14ac:dyDescent="0.55000000000000004">
      <c r="K47" s="104"/>
      <c r="M47" s="104"/>
    </row>
    <row r="48" spans="2:13" x14ac:dyDescent="0.55000000000000004">
      <c r="K48" s="104"/>
      <c r="M48" s="104"/>
    </row>
    <row r="49" spans="1:26" x14ac:dyDescent="0.55000000000000004">
      <c r="B49" s="104" t="s">
        <v>135</v>
      </c>
      <c r="K49" s="104"/>
      <c r="M49" s="104"/>
    </row>
    <row r="50" spans="1:26" x14ac:dyDescent="0.55000000000000004">
      <c r="C50" s="102" t="str">
        <f>CONCATENATE(K2," - ",L2)</f>
        <v>16h - 17h</v>
      </c>
      <c r="D50" s="102" t="str">
        <f>CONCATENATE(L2," - ",M2)</f>
        <v>17h - 18h</v>
      </c>
      <c r="E50" s="102" t="str">
        <f>CONCATENATE(M2," - ",N2)</f>
        <v>18h - 19h</v>
      </c>
      <c r="F50" s="102" t="str">
        <f>CONCATENATE(N2," - ",O2)</f>
        <v>19h - 20h</v>
      </c>
      <c r="G50" s="102" t="str">
        <f>CONCATENATE(O2," - ",P2)</f>
        <v>20h - 21h</v>
      </c>
      <c r="K50" s="104"/>
      <c r="M50" s="104"/>
    </row>
    <row r="51" spans="1:26" x14ac:dyDescent="0.55000000000000004">
      <c r="B51" s="102" t="s">
        <v>46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</row>
    <row r="52" spans="1:26" x14ac:dyDescent="0.55000000000000004">
      <c r="B52" s="102" t="s">
        <v>47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</row>
    <row r="53" spans="1:26" x14ac:dyDescent="0.55000000000000004">
      <c r="B53" s="102" t="s">
        <v>48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</row>
    <row r="54" spans="1:26" x14ac:dyDescent="0.55000000000000004">
      <c r="B54" s="102" t="s">
        <v>49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</row>
    <row r="55" spans="1:26" x14ac:dyDescent="0.55000000000000004">
      <c r="B55" s="102" t="s">
        <v>50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</row>
    <row r="56" spans="1:26" x14ac:dyDescent="0.55000000000000004">
      <c r="B56" s="102" t="s">
        <v>51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</row>
    <row r="57" spans="1:26" x14ac:dyDescent="0.55000000000000004">
      <c r="B57" s="102" t="s">
        <v>52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</row>
    <row r="59" spans="1:26" ht="3.6" customHeight="1" x14ac:dyDescent="0.55000000000000004">
      <c r="A59" s="103"/>
      <c r="B59" s="105"/>
      <c r="C59" s="103"/>
      <c r="D59" s="103"/>
      <c r="E59" s="103"/>
      <c r="F59" s="103"/>
      <c r="G59" s="103"/>
      <c r="H59" s="103"/>
      <c r="I59" s="103"/>
      <c r="J59" s="105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1" spans="1:26" x14ac:dyDescent="0.55000000000000004">
      <c r="B61" s="16" t="s">
        <v>17</v>
      </c>
    </row>
    <row r="62" spans="1:26" x14ac:dyDescent="0.55000000000000004">
      <c r="B62" s="104" t="s">
        <v>115</v>
      </c>
      <c r="C62" s="102" t="s">
        <v>92</v>
      </c>
      <c r="D62" s="102" t="s">
        <v>93</v>
      </c>
      <c r="E62" s="102" t="s">
        <v>94</v>
      </c>
      <c r="F62" s="102" t="s">
        <v>95</v>
      </c>
      <c r="G62" s="102" t="s">
        <v>96</v>
      </c>
      <c r="H62" s="102" t="s">
        <v>97</v>
      </c>
      <c r="J62" s="104" t="s">
        <v>128</v>
      </c>
      <c r="K62" s="102" t="s">
        <v>92</v>
      </c>
      <c r="L62" s="102" t="s">
        <v>93</v>
      </c>
      <c r="M62" s="102" t="s">
        <v>94</v>
      </c>
      <c r="N62" s="102" t="s">
        <v>95</v>
      </c>
      <c r="O62" s="102" t="s">
        <v>96</v>
      </c>
      <c r="P62" s="102" t="s">
        <v>97</v>
      </c>
    </row>
    <row r="63" spans="1:26" x14ac:dyDescent="0.55000000000000004">
      <c r="B63" s="104" t="s">
        <v>46</v>
      </c>
      <c r="C63" s="102">
        <f>C3+C15+C26+C37</f>
        <v>0</v>
      </c>
      <c r="D63" s="102">
        <f t="shared" ref="D63:H63" si="3">D3+D15+D26+D37</f>
        <v>1</v>
      </c>
      <c r="E63" s="102">
        <f t="shared" si="3"/>
        <v>1</v>
      </c>
      <c r="F63" s="102">
        <f t="shared" si="3"/>
        <v>1</v>
      </c>
      <c r="G63" s="102">
        <f t="shared" si="3"/>
        <v>1</v>
      </c>
      <c r="H63" s="102">
        <f t="shared" si="3"/>
        <v>1</v>
      </c>
      <c r="I63" s="102" t="s">
        <v>20</v>
      </c>
      <c r="J63" s="104" t="s">
        <v>46</v>
      </c>
      <c r="K63" s="102">
        <f>K3</f>
        <v>0</v>
      </c>
      <c r="L63" s="102">
        <f t="shared" ref="L63:P63" si="4">L3</f>
        <v>1</v>
      </c>
      <c r="M63" s="102">
        <f t="shared" si="4"/>
        <v>1</v>
      </c>
      <c r="N63" s="102">
        <f t="shared" si="4"/>
        <v>1</v>
      </c>
      <c r="O63" s="102">
        <f t="shared" si="4"/>
        <v>1</v>
      </c>
      <c r="P63" s="102">
        <f t="shared" si="4"/>
        <v>1</v>
      </c>
    </row>
    <row r="64" spans="1:26" x14ac:dyDescent="0.55000000000000004">
      <c r="B64" s="104" t="s">
        <v>47</v>
      </c>
      <c r="C64" s="102">
        <f t="shared" ref="C64:H64" si="5">C4+C16+C27+C38</f>
        <v>0</v>
      </c>
      <c r="D64" s="102">
        <f t="shared" si="5"/>
        <v>1</v>
      </c>
      <c r="E64" s="102">
        <f t="shared" si="5"/>
        <v>1</v>
      </c>
      <c r="F64" s="102">
        <f t="shared" si="5"/>
        <v>1</v>
      </c>
      <c r="G64" s="102">
        <f t="shared" si="5"/>
        <v>1</v>
      </c>
      <c r="H64" s="102">
        <f t="shared" si="5"/>
        <v>1</v>
      </c>
      <c r="I64" s="102" t="s">
        <v>20</v>
      </c>
      <c r="J64" s="104" t="s">
        <v>47</v>
      </c>
      <c r="K64" s="102">
        <f t="shared" ref="K64:P64" si="6">K4</f>
        <v>0</v>
      </c>
      <c r="L64" s="102">
        <f t="shared" si="6"/>
        <v>1</v>
      </c>
      <c r="M64" s="102">
        <f t="shared" si="6"/>
        <v>1</v>
      </c>
      <c r="N64" s="102">
        <f t="shared" si="6"/>
        <v>1</v>
      </c>
      <c r="O64" s="102">
        <f t="shared" si="6"/>
        <v>1</v>
      </c>
      <c r="P64" s="102">
        <f t="shared" si="6"/>
        <v>1</v>
      </c>
    </row>
    <row r="65" spans="2:16" x14ac:dyDescent="0.55000000000000004">
      <c r="B65" s="104" t="s">
        <v>48</v>
      </c>
      <c r="C65" s="102">
        <f t="shared" ref="C65:H65" si="7">C5+C17+C28+C39</f>
        <v>1</v>
      </c>
      <c r="D65" s="102">
        <f t="shared" si="7"/>
        <v>0</v>
      </c>
      <c r="E65" s="102">
        <f t="shared" si="7"/>
        <v>0</v>
      </c>
      <c r="F65" s="102">
        <f t="shared" si="7"/>
        <v>1</v>
      </c>
      <c r="G65" s="102">
        <f t="shared" si="7"/>
        <v>1</v>
      </c>
      <c r="H65" s="102">
        <f t="shared" si="7"/>
        <v>1</v>
      </c>
      <c r="I65" s="102" t="s">
        <v>20</v>
      </c>
      <c r="J65" s="104" t="s">
        <v>48</v>
      </c>
      <c r="K65" s="102">
        <f t="shared" ref="K65:P65" si="8">K5</f>
        <v>1</v>
      </c>
      <c r="L65" s="102">
        <f t="shared" si="8"/>
        <v>0</v>
      </c>
      <c r="M65" s="102">
        <f t="shared" si="8"/>
        <v>0</v>
      </c>
      <c r="N65" s="102">
        <f t="shared" si="8"/>
        <v>1</v>
      </c>
      <c r="O65" s="102">
        <f t="shared" si="8"/>
        <v>1</v>
      </c>
      <c r="P65" s="102">
        <f t="shared" si="8"/>
        <v>1</v>
      </c>
    </row>
    <row r="66" spans="2:16" x14ac:dyDescent="0.55000000000000004">
      <c r="B66" s="104" t="s">
        <v>49</v>
      </c>
      <c r="C66" s="102">
        <f t="shared" ref="C66:H66" si="9">C6+C18+C29+C40</f>
        <v>1</v>
      </c>
      <c r="D66" s="102">
        <f t="shared" si="9"/>
        <v>1</v>
      </c>
      <c r="E66" s="102">
        <f t="shared" si="9"/>
        <v>1</v>
      </c>
      <c r="F66" s="102">
        <f t="shared" si="9"/>
        <v>1</v>
      </c>
      <c r="G66" s="102">
        <f t="shared" si="9"/>
        <v>1</v>
      </c>
      <c r="H66" s="102">
        <f t="shared" si="9"/>
        <v>1</v>
      </c>
      <c r="I66" s="102" t="s">
        <v>20</v>
      </c>
      <c r="J66" s="104" t="s">
        <v>49</v>
      </c>
      <c r="K66" s="102">
        <f t="shared" ref="K66:P66" si="10">K6</f>
        <v>1</v>
      </c>
      <c r="L66" s="102">
        <f>L6</f>
        <v>1</v>
      </c>
      <c r="M66" s="102">
        <f t="shared" si="10"/>
        <v>1</v>
      </c>
      <c r="N66" s="102">
        <f t="shared" si="10"/>
        <v>1</v>
      </c>
      <c r="O66" s="102">
        <f t="shared" si="10"/>
        <v>1</v>
      </c>
      <c r="P66" s="102">
        <f t="shared" si="10"/>
        <v>1</v>
      </c>
    </row>
    <row r="67" spans="2:16" x14ac:dyDescent="0.55000000000000004">
      <c r="B67" s="104" t="s">
        <v>50</v>
      </c>
      <c r="C67" s="102">
        <f t="shared" ref="C67:H67" si="11">C7+C19+C30+C41</f>
        <v>1</v>
      </c>
      <c r="D67" s="102">
        <f t="shared" si="11"/>
        <v>0</v>
      </c>
      <c r="E67" s="102">
        <f t="shared" si="11"/>
        <v>1</v>
      </c>
      <c r="F67" s="102">
        <f t="shared" si="11"/>
        <v>1</v>
      </c>
      <c r="G67" s="102">
        <f t="shared" si="11"/>
        <v>1</v>
      </c>
      <c r="H67" s="102">
        <f t="shared" si="11"/>
        <v>1</v>
      </c>
      <c r="I67" s="102" t="s">
        <v>20</v>
      </c>
      <c r="J67" s="104" t="s">
        <v>50</v>
      </c>
      <c r="K67" s="102">
        <f t="shared" ref="K67:P67" si="12">K7</f>
        <v>1</v>
      </c>
      <c r="L67" s="102">
        <f>L7</f>
        <v>0</v>
      </c>
      <c r="M67" s="102">
        <f t="shared" si="12"/>
        <v>1</v>
      </c>
      <c r="N67" s="102">
        <f t="shared" si="12"/>
        <v>1</v>
      </c>
      <c r="O67" s="102">
        <f t="shared" si="12"/>
        <v>1</v>
      </c>
      <c r="P67" s="102">
        <f t="shared" si="12"/>
        <v>1</v>
      </c>
    </row>
    <row r="68" spans="2:16" x14ac:dyDescent="0.55000000000000004">
      <c r="B68" s="104" t="s">
        <v>51</v>
      </c>
      <c r="C68" s="102">
        <f t="shared" ref="C68:H68" si="13">C8+C20+C31+C42</f>
        <v>0</v>
      </c>
      <c r="D68" s="102">
        <f t="shared" si="13"/>
        <v>0</v>
      </c>
      <c r="E68" s="102">
        <f t="shared" si="13"/>
        <v>1</v>
      </c>
      <c r="F68" s="102">
        <f t="shared" si="13"/>
        <v>1</v>
      </c>
      <c r="G68" s="102">
        <f t="shared" si="13"/>
        <v>1</v>
      </c>
      <c r="H68" s="102">
        <f t="shared" si="13"/>
        <v>1</v>
      </c>
      <c r="I68" s="102" t="s">
        <v>20</v>
      </c>
      <c r="J68" s="104" t="s">
        <v>51</v>
      </c>
      <c r="K68" s="102">
        <f t="shared" ref="K68:O68" si="14">K8</f>
        <v>0</v>
      </c>
      <c r="L68" s="102">
        <f t="shared" si="14"/>
        <v>0</v>
      </c>
      <c r="M68" s="102">
        <f t="shared" si="14"/>
        <v>1</v>
      </c>
      <c r="N68" s="102">
        <f t="shared" si="14"/>
        <v>1</v>
      </c>
      <c r="O68" s="102">
        <f t="shared" si="14"/>
        <v>1</v>
      </c>
      <c r="P68" s="102">
        <f>P8</f>
        <v>1</v>
      </c>
    </row>
    <row r="69" spans="2:16" x14ac:dyDescent="0.55000000000000004">
      <c r="B69" s="104" t="s">
        <v>52</v>
      </c>
      <c r="C69" s="102">
        <f t="shared" ref="C69:H69" si="15">C9+C21+C32+C43</f>
        <v>0</v>
      </c>
      <c r="D69" s="102">
        <f t="shared" si="15"/>
        <v>0</v>
      </c>
      <c r="E69" s="102">
        <f t="shared" si="15"/>
        <v>0</v>
      </c>
      <c r="F69" s="102">
        <f t="shared" si="15"/>
        <v>0</v>
      </c>
      <c r="G69" s="102">
        <f t="shared" si="15"/>
        <v>0</v>
      </c>
      <c r="H69" s="102">
        <f t="shared" si="15"/>
        <v>0</v>
      </c>
      <c r="I69" s="102" t="s">
        <v>20</v>
      </c>
      <c r="J69" s="104" t="s">
        <v>52</v>
      </c>
      <c r="K69" s="102">
        <f t="shared" ref="K69:O69" si="16">K9</f>
        <v>0</v>
      </c>
      <c r="L69" s="102">
        <f t="shared" si="16"/>
        <v>0</v>
      </c>
      <c r="M69" s="102">
        <f t="shared" si="16"/>
        <v>0</v>
      </c>
      <c r="N69" s="102">
        <f t="shared" si="16"/>
        <v>0</v>
      </c>
      <c r="O69" s="102">
        <f t="shared" si="16"/>
        <v>0</v>
      </c>
      <c r="P69" s="102">
        <f>P9</f>
        <v>0</v>
      </c>
    </row>
    <row r="73" spans="2:16" x14ac:dyDescent="0.55000000000000004">
      <c r="C73" s="102" t="s">
        <v>92</v>
      </c>
      <c r="D73" s="102" t="s">
        <v>93</v>
      </c>
      <c r="E73" s="102" t="s">
        <v>94</v>
      </c>
      <c r="F73" s="102" t="s">
        <v>95</v>
      </c>
      <c r="G73" s="102" t="s">
        <v>96</v>
      </c>
      <c r="H73" s="102" t="s">
        <v>97</v>
      </c>
      <c r="K73" s="102" t="s">
        <v>92</v>
      </c>
      <c r="L73" s="102" t="s">
        <v>93</v>
      </c>
      <c r="M73" s="102" t="s">
        <v>94</v>
      </c>
      <c r="N73" s="102" t="s">
        <v>95</v>
      </c>
      <c r="O73" s="102" t="s">
        <v>96</v>
      </c>
      <c r="P73" s="102" t="s">
        <v>97</v>
      </c>
    </row>
    <row r="74" spans="2:16" x14ac:dyDescent="0.55000000000000004">
      <c r="B74" s="104" t="s">
        <v>116</v>
      </c>
      <c r="C74" s="102">
        <f>SUM(C3:C9)</f>
        <v>1</v>
      </c>
      <c r="D74" s="102">
        <f t="shared" ref="D74:H74" si="17">SUM(D3:D9)</f>
        <v>1</v>
      </c>
      <c r="E74" s="102">
        <f t="shared" si="17"/>
        <v>1</v>
      </c>
      <c r="F74" s="102">
        <f t="shared" si="17"/>
        <v>1</v>
      </c>
      <c r="G74" s="102">
        <f t="shared" si="17"/>
        <v>1</v>
      </c>
      <c r="H74" s="102">
        <f t="shared" si="17"/>
        <v>1</v>
      </c>
      <c r="I74" s="102" t="s">
        <v>20</v>
      </c>
      <c r="J74" s="104" t="s">
        <v>116</v>
      </c>
      <c r="K74" s="102">
        <f>K15</f>
        <v>1</v>
      </c>
      <c r="L74" s="102">
        <f t="shared" ref="L74:P74" si="18">L15</f>
        <v>1</v>
      </c>
      <c r="M74" s="102">
        <f t="shared" si="18"/>
        <v>1</v>
      </c>
      <c r="N74" s="102">
        <f t="shared" si="18"/>
        <v>1</v>
      </c>
      <c r="O74" s="102">
        <f t="shared" si="18"/>
        <v>1</v>
      </c>
      <c r="P74" s="102">
        <f t="shared" si="18"/>
        <v>1</v>
      </c>
    </row>
    <row r="75" spans="2:16" x14ac:dyDescent="0.55000000000000004">
      <c r="B75" s="104" t="s">
        <v>35</v>
      </c>
      <c r="C75" s="102">
        <f>SUM(C15:C21)</f>
        <v>1</v>
      </c>
      <c r="D75" s="102">
        <f t="shared" ref="D75:H75" si="19">SUM(D15:D21)</f>
        <v>1</v>
      </c>
      <c r="E75" s="102">
        <f t="shared" si="19"/>
        <v>1</v>
      </c>
      <c r="F75" s="102">
        <f t="shared" si="19"/>
        <v>1</v>
      </c>
      <c r="G75" s="102">
        <f t="shared" si="19"/>
        <v>1</v>
      </c>
      <c r="H75" s="102">
        <f t="shared" si="19"/>
        <v>1</v>
      </c>
      <c r="I75" s="102" t="s">
        <v>20</v>
      </c>
      <c r="J75" s="104" t="s">
        <v>35</v>
      </c>
      <c r="K75" s="102">
        <f t="shared" ref="K75:P75" si="20">K16</f>
        <v>1</v>
      </c>
      <c r="L75" s="102">
        <f t="shared" si="20"/>
        <v>1</v>
      </c>
      <c r="M75" s="102">
        <f t="shared" si="20"/>
        <v>1</v>
      </c>
      <c r="N75" s="102">
        <f t="shared" si="20"/>
        <v>1</v>
      </c>
      <c r="O75" s="102">
        <f t="shared" si="20"/>
        <v>1</v>
      </c>
      <c r="P75" s="102">
        <f t="shared" si="20"/>
        <v>1</v>
      </c>
    </row>
    <row r="76" spans="2:16" x14ac:dyDescent="0.55000000000000004">
      <c r="B76" s="104" t="s">
        <v>36</v>
      </c>
      <c r="C76" s="102">
        <f>SUM(C26:C32)</f>
        <v>1</v>
      </c>
      <c r="D76" s="102">
        <f t="shared" ref="D76:H76" si="21">SUM(D26:D32)</f>
        <v>1</v>
      </c>
      <c r="E76" s="102">
        <f t="shared" si="21"/>
        <v>1</v>
      </c>
      <c r="F76" s="102">
        <f t="shared" si="21"/>
        <v>1</v>
      </c>
      <c r="G76" s="102">
        <f t="shared" si="21"/>
        <v>1</v>
      </c>
      <c r="H76" s="102">
        <f t="shared" si="21"/>
        <v>1</v>
      </c>
      <c r="I76" s="102" t="s">
        <v>20</v>
      </c>
      <c r="J76" s="104" t="s">
        <v>36</v>
      </c>
      <c r="K76" s="102">
        <f t="shared" ref="K76:P76" si="22">K17</f>
        <v>1</v>
      </c>
      <c r="L76" s="102">
        <f t="shared" si="22"/>
        <v>1</v>
      </c>
      <c r="M76" s="102">
        <f t="shared" si="22"/>
        <v>1</v>
      </c>
      <c r="N76" s="102">
        <f t="shared" si="22"/>
        <v>1</v>
      </c>
      <c r="O76" s="102">
        <f t="shared" si="22"/>
        <v>1</v>
      </c>
      <c r="P76" s="102">
        <f t="shared" si="22"/>
        <v>1</v>
      </c>
    </row>
    <row r="81" spans="4:14" x14ac:dyDescent="0.55000000000000004">
      <c r="D81" s="104"/>
      <c r="E81" s="102" t="s">
        <v>116</v>
      </c>
      <c r="F81" s="102" t="s">
        <v>35</v>
      </c>
      <c r="G81" s="102" t="s">
        <v>36</v>
      </c>
      <c r="H81" s="102" t="s">
        <v>115</v>
      </c>
      <c r="I81" s="28"/>
      <c r="K81" s="102" t="s">
        <v>116</v>
      </c>
      <c r="L81" s="102" t="s">
        <v>35</v>
      </c>
      <c r="M81" s="102" t="s">
        <v>36</v>
      </c>
      <c r="N81" s="102" t="s">
        <v>115</v>
      </c>
    </row>
    <row r="82" spans="4:14" x14ac:dyDescent="0.55000000000000004">
      <c r="D82" s="104" t="s">
        <v>46</v>
      </c>
      <c r="E82" s="102">
        <f>SUM(C3:H3)</f>
        <v>2</v>
      </c>
      <c r="F82" s="102">
        <f>SUM(C15:H15)</f>
        <v>0</v>
      </c>
      <c r="G82" s="102">
        <f>SUM(C26:H26)</f>
        <v>1</v>
      </c>
      <c r="H82" s="102">
        <f>SUM(C37:H37)</f>
        <v>2</v>
      </c>
      <c r="I82" s="28" t="s">
        <v>18</v>
      </c>
      <c r="J82" s="104" t="s">
        <v>46</v>
      </c>
      <c r="K82" s="102">
        <f>$Q3*K22</f>
        <v>5</v>
      </c>
      <c r="L82" s="102">
        <f t="shared" ref="L82:N82" si="23">$Q3*L22</f>
        <v>5</v>
      </c>
      <c r="M82" s="102">
        <f t="shared" si="23"/>
        <v>5</v>
      </c>
      <c r="N82" s="102">
        <f t="shared" si="23"/>
        <v>5</v>
      </c>
    </row>
    <row r="83" spans="4:14" x14ac:dyDescent="0.55000000000000004">
      <c r="D83" s="104" t="s">
        <v>47</v>
      </c>
      <c r="E83" s="102">
        <f t="shared" ref="E83:E88" si="24">SUM(C4:H4)</f>
        <v>1</v>
      </c>
      <c r="F83" s="102">
        <f t="shared" ref="F83:F88" si="25">SUM(C16:H16)</f>
        <v>2</v>
      </c>
      <c r="G83" s="102">
        <f t="shared" ref="G83:G88" si="26">SUM(C27:H27)</f>
        <v>0</v>
      </c>
      <c r="H83" s="102">
        <f t="shared" ref="H83:H88" si="27">SUM(C38:H38)</f>
        <v>2</v>
      </c>
      <c r="I83" s="28" t="s">
        <v>18</v>
      </c>
      <c r="J83" s="104" t="s">
        <v>47</v>
      </c>
      <c r="K83" s="102">
        <f t="shared" ref="K83:N83" si="28">$Q4*K23</f>
        <v>5</v>
      </c>
      <c r="L83" s="102">
        <f t="shared" si="28"/>
        <v>5</v>
      </c>
      <c r="M83" s="102">
        <f t="shared" si="28"/>
        <v>5</v>
      </c>
      <c r="N83" s="102">
        <f t="shared" si="28"/>
        <v>5</v>
      </c>
    </row>
    <row r="84" spans="4:14" x14ac:dyDescent="0.55000000000000004">
      <c r="D84" s="104" t="s">
        <v>48</v>
      </c>
      <c r="E84" s="102">
        <f t="shared" si="24"/>
        <v>1</v>
      </c>
      <c r="F84" s="102">
        <f t="shared" si="25"/>
        <v>1</v>
      </c>
      <c r="G84" s="102">
        <f t="shared" si="26"/>
        <v>1</v>
      </c>
      <c r="H84" s="102">
        <f t="shared" si="27"/>
        <v>1</v>
      </c>
      <c r="I84" s="28" t="s">
        <v>18</v>
      </c>
      <c r="J84" s="104" t="s">
        <v>48</v>
      </c>
      <c r="K84" s="102">
        <f t="shared" ref="K84:N84" si="29">$Q5*K24</f>
        <v>4</v>
      </c>
      <c r="L84" s="102">
        <f t="shared" si="29"/>
        <v>4</v>
      </c>
      <c r="M84" s="102">
        <f t="shared" si="29"/>
        <v>4</v>
      </c>
      <c r="N84" s="102">
        <f t="shared" si="29"/>
        <v>4</v>
      </c>
    </row>
    <row r="85" spans="4:14" x14ac:dyDescent="0.55000000000000004">
      <c r="D85" s="104" t="s">
        <v>49</v>
      </c>
      <c r="E85" s="102">
        <f t="shared" si="24"/>
        <v>1</v>
      </c>
      <c r="F85" s="102">
        <f t="shared" si="25"/>
        <v>1</v>
      </c>
      <c r="G85" s="102">
        <f t="shared" si="26"/>
        <v>1</v>
      </c>
      <c r="H85" s="102">
        <f t="shared" si="27"/>
        <v>3</v>
      </c>
      <c r="I85" s="28" t="s">
        <v>18</v>
      </c>
      <c r="J85" s="104" t="s">
        <v>49</v>
      </c>
      <c r="K85" s="102">
        <f t="shared" ref="K85:N85" si="30">$Q6*K25</f>
        <v>6</v>
      </c>
      <c r="L85" s="102">
        <f t="shared" si="30"/>
        <v>6</v>
      </c>
      <c r="M85" s="102">
        <f t="shared" si="30"/>
        <v>6</v>
      </c>
      <c r="N85" s="102">
        <f t="shared" si="30"/>
        <v>6</v>
      </c>
    </row>
    <row r="86" spans="4:14" x14ac:dyDescent="0.55000000000000004">
      <c r="D86" s="104" t="s">
        <v>50</v>
      </c>
      <c r="E86" s="102">
        <f t="shared" si="24"/>
        <v>1</v>
      </c>
      <c r="F86" s="102">
        <f t="shared" si="25"/>
        <v>0</v>
      </c>
      <c r="G86" s="102">
        <f t="shared" si="26"/>
        <v>2</v>
      </c>
      <c r="H86" s="102">
        <f t="shared" si="27"/>
        <v>2</v>
      </c>
      <c r="I86" s="28" t="s">
        <v>18</v>
      </c>
      <c r="J86" s="104" t="s">
        <v>50</v>
      </c>
      <c r="K86" s="102">
        <f t="shared" ref="K86:N86" si="31">$Q7*K26</f>
        <v>5</v>
      </c>
      <c r="L86" s="102">
        <f t="shared" si="31"/>
        <v>5</v>
      </c>
      <c r="M86" s="102">
        <f t="shared" si="31"/>
        <v>5</v>
      </c>
      <c r="N86" s="102">
        <f t="shared" si="31"/>
        <v>5</v>
      </c>
    </row>
    <row r="87" spans="4:14" x14ac:dyDescent="0.55000000000000004">
      <c r="D87" s="104" t="s">
        <v>51</v>
      </c>
      <c r="E87" s="102">
        <f t="shared" si="24"/>
        <v>0</v>
      </c>
      <c r="F87" s="102">
        <f t="shared" si="25"/>
        <v>2</v>
      </c>
      <c r="G87" s="102">
        <f t="shared" si="26"/>
        <v>1</v>
      </c>
      <c r="H87" s="102">
        <f t="shared" si="27"/>
        <v>1</v>
      </c>
      <c r="I87" s="28" t="s">
        <v>18</v>
      </c>
      <c r="J87" s="104" t="s">
        <v>51</v>
      </c>
      <c r="K87" s="102">
        <f t="shared" ref="K87:N87" si="32">$Q8*K27</f>
        <v>4</v>
      </c>
      <c r="L87" s="102">
        <f t="shared" si="32"/>
        <v>4</v>
      </c>
      <c r="M87" s="102">
        <f t="shared" si="32"/>
        <v>4</v>
      </c>
      <c r="N87" s="102">
        <f t="shared" si="32"/>
        <v>4</v>
      </c>
    </row>
    <row r="88" spans="4:14" x14ac:dyDescent="0.55000000000000004">
      <c r="D88" s="104" t="s">
        <v>52</v>
      </c>
      <c r="E88" s="102">
        <f t="shared" si="24"/>
        <v>0</v>
      </c>
      <c r="F88" s="102">
        <f t="shared" si="25"/>
        <v>0</v>
      </c>
      <c r="G88" s="102">
        <f t="shared" si="26"/>
        <v>0</v>
      </c>
      <c r="H88" s="102">
        <f t="shared" si="27"/>
        <v>0</v>
      </c>
      <c r="I88" s="28" t="s">
        <v>18</v>
      </c>
      <c r="J88" s="104" t="s">
        <v>52</v>
      </c>
      <c r="K88" s="102">
        <f t="shared" ref="K88:N88" si="33">$Q9*K28</f>
        <v>0</v>
      </c>
      <c r="L88" s="102">
        <f t="shared" si="33"/>
        <v>0</v>
      </c>
      <c r="M88" s="102">
        <f t="shared" si="33"/>
        <v>0</v>
      </c>
      <c r="N88" s="102">
        <f t="shared" si="33"/>
        <v>0</v>
      </c>
    </row>
    <row r="93" spans="4:14" x14ac:dyDescent="0.55000000000000004">
      <c r="H93" s="102" t="s">
        <v>133</v>
      </c>
      <c r="K93" s="104" t="s">
        <v>134</v>
      </c>
    </row>
    <row r="94" spans="4:14" x14ac:dyDescent="0.55000000000000004">
      <c r="G94" s="104" t="s">
        <v>46</v>
      </c>
      <c r="H94" s="102">
        <f>SUM(C3:H3)+SUM(C15:H15)+SUM(C26:H26)</f>
        <v>3</v>
      </c>
      <c r="I94" s="28" t="s">
        <v>18</v>
      </c>
      <c r="J94" s="104" t="s">
        <v>46</v>
      </c>
      <c r="K94" s="102">
        <f>$C$45</f>
        <v>3</v>
      </c>
    </row>
    <row r="95" spans="4:14" x14ac:dyDescent="0.55000000000000004">
      <c r="G95" s="104" t="s">
        <v>47</v>
      </c>
      <c r="H95" s="102">
        <f t="shared" ref="H95:H100" si="34">SUM(C4:H4)+SUM(C16:H16)+SUM(C27:H27)</f>
        <v>3</v>
      </c>
      <c r="I95" s="28" t="s">
        <v>18</v>
      </c>
      <c r="J95" s="104" t="s">
        <v>47</v>
      </c>
      <c r="K95" s="102">
        <f t="shared" ref="K95:K100" si="35">$C$45</f>
        <v>3</v>
      </c>
    </row>
    <row r="96" spans="4:14" x14ac:dyDescent="0.55000000000000004">
      <c r="G96" s="104" t="s">
        <v>48</v>
      </c>
      <c r="H96" s="102">
        <f t="shared" si="34"/>
        <v>3</v>
      </c>
      <c r="I96" s="28" t="s">
        <v>18</v>
      </c>
      <c r="J96" s="104" t="s">
        <v>48</v>
      </c>
      <c r="K96" s="102">
        <f t="shared" si="35"/>
        <v>3</v>
      </c>
    </row>
    <row r="97" spans="7:11" x14ac:dyDescent="0.55000000000000004">
      <c r="G97" s="104" t="s">
        <v>49</v>
      </c>
      <c r="H97" s="102">
        <f t="shared" si="34"/>
        <v>3</v>
      </c>
      <c r="I97" s="28" t="s">
        <v>18</v>
      </c>
      <c r="J97" s="104" t="s">
        <v>49</v>
      </c>
      <c r="K97" s="102">
        <f t="shared" si="35"/>
        <v>3</v>
      </c>
    </row>
    <row r="98" spans="7:11" x14ac:dyDescent="0.55000000000000004">
      <c r="G98" s="104" t="s">
        <v>50</v>
      </c>
      <c r="H98" s="102">
        <f t="shared" si="34"/>
        <v>3</v>
      </c>
      <c r="I98" s="28" t="s">
        <v>18</v>
      </c>
      <c r="J98" s="104" t="s">
        <v>50</v>
      </c>
      <c r="K98" s="102">
        <f t="shared" si="35"/>
        <v>3</v>
      </c>
    </row>
    <row r="99" spans="7:11" x14ac:dyDescent="0.55000000000000004">
      <c r="G99" s="104" t="s">
        <v>51</v>
      </c>
      <c r="H99" s="102">
        <f t="shared" si="34"/>
        <v>3</v>
      </c>
      <c r="I99" s="28" t="s">
        <v>18</v>
      </c>
      <c r="J99" s="104" t="s">
        <v>51</v>
      </c>
      <c r="K99" s="102">
        <f t="shared" si="35"/>
        <v>3</v>
      </c>
    </row>
    <row r="100" spans="7:11" x14ac:dyDescent="0.55000000000000004">
      <c r="G100" s="104" t="s">
        <v>52</v>
      </c>
      <c r="H100" s="102">
        <f t="shared" si="34"/>
        <v>0</v>
      </c>
      <c r="I100" s="28" t="s">
        <v>18</v>
      </c>
      <c r="J100" s="104" t="s">
        <v>52</v>
      </c>
      <c r="K100" s="102">
        <f t="shared" si="35"/>
        <v>3</v>
      </c>
    </row>
    <row r="105" spans="7:11" x14ac:dyDescent="0.55000000000000004">
      <c r="H105" s="102" t="s">
        <v>133</v>
      </c>
      <c r="K105" s="104" t="s">
        <v>13</v>
      </c>
    </row>
    <row r="106" spans="7:11" x14ac:dyDescent="0.55000000000000004">
      <c r="G106" s="104" t="s">
        <v>46</v>
      </c>
      <c r="H106" s="102">
        <f>SUM(C3:H3)+SUM(C15:H15)+SUM(C26:H26)</f>
        <v>3</v>
      </c>
      <c r="I106" s="28" t="s">
        <v>26</v>
      </c>
      <c r="J106" s="104" t="s">
        <v>46</v>
      </c>
      <c r="K106" s="102">
        <f>$C$46</f>
        <v>0</v>
      </c>
    </row>
    <row r="107" spans="7:11" x14ac:dyDescent="0.55000000000000004">
      <c r="G107" s="104" t="s">
        <v>47</v>
      </c>
      <c r="H107" s="102">
        <f t="shared" ref="H107:H112" si="36">SUM(C4:H4)+SUM(C16:H16)+SUM(C27:H27)</f>
        <v>3</v>
      </c>
      <c r="I107" s="28" t="s">
        <v>26</v>
      </c>
      <c r="J107" s="104" t="s">
        <v>47</v>
      </c>
      <c r="K107" s="102">
        <f t="shared" ref="K107:K112" si="37">$C$46</f>
        <v>0</v>
      </c>
    </row>
    <row r="108" spans="7:11" x14ac:dyDescent="0.55000000000000004">
      <c r="G108" s="104" t="s">
        <v>48</v>
      </c>
      <c r="H108" s="102">
        <f t="shared" si="36"/>
        <v>3</v>
      </c>
      <c r="I108" s="28" t="s">
        <v>26</v>
      </c>
      <c r="J108" s="104" t="s">
        <v>48</v>
      </c>
      <c r="K108" s="102">
        <f t="shared" si="37"/>
        <v>0</v>
      </c>
    </row>
    <row r="109" spans="7:11" x14ac:dyDescent="0.55000000000000004">
      <c r="G109" s="104" t="s">
        <v>49</v>
      </c>
      <c r="H109" s="102">
        <f t="shared" si="36"/>
        <v>3</v>
      </c>
      <c r="I109" s="28" t="s">
        <v>26</v>
      </c>
      <c r="J109" s="104" t="s">
        <v>49</v>
      </c>
      <c r="K109" s="102">
        <f t="shared" si="37"/>
        <v>0</v>
      </c>
    </row>
    <row r="110" spans="7:11" x14ac:dyDescent="0.55000000000000004">
      <c r="G110" s="104" t="s">
        <v>50</v>
      </c>
      <c r="H110" s="102">
        <f t="shared" si="36"/>
        <v>3</v>
      </c>
      <c r="I110" s="28" t="s">
        <v>26</v>
      </c>
      <c r="J110" s="104" t="s">
        <v>50</v>
      </c>
      <c r="K110" s="102">
        <f t="shared" si="37"/>
        <v>0</v>
      </c>
    </row>
    <row r="111" spans="7:11" x14ac:dyDescent="0.55000000000000004">
      <c r="G111" s="104" t="s">
        <v>51</v>
      </c>
      <c r="H111" s="102">
        <f t="shared" si="36"/>
        <v>3</v>
      </c>
      <c r="I111" s="28" t="s">
        <v>26</v>
      </c>
      <c r="J111" s="104" t="s">
        <v>51</v>
      </c>
      <c r="K111" s="102">
        <f t="shared" si="37"/>
        <v>0</v>
      </c>
    </row>
    <row r="112" spans="7:11" x14ac:dyDescent="0.55000000000000004">
      <c r="G112" s="104" t="s">
        <v>52</v>
      </c>
      <c r="H112" s="102">
        <f t="shared" si="36"/>
        <v>0</v>
      </c>
      <c r="I112" s="28" t="s">
        <v>26</v>
      </c>
      <c r="J112" s="104" t="s">
        <v>52</v>
      </c>
      <c r="K112" s="102">
        <f t="shared" si="37"/>
        <v>0</v>
      </c>
    </row>
    <row r="113" spans="2:15" x14ac:dyDescent="0.55000000000000004">
      <c r="B113" s="102"/>
    </row>
    <row r="116" spans="2:15" x14ac:dyDescent="0.55000000000000004">
      <c r="C116" s="102" t="s">
        <v>116</v>
      </c>
      <c r="D116" s="102" t="s">
        <v>92</v>
      </c>
      <c r="E116" s="102" t="s">
        <v>93</v>
      </c>
      <c r="F116" s="102" t="s">
        <v>94</v>
      </c>
      <c r="G116" s="102" t="s">
        <v>95</v>
      </c>
      <c r="H116" s="102" t="s">
        <v>96</v>
      </c>
      <c r="J116" s="102"/>
      <c r="K116" s="102" t="s">
        <v>92</v>
      </c>
      <c r="L116" s="102" t="s">
        <v>93</v>
      </c>
      <c r="M116" s="102" t="s">
        <v>94</v>
      </c>
      <c r="N116" s="102" t="s">
        <v>95</v>
      </c>
      <c r="O116" s="102" t="s">
        <v>96</v>
      </c>
    </row>
    <row r="117" spans="2:15" x14ac:dyDescent="0.55000000000000004">
      <c r="C117" s="102" t="s">
        <v>46</v>
      </c>
      <c r="D117" s="102">
        <f t="shared" ref="D117:H123" si="38">C51</f>
        <v>0</v>
      </c>
      <c r="E117" s="102">
        <f t="shared" si="38"/>
        <v>0</v>
      </c>
      <c r="F117" s="102">
        <f t="shared" si="38"/>
        <v>0</v>
      </c>
      <c r="G117" s="102">
        <f t="shared" si="38"/>
        <v>0</v>
      </c>
      <c r="H117" s="102">
        <f t="shared" si="38"/>
        <v>0</v>
      </c>
      <c r="I117" s="28" t="s">
        <v>26</v>
      </c>
      <c r="J117" s="102" t="s">
        <v>46</v>
      </c>
      <c r="K117" s="102">
        <f t="shared" ref="K117:O123" si="39">C3+D3-1</f>
        <v>-1</v>
      </c>
      <c r="L117" s="102">
        <f t="shared" si="39"/>
        <v>0</v>
      </c>
      <c r="M117" s="102">
        <f t="shared" si="39"/>
        <v>0</v>
      </c>
      <c r="N117" s="102">
        <f t="shared" si="39"/>
        <v>-1</v>
      </c>
      <c r="O117" s="102">
        <f t="shared" si="39"/>
        <v>0</v>
      </c>
    </row>
    <row r="118" spans="2:15" x14ac:dyDescent="0.55000000000000004">
      <c r="C118" s="102" t="s">
        <v>47</v>
      </c>
      <c r="D118" s="102">
        <f t="shared" si="38"/>
        <v>0</v>
      </c>
      <c r="E118" s="102">
        <f t="shared" si="38"/>
        <v>0</v>
      </c>
      <c r="F118" s="102">
        <f t="shared" si="38"/>
        <v>0</v>
      </c>
      <c r="G118" s="102">
        <f t="shared" si="38"/>
        <v>0</v>
      </c>
      <c r="H118" s="102">
        <f t="shared" si="38"/>
        <v>0</v>
      </c>
      <c r="I118" s="28" t="s">
        <v>26</v>
      </c>
      <c r="J118" s="102" t="s">
        <v>47</v>
      </c>
      <c r="K118" s="102">
        <f t="shared" si="39"/>
        <v>0</v>
      </c>
      <c r="L118" s="102">
        <f t="shared" si="39"/>
        <v>0</v>
      </c>
      <c r="M118" s="102">
        <f t="shared" si="39"/>
        <v>-1</v>
      </c>
      <c r="N118" s="102">
        <f t="shared" si="39"/>
        <v>-1</v>
      </c>
      <c r="O118" s="102">
        <f t="shared" si="39"/>
        <v>-1</v>
      </c>
    </row>
    <row r="119" spans="2:15" x14ac:dyDescent="0.55000000000000004">
      <c r="C119" s="102" t="s">
        <v>48</v>
      </c>
      <c r="D119" s="102">
        <f t="shared" si="38"/>
        <v>0</v>
      </c>
      <c r="E119" s="102">
        <f t="shared" si="38"/>
        <v>0</v>
      </c>
      <c r="F119" s="102">
        <f t="shared" si="38"/>
        <v>0</v>
      </c>
      <c r="G119" s="102">
        <f t="shared" si="38"/>
        <v>0</v>
      </c>
      <c r="H119" s="102">
        <f t="shared" si="38"/>
        <v>0</v>
      </c>
      <c r="I119" s="28" t="s">
        <v>26</v>
      </c>
      <c r="J119" s="102" t="s">
        <v>48</v>
      </c>
      <c r="K119" s="102">
        <f t="shared" si="39"/>
        <v>-1</v>
      </c>
      <c r="L119" s="102">
        <f t="shared" si="39"/>
        <v>-1</v>
      </c>
      <c r="M119" s="102">
        <f t="shared" si="39"/>
        <v>0</v>
      </c>
      <c r="N119" s="102">
        <f t="shared" si="39"/>
        <v>0</v>
      </c>
      <c r="O119" s="102">
        <f t="shared" si="39"/>
        <v>-1</v>
      </c>
    </row>
    <row r="120" spans="2:15" x14ac:dyDescent="0.55000000000000004">
      <c r="C120" s="102" t="s">
        <v>49</v>
      </c>
      <c r="D120" s="102">
        <f t="shared" si="38"/>
        <v>0</v>
      </c>
      <c r="E120" s="102">
        <f t="shared" si="38"/>
        <v>0</v>
      </c>
      <c r="F120" s="102">
        <f t="shared" si="38"/>
        <v>0</v>
      </c>
      <c r="G120" s="102">
        <f t="shared" si="38"/>
        <v>0</v>
      </c>
      <c r="H120" s="102">
        <f t="shared" si="38"/>
        <v>0</v>
      </c>
      <c r="I120" s="28" t="s">
        <v>26</v>
      </c>
      <c r="J120" s="102" t="s">
        <v>49</v>
      </c>
      <c r="K120" s="102">
        <f t="shared" si="39"/>
        <v>0</v>
      </c>
      <c r="L120" s="102">
        <f t="shared" si="39"/>
        <v>-1</v>
      </c>
      <c r="M120" s="102">
        <f t="shared" si="39"/>
        <v>-1</v>
      </c>
      <c r="N120" s="102">
        <f t="shared" si="39"/>
        <v>-1</v>
      </c>
      <c r="O120" s="102">
        <f t="shared" si="39"/>
        <v>-1</v>
      </c>
    </row>
    <row r="121" spans="2:15" x14ac:dyDescent="0.55000000000000004">
      <c r="C121" s="102" t="s">
        <v>50</v>
      </c>
      <c r="D121" s="102">
        <f t="shared" si="38"/>
        <v>0</v>
      </c>
      <c r="E121" s="102">
        <f t="shared" si="38"/>
        <v>0</v>
      </c>
      <c r="F121" s="102">
        <f t="shared" si="38"/>
        <v>0</v>
      </c>
      <c r="G121" s="102">
        <f t="shared" si="38"/>
        <v>0</v>
      </c>
      <c r="H121" s="102">
        <f t="shared" si="38"/>
        <v>0</v>
      </c>
      <c r="I121" s="28" t="s">
        <v>26</v>
      </c>
      <c r="J121" s="102" t="s">
        <v>50</v>
      </c>
      <c r="K121" s="102">
        <f t="shared" si="39"/>
        <v>-1</v>
      </c>
      <c r="L121" s="102">
        <f t="shared" si="39"/>
        <v>-1</v>
      </c>
      <c r="M121" s="102">
        <f t="shared" si="39"/>
        <v>-1</v>
      </c>
      <c r="N121" s="102">
        <f t="shared" si="39"/>
        <v>0</v>
      </c>
      <c r="O121" s="102">
        <f t="shared" si="39"/>
        <v>0</v>
      </c>
    </row>
    <row r="122" spans="2:15" x14ac:dyDescent="0.55000000000000004">
      <c r="C122" s="102" t="s">
        <v>51</v>
      </c>
      <c r="D122" s="102">
        <f t="shared" si="38"/>
        <v>0</v>
      </c>
      <c r="E122" s="102">
        <f t="shared" si="38"/>
        <v>0</v>
      </c>
      <c r="F122" s="102">
        <f t="shared" si="38"/>
        <v>0</v>
      </c>
      <c r="G122" s="102">
        <f t="shared" si="38"/>
        <v>0</v>
      </c>
      <c r="H122" s="102">
        <f t="shared" si="38"/>
        <v>0</v>
      </c>
      <c r="I122" s="28" t="s">
        <v>26</v>
      </c>
      <c r="J122" s="102" t="s">
        <v>51</v>
      </c>
      <c r="K122" s="102">
        <f t="shared" si="39"/>
        <v>-1</v>
      </c>
      <c r="L122" s="102">
        <f t="shared" si="39"/>
        <v>-1</v>
      </c>
      <c r="M122" s="102">
        <f t="shared" si="39"/>
        <v>-1</v>
      </c>
      <c r="N122" s="102">
        <f t="shared" si="39"/>
        <v>-1</v>
      </c>
      <c r="O122" s="102">
        <f t="shared" si="39"/>
        <v>-1</v>
      </c>
    </row>
    <row r="123" spans="2:15" x14ac:dyDescent="0.55000000000000004">
      <c r="C123" s="102" t="s">
        <v>52</v>
      </c>
      <c r="D123" s="102">
        <f t="shared" si="38"/>
        <v>0</v>
      </c>
      <c r="E123" s="102">
        <f t="shared" si="38"/>
        <v>0</v>
      </c>
      <c r="F123" s="102">
        <f t="shared" si="38"/>
        <v>0</v>
      </c>
      <c r="G123" s="102">
        <f t="shared" si="38"/>
        <v>0</v>
      </c>
      <c r="H123" s="102">
        <f t="shared" si="38"/>
        <v>0</v>
      </c>
      <c r="I123" s="28" t="s">
        <v>26</v>
      </c>
      <c r="J123" s="102" t="s">
        <v>52</v>
      </c>
      <c r="K123" s="102">
        <f t="shared" si="39"/>
        <v>-1</v>
      </c>
      <c r="L123" s="102">
        <f t="shared" si="39"/>
        <v>-1</v>
      </c>
      <c r="M123" s="102">
        <f t="shared" si="39"/>
        <v>-1</v>
      </c>
      <c r="N123" s="102">
        <f t="shared" si="39"/>
        <v>-1</v>
      </c>
      <c r="O123" s="102">
        <f t="shared" si="39"/>
        <v>-1</v>
      </c>
    </row>
    <row r="127" spans="2:15" x14ac:dyDescent="0.55000000000000004">
      <c r="C127" s="102" t="s">
        <v>35</v>
      </c>
      <c r="D127" s="102" t="s">
        <v>92</v>
      </c>
      <c r="E127" s="102" t="s">
        <v>93</v>
      </c>
      <c r="F127" s="102" t="s">
        <v>94</v>
      </c>
      <c r="G127" s="102" t="s">
        <v>95</v>
      </c>
      <c r="H127" s="102" t="s">
        <v>96</v>
      </c>
      <c r="J127" s="102"/>
      <c r="K127" s="102" t="s">
        <v>92</v>
      </c>
      <c r="L127" s="102" t="s">
        <v>93</v>
      </c>
      <c r="M127" s="102" t="s">
        <v>94</v>
      </c>
      <c r="N127" s="102" t="s">
        <v>95</v>
      </c>
      <c r="O127" s="102" t="s">
        <v>96</v>
      </c>
    </row>
    <row r="128" spans="2:15" x14ac:dyDescent="0.55000000000000004">
      <c r="C128" s="102" t="s">
        <v>46</v>
      </c>
      <c r="D128" s="102">
        <f t="shared" ref="D128:H134" si="40">C51</f>
        <v>0</v>
      </c>
      <c r="E128" s="102">
        <f t="shared" si="40"/>
        <v>0</v>
      </c>
      <c r="F128" s="102">
        <f t="shared" si="40"/>
        <v>0</v>
      </c>
      <c r="G128" s="102">
        <f t="shared" si="40"/>
        <v>0</v>
      </c>
      <c r="H128" s="102">
        <f t="shared" si="40"/>
        <v>0</v>
      </c>
      <c r="I128" s="28" t="s">
        <v>26</v>
      </c>
      <c r="J128" s="102" t="s">
        <v>46</v>
      </c>
      <c r="K128" s="102">
        <f t="shared" ref="K128:O134" si="41">C15+D15-1</f>
        <v>-1</v>
      </c>
      <c r="L128" s="102">
        <f t="shared" si="41"/>
        <v>-1</v>
      </c>
      <c r="M128" s="102">
        <f t="shared" si="41"/>
        <v>-1</v>
      </c>
      <c r="N128" s="102">
        <f t="shared" si="41"/>
        <v>-1</v>
      </c>
      <c r="O128" s="102">
        <f t="shared" si="41"/>
        <v>-1</v>
      </c>
    </row>
    <row r="129" spans="3:15" x14ac:dyDescent="0.55000000000000004">
      <c r="C129" s="102" t="s">
        <v>47</v>
      </c>
      <c r="D129" s="102">
        <f t="shared" si="40"/>
        <v>0</v>
      </c>
      <c r="E129" s="102">
        <f t="shared" si="40"/>
        <v>0</v>
      </c>
      <c r="F129" s="102">
        <f t="shared" si="40"/>
        <v>0</v>
      </c>
      <c r="G129" s="102">
        <f t="shared" si="40"/>
        <v>0</v>
      </c>
      <c r="H129" s="102">
        <f t="shared" si="40"/>
        <v>0</v>
      </c>
      <c r="I129" s="28" t="s">
        <v>26</v>
      </c>
      <c r="J129" s="102" t="s">
        <v>47</v>
      </c>
      <c r="K129" s="102">
        <f t="shared" si="41"/>
        <v>-1</v>
      </c>
      <c r="L129" s="102">
        <f t="shared" si="41"/>
        <v>-1</v>
      </c>
      <c r="M129" s="102">
        <f t="shared" si="41"/>
        <v>0</v>
      </c>
      <c r="N129" s="102">
        <f t="shared" si="41"/>
        <v>0</v>
      </c>
      <c r="O129" s="102">
        <f t="shared" si="41"/>
        <v>0</v>
      </c>
    </row>
    <row r="130" spans="3:15" x14ac:dyDescent="0.55000000000000004">
      <c r="C130" s="102" t="s">
        <v>48</v>
      </c>
      <c r="D130" s="102">
        <f t="shared" si="40"/>
        <v>0</v>
      </c>
      <c r="E130" s="102">
        <f t="shared" si="40"/>
        <v>0</v>
      </c>
      <c r="F130" s="102">
        <f t="shared" si="40"/>
        <v>0</v>
      </c>
      <c r="G130" s="102">
        <f t="shared" si="40"/>
        <v>0</v>
      </c>
      <c r="H130" s="102">
        <f t="shared" si="40"/>
        <v>0</v>
      </c>
      <c r="I130" s="28" t="s">
        <v>26</v>
      </c>
      <c r="J130" s="102" t="s">
        <v>48</v>
      </c>
      <c r="K130" s="102">
        <f t="shared" si="41"/>
        <v>0</v>
      </c>
      <c r="L130" s="102">
        <f t="shared" si="41"/>
        <v>-1</v>
      </c>
      <c r="M130" s="102">
        <f t="shared" si="41"/>
        <v>-1</v>
      </c>
      <c r="N130" s="102">
        <f t="shared" si="41"/>
        <v>-1</v>
      </c>
      <c r="O130" s="102">
        <f t="shared" si="41"/>
        <v>-1</v>
      </c>
    </row>
    <row r="131" spans="3:15" x14ac:dyDescent="0.55000000000000004">
      <c r="C131" s="102" t="s">
        <v>49</v>
      </c>
      <c r="D131" s="102">
        <f t="shared" si="40"/>
        <v>0</v>
      </c>
      <c r="E131" s="102">
        <f t="shared" si="40"/>
        <v>0</v>
      </c>
      <c r="F131" s="102">
        <f t="shared" si="40"/>
        <v>0</v>
      </c>
      <c r="G131" s="102">
        <f t="shared" si="40"/>
        <v>0</v>
      </c>
      <c r="H131" s="102">
        <f t="shared" si="40"/>
        <v>0</v>
      </c>
      <c r="I131" s="28" t="s">
        <v>26</v>
      </c>
      <c r="J131" s="102" t="s">
        <v>49</v>
      </c>
      <c r="K131" s="102">
        <f t="shared" si="41"/>
        <v>0</v>
      </c>
      <c r="L131" s="102">
        <f t="shared" si="41"/>
        <v>0</v>
      </c>
      <c r="M131" s="102">
        <f t="shared" si="41"/>
        <v>-1</v>
      </c>
      <c r="N131" s="102">
        <f t="shared" si="41"/>
        <v>-1</v>
      </c>
      <c r="O131" s="102">
        <f t="shared" si="41"/>
        <v>-1</v>
      </c>
    </row>
    <row r="132" spans="3:15" x14ac:dyDescent="0.55000000000000004">
      <c r="C132" s="102" t="s">
        <v>50</v>
      </c>
      <c r="D132" s="102">
        <f t="shared" si="40"/>
        <v>0</v>
      </c>
      <c r="E132" s="102">
        <f t="shared" si="40"/>
        <v>0</v>
      </c>
      <c r="F132" s="102">
        <f t="shared" si="40"/>
        <v>0</v>
      </c>
      <c r="G132" s="102">
        <f t="shared" si="40"/>
        <v>0</v>
      </c>
      <c r="H132" s="102">
        <f t="shared" si="40"/>
        <v>0</v>
      </c>
      <c r="I132" s="28" t="s">
        <v>26</v>
      </c>
      <c r="J132" s="102" t="s">
        <v>50</v>
      </c>
      <c r="K132" s="102">
        <f t="shared" si="41"/>
        <v>-1</v>
      </c>
      <c r="L132" s="102">
        <f t="shared" si="41"/>
        <v>-1</v>
      </c>
      <c r="M132" s="102">
        <f t="shared" si="41"/>
        <v>-1</v>
      </c>
      <c r="N132" s="102">
        <f t="shared" si="41"/>
        <v>-1</v>
      </c>
      <c r="O132" s="102">
        <f t="shared" si="41"/>
        <v>-1</v>
      </c>
    </row>
    <row r="133" spans="3:15" x14ac:dyDescent="0.55000000000000004">
      <c r="C133" s="102" t="s">
        <v>51</v>
      </c>
      <c r="D133" s="102">
        <f t="shared" si="40"/>
        <v>0</v>
      </c>
      <c r="E133" s="102">
        <f t="shared" si="40"/>
        <v>0</v>
      </c>
      <c r="F133" s="102">
        <f t="shared" si="40"/>
        <v>0</v>
      </c>
      <c r="G133" s="102">
        <f t="shared" si="40"/>
        <v>0</v>
      </c>
      <c r="H133" s="102">
        <f t="shared" si="40"/>
        <v>0</v>
      </c>
      <c r="I133" s="28" t="s">
        <v>26</v>
      </c>
      <c r="J133" s="102" t="s">
        <v>51</v>
      </c>
      <c r="K133" s="102">
        <f t="shared" si="41"/>
        <v>-1</v>
      </c>
      <c r="L133" s="102">
        <f t="shared" si="41"/>
        <v>0</v>
      </c>
      <c r="M133" s="102">
        <f t="shared" si="41"/>
        <v>0</v>
      </c>
      <c r="N133" s="102">
        <f t="shared" si="41"/>
        <v>0</v>
      </c>
      <c r="O133" s="102">
        <f t="shared" si="41"/>
        <v>0</v>
      </c>
    </row>
    <row r="134" spans="3:15" x14ac:dyDescent="0.55000000000000004">
      <c r="C134" s="102" t="s">
        <v>52</v>
      </c>
      <c r="D134" s="102">
        <f t="shared" si="40"/>
        <v>0</v>
      </c>
      <c r="E134" s="102">
        <f t="shared" si="40"/>
        <v>0</v>
      </c>
      <c r="F134" s="102">
        <f t="shared" si="40"/>
        <v>0</v>
      </c>
      <c r="G134" s="102">
        <f t="shared" si="40"/>
        <v>0</v>
      </c>
      <c r="H134" s="102">
        <f t="shared" si="40"/>
        <v>0</v>
      </c>
      <c r="I134" s="28" t="s">
        <v>26</v>
      </c>
      <c r="J134" s="102" t="s">
        <v>52</v>
      </c>
      <c r="K134" s="102">
        <f t="shared" si="41"/>
        <v>-1</v>
      </c>
      <c r="L134" s="102">
        <f t="shared" si="41"/>
        <v>-1</v>
      </c>
      <c r="M134" s="102">
        <f t="shared" si="41"/>
        <v>-1</v>
      </c>
      <c r="N134" s="102">
        <f t="shared" si="41"/>
        <v>-1</v>
      </c>
      <c r="O134" s="102">
        <f t="shared" si="41"/>
        <v>-1</v>
      </c>
    </row>
    <row r="138" spans="3:15" x14ac:dyDescent="0.55000000000000004">
      <c r="C138" s="102" t="s">
        <v>36</v>
      </c>
      <c r="D138" s="102" t="s">
        <v>92</v>
      </c>
      <c r="E138" s="102" t="s">
        <v>93</v>
      </c>
      <c r="F138" s="102" t="s">
        <v>94</v>
      </c>
      <c r="G138" s="102" t="s">
        <v>95</v>
      </c>
      <c r="H138" s="102" t="s">
        <v>96</v>
      </c>
      <c r="J138" s="102"/>
      <c r="K138" s="102" t="s">
        <v>92</v>
      </c>
      <c r="L138" s="102" t="s">
        <v>93</v>
      </c>
      <c r="M138" s="102" t="s">
        <v>94</v>
      </c>
      <c r="N138" s="102" t="s">
        <v>95</v>
      </c>
      <c r="O138" s="102" t="s">
        <v>96</v>
      </c>
    </row>
    <row r="139" spans="3:15" x14ac:dyDescent="0.55000000000000004">
      <c r="C139" s="102" t="s">
        <v>46</v>
      </c>
      <c r="D139" s="102">
        <f t="shared" ref="D139:H145" si="42">C51</f>
        <v>0</v>
      </c>
      <c r="E139" s="102">
        <f t="shared" si="42"/>
        <v>0</v>
      </c>
      <c r="F139" s="102">
        <f t="shared" si="42"/>
        <v>0</v>
      </c>
      <c r="G139" s="102">
        <f t="shared" si="42"/>
        <v>0</v>
      </c>
      <c r="H139" s="102">
        <f t="shared" si="42"/>
        <v>0</v>
      </c>
      <c r="I139" s="28" t="s">
        <v>26</v>
      </c>
      <c r="J139" s="102" t="s">
        <v>46</v>
      </c>
      <c r="K139" s="102">
        <f t="shared" ref="K139:O145" si="43">C26+D26-1</f>
        <v>0</v>
      </c>
      <c r="L139" s="102">
        <f t="shared" si="43"/>
        <v>0</v>
      </c>
      <c r="M139" s="102">
        <f t="shared" si="43"/>
        <v>-1</v>
      </c>
      <c r="N139" s="102">
        <f t="shared" si="43"/>
        <v>-1</v>
      </c>
      <c r="O139" s="102">
        <f t="shared" si="43"/>
        <v>-1</v>
      </c>
    </row>
    <row r="140" spans="3:15" x14ac:dyDescent="0.55000000000000004">
      <c r="C140" s="102" t="s">
        <v>47</v>
      </c>
      <c r="D140" s="102">
        <f t="shared" si="42"/>
        <v>0</v>
      </c>
      <c r="E140" s="102">
        <f t="shared" si="42"/>
        <v>0</v>
      </c>
      <c r="F140" s="102">
        <f t="shared" si="42"/>
        <v>0</v>
      </c>
      <c r="G140" s="102">
        <f t="shared" si="42"/>
        <v>0</v>
      </c>
      <c r="H140" s="102">
        <f t="shared" si="42"/>
        <v>0</v>
      </c>
      <c r="I140" s="28" t="s">
        <v>26</v>
      </c>
      <c r="J140" s="102" t="s">
        <v>47</v>
      </c>
      <c r="K140" s="102">
        <f t="shared" si="43"/>
        <v>-1</v>
      </c>
      <c r="L140" s="102">
        <f t="shared" si="43"/>
        <v>-1</v>
      </c>
      <c r="M140" s="102">
        <f t="shared" si="43"/>
        <v>-1</v>
      </c>
      <c r="N140" s="102">
        <f t="shared" si="43"/>
        <v>-1</v>
      </c>
      <c r="O140" s="102">
        <f t="shared" si="43"/>
        <v>-1</v>
      </c>
    </row>
    <row r="141" spans="3:15" x14ac:dyDescent="0.55000000000000004">
      <c r="C141" s="102" t="s">
        <v>48</v>
      </c>
      <c r="D141" s="102">
        <f t="shared" si="42"/>
        <v>0</v>
      </c>
      <c r="E141" s="102">
        <f t="shared" si="42"/>
        <v>0</v>
      </c>
      <c r="F141" s="102">
        <f t="shared" si="42"/>
        <v>0</v>
      </c>
      <c r="G141" s="102">
        <f t="shared" si="42"/>
        <v>0</v>
      </c>
      <c r="H141" s="102">
        <f t="shared" si="42"/>
        <v>0</v>
      </c>
      <c r="I141" s="28" t="s">
        <v>26</v>
      </c>
      <c r="J141" s="102" t="s">
        <v>48</v>
      </c>
      <c r="K141" s="102">
        <f t="shared" si="43"/>
        <v>-1</v>
      </c>
      <c r="L141" s="102">
        <f t="shared" si="43"/>
        <v>-1</v>
      </c>
      <c r="M141" s="102">
        <f t="shared" si="43"/>
        <v>-1</v>
      </c>
      <c r="N141" s="102">
        <f t="shared" si="43"/>
        <v>0</v>
      </c>
      <c r="O141" s="102">
        <f t="shared" si="43"/>
        <v>0</v>
      </c>
    </row>
    <row r="142" spans="3:15" x14ac:dyDescent="0.55000000000000004">
      <c r="C142" s="102" t="s">
        <v>49</v>
      </c>
      <c r="D142" s="102">
        <f t="shared" si="42"/>
        <v>0</v>
      </c>
      <c r="E142" s="102">
        <f t="shared" si="42"/>
        <v>0</v>
      </c>
      <c r="F142" s="102">
        <f t="shared" si="42"/>
        <v>0</v>
      </c>
      <c r="G142" s="102">
        <f t="shared" si="42"/>
        <v>0</v>
      </c>
      <c r="H142" s="102">
        <f t="shared" si="42"/>
        <v>0</v>
      </c>
      <c r="I142" s="28" t="s">
        <v>26</v>
      </c>
      <c r="J142" s="102" t="s">
        <v>49</v>
      </c>
      <c r="K142" s="102">
        <f t="shared" si="43"/>
        <v>-1</v>
      </c>
      <c r="L142" s="102">
        <f t="shared" si="43"/>
        <v>-1</v>
      </c>
      <c r="M142" s="102">
        <f t="shared" si="43"/>
        <v>-1</v>
      </c>
      <c r="N142" s="102">
        <f t="shared" si="43"/>
        <v>-1</v>
      </c>
      <c r="O142" s="102">
        <f t="shared" si="43"/>
        <v>0</v>
      </c>
    </row>
    <row r="143" spans="3:15" x14ac:dyDescent="0.55000000000000004">
      <c r="C143" s="102" t="s">
        <v>50</v>
      </c>
      <c r="D143" s="102">
        <f t="shared" si="42"/>
        <v>0</v>
      </c>
      <c r="E143" s="102">
        <f t="shared" si="42"/>
        <v>0</v>
      </c>
      <c r="F143" s="102">
        <f t="shared" si="42"/>
        <v>0</v>
      </c>
      <c r="G143" s="102">
        <f t="shared" si="42"/>
        <v>0</v>
      </c>
      <c r="H143" s="102">
        <f t="shared" si="42"/>
        <v>0</v>
      </c>
      <c r="I143" s="28" t="s">
        <v>26</v>
      </c>
      <c r="J143" s="102" t="s">
        <v>50</v>
      </c>
      <c r="K143" s="102">
        <f t="shared" si="43"/>
        <v>0</v>
      </c>
      <c r="L143" s="102">
        <f t="shared" si="43"/>
        <v>0</v>
      </c>
      <c r="M143" s="102">
        <f t="shared" si="43"/>
        <v>0</v>
      </c>
      <c r="N143" s="102">
        <f t="shared" si="43"/>
        <v>-1</v>
      </c>
      <c r="O143" s="102">
        <f t="shared" si="43"/>
        <v>-1</v>
      </c>
    </row>
    <row r="144" spans="3:15" x14ac:dyDescent="0.55000000000000004">
      <c r="C144" s="102" t="s">
        <v>51</v>
      </c>
      <c r="D144" s="102">
        <f t="shared" si="42"/>
        <v>0</v>
      </c>
      <c r="E144" s="102">
        <f t="shared" si="42"/>
        <v>0</v>
      </c>
      <c r="F144" s="102">
        <f t="shared" si="42"/>
        <v>0</v>
      </c>
      <c r="G144" s="102">
        <f t="shared" si="42"/>
        <v>0</v>
      </c>
      <c r="H144" s="102">
        <f t="shared" si="42"/>
        <v>0</v>
      </c>
      <c r="I144" s="28" t="s">
        <v>26</v>
      </c>
      <c r="J144" s="102" t="s">
        <v>51</v>
      </c>
      <c r="K144" s="102">
        <f t="shared" si="43"/>
        <v>-1</v>
      </c>
      <c r="L144" s="102">
        <f t="shared" si="43"/>
        <v>-1</v>
      </c>
      <c r="M144" s="102">
        <f t="shared" si="43"/>
        <v>0</v>
      </c>
      <c r="N144" s="102">
        <f t="shared" si="43"/>
        <v>0</v>
      </c>
      <c r="O144" s="102">
        <f t="shared" si="43"/>
        <v>-1</v>
      </c>
    </row>
    <row r="145" spans="3:15" x14ac:dyDescent="0.55000000000000004">
      <c r="C145" s="102" t="s">
        <v>52</v>
      </c>
      <c r="D145" s="102">
        <f t="shared" si="42"/>
        <v>0</v>
      </c>
      <c r="E145" s="102">
        <f t="shared" si="42"/>
        <v>0</v>
      </c>
      <c r="F145" s="102">
        <f t="shared" si="42"/>
        <v>0</v>
      </c>
      <c r="G145" s="102">
        <f t="shared" si="42"/>
        <v>0</v>
      </c>
      <c r="H145" s="102">
        <f t="shared" si="42"/>
        <v>0</v>
      </c>
      <c r="I145" s="28" t="s">
        <v>26</v>
      </c>
      <c r="J145" s="102" t="s">
        <v>52</v>
      </c>
      <c r="K145" s="102">
        <f t="shared" si="43"/>
        <v>-1</v>
      </c>
      <c r="L145" s="102">
        <f t="shared" si="43"/>
        <v>-1</v>
      </c>
      <c r="M145" s="102">
        <f t="shared" si="43"/>
        <v>-1</v>
      </c>
      <c r="N145" s="102">
        <f t="shared" si="43"/>
        <v>-1</v>
      </c>
      <c r="O145" s="102">
        <f t="shared" si="43"/>
        <v>-1</v>
      </c>
    </row>
  </sheetData>
  <conditionalFormatting sqref="C3:H9 C51:G57">
    <cfRule type="cellIs" dxfId="65" priority="33" operator="equal">
      <formula>0</formula>
    </cfRule>
    <cfRule type="cellIs" dxfId="64" priority="34" operator="equal">
      <formula>1</formula>
    </cfRule>
  </conditionalFormatting>
  <conditionalFormatting sqref="C15:H21">
    <cfRule type="cellIs" dxfId="63" priority="31" operator="equal">
      <formula>0</formula>
    </cfRule>
    <cfRule type="cellIs" dxfId="62" priority="32" operator="equal">
      <formula>1</formula>
    </cfRule>
  </conditionalFormatting>
  <conditionalFormatting sqref="C26:H32">
    <cfRule type="cellIs" dxfId="61" priority="29" operator="equal">
      <formula>0</formula>
    </cfRule>
    <cfRule type="cellIs" dxfId="60" priority="30" operator="equal">
      <formula>1</formula>
    </cfRule>
  </conditionalFormatting>
  <conditionalFormatting sqref="C37:H43">
    <cfRule type="cellIs" dxfId="59" priority="27" operator="equal">
      <formula>0</formula>
    </cfRule>
    <cfRule type="cellIs" dxfId="58" priority="28" operator="equal">
      <formula>1</formula>
    </cfRule>
  </conditionalFormatting>
  <conditionalFormatting sqref="K22:N28">
    <cfRule type="cellIs" dxfId="57" priority="20" operator="equal">
      <formula>0</formula>
    </cfRule>
    <cfRule type="cellIs" dxfId="56" priority="21" operator="equal">
      <formula>1</formula>
    </cfRule>
  </conditionalFormatting>
  <conditionalFormatting sqref="K3:P9">
    <cfRule type="cellIs" dxfId="55" priority="25" operator="equal">
      <formula>0</formula>
    </cfRule>
    <cfRule type="cellIs" dxfId="54" priority="26" operator="equal">
      <formula>1</formula>
    </cfRule>
  </conditionalFormatting>
  <conditionalFormatting sqref="K15:P17">
    <cfRule type="expression" dxfId="53" priority="22">
      <formula>K$27&lt;K$51</formula>
    </cfRule>
    <cfRule type="cellIs" dxfId="52" priority="23" operator="equal">
      <formula>0</formula>
    </cfRule>
    <cfRule type="colorScale" priority="24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</conditionalFormatting>
  <conditionalFormatting sqref="U3:Z9">
    <cfRule type="cellIs" dxfId="51" priority="7" operator="equal">
      <formula>"Volante"</formula>
    </cfRule>
    <cfRule type="cellIs" dxfId="50" priority="8" operator="equal">
      <formula>"Tidying"</formula>
    </cfRule>
    <cfRule type="cellIs" dxfId="49" priority="9" operator="equal">
      <formula>"Çapèse"</formula>
    </cfRule>
    <cfRule type="cellIs" dxfId="48" priority="10" operator="equal">
      <formula>"Level"</formula>
    </cfRule>
    <cfRule type="cellIs" dxfId="47" priority="11" operator="equal">
      <formula>"Toilets"</formula>
    </cfRule>
    <cfRule type="cellIs" dxfId="46" priority="12" operator="equal">
      <formula>"Homing"</formula>
    </cfRule>
    <cfRule type="cellIs" dxfId="45" priority="13" operator="equal">
      <formula>"Rez"</formula>
    </cfRule>
    <cfRule type="cellIs" dxfId="44" priority="14" operator="equal">
      <formula>"C-mix"</formula>
    </cfRule>
    <cfRule type="cellIs" dxfId="43" priority="15" operator="equal">
      <formula>"Bar"</formula>
    </cfRule>
    <cfRule type="cellIs" dxfId="42" priority="16" operator="equal">
      <formula>"Entry"</formula>
    </cfRule>
    <cfRule type="cellIs" dxfId="41" priority="17" operator="equal">
      <formula>"Setup"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ECE1-69D7-4D92-B3BA-C4EFF9863375}">
  <sheetPr codeName="Hoja2"/>
  <dimension ref="A1:AW759"/>
  <sheetViews>
    <sheetView topLeftCell="S1" zoomScale="55" zoomScaleNormal="55" workbookViewId="0">
      <selection activeCell="AJ3" sqref="AJ3"/>
    </sheetView>
  </sheetViews>
  <sheetFormatPr baseColWidth="10" defaultRowHeight="14.4" outlineLevelRow="1" x14ac:dyDescent="0.55000000000000004"/>
  <cols>
    <col min="1" max="1" width="2.734375" style="1" bestFit="1" customWidth="1"/>
    <col min="2" max="2" width="10.9453125" style="16"/>
    <col min="3" max="15" width="12.20703125" style="1" customWidth="1"/>
    <col min="16" max="16" width="10.9453125" style="1"/>
    <col min="17" max="17" width="23.1015625" style="1" customWidth="1"/>
    <col min="18" max="21" width="10.9453125" style="1"/>
    <col min="22" max="22" width="13.734375" style="1" customWidth="1"/>
    <col min="23" max="30" width="10.9453125" style="1"/>
    <col min="31" max="31" width="27.62890625" style="1" bestFit="1" customWidth="1"/>
    <col min="32" max="32" width="15.20703125" style="1" customWidth="1"/>
    <col min="33" max="33" width="10.9453125" style="1"/>
    <col min="34" max="34" width="4.5234375" style="1" customWidth="1"/>
    <col min="35" max="35" width="14.20703125" style="1" customWidth="1"/>
    <col min="36" max="48" width="10.9453125" style="1"/>
    <col min="49" max="49" width="16.89453125" style="1" bestFit="1" customWidth="1"/>
    <col min="50" max="16384" width="10.9453125" style="1"/>
  </cols>
  <sheetData>
    <row r="1" spans="1:49" ht="21.3" x14ac:dyDescent="0.55000000000000004">
      <c r="R1" s="110" t="s">
        <v>119</v>
      </c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</row>
    <row r="2" spans="1:49" ht="21.6" thickBot="1" x14ac:dyDescent="0.6">
      <c r="B2" s="39" t="str">
        <f>$Q$36</f>
        <v>Setup</v>
      </c>
      <c r="C2" s="40" t="str">
        <f>$R$2</f>
        <v>16h</v>
      </c>
      <c r="D2" s="41" t="str">
        <f>$S$2</f>
        <v>17h</v>
      </c>
      <c r="E2" s="41" t="str">
        <f>$T$2</f>
        <v>18h</v>
      </c>
      <c r="F2" s="41" t="str">
        <f>$U$2</f>
        <v>19h</v>
      </c>
      <c r="G2" s="41" t="str">
        <f>$V$2</f>
        <v>20h</v>
      </c>
      <c r="H2" s="41" t="str">
        <f>$W$2</f>
        <v>21h</v>
      </c>
      <c r="I2" s="41" t="str">
        <f>$X$2</f>
        <v>22h</v>
      </c>
      <c r="J2" s="41" t="str">
        <f>$Y$2</f>
        <v>23h</v>
      </c>
      <c r="K2" s="41" t="str">
        <f>$Z$2</f>
        <v>00h</v>
      </c>
      <c r="L2" s="41" t="str">
        <f>$AA$2</f>
        <v>01h</v>
      </c>
      <c r="M2" s="41" t="str">
        <f>$AB$2</f>
        <v>02h</v>
      </c>
      <c r="N2" s="41" t="str">
        <f>$AC$2</f>
        <v>03h</v>
      </c>
      <c r="O2" s="38" t="str">
        <f>$AD$2</f>
        <v>04h</v>
      </c>
      <c r="Q2" s="42" t="s">
        <v>117</v>
      </c>
      <c r="R2" s="43" t="s">
        <v>92</v>
      </c>
      <c r="S2" s="44" t="s">
        <v>93</v>
      </c>
      <c r="T2" s="44" t="s">
        <v>94</v>
      </c>
      <c r="U2" s="44" t="s">
        <v>95</v>
      </c>
      <c r="V2" s="44" t="s">
        <v>96</v>
      </c>
      <c r="W2" s="44" t="s">
        <v>97</v>
      </c>
      <c r="X2" s="44" t="s">
        <v>98</v>
      </c>
      <c r="Y2" s="44" t="s">
        <v>99</v>
      </c>
      <c r="Z2" s="44" t="s">
        <v>100</v>
      </c>
      <c r="AA2" s="44" t="s">
        <v>101</v>
      </c>
      <c r="AB2" s="44" t="s">
        <v>102</v>
      </c>
      <c r="AC2" s="44" t="s">
        <v>103</v>
      </c>
      <c r="AD2" s="45" t="s">
        <v>104</v>
      </c>
      <c r="AE2" s="42" t="s">
        <v>126</v>
      </c>
      <c r="AF2" s="42" t="s">
        <v>91</v>
      </c>
      <c r="AI2" s="16"/>
      <c r="AJ2" s="40" t="str">
        <f>CONCATENATE($R$2," - ",$S$2)</f>
        <v>16h - 17h</v>
      </c>
      <c r="AK2" s="41" t="str">
        <f>CONCATENATE($S$2," - ",$T$2)</f>
        <v>17h - 18h</v>
      </c>
      <c r="AL2" s="41" t="str">
        <f>CONCATENATE($T$2," - ",$U$2)</f>
        <v>18h - 19h</v>
      </c>
      <c r="AM2" s="41" t="str">
        <f>CONCATENATE($U$2," - ",$V$2)</f>
        <v>19h - 20h</v>
      </c>
      <c r="AN2" s="41" t="str">
        <f>CONCATENATE($V$2," - ",$W$2)</f>
        <v>20h - 21h</v>
      </c>
      <c r="AO2" s="41" t="str">
        <f>CONCATENATE($W$2," - ",$X$2)</f>
        <v>21h - 22h</v>
      </c>
      <c r="AP2" s="41" t="str">
        <f>CONCATENATE($X$2," - ",$Y$2)</f>
        <v>22h - 23h</v>
      </c>
      <c r="AQ2" s="41" t="str">
        <f>CONCATENATE($Y$2," - ",$Z$2)</f>
        <v>23h - 00h</v>
      </c>
      <c r="AR2" s="41" t="str">
        <f>CONCATENATE($Z$2," - ",$AA$2)</f>
        <v>00h - 01h</v>
      </c>
      <c r="AS2" s="41" t="str">
        <f>CONCATENATE($AA$2," - ",$AB$2)</f>
        <v>01h - 02h</v>
      </c>
      <c r="AT2" s="41" t="str">
        <f>CONCATENATE($AB$2," - ",$AC$2)</f>
        <v>02h - 03h</v>
      </c>
      <c r="AU2" s="41" t="str">
        <f>CONCATENATE($AC$2," - ",$AD$2)</f>
        <v>03h - 04h</v>
      </c>
      <c r="AV2" s="41" t="str">
        <f>CONCATENATE($AD$2," - ","05h")</f>
        <v>04h - 05h</v>
      </c>
      <c r="AW2" s="42" t="s">
        <v>127</v>
      </c>
    </row>
    <row r="3" spans="1:49" ht="18.3" x14ac:dyDescent="0.55000000000000004">
      <c r="A3" s="17">
        <v>1</v>
      </c>
      <c r="B3" s="46" t="str">
        <f>$Q$3</f>
        <v>Jennifer</v>
      </c>
      <c r="C3" s="47">
        <v>1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9">
        <v>0</v>
      </c>
      <c r="Q3" s="50" t="s">
        <v>46</v>
      </c>
      <c r="R3" s="47">
        <v>1</v>
      </c>
      <c r="S3" s="48">
        <v>1</v>
      </c>
      <c r="T3" s="48">
        <v>1</v>
      </c>
      <c r="U3" s="48">
        <v>1</v>
      </c>
      <c r="V3" s="48">
        <v>1</v>
      </c>
      <c r="W3" s="48">
        <v>1</v>
      </c>
      <c r="X3" s="48">
        <v>1</v>
      </c>
      <c r="Y3" s="48">
        <v>1</v>
      </c>
      <c r="Z3" s="48">
        <v>1</v>
      </c>
      <c r="AA3" s="48">
        <v>1</v>
      </c>
      <c r="AB3" s="48">
        <v>1</v>
      </c>
      <c r="AC3" s="48">
        <v>1</v>
      </c>
      <c r="AD3" s="48">
        <v>1</v>
      </c>
      <c r="AE3" s="96">
        <f>SUM(R3:AD3)</f>
        <v>13</v>
      </c>
      <c r="AF3" s="99">
        <v>0</v>
      </c>
      <c r="AH3" s="1">
        <v>1</v>
      </c>
      <c r="AI3" s="90" t="str">
        <f>$Q$3</f>
        <v>Jennifer</v>
      </c>
      <c r="AJ3" s="54" t="str" cm="1">
        <f t="array" ref="AJ3">IF(R3=0,"",_xlfn.IFS(C3=1,"Setup",C30=1,"Entry",C57=1,"Bar",C84=1,"C-mix",C111=1,"Rez",C138=1,"Homing",C165=1,"Toilets",C192=1,"Level",C219=1,"Çapèse",C246=1,"Tidying",C273=1,"Volante",C300=1,""))</f>
        <v>Setup</v>
      </c>
      <c r="AK3" s="54" t="str" cm="1">
        <f t="array" ref="AK3">IF(S3=0,"",_xlfn.IFS(D3=1,"Setup",D30=1,"Entry",D57=1,"Bar",D84=1,"C-mix",D111=1,"Rez",D138=1,"Homing",D165=1,"Toilets",D192=1,"Level",D219=1,"Çapèse",D246=1,"Tidying",D273=1,"Volante",D300=1,""))</f>
        <v/>
      </c>
      <c r="AL3" s="54" t="str" cm="1">
        <f t="array" ref="AL3">IF(T3=0,"",_xlfn.IFS(E3=1,"Setup",E30=1,"Entry",E57=1,"Bar",E84=1,"C-mix",E111=1,"Rez",E138=1,"Homing",E165=1,"Toilets",E192=1,"Level",E219=1,"Çapèse",E246=1,"Tidying",E273=1,"Volante",E300=1,""))</f>
        <v/>
      </c>
      <c r="AM3" s="54" t="str" cm="1">
        <f t="array" ref="AM3">IF(U3=0,"",_xlfn.IFS(F3=1,"Setup",F30=1,"Entry",F57=1,"Bar",F84=1,"C-mix",F111=1,"Rez",F138=1,"Homing",F165=1,"Toilets",F192=1,"Level",F219=1,"Çapèse",F246=1,"Tidying",F273=1,"Volante",F300=1,""))</f>
        <v/>
      </c>
      <c r="AN3" s="54" t="str" cm="1">
        <f t="array" ref="AN3">IF(V3=0,"",_xlfn.IFS(G3=1,"Setup",G30=1,"Entry",G57=1,"Bar",G84=1,"C-mix",G111=1,"Rez",G138=1,"Homing",G165=1,"Toilets",G192=1,"Level",G219=1,"Çapèse",G246=1,"Tidying",G273=1,"Volante",G300=1,""))</f>
        <v>Homing</v>
      </c>
      <c r="AO3" s="54" t="str" cm="1">
        <f t="array" ref="AO3">IF(W3=0,"",_xlfn.IFS(H3=1,"Setup",H30=1,"Entry",H57=1,"Bar",H84=1,"C-mix",H111=1,"Rez",H138=1,"Homing",H165=1,"Toilets",H192=1,"Level",H219=1,"Çapèse",H246=1,"Tidying",H273=1,"Volante",H300=1,""))</f>
        <v>Level</v>
      </c>
      <c r="AP3" s="54" t="str" cm="1">
        <f t="array" ref="AP3">IF(X3=0,"",_xlfn.IFS(I3=1,"Setup",I30=1,"Entry",I57=1,"Bar",I84=1,"C-mix",I111=1,"Rez",I138=1,"Homing",I165=1,"Toilets",I192=1,"Level",I219=1,"Çapèse",I246=1,"Tidying",I273=1,"Volante",I300=1,""))</f>
        <v/>
      </c>
      <c r="AQ3" s="54" t="str" cm="1">
        <f t="array" ref="AQ3">IF(Y3=0,"",_xlfn.IFS(J3=1,"Setup",J30=1,"Entry",J57=1,"Bar",J84=1,"C-mix",J111=1,"Rez",J138=1,"Homing",J165=1,"Toilets",J192=1,"Level",J219=1,"Çapèse",J246=1,"Tidying",J273=1,"Volante",J300=1,""))</f>
        <v/>
      </c>
      <c r="AR3" s="54" t="str" cm="1">
        <f t="array" ref="AR3">IF(Z3=0,"",_xlfn.IFS(K3=1,"Setup",K30=1,"Entry",K57=1,"Bar",K84=1,"C-mix",K111=1,"Rez",K138=1,"Homing",K165=1,"Toilets",K192=1,"Level",K219=1,"Çapèse",K246=1,"Tidying",K273=1,"Volante",K300=1,""))</f>
        <v>Homing</v>
      </c>
      <c r="AS3" s="54" t="str" cm="1">
        <f t="array" ref="AS3">IF(AA3=0,"",_xlfn.IFS(L3=1,"Setup",L30=1,"Entry",L57=1,"Bar",L84=1,"C-mix",L111=1,"Rez",L138=1,"Homing",L165=1,"Toilets",L192=1,"Level",L219=1,"Çapèse",L246=1,"Tidying",L273=1,"Volante",L300=1,""))</f>
        <v>Volante</v>
      </c>
      <c r="AT3" s="54" t="str" cm="1">
        <f t="array" ref="AT3">IF(AB3=0,"",_xlfn.IFS(M3=1,"Setup",M30=1,"Entry",M57=1,"Bar",M84=1,"C-mix",M111=1,"Rez",M138=1,"Homing",M165=1,"Toilets",M192=1,"Level",M219=1,"Çapèse",M246=1,"Tidying",M273=1,"Volante",M300=1,""))</f>
        <v>Level</v>
      </c>
      <c r="AU3" s="54" t="str" cm="1">
        <f t="array" ref="AU3">IF(AC3=0,"",_xlfn.IFS(N3=1,"Setup",N30=1,"Entry",N57=1,"Bar",N84=1,"C-mix",N111=1,"Rez",N138=1,"Homing",N165=1,"Toilets",N192=1,"Level",N219=1,"Çapèse",N246=1,"Tidying",N273=1,"Volante",N300=1,""))</f>
        <v>Tidying</v>
      </c>
      <c r="AV3" s="55" t="str" cm="1">
        <f t="array" ref="AV3">IF(AD3=0,"",_xlfn.IFS(O3=1,"Setup",O30=1,"Entry",O57=1,"Bar",O84=1,"C-mix",O111=1,"Rez",O138=1,"Homing",O165=1,"Toilets",O192=1,"Level",O219=1,"Çapèse",O246=1,"Tidying",O273=1,"Volante",O300=1,""))</f>
        <v>Tidying</v>
      </c>
      <c r="AW3" s="1">
        <f>O409</f>
        <v>8</v>
      </c>
    </row>
    <row r="4" spans="1:49" ht="18.3" x14ac:dyDescent="0.55000000000000004">
      <c r="A4" s="18">
        <v>2</v>
      </c>
      <c r="B4" s="52" t="str">
        <f>$Q$4</f>
        <v>Galileo</v>
      </c>
      <c r="C4" s="53">
        <v>0</v>
      </c>
      <c r="D4" s="54">
        <v>0</v>
      </c>
      <c r="E4" s="54">
        <v>0</v>
      </c>
      <c r="F4" s="54">
        <v>0</v>
      </c>
      <c r="G4" s="54">
        <v>0</v>
      </c>
      <c r="H4" s="54">
        <v>0</v>
      </c>
      <c r="I4" s="54">
        <v>0</v>
      </c>
      <c r="J4" s="54">
        <v>0</v>
      </c>
      <c r="K4" s="54">
        <v>0</v>
      </c>
      <c r="L4" s="54">
        <v>0</v>
      </c>
      <c r="M4" s="54">
        <v>0</v>
      </c>
      <c r="N4" s="54">
        <v>0</v>
      </c>
      <c r="O4" s="55">
        <v>0</v>
      </c>
      <c r="Q4" s="56" t="s">
        <v>47</v>
      </c>
      <c r="R4" s="53">
        <v>1</v>
      </c>
      <c r="S4" s="54">
        <v>1</v>
      </c>
      <c r="T4" s="54">
        <v>1</v>
      </c>
      <c r="U4" s="54">
        <v>1</v>
      </c>
      <c r="V4" s="54">
        <v>1</v>
      </c>
      <c r="W4" s="54">
        <v>1</v>
      </c>
      <c r="X4" s="54">
        <v>1</v>
      </c>
      <c r="Y4" s="54">
        <v>1</v>
      </c>
      <c r="Z4" s="54">
        <v>1</v>
      </c>
      <c r="AA4" s="54">
        <v>1</v>
      </c>
      <c r="AB4" s="54">
        <v>1</v>
      </c>
      <c r="AC4" s="54">
        <v>1</v>
      </c>
      <c r="AD4" s="54">
        <v>1</v>
      </c>
      <c r="AE4" s="97">
        <f t="shared" ref="AE4:AE26" si="0">SUM(R4:AD4)</f>
        <v>13</v>
      </c>
      <c r="AF4" s="100">
        <v>0</v>
      </c>
      <c r="AH4" s="1">
        <v>2</v>
      </c>
      <c r="AI4" s="91" t="str">
        <f>$Q$4</f>
        <v>Galileo</v>
      </c>
      <c r="AJ4" s="54" t="str" cm="1">
        <f t="array" ref="AJ4">IF(R4=0,"",_xlfn.IFS(C4=1,"Setup",C31=1,"Entry",C58=1,"Bar",C85=1,"C-mix",C112=1,"Rez",C139=1,"Homing",C166=1,"Toilets",C193=1,"Level",C220=1,"Çapèse",C247=1,"Tidying",C274=1,"Volante",C301=1,""))</f>
        <v/>
      </c>
      <c r="AK4" s="54" t="str" cm="1">
        <f t="array" ref="AK4">IF(S4=0,"",_xlfn.IFS(D4=1,"Setup",D31=1,"Entry",D58=1,"Bar",D85=1,"C-mix",D112=1,"Rez",D139=1,"Homing",D166=1,"Toilets",D193=1,"Level",D220=1,"Çapèse",D247=1,"Tidying",D274=1,"Volante",D301=1,""))</f>
        <v/>
      </c>
      <c r="AL4" s="54" t="str" cm="1">
        <f t="array" ref="AL4">IF(T4=0,"",_xlfn.IFS(E4=1,"Setup",E31=1,"Entry",E58=1,"Bar",E85=1,"C-mix",E112=1,"Rez",E139=1,"Homing",E166=1,"Toilets",E193=1,"Level",E220=1,"Çapèse",E247=1,"Tidying",E274=1,"Volante",E301=1,""))</f>
        <v>Bar</v>
      </c>
      <c r="AM4" s="54" t="str" cm="1">
        <f t="array" ref="AM4">IF(U4=0,"",_xlfn.IFS(F4=1,"Setup",F31=1,"Entry",F58=1,"Bar",F85=1,"C-mix",F112=1,"Rez",F139=1,"Homing",F166=1,"Toilets",F193=1,"Level",F220=1,"Çapèse",F247=1,"Tidying",F274=1,"Volante",F301=1,""))</f>
        <v>Çapèse</v>
      </c>
      <c r="AN4" s="54" t="str" cm="1">
        <f t="array" ref="AN4">IF(V4=0,"",_xlfn.IFS(G4=1,"Setup",G31=1,"Entry",G58=1,"Bar",G85=1,"C-mix",G112=1,"Rez",G139=1,"Homing",G166=1,"Toilets",G193=1,"Level",G220=1,"Çapèse",G247=1,"Tidying",G274=1,"Volante",G301=1,""))</f>
        <v>Rez</v>
      </c>
      <c r="AO4" s="54" t="str" cm="1">
        <f t="array" ref="AO4">IF(W4=0,"",_xlfn.IFS(H4=1,"Setup",H31=1,"Entry",H58=1,"Bar",H85=1,"C-mix",H112=1,"Rez",H139=1,"Homing",H166=1,"Toilets",H193=1,"Level",H220=1,"Çapèse",H247=1,"Tidying",H274=1,"Volante",H301=1,""))</f>
        <v/>
      </c>
      <c r="AP4" s="54" t="str" cm="1">
        <f t="array" ref="AP4">IF(X4=0,"",_xlfn.IFS(I4=1,"Setup",I31=1,"Entry",I58=1,"Bar",I85=1,"C-mix",I112=1,"Rez",I139=1,"Homing",I166=1,"Toilets",I193=1,"Level",I220=1,"Çapèse",I247=1,"Tidying",I274=1,"Volante",I301=1,""))</f>
        <v/>
      </c>
      <c r="AQ4" s="54" t="str" cm="1">
        <f t="array" ref="AQ4">IF(Y4=0,"",_xlfn.IFS(J4=1,"Setup",J31=1,"Entry",J58=1,"Bar",J85=1,"C-mix",J112=1,"Rez",J139=1,"Homing",J166=1,"Toilets",J193=1,"Level",J220=1,"Çapèse",J247=1,"Tidying",J274=1,"Volante",J301=1,""))</f>
        <v>Homing</v>
      </c>
      <c r="AR4" s="54" t="str" cm="1">
        <f t="array" ref="AR4">IF(Z4=0,"",_xlfn.IFS(K4=1,"Setup",K31=1,"Entry",K58=1,"Bar",K85=1,"C-mix",K112=1,"Rez",K139=1,"Homing",K166=1,"Toilets",K193=1,"Level",K220=1,"Çapèse",K247=1,"Tidying",K274=1,"Volante",K301=1,""))</f>
        <v>Toilets</v>
      </c>
      <c r="AS4" s="54" t="str" cm="1">
        <f t="array" ref="AS4">IF(AA4=0,"",_xlfn.IFS(L4=1,"Setup",L31=1,"Entry",L58=1,"Bar",L85=1,"C-mix",L112=1,"Rez",L139=1,"Homing",L166=1,"Toilets",L193=1,"Level",L220=1,"Çapèse",L247=1,"Tidying",L274=1,"Volante",L301=1,""))</f>
        <v>Toilets</v>
      </c>
      <c r="AT4" s="54" t="str" cm="1">
        <f t="array" ref="AT4">IF(AB4=0,"",_xlfn.IFS(M4=1,"Setup",M31=1,"Entry",M58=1,"Bar",M85=1,"C-mix",M112=1,"Rez",M139=1,"Homing",M166=1,"Toilets",M193=1,"Level",M220=1,"Çapèse",M247=1,"Tidying",M274=1,"Volante",M301=1,""))</f>
        <v>Entry</v>
      </c>
      <c r="AU4" s="54" t="str" cm="1">
        <f t="array" ref="AU4">IF(AC4=0,"",_xlfn.IFS(N4=1,"Setup",N31=1,"Entry",N58=1,"Bar",N85=1,"C-mix",N112=1,"Rez",N139=1,"Homing",N166=1,"Toilets",N193=1,"Level",N220=1,"Çapèse",N247=1,"Tidying",N274=1,"Volante",N301=1,""))</f>
        <v/>
      </c>
      <c r="AV4" s="55" t="str" cm="1">
        <f t="array" ref="AV4">IF(AD4=0,"",_xlfn.IFS(O4=1,"Setup",O31=1,"Entry",O58=1,"Bar",O85=1,"C-mix",O112=1,"Rez",O139=1,"Homing",O166=1,"Toilets",O193=1,"Level",O220=1,"Çapèse",O247=1,"Tidying",O274=1,"Volante",O301=1,""))</f>
        <v>Tidying</v>
      </c>
      <c r="AW4" s="1">
        <f t="shared" ref="AW4:AW26" si="1">O410</f>
        <v>8</v>
      </c>
    </row>
    <row r="5" spans="1:49" ht="18.3" x14ac:dyDescent="0.55000000000000004">
      <c r="A5" s="18">
        <v>3</v>
      </c>
      <c r="B5" s="52" t="str">
        <f>$Q$5</f>
        <v>Óscar</v>
      </c>
      <c r="C5" s="53">
        <v>1</v>
      </c>
      <c r="D5" s="54">
        <v>0</v>
      </c>
      <c r="E5" s="54">
        <v>0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4">
        <v>0</v>
      </c>
      <c r="O5" s="55">
        <v>0</v>
      </c>
      <c r="Q5" s="56" t="s">
        <v>48</v>
      </c>
      <c r="R5" s="53">
        <v>1</v>
      </c>
      <c r="S5" s="54">
        <v>1</v>
      </c>
      <c r="T5" s="54">
        <v>1</v>
      </c>
      <c r="U5" s="54">
        <v>1</v>
      </c>
      <c r="V5" s="54">
        <v>1</v>
      </c>
      <c r="W5" s="54">
        <v>1</v>
      </c>
      <c r="X5" s="54">
        <v>1</v>
      </c>
      <c r="Y5" s="54">
        <v>1</v>
      </c>
      <c r="Z5" s="54">
        <v>1</v>
      </c>
      <c r="AA5" s="54">
        <v>1</v>
      </c>
      <c r="AB5" s="54">
        <v>1</v>
      </c>
      <c r="AC5" s="54">
        <v>1</v>
      </c>
      <c r="AD5" s="54">
        <v>1</v>
      </c>
      <c r="AE5" s="97">
        <f t="shared" si="0"/>
        <v>13</v>
      </c>
      <c r="AF5" s="100">
        <v>0</v>
      </c>
      <c r="AH5" s="1">
        <v>3</v>
      </c>
      <c r="AI5" s="91" t="str">
        <f>$Q$5</f>
        <v>Óscar</v>
      </c>
      <c r="AJ5" s="54" t="str" cm="1">
        <f t="array" ref="AJ5">IF(R5=0,"",_xlfn.IFS(C5=1,"Setup",C32=1,"Entry",C59=1,"Bar",C86=1,"C-mix",C113=1,"Rez",C140=1,"Homing",C167=1,"Toilets",C194=1,"Level",C221=1,"Çapèse",C248=1,"Tidying",C275=1,"Volante",C302=1,""))</f>
        <v>Setup</v>
      </c>
      <c r="AK5" s="54" t="str" cm="1">
        <f t="array" ref="AK5">IF(S5=0,"",_xlfn.IFS(D5=1,"Setup",D32=1,"Entry",D59=1,"Bar",D86=1,"C-mix",D113=1,"Rez",D140=1,"Homing",D167=1,"Toilets",D194=1,"Level",D221=1,"Çapèse",D248=1,"Tidying",D275=1,"Volante",D302=1,""))</f>
        <v/>
      </c>
      <c r="AL5" s="54" t="str" cm="1">
        <f t="array" ref="AL5">IF(T5=0,"",_xlfn.IFS(E5=1,"Setup",E32=1,"Entry",E59=1,"Bar",E86=1,"C-mix",E113=1,"Rez",E140=1,"Homing",E167=1,"Toilets",E194=1,"Level",E221=1,"Çapèse",E248=1,"Tidying",E275=1,"Volante",E302=1,""))</f>
        <v/>
      </c>
      <c r="AM5" s="54" t="str" cm="1">
        <f t="array" ref="AM5">IF(U5=0,"",_xlfn.IFS(F5=1,"Setup",F32=1,"Entry",F59=1,"Bar",F86=1,"C-mix",F113=1,"Rez",F140=1,"Homing",F167=1,"Toilets",F194=1,"Level",F221=1,"Çapèse",F248=1,"Tidying",F275=1,"Volante",F302=1,""))</f>
        <v/>
      </c>
      <c r="AN5" s="54" t="str" cm="1">
        <f t="array" ref="AN5">IF(V5=0,"",_xlfn.IFS(G5=1,"Setup",G32=1,"Entry",G59=1,"Bar",G86=1,"C-mix",G113=1,"Rez",G140=1,"Homing",G167=1,"Toilets",G194=1,"Level",G221=1,"Çapèse",G248=1,"Tidying",G275=1,"Volante",G302=1,""))</f>
        <v/>
      </c>
      <c r="AO5" s="54" t="str" cm="1">
        <f t="array" ref="AO5">IF(W5=0,"",_xlfn.IFS(H5=1,"Setup",H32=1,"Entry",H59=1,"Bar",H86=1,"C-mix",H113=1,"Rez",H140=1,"Homing",H167=1,"Toilets",H194=1,"Level",H221=1,"Çapèse",H248=1,"Tidying",H275=1,"Volante",H302=1,""))</f>
        <v>Homing</v>
      </c>
      <c r="AP5" s="54" t="str" cm="1">
        <f t="array" ref="AP5">IF(X5=0,"",_xlfn.IFS(I5=1,"Setup",I32=1,"Entry",I59=1,"Bar",I86=1,"C-mix",I113=1,"Rez",I140=1,"Homing",I167=1,"Toilets",I194=1,"Level",I221=1,"Çapèse",I248=1,"Tidying",I275=1,"Volante",I302=1,""))</f>
        <v>Toilets</v>
      </c>
      <c r="AQ5" s="54" t="str" cm="1">
        <f t="array" ref="AQ5">IF(Y5=0,"",_xlfn.IFS(J5=1,"Setup",J32=1,"Entry",J59=1,"Bar",J86=1,"C-mix",J113=1,"Rez",J140=1,"Homing",J167=1,"Toilets",J194=1,"Level",J221=1,"Çapèse",J248=1,"Tidying",J275=1,"Volante",J302=1,""))</f>
        <v>Homing</v>
      </c>
      <c r="AR5" s="54" t="str" cm="1">
        <f t="array" ref="AR5">IF(Z5=0,"",_xlfn.IFS(K5=1,"Setup",K32=1,"Entry",K59=1,"Bar",K86=1,"C-mix",K113=1,"Rez",K140=1,"Homing",K167=1,"Toilets",K194=1,"Level",K221=1,"Çapèse",K248=1,"Tidying",K275=1,"Volante",K302=1,""))</f>
        <v>Bar</v>
      </c>
      <c r="AS5" s="54" t="str" cm="1">
        <f t="array" ref="AS5">IF(AA5=0,"",_xlfn.IFS(L5=1,"Setup",L32=1,"Entry",L59=1,"Bar",L86=1,"C-mix",L113=1,"Rez",L140=1,"Homing",L167=1,"Toilets",L194=1,"Level",L221=1,"Çapèse",L248=1,"Tidying",L275=1,"Volante",L302=1,""))</f>
        <v>Entry</v>
      </c>
      <c r="AT5" s="54" t="str" cm="1">
        <f t="array" ref="AT5">IF(AB5=0,"",_xlfn.IFS(M5=1,"Setup",M32=1,"Entry",M59=1,"Bar",M86=1,"C-mix",M113=1,"Rez",M140=1,"Homing",M167=1,"Toilets",M194=1,"Level",M221=1,"Çapèse",M248=1,"Tidying",M275=1,"Volante",M302=1,""))</f>
        <v>Bar</v>
      </c>
      <c r="AU5" s="54" t="str" cm="1">
        <f t="array" ref="AU5">IF(AC5=0,"",_xlfn.IFS(N5=1,"Setup",N32=1,"Entry",N59=1,"Bar",N86=1,"C-mix",N113=1,"Rez",N140=1,"Homing",N167=1,"Toilets",N194=1,"Level",N221=1,"Çapèse",N248=1,"Tidying",N275=1,"Volante",N302=1,""))</f>
        <v/>
      </c>
      <c r="AV5" s="55" t="str" cm="1">
        <f t="array" ref="AV5">IF(AD5=0,"",_xlfn.IFS(O5=1,"Setup",O32=1,"Entry",O59=1,"Bar",O86=1,"C-mix",O113=1,"Rez",O140=1,"Homing",O167=1,"Toilets",O194=1,"Level",O221=1,"Çapèse",O248=1,"Tidying",O275=1,"Volante",O302=1,""))</f>
        <v>Tidying</v>
      </c>
      <c r="AW5" s="1">
        <f t="shared" si="1"/>
        <v>8</v>
      </c>
    </row>
    <row r="6" spans="1:49" ht="18.3" x14ac:dyDescent="0.55000000000000004">
      <c r="A6" s="18">
        <v>4</v>
      </c>
      <c r="B6" s="52" t="str">
        <f>$Q$6</f>
        <v>Sebastián</v>
      </c>
      <c r="C6" s="53">
        <v>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5">
        <v>0</v>
      </c>
      <c r="Q6" s="56" t="s">
        <v>49</v>
      </c>
      <c r="R6" s="53">
        <v>1</v>
      </c>
      <c r="S6" s="54">
        <v>1</v>
      </c>
      <c r="T6" s="54">
        <v>1</v>
      </c>
      <c r="U6" s="54">
        <v>1</v>
      </c>
      <c r="V6" s="54">
        <v>1</v>
      </c>
      <c r="W6" s="54">
        <v>1</v>
      </c>
      <c r="X6" s="54">
        <v>1</v>
      </c>
      <c r="Y6" s="54">
        <v>1</v>
      </c>
      <c r="Z6" s="54">
        <v>1</v>
      </c>
      <c r="AA6" s="54">
        <v>1</v>
      </c>
      <c r="AB6" s="54">
        <v>1</v>
      </c>
      <c r="AC6" s="54">
        <v>1</v>
      </c>
      <c r="AD6" s="54">
        <v>1</v>
      </c>
      <c r="AE6" s="97">
        <f t="shared" si="0"/>
        <v>13</v>
      </c>
      <c r="AF6" s="100">
        <v>0</v>
      </c>
      <c r="AH6" s="1">
        <v>4</v>
      </c>
      <c r="AI6" s="91" t="str">
        <f>$Q$6</f>
        <v>Sebastián</v>
      </c>
      <c r="AJ6" s="54" t="str" cm="1">
        <f t="array" ref="AJ6">IF(R6=0,"",_xlfn.IFS(C6=1,"Setup",C33=1,"Entry",C60=1,"Bar",C87=1,"C-mix",C114=1,"Rez",C141=1,"Homing",C168=1,"Toilets",C195=1,"Level",C222=1,"Çapèse",C249=1,"Tidying",C276=1,"Volante",C303=1,""))</f>
        <v/>
      </c>
      <c r="AK6" s="54" t="str" cm="1">
        <f t="array" ref="AK6">IF(S6=0,"",_xlfn.IFS(D6=1,"Setup",D33=1,"Entry",D60=1,"Bar",D87=1,"C-mix",D114=1,"Rez",D141=1,"Homing",D168=1,"Toilets",D195=1,"Level",D222=1,"Çapèse",D249=1,"Tidying",D276=1,"Volante",D303=1,""))</f>
        <v/>
      </c>
      <c r="AL6" s="54" t="str" cm="1">
        <f t="array" ref="AL6">IF(T6=0,"",_xlfn.IFS(E6=1,"Setup",E33=1,"Entry",E60=1,"Bar",E87=1,"C-mix",E114=1,"Rez",E141=1,"Homing",E168=1,"Toilets",E195=1,"Level",E222=1,"Çapèse",E249=1,"Tidying",E276=1,"Volante",E303=1,""))</f>
        <v/>
      </c>
      <c r="AM6" s="54" t="str" cm="1">
        <f t="array" ref="AM6">IF(U6=0,"",_xlfn.IFS(F6=1,"Setup",F33=1,"Entry",F60=1,"Bar",F87=1,"C-mix",F114=1,"Rez",F141=1,"Homing",F168=1,"Toilets",F195=1,"Level",F222=1,"Çapèse",F249=1,"Tidying",F276=1,"Volante",F303=1,""))</f>
        <v>Bar</v>
      </c>
      <c r="AN6" s="54" t="str" cm="1">
        <f t="array" ref="AN6">IF(V6=0,"",_xlfn.IFS(G6=1,"Setup",G33=1,"Entry",G60=1,"Bar",G87=1,"C-mix",G114=1,"Rez",G141=1,"Homing",G168=1,"Toilets",G195=1,"Level",G222=1,"Çapèse",G249=1,"Tidying",G276=1,"Volante",G303=1,""))</f>
        <v>Volante</v>
      </c>
      <c r="AO6" s="54" t="str" cm="1">
        <f t="array" ref="AO6">IF(W6=0,"",_xlfn.IFS(H6=1,"Setup",H33=1,"Entry",H60=1,"Bar",H87=1,"C-mix",H114=1,"Rez",H141=1,"Homing",H168=1,"Toilets",H195=1,"Level",H222=1,"Çapèse",H249=1,"Tidying",H276=1,"Volante",H303=1,""))</f>
        <v>Rez</v>
      </c>
      <c r="AP6" s="54" t="str" cm="1">
        <f t="array" ref="AP6">IF(X6=0,"",_xlfn.IFS(I6=1,"Setup",I33=1,"Entry",I60=1,"Bar",I87=1,"C-mix",I114=1,"Rez",I141=1,"Homing",I168=1,"Toilets",I195=1,"Level",I222=1,"Çapèse",I249=1,"Tidying",I276=1,"Volante",I303=1,""))</f>
        <v>Homing</v>
      </c>
      <c r="AQ6" s="54" t="str" cm="1">
        <f t="array" ref="AQ6">IF(Y6=0,"",_xlfn.IFS(J6=1,"Setup",J33=1,"Entry",J60=1,"Bar",J87=1,"C-mix",J114=1,"Rez",J141=1,"Homing",J168=1,"Toilets",J195=1,"Level",J222=1,"Çapèse",J249=1,"Tidying",J276=1,"Volante",J303=1,""))</f>
        <v>Homing</v>
      </c>
      <c r="AR6" s="54" t="str" cm="1">
        <f t="array" ref="AR6">IF(Z6=0,"",_xlfn.IFS(K6=1,"Setup",K33=1,"Entry",K60=1,"Bar",K87=1,"C-mix",K114=1,"Rez",K141=1,"Homing",K168=1,"Toilets",K195=1,"Level",K222=1,"Çapèse",K249=1,"Tidying",K276=1,"Volante",K303=1,""))</f>
        <v>Toilets</v>
      </c>
      <c r="AS6" s="54" t="str" cm="1">
        <f t="array" ref="AS6">IF(AA6=0,"",_xlfn.IFS(L6=1,"Setup",L33=1,"Entry",L60=1,"Bar",L87=1,"C-mix",L114=1,"Rez",L141=1,"Homing",L168=1,"Toilets",L195=1,"Level",L222=1,"Çapèse",L249=1,"Tidying",L276=1,"Volante",L303=1,""))</f>
        <v/>
      </c>
      <c r="AT6" s="54" t="str" cm="1">
        <f t="array" ref="AT6">IF(AB6=0,"",_xlfn.IFS(M6=1,"Setup",M33=1,"Entry",M60=1,"Bar",M87=1,"C-mix",M114=1,"Rez",M141=1,"Homing",M168=1,"Toilets",M195=1,"Level",M222=1,"Çapèse",M249=1,"Tidying",M276=1,"Volante",M303=1,""))</f>
        <v>Rez</v>
      </c>
      <c r="AU6" s="54" t="str" cm="1">
        <f t="array" ref="AU6">IF(AC6=0,"",_xlfn.IFS(N6=1,"Setup",N33=1,"Entry",N60=1,"Bar",N87=1,"C-mix",N114=1,"Rez",N141=1,"Homing",N168=1,"Toilets",N195=1,"Level",N222=1,"Çapèse",N249=1,"Tidying",N276=1,"Volante",N303=1,""))</f>
        <v>Tidying</v>
      </c>
      <c r="AV6" s="55" t="str" cm="1">
        <f t="array" ref="AV6">IF(AD6=0,"",_xlfn.IFS(O6=1,"Setup",O33=1,"Entry",O60=1,"Bar",O87=1,"C-mix",O114=1,"Rez",O141=1,"Homing",O168=1,"Toilets",O195=1,"Level",O222=1,"Çapèse",O249=1,"Tidying",O276=1,"Volante",O303=1,""))</f>
        <v/>
      </c>
      <c r="AW6" s="1">
        <f t="shared" si="1"/>
        <v>8</v>
      </c>
    </row>
    <row r="7" spans="1:49" ht="18.3" x14ac:dyDescent="0.55000000000000004">
      <c r="A7" s="18">
        <v>5</v>
      </c>
      <c r="B7" s="52" t="str">
        <f>$Q$7</f>
        <v>Marcos</v>
      </c>
      <c r="C7" s="53">
        <v>1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54">
        <v>0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5">
        <v>0</v>
      </c>
      <c r="Q7" s="56" t="s">
        <v>50</v>
      </c>
      <c r="R7" s="53">
        <v>1</v>
      </c>
      <c r="S7" s="54">
        <v>1</v>
      </c>
      <c r="T7" s="54">
        <v>1</v>
      </c>
      <c r="U7" s="54">
        <v>1</v>
      </c>
      <c r="V7" s="54">
        <v>1</v>
      </c>
      <c r="W7" s="54">
        <v>1</v>
      </c>
      <c r="X7" s="54">
        <v>1</v>
      </c>
      <c r="Y7" s="54">
        <v>1</v>
      </c>
      <c r="Z7" s="54">
        <v>1</v>
      </c>
      <c r="AA7" s="54">
        <v>1</v>
      </c>
      <c r="AB7" s="54">
        <v>1</v>
      </c>
      <c r="AC7" s="54">
        <v>1</v>
      </c>
      <c r="AD7" s="54">
        <v>1</v>
      </c>
      <c r="AE7" s="97">
        <f t="shared" si="0"/>
        <v>13</v>
      </c>
      <c r="AF7" s="100">
        <v>0</v>
      </c>
      <c r="AH7" s="1">
        <v>5</v>
      </c>
      <c r="AI7" s="91" t="str">
        <f>$Q$7</f>
        <v>Marcos</v>
      </c>
      <c r="AJ7" s="54" t="str" cm="1">
        <f t="array" ref="AJ7">IF(R7=0,"",_xlfn.IFS(C7=1,"Setup",C34=1,"Entry",C61=1,"Bar",C88=1,"C-mix",C115=1,"Rez",C142=1,"Homing",C169=1,"Toilets",C196=1,"Level",C223=1,"Çapèse",C250=1,"Tidying",C277=1,"Volante",C304=1,""))</f>
        <v>Setup</v>
      </c>
      <c r="AK7" s="54" t="str" cm="1">
        <f t="array" ref="AK7">IF(S7=0,"",_xlfn.IFS(D7=1,"Setup",D34=1,"Entry",D61=1,"Bar",D88=1,"C-mix",D115=1,"Rez",D142=1,"Homing",D169=1,"Toilets",D196=1,"Level",D223=1,"Çapèse",D250=1,"Tidying",D277=1,"Volante",D304=1,""))</f>
        <v/>
      </c>
      <c r="AL7" s="54" t="str" cm="1">
        <f t="array" ref="AL7">IF(T7=0,"",_xlfn.IFS(E7=1,"Setup",E34=1,"Entry",E61=1,"Bar",E88=1,"C-mix",E115=1,"Rez",E142=1,"Homing",E169=1,"Toilets",E196=1,"Level",E223=1,"Çapèse",E250=1,"Tidying",E277=1,"Volante",E304=1,""))</f>
        <v>Homing</v>
      </c>
      <c r="AM7" s="54" t="str" cm="1">
        <f t="array" ref="AM7">IF(U7=0,"",_xlfn.IFS(F7=1,"Setup",F34=1,"Entry",F61=1,"Bar",F88=1,"C-mix",F115=1,"Rez",F142=1,"Homing",F169=1,"Toilets",F196=1,"Level",F223=1,"Çapèse",F250=1,"Tidying",F277=1,"Volante",F304=1,""))</f>
        <v>Entry</v>
      </c>
      <c r="AN7" s="54" t="str" cm="1">
        <f t="array" ref="AN7">IF(V7=0,"",_xlfn.IFS(G7=1,"Setup",G34=1,"Entry",G61=1,"Bar",G88=1,"C-mix",G115=1,"Rez",G142=1,"Homing",G169=1,"Toilets",G196=1,"Level",G223=1,"Çapèse",G250=1,"Tidying",G277=1,"Volante",G304=1,""))</f>
        <v>Level</v>
      </c>
      <c r="AO7" s="54" t="str" cm="1">
        <f t="array" ref="AO7">IF(W7=0,"",_xlfn.IFS(H7=1,"Setup",H34=1,"Entry",H61=1,"Bar",H88=1,"C-mix",H115=1,"Rez",H142=1,"Homing",H169=1,"Toilets",H196=1,"Level",H223=1,"Çapèse",H250=1,"Tidying",H277=1,"Volante",H304=1,""))</f>
        <v>C-mix</v>
      </c>
      <c r="AP7" s="54" t="str" cm="1">
        <f t="array" ref="AP7">IF(X7=0,"",_xlfn.IFS(I7=1,"Setup",I34=1,"Entry",I61=1,"Bar",I88=1,"C-mix",I115=1,"Rez",I142=1,"Homing",I169=1,"Toilets",I196=1,"Level",I223=1,"Çapèse",I250=1,"Tidying",I277=1,"Volante",I304=1,""))</f>
        <v>Volante</v>
      </c>
      <c r="AQ7" s="54" t="str" cm="1">
        <f t="array" ref="AQ7">IF(Y7=0,"",_xlfn.IFS(J7=1,"Setup",J34=1,"Entry",J61=1,"Bar",J88=1,"C-mix",J115=1,"Rez",J142=1,"Homing",J169=1,"Toilets",J196=1,"Level",J223=1,"Çapèse",J250=1,"Tidying",J277=1,"Volante",J304=1,""))</f>
        <v>Bar</v>
      </c>
      <c r="AR7" s="54" t="str" cm="1">
        <f t="array" ref="AR7">IF(Z7=0,"",_xlfn.IFS(K7=1,"Setup",K34=1,"Entry",K61=1,"Bar",K88=1,"C-mix",K115=1,"Rez",K142=1,"Homing",K169=1,"Toilets",K196=1,"Level",K223=1,"Çapèse",K250=1,"Tidying",K277=1,"Volante",K304=1,""))</f>
        <v/>
      </c>
      <c r="AS7" s="54" t="str" cm="1">
        <f t="array" ref="AS7">IF(AA7=0,"",_xlfn.IFS(L7=1,"Setup",L34=1,"Entry",L61=1,"Bar",L88=1,"C-mix",L115=1,"Rez",L142=1,"Homing",L169=1,"Toilets",L196=1,"Level",L223=1,"Çapèse",L250=1,"Tidying",L277=1,"Volante",L304=1,""))</f>
        <v/>
      </c>
      <c r="AT7" s="54" t="str" cm="1">
        <f t="array" ref="AT7">IF(AB7=0,"",_xlfn.IFS(M7=1,"Setup",M34=1,"Entry",M61=1,"Bar",M88=1,"C-mix",M115=1,"Rez",M142=1,"Homing",M169=1,"Toilets",M196=1,"Level",M223=1,"Çapèse",M250=1,"Tidying",M277=1,"Volante",M304=1,""))</f>
        <v>Çapèse</v>
      </c>
      <c r="AU7" s="54" t="str" cm="1">
        <f t="array" ref="AU7">IF(AC7=0,"",_xlfn.IFS(N7=1,"Setup",N34=1,"Entry",N61=1,"Bar",N88=1,"C-mix",N115=1,"Rez",N142=1,"Homing",N169=1,"Toilets",N196=1,"Level",N223=1,"Çapèse",N250=1,"Tidying",N277=1,"Volante",N304=1,""))</f>
        <v/>
      </c>
      <c r="AV7" s="55" t="str" cm="1">
        <f t="array" ref="AV7">IF(AD7=0,"",_xlfn.IFS(O7=1,"Setup",O34=1,"Entry",O61=1,"Bar",O88=1,"C-mix",O115=1,"Rez",O142=1,"Homing",O169=1,"Toilets",O196=1,"Level",O223=1,"Çapèse",O250=1,"Tidying",O277=1,"Volante",O304=1,""))</f>
        <v/>
      </c>
      <c r="AW7" s="1">
        <f t="shared" si="1"/>
        <v>8</v>
      </c>
    </row>
    <row r="8" spans="1:49" ht="18.3" x14ac:dyDescent="0.55000000000000004">
      <c r="A8" s="18">
        <v>6</v>
      </c>
      <c r="B8" s="52" t="str">
        <f>$Q$8</f>
        <v>Weixin</v>
      </c>
      <c r="C8" s="53">
        <v>0</v>
      </c>
      <c r="D8" s="54">
        <v>0</v>
      </c>
      <c r="E8" s="54">
        <v>0</v>
      </c>
      <c r="F8" s="54">
        <v>0</v>
      </c>
      <c r="G8" s="54">
        <v>0</v>
      </c>
      <c r="H8" s="54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5">
        <v>0</v>
      </c>
      <c r="Q8" s="56" t="s">
        <v>51</v>
      </c>
      <c r="R8" s="53">
        <v>1</v>
      </c>
      <c r="S8" s="54">
        <v>1</v>
      </c>
      <c r="T8" s="54">
        <v>1</v>
      </c>
      <c r="U8" s="54">
        <v>1</v>
      </c>
      <c r="V8" s="54">
        <v>1</v>
      </c>
      <c r="W8" s="54">
        <v>1</v>
      </c>
      <c r="X8" s="54">
        <v>1</v>
      </c>
      <c r="Y8" s="54">
        <v>1</v>
      </c>
      <c r="Z8" s="54">
        <v>1</v>
      </c>
      <c r="AA8" s="54">
        <v>1</v>
      </c>
      <c r="AB8" s="54">
        <v>1</v>
      </c>
      <c r="AC8" s="54">
        <v>1</v>
      </c>
      <c r="AD8" s="54">
        <v>1</v>
      </c>
      <c r="AE8" s="97">
        <f t="shared" si="0"/>
        <v>13</v>
      </c>
      <c r="AF8" s="100">
        <v>0</v>
      </c>
      <c r="AH8" s="1">
        <v>6</v>
      </c>
      <c r="AI8" s="91" t="str">
        <f>$Q$8</f>
        <v>Weixin</v>
      </c>
      <c r="AJ8" s="54" t="str" cm="1">
        <f t="array" ref="AJ8">IF(R8=0,"",_xlfn.IFS(C8=1,"Setup",C35=1,"Entry",C62=1,"Bar",C89=1,"C-mix",C116=1,"Rez",C143=1,"Homing",C170=1,"Toilets",C197=1,"Level",C224=1,"Çapèse",C251=1,"Tidying",C278=1,"Volante",C305=1,""))</f>
        <v/>
      </c>
      <c r="AK8" s="54" t="str" cm="1">
        <f t="array" ref="AK8">IF(S8=0,"",_xlfn.IFS(D8=1,"Setup",D35=1,"Entry",D62=1,"Bar",D89=1,"C-mix",D116=1,"Rez",D143=1,"Homing",D170=1,"Toilets",D197=1,"Level",D224=1,"Çapèse",D251=1,"Tidying",D278=1,"Volante",D305=1,""))</f>
        <v>Homing</v>
      </c>
      <c r="AL8" s="54" t="str" cm="1">
        <f t="array" ref="AL8">IF(T8=0,"",_xlfn.IFS(E8=1,"Setup",E35=1,"Entry",E62=1,"Bar",E89=1,"C-mix",E116=1,"Rez",E143=1,"Homing",E170=1,"Toilets",E197=1,"Level",E224=1,"Çapèse",E251=1,"Tidying",E278=1,"Volante",E305=1,""))</f>
        <v>Entry</v>
      </c>
      <c r="AM8" s="54" t="str" cm="1">
        <f t="array" ref="AM8">IF(U8=0,"",_xlfn.IFS(F8=1,"Setup",F35=1,"Entry",F62=1,"Bar",F89=1,"C-mix",F116=1,"Rez",F143=1,"Homing",F170=1,"Toilets",F197=1,"Level",F224=1,"Çapèse",F251=1,"Tidying",F278=1,"Volante",F305=1,""))</f>
        <v>Bar</v>
      </c>
      <c r="AN8" s="54" t="str" cm="1">
        <f t="array" ref="AN8">IF(V8=0,"",_xlfn.IFS(G8=1,"Setup",G35=1,"Entry",G62=1,"Bar",G89=1,"C-mix",G116=1,"Rez",G143=1,"Homing",G170=1,"Toilets",G197=1,"Level",G224=1,"Çapèse",G251=1,"Tidying",G278=1,"Volante",G305=1,""))</f>
        <v/>
      </c>
      <c r="AO8" s="54" t="str" cm="1">
        <f t="array" ref="AO8">IF(W8=0,"",_xlfn.IFS(H8=1,"Setup",H35=1,"Entry",H62=1,"Bar",H89=1,"C-mix",H116=1,"Rez",H143=1,"Homing",H170=1,"Toilets",H197=1,"Level",H224=1,"Çapèse",H251=1,"Tidying",H278=1,"Volante",H305=1,""))</f>
        <v>Bar</v>
      </c>
      <c r="AP8" s="54" t="str" cm="1">
        <f t="array" ref="AP8">IF(X8=0,"",_xlfn.IFS(I8=1,"Setup",I35=1,"Entry",I62=1,"Bar",I89=1,"C-mix",I116=1,"Rez",I143=1,"Homing",I170=1,"Toilets",I197=1,"Level",I224=1,"Çapèse",I251=1,"Tidying",I278=1,"Volante",I305=1,""))</f>
        <v/>
      </c>
      <c r="AQ8" s="54" t="str" cm="1">
        <f t="array" ref="AQ8">IF(Y8=0,"",_xlfn.IFS(J8=1,"Setup",J35=1,"Entry",J62=1,"Bar",J89=1,"C-mix",J116=1,"Rez",J143=1,"Homing",J170=1,"Toilets",J197=1,"Level",J224=1,"Çapèse",J251=1,"Tidying",J278=1,"Volante",J305=1,""))</f>
        <v>Çapèse</v>
      </c>
      <c r="AR8" s="54" t="str" cm="1">
        <f t="array" ref="AR8">IF(Z8=0,"",_xlfn.IFS(K8=1,"Setup",K35=1,"Entry",K62=1,"Bar",K89=1,"C-mix",K116=1,"Rez",K143=1,"Homing",K170=1,"Toilets",K197=1,"Level",K224=1,"Çapèse",K251=1,"Tidying",K278=1,"Volante",K305=1,""))</f>
        <v/>
      </c>
      <c r="AS8" s="54" t="str" cm="1">
        <f t="array" ref="AS8">IF(AA8=0,"",_xlfn.IFS(L8=1,"Setup",L35=1,"Entry",L62=1,"Bar",L89=1,"C-mix",L116=1,"Rez",L143=1,"Homing",L170=1,"Toilets",L197=1,"Level",L224=1,"Çapèse",L251=1,"Tidying",L278=1,"Volante",L305=1,""))</f>
        <v>Level</v>
      </c>
      <c r="AT8" s="54" t="str" cm="1">
        <f t="array" ref="AT8">IF(AB8=0,"",_xlfn.IFS(M8=1,"Setup",M35=1,"Entry",M62=1,"Bar",M89=1,"C-mix",M116=1,"Rez",M143=1,"Homing",M170=1,"Toilets",M197=1,"Level",M224=1,"Çapèse",M251=1,"Tidying",M278=1,"Volante",M305=1,""))</f>
        <v>Toilets</v>
      </c>
      <c r="AU8" s="54" t="str" cm="1">
        <f t="array" ref="AU8">IF(AC8=0,"",_xlfn.IFS(N8=1,"Setup",N35=1,"Entry",N62=1,"Bar",N89=1,"C-mix",N116=1,"Rez",N143=1,"Homing",N170=1,"Toilets",N197=1,"Level",N224=1,"Çapèse",N251=1,"Tidying",N278=1,"Volante",N305=1,""))</f>
        <v>Tidying</v>
      </c>
      <c r="AV8" s="55" t="str" cm="1">
        <f t="array" ref="AV8">IF(AD8=0,"",_xlfn.IFS(O8=1,"Setup",O35=1,"Entry",O62=1,"Bar",O89=1,"C-mix",O116=1,"Rez",O143=1,"Homing",O170=1,"Toilets",O197=1,"Level",O224=1,"Çapèse",O251=1,"Tidying",O278=1,"Volante",O305=1,""))</f>
        <v/>
      </c>
      <c r="AW8" s="1">
        <f t="shared" si="1"/>
        <v>8</v>
      </c>
    </row>
    <row r="9" spans="1:49" ht="18.3" x14ac:dyDescent="0.55000000000000004">
      <c r="A9" s="18">
        <v>7</v>
      </c>
      <c r="B9" s="52" t="str">
        <f>$Q$9</f>
        <v>Benjamin</v>
      </c>
      <c r="C9" s="53">
        <v>1</v>
      </c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0</v>
      </c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5">
        <v>0</v>
      </c>
      <c r="Q9" s="56" t="s">
        <v>52</v>
      </c>
      <c r="R9" s="53">
        <v>1</v>
      </c>
      <c r="S9" s="54">
        <v>1</v>
      </c>
      <c r="T9" s="54">
        <v>1</v>
      </c>
      <c r="U9" s="54">
        <v>1</v>
      </c>
      <c r="V9" s="54">
        <v>1</v>
      </c>
      <c r="W9" s="54">
        <v>1</v>
      </c>
      <c r="X9" s="54">
        <v>1</v>
      </c>
      <c r="Y9" s="54">
        <v>1</v>
      </c>
      <c r="Z9" s="54">
        <v>1</v>
      </c>
      <c r="AA9" s="54">
        <v>1</v>
      </c>
      <c r="AB9" s="54">
        <v>1</v>
      </c>
      <c r="AC9" s="54">
        <v>1</v>
      </c>
      <c r="AD9" s="54">
        <v>1</v>
      </c>
      <c r="AE9" s="97">
        <f t="shared" si="0"/>
        <v>13</v>
      </c>
      <c r="AF9" s="100">
        <v>0</v>
      </c>
      <c r="AH9" s="1">
        <v>7</v>
      </c>
      <c r="AI9" s="91" t="str">
        <f>$Q$9</f>
        <v>Benjamin</v>
      </c>
      <c r="AJ9" s="54" t="str" cm="1">
        <f t="array" ref="AJ9">IF(R9=0,"",_xlfn.IFS(C9=1,"Setup",C36=1,"Entry",C63=1,"Bar",C90=1,"C-mix",C117=1,"Rez",C144=1,"Homing",C171=1,"Toilets",C198=1,"Level",C225=1,"Çapèse",C252=1,"Tidying",C279=1,"Volante",C306=1,""))</f>
        <v>Setup</v>
      </c>
      <c r="AK9" s="54" t="str" cm="1">
        <f t="array" ref="AK9">IF(S9=0,"",_xlfn.IFS(D9=1,"Setup",D36=1,"Entry",D63=1,"Bar",D90=1,"C-mix",D117=1,"Rez",D144=1,"Homing",D171=1,"Toilets",D198=1,"Level",D225=1,"Çapèse",D252=1,"Tidying",D279=1,"Volante",D306=1,""))</f>
        <v>Bar</v>
      </c>
      <c r="AL9" s="54" t="str" cm="1">
        <f t="array" ref="AL9">IF(T9=0,"",_xlfn.IFS(E9=1,"Setup",E36=1,"Entry",E63=1,"Bar",E90=1,"C-mix",E117=1,"Rez",E144=1,"Homing",E171=1,"Toilets",E198=1,"Level",E225=1,"Çapèse",E252=1,"Tidying",E279=1,"Volante",E306=1,""))</f>
        <v>Level</v>
      </c>
      <c r="AM9" s="54" t="str" cm="1">
        <f t="array" ref="AM9">IF(U9=0,"",_xlfn.IFS(F9=1,"Setup",F36=1,"Entry",F63=1,"Bar",F90=1,"C-mix",F117=1,"Rez",F144=1,"Homing",F171=1,"Toilets",F198=1,"Level",F225=1,"Çapèse",F252=1,"Tidying",F279=1,"Volante",F306=1,""))</f>
        <v/>
      </c>
      <c r="AN9" s="54" t="str" cm="1">
        <f t="array" ref="AN9">IF(V9=0,"",_xlfn.IFS(G9=1,"Setup",G36=1,"Entry",G63=1,"Bar",G90=1,"C-mix",G117=1,"Rez",G144=1,"Homing",G171=1,"Toilets",G198=1,"Level",G225=1,"Çapèse",G252=1,"Tidying",G279=1,"Volante",G306=1,""))</f>
        <v>Toilets</v>
      </c>
      <c r="AO9" s="54" t="str" cm="1">
        <f t="array" ref="AO9">IF(W9=0,"",_xlfn.IFS(H9=1,"Setup",H36=1,"Entry",H63=1,"Bar",H90=1,"C-mix",H117=1,"Rez",H144=1,"Homing",H171=1,"Toilets",H198=1,"Level",H225=1,"Çapèse",H252=1,"Tidying",H279=1,"Volante",H306=1,""))</f>
        <v>Entry</v>
      </c>
      <c r="AP9" s="54" t="str" cm="1">
        <f t="array" ref="AP9">IF(X9=0,"",_xlfn.IFS(I9=1,"Setup",I36=1,"Entry",I63=1,"Bar",I90=1,"C-mix",I117=1,"Rez",I144=1,"Homing",I171=1,"Toilets",I198=1,"Level",I225=1,"Çapèse",I252=1,"Tidying",I279=1,"Volante",I306=1,""))</f>
        <v>C-mix</v>
      </c>
      <c r="AQ9" s="54" t="str" cm="1">
        <f t="array" ref="AQ9">IF(Y9=0,"",_xlfn.IFS(J9=1,"Setup",J36=1,"Entry",J63=1,"Bar",J90=1,"C-mix",J117=1,"Rez",J144=1,"Homing",J171=1,"Toilets",J198=1,"Level",J225=1,"Çapèse",J252=1,"Tidying",J279=1,"Volante",J306=1,""))</f>
        <v>Volante</v>
      </c>
      <c r="AR9" s="54" t="str" cm="1">
        <f t="array" ref="AR9">IF(Z9=0,"",_xlfn.IFS(K9=1,"Setup",K36=1,"Entry",K63=1,"Bar",K90=1,"C-mix",K117=1,"Rez",K144=1,"Homing",K171=1,"Toilets",K198=1,"Level",K225=1,"Çapèse",K252=1,"Tidying",K279=1,"Volante",K306=1,""))</f>
        <v/>
      </c>
      <c r="AS9" s="54" t="str" cm="1">
        <f t="array" ref="AS9">IF(AA9=0,"",_xlfn.IFS(L9=1,"Setup",L36=1,"Entry",L63=1,"Bar",L90=1,"C-mix",L117=1,"Rez",L144=1,"Homing",L171=1,"Toilets",L198=1,"Level",L225=1,"Çapèse",L252=1,"Tidying",L279=1,"Volante",L306=1,""))</f>
        <v>Bar</v>
      </c>
      <c r="AT9" s="54" t="str" cm="1">
        <f t="array" ref="AT9">IF(AB9=0,"",_xlfn.IFS(M9=1,"Setup",M36=1,"Entry",M63=1,"Bar",M90=1,"C-mix",M117=1,"Rez",M144=1,"Homing",M171=1,"Toilets",M198=1,"Level",M225=1,"Çapèse",M252=1,"Tidying",M279=1,"Volante",M306=1,""))</f>
        <v/>
      </c>
      <c r="AU9" s="54" t="str" cm="1">
        <f t="array" ref="AU9">IF(AC9=0,"",_xlfn.IFS(N9=1,"Setup",N36=1,"Entry",N63=1,"Bar",N90=1,"C-mix",N117=1,"Rez",N144=1,"Homing",N171=1,"Toilets",N198=1,"Level",N225=1,"Çapèse",N252=1,"Tidying",N279=1,"Volante",N306=1,""))</f>
        <v/>
      </c>
      <c r="AV9" s="55" t="str" cm="1">
        <f t="array" ref="AV9">IF(AD9=0,"",_xlfn.IFS(O9=1,"Setup",O36=1,"Entry",O63=1,"Bar",O90=1,"C-mix",O117=1,"Rez",O144=1,"Homing",O171=1,"Toilets",O198=1,"Level",O225=1,"Çapèse",O252=1,"Tidying",O279=1,"Volante",O306=1,""))</f>
        <v/>
      </c>
      <c r="AW9" s="1">
        <f t="shared" si="1"/>
        <v>8</v>
      </c>
    </row>
    <row r="10" spans="1:49" ht="18.3" x14ac:dyDescent="0.55000000000000004">
      <c r="A10" s="18">
        <v>8</v>
      </c>
      <c r="B10" s="52" t="str">
        <f>$Q$10</f>
        <v>Joelle</v>
      </c>
      <c r="C10" s="53">
        <v>1</v>
      </c>
      <c r="D10" s="54">
        <v>0</v>
      </c>
      <c r="E10" s="54">
        <v>0</v>
      </c>
      <c r="F10" s="54">
        <v>0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55">
        <v>0</v>
      </c>
      <c r="Q10" s="56" t="s">
        <v>53</v>
      </c>
      <c r="R10" s="53">
        <v>1</v>
      </c>
      <c r="S10" s="54">
        <v>1</v>
      </c>
      <c r="T10" s="54">
        <v>1</v>
      </c>
      <c r="U10" s="54">
        <v>1</v>
      </c>
      <c r="V10" s="54">
        <v>1</v>
      </c>
      <c r="W10" s="54">
        <v>1</v>
      </c>
      <c r="X10" s="54">
        <v>1</v>
      </c>
      <c r="Y10" s="54">
        <v>1</v>
      </c>
      <c r="Z10" s="54">
        <v>1</v>
      </c>
      <c r="AA10" s="54">
        <v>1</v>
      </c>
      <c r="AB10" s="54">
        <v>1</v>
      </c>
      <c r="AC10" s="54">
        <v>1</v>
      </c>
      <c r="AD10" s="54">
        <v>1</v>
      </c>
      <c r="AE10" s="97">
        <f t="shared" si="0"/>
        <v>13</v>
      </c>
      <c r="AF10" s="100">
        <v>0</v>
      </c>
      <c r="AH10" s="1">
        <v>8</v>
      </c>
      <c r="AI10" s="91" t="str">
        <f>$Q$10</f>
        <v>Joelle</v>
      </c>
      <c r="AJ10" s="54" t="str" cm="1">
        <f t="array" ref="AJ10">IF(R10=0,"",_xlfn.IFS(C10=1,"Setup",C37=1,"Entry",C64=1,"Bar",C91=1,"C-mix",C118=1,"Rez",C145=1,"Homing",C172=1,"Toilets",C199=1,"Level",C226=1,"Çapèse",C253=1,"Tidying",C280=1,"Volante",C307=1,""))</f>
        <v>Setup</v>
      </c>
      <c r="AK10" s="54" t="str" cm="1">
        <f t="array" ref="AK10">IF(S10=0,"",_xlfn.IFS(D10=1,"Setup",D37=1,"Entry",D64=1,"Bar",D91=1,"C-mix",D118=1,"Rez",D145=1,"Homing",D172=1,"Toilets",D199=1,"Level",D226=1,"Çapèse",D253=1,"Tidying",D280=1,"Volante",D307=1,""))</f>
        <v>Toilets</v>
      </c>
      <c r="AL10" s="54" t="str" cm="1">
        <f t="array" ref="AL10">IF(T10=0,"",_xlfn.IFS(E10=1,"Setup",E37=1,"Entry",E64=1,"Bar",E91=1,"C-mix",E118=1,"Rez",E145=1,"Homing",E172=1,"Toilets",E199=1,"Level",E226=1,"Çapèse",E253=1,"Tidying",E280=1,"Volante",E307=1,""))</f>
        <v/>
      </c>
      <c r="AM10" s="54" t="str" cm="1">
        <f t="array" ref="AM10">IF(U10=0,"",_xlfn.IFS(F10=1,"Setup",F37=1,"Entry",F64=1,"Bar",F91=1,"C-mix",F118=1,"Rez",F145=1,"Homing",F172=1,"Toilets",F199=1,"Level",F226=1,"Çapèse",F253=1,"Tidying",F280=1,"Volante",F307=1,""))</f>
        <v>Homing</v>
      </c>
      <c r="AN10" s="54" t="str" cm="1">
        <f t="array" ref="AN10">IF(V10=0,"",_xlfn.IFS(G10=1,"Setup",G37=1,"Entry",G64=1,"Bar",G91=1,"C-mix",G118=1,"Rez",G145=1,"Homing",G172=1,"Toilets",G199=1,"Level",G226=1,"Çapèse",G253=1,"Tidying",G280=1,"Volante",G307=1,""))</f>
        <v>Homing</v>
      </c>
      <c r="AO10" s="54" t="str" cm="1">
        <f t="array" ref="AO10">IF(W10=0,"",_xlfn.IFS(H10=1,"Setup",H37=1,"Entry",H64=1,"Bar",H91=1,"C-mix",H118=1,"Rez",H145=1,"Homing",H172=1,"Toilets",H199=1,"Level",H226=1,"Çapèse",H253=1,"Tidying",H280=1,"Volante",H307=1,""))</f>
        <v>Homing</v>
      </c>
      <c r="AP10" s="54" t="str" cm="1">
        <f t="array" ref="AP10">IF(X10=0,"",_xlfn.IFS(I10=1,"Setup",I37=1,"Entry",I64=1,"Bar",I91=1,"C-mix",I118=1,"Rez",I145=1,"Homing",I172=1,"Toilets",I199=1,"Level",I226=1,"Çapèse",I253=1,"Tidying",I280=1,"Volante",I307=1,""))</f>
        <v/>
      </c>
      <c r="AQ10" s="54" t="str" cm="1">
        <f t="array" ref="AQ10">IF(Y10=0,"",_xlfn.IFS(J10=1,"Setup",J37=1,"Entry",J64=1,"Bar",J91=1,"C-mix",J118=1,"Rez",J145=1,"Homing",J172=1,"Toilets",J199=1,"Level",J226=1,"Çapèse",J253=1,"Tidying",J280=1,"Volante",J307=1,""))</f>
        <v>Toilets</v>
      </c>
      <c r="AR10" s="54" t="str" cm="1">
        <f t="array" ref="AR10">IF(Z10=0,"",_xlfn.IFS(K10=1,"Setup",K37=1,"Entry",K64=1,"Bar",K91=1,"C-mix",K118=1,"Rez",K145=1,"Homing",K172=1,"Toilets",K199=1,"Level",K226=1,"Çapèse",K253=1,"Tidying",K280=1,"Volante",K307=1,""))</f>
        <v/>
      </c>
      <c r="AS10" s="54" t="str" cm="1">
        <f t="array" ref="AS10">IF(AA10=0,"",_xlfn.IFS(L10=1,"Setup",L37=1,"Entry",L64=1,"Bar",L91=1,"C-mix",L118=1,"Rez",L145=1,"Homing",L172=1,"Toilets",L199=1,"Level",L226=1,"Çapèse",L253=1,"Tidying",L280=1,"Volante",L307=1,""))</f>
        <v>Rez</v>
      </c>
      <c r="AT10" s="54" t="str" cm="1">
        <f t="array" ref="AT10">IF(AB10=0,"",_xlfn.IFS(M10=1,"Setup",M37=1,"Entry",M64=1,"Bar",M91=1,"C-mix",M118=1,"Rez",M145=1,"Homing",M172=1,"Toilets",M199=1,"Level",M226=1,"Çapèse",M253=1,"Tidying",M280=1,"Volante",M307=1,""))</f>
        <v/>
      </c>
      <c r="AU10" s="54" t="str" cm="1">
        <f t="array" ref="AU10">IF(AC10=0,"",_xlfn.IFS(N10=1,"Setup",N37=1,"Entry",N64=1,"Bar",N91=1,"C-mix",N118=1,"Rez",N145=1,"Homing",N172=1,"Toilets",N199=1,"Level",N226=1,"Çapèse",N253=1,"Tidying",N280=1,"Volante",N307=1,""))</f>
        <v/>
      </c>
      <c r="AV10" s="55" t="str" cm="1">
        <f t="array" ref="AV10">IF(AD10=0,"",_xlfn.IFS(O10=1,"Setup",O37=1,"Entry",O64=1,"Bar",O91=1,"C-mix",O118=1,"Rez",O145=1,"Homing",O172=1,"Toilets",O199=1,"Level",O226=1,"Çapèse",O253=1,"Tidying",O280=1,"Volante",O307=1,""))</f>
        <v>Tidying</v>
      </c>
      <c r="AW10" s="1">
        <f t="shared" si="1"/>
        <v>8</v>
      </c>
    </row>
    <row r="11" spans="1:49" ht="18.3" x14ac:dyDescent="0.55000000000000004">
      <c r="A11" s="18">
        <v>9</v>
      </c>
      <c r="B11" s="52" t="str">
        <f>$Q$11</f>
        <v>Alexia</v>
      </c>
      <c r="C11" s="53">
        <v>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5">
        <v>0</v>
      </c>
      <c r="Q11" s="56" t="s">
        <v>54</v>
      </c>
      <c r="R11" s="53">
        <v>1</v>
      </c>
      <c r="S11" s="54">
        <v>1</v>
      </c>
      <c r="T11" s="54">
        <v>1</v>
      </c>
      <c r="U11" s="54">
        <v>1</v>
      </c>
      <c r="V11" s="54">
        <v>1</v>
      </c>
      <c r="W11" s="54">
        <v>1</v>
      </c>
      <c r="X11" s="54">
        <v>1</v>
      </c>
      <c r="Y11" s="54">
        <v>1</v>
      </c>
      <c r="Z11" s="54">
        <v>1</v>
      </c>
      <c r="AA11" s="54">
        <v>1</v>
      </c>
      <c r="AB11" s="54">
        <v>1</v>
      </c>
      <c r="AC11" s="54">
        <v>1</v>
      </c>
      <c r="AD11" s="54">
        <v>1</v>
      </c>
      <c r="AE11" s="97">
        <f t="shared" si="0"/>
        <v>13</v>
      </c>
      <c r="AF11" s="100">
        <v>0</v>
      </c>
      <c r="AH11" s="1">
        <v>9</v>
      </c>
      <c r="AI11" s="91" t="str">
        <f>$Q$11</f>
        <v>Alexia</v>
      </c>
      <c r="AJ11" s="54" t="str" cm="1">
        <f t="array" ref="AJ11">IF(R11=0,"",_xlfn.IFS(C11=1,"Setup",C38=1,"Entry",C65=1,"Bar",C92=1,"C-mix",C119=1,"Rez",C146=1,"Homing",C173=1,"Toilets",C200=1,"Level",C227=1,"Çapèse",C254=1,"Tidying",C281=1,"Volante",C308=1,""))</f>
        <v/>
      </c>
      <c r="AK11" s="54" t="str" cm="1">
        <f t="array" ref="AK11">IF(S11=0,"",_xlfn.IFS(D11=1,"Setup",D38=1,"Entry",D65=1,"Bar",D92=1,"C-mix",D119=1,"Rez",D146=1,"Homing",D173=1,"Toilets",D200=1,"Level",D227=1,"Çapèse",D254=1,"Tidying",D281=1,"Volante",D308=1,""))</f>
        <v>Toilets</v>
      </c>
      <c r="AL11" s="54" t="str" cm="1">
        <f t="array" ref="AL11">IF(T11=0,"",_xlfn.IFS(E11=1,"Setup",E38=1,"Entry",E65=1,"Bar",E92=1,"C-mix",E119=1,"Rez",E146=1,"Homing",E173=1,"Toilets",E200=1,"Level",E227=1,"Çapèse",E254=1,"Tidying",E281=1,"Volante",E308=1,""))</f>
        <v/>
      </c>
      <c r="AM11" s="54" t="str" cm="1">
        <f t="array" ref="AM11">IF(U11=0,"",_xlfn.IFS(F11=1,"Setup",F38=1,"Entry",F65=1,"Bar",F92=1,"C-mix",F119=1,"Rez",F146=1,"Homing",F173=1,"Toilets",F200=1,"Level",F227=1,"Çapèse",F254=1,"Tidying",F281=1,"Volante",F308=1,""))</f>
        <v>Toilets</v>
      </c>
      <c r="AN11" s="54" t="str" cm="1">
        <f t="array" ref="AN11">IF(V11=0,"",_xlfn.IFS(G11=1,"Setup",G38=1,"Entry",G65=1,"Bar",G92=1,"C-mix",G119=1,"Rez",G146=1,"Homing",G173=1,"Toilets",G200=1,"Level",G227=1,"Çapèse",G254=1,"Tidying",G281=1,"Volante",G308=1,""))</f>
        <v/>
      </c>
      <c r="AO11" s="54" t="str" cm="1">
        <f t="array" ref="AO11">IF(W11=0,"",_xlfn.IFS(H11=1,"Setup",H38=1,"Entry",H65=1,"Bar",H92=1,"C-mix",H119=1,"Rez",H146=1,"Homing",H173=1,"Toilets",H200=1,"Level",H227=1,"Çapèse",H254=1,"Tidying",H281=1,"Volante",H308=1,""))</f>
        <v>Bar</v>
      </c>
      <c r="AP11" s="54" t="str" cm="1">
        <f t="array" ref="AP11">IF(X11=0,"",_xlfn.IFS(I11=1,"Setup",I38=1,"Entry",I65=1,"Bar",I92=1,"C-mix",I119=1,"Rez",I146=1,"Homing",I173=1,"Toilets",I200=1,"Level",I227=1,"Çapèse",I254=1,"Tidying",I281=1,"Volante",I308=1,""))</f>
        <v/>
      </c>
      <c r="AQ11" s="54" t="str" cm="1">
        <f t="array" ref="AQ11">IF(Y11=0,"",_xlfn.IFS(J11=1,"Setup",J38=1,"Entry",J65=1,"Bar",J92=1,"C-mix",J119=1,"Rez",J146=1,"Homing",J173=1,"Toilets",J200=1,"Level",J227=1,"Çapèse",J254=1,"Tidying",J281=1,"Volante",J308=1,""))</f>
        <v>C-mix</v>
      </c>
      <c r="AR11" s="54" t="str" cm="1">
        <f t="array" ref="AR11">IF(Z11=0,"",_xlfn.IFS(K11=1,"Setup",K38=1,"Entry",K65=1,"Bar",K92=1,"C-mix",K119=1,"Rez",K146=1,"Homing",K173=1,"Toilets",K200=1,"Level",K227=1,"Çapèse",K254=1,"Tidying",K281=1,"Volante",K308=1,""))</f>
        <v>Entry</v>
      </c>
      <c r="AS11" s="54" t="str" cm="1">
        <f t="array" ref="AS11">IF(AA11=0,"",_xlfn.IFS(L11=1,"Setup",L38=1,"Entry",L65=1,"Bar",L92=1,"C-mix",L119=1,"Rez",L146=1,"Homing",L173=1,"Toilets",L200=1,"Level",L227=1,"Çapèse",L254=1,"Tidying",L281=1,"Volante",L308=1,""))</f>
        <v>Bar</v>
      </c>
      <c r="AT11" s="54" t="str" cm="1">
        <f t="array" ref="AT11">IF(AB11=0,"",_xlfn.IFS(M11=1,"Setup",M38=1,"Entry",M65=1,"Bar",M92=1,"C-mix",M119=1,"Rez",M146=1,"Homing",M173=1,"Toilets",M200=1,"Level",M227=1,"Çapèse",M254=1,"Tidying",M281=1,"Volante",M308=1,""))</f>
        <v>Homing</v>
      </c>
      <c r="AU11" s="54" t="str" cm="1">
        <f t="array" ref="AU11">IF(AC11=0,"",_xlfn.IFS(N11=1,"Setup",N38=1,"Entry",N65=1,"Bar",N92=1,"C-mix",N119=1,"Rez",N146=1,"Homing",N173=1,"Toilets",N200=1,"Level",N227=1,"Çapèse",N254=1,"Tidying",N281=1,"Volante",N308=1,""))</f>
        <v/>
      </c>
      <c r="AV11" s="55" t="str" cm="1">
        <f t="array" ref="AV11">IF(AD11=0,"",_xlfn.IFS(O11=1,"Setup",O38=1,"Entry",O65=1,"Bar",O92=1,"C-mix",O119=1,"Rez",O146=1,"Homing",O173=1,"Toilets",O200=1,"Level",O227=1,"Çapèse",O254=1,"Tidying",O281=1,"Volante",O308=1,""))</f>
        <v>Tidying</v>
      </c>
      <c r="AW11" s="1">
        <f t="shared" si="1"/>
        <v>8</v>
      </c>
    </row>
    <row r="12" spans="1:49" ht="18.3" x14ac:dyDescent="0.55000000000000004">
      <c r="A12" s="18">
        <v>10</v>
      </c>
      <c r="B12" s="52" t="str">
        <f>$Q$12</f>
        <v>Joao</v>
      </c>
      <c r="C12" s="53">
        <v>0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5">
        <v>0</v>
      </c>
      <c r="Q12" s="56" t="s">
        <v>55</v>
      </c>
      <c r="R12" s="53">
        <v>1</v>
      </c>
      <c r="S12" s="54">
        <v>1</v>
      </c>
      <c r="T12" s="54">
        <v>1</v>
      </c>
      <c r="U12" s="54">
        <v>1</v>
      </c>
      <c r="V12" s="54">
        <v>1</v>
      </c>
      <c r="W12" s="54">
        <v>1</v>
      </c>
      <c r="X12" s="54">
        <v>1</v>
      </c>
      <c r="Y12" s="54">
        <v>1</v>
      </c>
      <c r="Z12" s="54">
        <v>1</v>
      </c>
      <c r="AA12" s="54">
        <v>1</v>
      </c>
      <c r="AB12" s="54">
        <v>1</v>
      </c>
      <c r="AC12" s="54">
        <v>1</v>
      </c>
      <c r="AD12" s="54">
        <v>1</v>
      </c>
      <c r="AE12" s="97">
        <f t="shared" si="0"/>
        <v>13</v>
      </c>
      <c r="AF12" s="100">
        <v>0</v>
      </c>
      <c r="AH12" s="1">
        <v>10</v>
      </c>
      <c r="AI12" s="91" t="str">
        <f>$Q$12</f>
        <v>Joao</v>
      </c>
      <c r="AJ12" s="54" t="str" cm="1">
        <f t="array" ref="AJ12">IF(R12=0,"",_xlfn.IFS(C12=1,"Setup",C39=1,"Entry",C66=1,"Bar",C93=1,"C-mix",C120=1,"Rez",C147=1,"Homing",C174=1,"Toilets",C201=1,"Level",C228=1,"Çapèse",C255=1,"Tidying",C282=1,"Volante",C309=1,""))</f>
        <v/>
      </c>
      <c r="AK12" s="54" t="str" cm="1">
        <f t="array" ref="AK12">IF(S12=0,"",_xlfn.IFS(D12=1,"Setup",D39=1,"Entry",D66=1,"Bar",D93=1,"C-mix",D120=1,"Rez",D147=1,"Homing",D174=1,"Toilets",D201=1,"Level",D228=1,"Çapèse",D255=1,"Tidying",D282=1,"Volante",D309=1,""))</f>
        <v>Bar</v>
      </c>
      <c r="AL12" s="54" t="str" cm="1">
        <f t="array" ref="AL12">IF(T12=0,"",_xlfn.IFS(E12=1,"Setup",E39=1,"Entry",E66=1,"Bar",E93=1,"C-mix",E120=1,"Rez",E147=1,"Homing",E174=1,"Toilets",E201=1,"Level",E228=1,"Çapèse",E255=1,"Tidying",E282=1,"Volante",E309=1,""))</f>
        <v/>
      </c>
      <c r="AM12" s="54" t="str" cm="1">
        <f t="array" ref="AM12">IF(U12=0,"",_xlfn.IFS(F12=1,"Setup",F39=1,"Entry",F66=1,"Bar",F93=1,"C-mix",F120=1,"Rez",F147=1,"Homing",F174=1,"Toilets",F201=1,"Level",F228=1,"Çapèse",F255=1,"Tidying",F282=1,"Volante",F309=1,""))</f>
        <v>Level</v>
      </c>
      <c r="AN12" s="54" t="str" cm="1">
        <f t="array" ref="AN12">IF(V12=0,"",_xlfn.IFS(G12=1,"Setup",G39=1,"Entry",G66=1,"Bar",G93=1,"C-mix",G120=1,"Rez",G147=1,"Homing",G174=1,"Toilets",G201=1,"Level",G228=1,"Çapèse",G255=1,"Tidying",G282=1,"Volante",G309=1,""))</f>
        <v>Homing</v>
      </c>
      <c r="AO12" s="54" t="str" cm="1">
        <f t="array" ref="AO12">IF(W12=0,"",_xlfn.IFS(H12=1,"Setup",H39=1,"Entry",H66=1,"Bar",H93=1,"C-mix",H120=1,"Rez",H147=1,"Homing",H174=1,"Toilets",H201=1,"Level",H228=1,"Çapèse",H255=1,"Tidying",H282=1,"Volante",H309=1,""))</f>
        <v/>
      </c>
      <c r="AP12" s="54" t="str" cm="1">
        <f t="array" ref="AP12">IF(X12=0,"",_xlfn.IFS(I12=1,"Setup",I39=1,"Entry",I66=1,"Bar",I93=1,"C-mix",I120=1,"Rez",I147=1,"Homing",I174=1,"Toilets",I201=1,"Level",I228=1,"Çapèse",I255=1,"Tidying",I282=1,"Volante",I309=1,""))</f>
        <v>Çapèse</v>
      </c>
      <c r="AQ12" s="54" t="str" cm="1">
        <f t="array" ref="AQ12">IF(Y12=0,"",_xlfn.IFS(J12=1,"Setup",J39=1,"Entry",J66=1,"Bar",J93=1,"C-mix",J120=1,"Rez",J147=1,"Homing",J174=1,"Toilets",J201=1,"Level",J228=1,"Çapèse",J255=1,"Tidying",J282=1,"Volante",J309=1,""))</f>
        <v>Level</v>
      </c>
      <c r="AR12" s="54" t="str" cm="1">
        <f t="array" ref="AR12">IF(Z12=0,"",_xlfn.IFS(K12=1,"Setup",K39=1,"Entry",K66=1,"Bar",K93=1,"C-mix",K120=1,"Rez",K147=1,"Homing",K174=1,"Toilets",K201=1,"Level",K228=1,"Çapèse",K255=1,"Tidying",K282=1,"Volante",K309=1,""))</f>
        <v>Rez</v>
      </c>
      <c r="AS12" s="54" t="str" cm="1">
        <f t="array" ref="AS12">IF(AA12=0,"",_xlfn.IFS(L12=1,"Setup",L39=1,"Entry",L66=1,"Bar",L93=1,"C-mix",L120=1,"Rez",L147=1,"Homing",L174=1,"Toilets",L201=1,"Level",L228=1,"Çapèse",L255=1,"Tidying",L282=1,"Volante",L309=1,""))</f>
        <v>Toilets</v>
      </c>
      <c r="AT12" s="54" t="str" cm="1">
        <f t="array" ref="AT12">IF(AB12=0,"",_xlfn.IFS(M12=1,"Setup",M39=1,"Entry",M66=1,"Bar",M93=1,"C-mix",M120=1,"Rez",M147=1,"Homing",M174=1,"Toilets",M201=1,"Level",M228=1,"Çapèse",M255=1,"Tidying",M282=1,"Volante",M309=1,""))</f>
        <v/>
      </c>
      <c r="AU12" s="54" t="str" cm="1">
        <f t="array" ref="AU12">IF(AC12=0,"",_xlfn.IFS(N12=1,"Setup",N39=1,"Entry",N66=1,"Bar",N93=1,"C-mix",N120=1,"Rez",N147=1,"Homing",N174=1,"Toilets",N201=1,"Level",N228=1,"Çapèse",N255=1,"Tidying",N282=1,"Volante",N309=1,""))</f>
        <v>Tidying</v>
      </c>
      <c r="AV12" s="55" t="str" cm="1">
        <f t="array" ref="AV12">IF(AD12=0,"",_xlfn.IFS(O12=1,"Setup",O39=1,"Entry",O66=1,"Bar",O93=1,"C-mix",O120=1,"Rez",O147=1,"Homing",O174=1,"Toilets",O201=1,"Level",O228=1,"Çapèse",O255=1,"Tidying",O282=1,"Volante",O309=1,""))</f>
        <v/>
      </c>
      <c r="AW12" s="1">
        <f t="shared" si="1"/>
        <v>8</v>
      </c>
    </row>
    <row r="13" spans="1:49" ht="18.3" x14ac:dyDescent="0.55000000000000004">
      <c r="A13" s="18">
        <v>11</v>
      </c>
      <c r="B13" s="57" t="str">
        <f>$Q$13</f>
        <v>Maxime</v>
      </c>
      <c r="C13" s="53">
        <v>1</v>
      </c>
      <c r="D13" s="54">
        <v>0</v>
      </c>
      <c r="E13" s="54">
        <v>0</v>
      </c>
      <c r="F13" s="54">
        <v>0</v>
      </c>
      <c r="G13" s="54">
        <v>0</v>
      </c>
      <c r="H13" s="54">
        <v>0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5">
        <v>0</v>
      </c>
      <c r="Q13" s="58" t="s">
        <v>56</v>
      </c>
      <c r="R13" s="53">
        <v>1</v>
      </c>
      <c r="S13" s="54">
        <v>1</v>
      </c>
      <c r="T13" s="54">
        <v>1</v>
      </c>
      <c r="U13" s="54">
        <v>1</v>
      </c>
      <c r="V13" s="54">
        <v>1</v>
      </c>
      <c r="W13" s="54">
        <v>1</v>
      </c>
      <c r="X13" s="54">
        <v>1</v>
      </c>
      <c r="Y13" s="54">
        <v>1</v>
      </c>
      <c r="Z13" s="54">
        <v>1</v>
      </c>
      <c r="AA13" s="54">
        <v>1</v>
      </c>
      <c r="AB13" s="54">
        <v>1</v>
      </c>
      <c r="AC13" s="54">
        <v>1</v>
      </c>
      <c r="AD13" s="54">
        <v>1</v>
      </c>
      <c r="AE13" s="97">
        <f t="shared" si="0"/>
        <v>13</v>
      </c>
      <c r="AF13" s="100">
        <v>0</v>
      </c>
      <c r="AH13" s="1">
        <v>11</v>
      </c>
      <c r="AI13" s="92" t="str">
        <f>$Q$13</f>
        <v>Maxime</v>
      </c>
      <c r="AJ13" s="54" t="str" cm="1">
        <f t="array" ref="AJ13">IF(R13=0,"",_xlfn.IFS(C13=1,"Setup",C40=1,"Entry",C67=1,"Bar",C94=1,"C-mix",C121=1,"Rez",C148=1,"Homing",C175=1,"Toilets",C202=1,"Level",C229=1,"Çapèse",C256=1,"Tidying",C283=1,"Volante",C310=1,""))</f>
        <v>Setup</v>
      </c>
      <c r="AK13" s="54" t="str" cm="1">
        <f t="array" ref="AK13">IF(S13=0,"",_xlfn.IFS(D13=1,"Setup",D40=1,"Entry",D67=1,"Bar",D94=1,"C-mix",D121=1,"Rez",D148=1,"Homing",D175=1,"Toilets",D202=1,"Level",D229=1,"Çapèse",D256=1,"Tidying",D283=1,"Volante",D310=1,""))</f>
        <v>Homing</v>
      </c>
      <c r="AL13" s="54" t="str" cm="1">
        <f t="array" ref="AL13">IF(T13=0,"",_xlfn.IFS(E13=1,"Setup",E40=1,"Entry",E67=1,"Bar",E94=1,"C-mix",E121=1,"Rez",E148=1,"Homing",E175=1,"Toilets",E202=1,"Level",E229=1,"Çapèse",E256=1,"Tidying",E283=1,"Volante",E310=1,""))</f>
        <v>Rez</v>
      </c>
      <c r="AM13" s="54" t="str" cm="1">
        <f t="array" ref="AM13">IF(U13=0,"",_xlfn.IFS(F13=1,"Setup",F40=1,"Entry",F67=1,"Bar",F94=1,"C-mix",F121=1,"Rez",F148=1,"Homing",F175=1,"Toilets",F202=1,"Level",F229=1,"Çapèse",F256=1,"Tidying",F283=1,"Volante",F310=1,""))</f>
        <v>Volante</v>
      </c>
      <c r="AN13" s="54" t="str" cm="1">
        <f t="array" ref="AN13">IF(V13=0,"",_xlfn.IFS(G13=1,"Setup",G40=1,"Entry",G67=1,"Bar",G94=1,"C-mix",G121=1,"Rez",G148=1,"Homing",G175=1,"Toilets",G202=1,"Level",G229=1,"Çapèse",G256=1,"Tidying",G283=1,"Volante",G310=1,""))</f>
        <v/>
      </c>
      <c r="AO13" s="54" t="str" cm="1">
        <f t="array" ref="AO13">IF(W13=0,"",_xlfn.IFS(H13=1,"Setup",H40=1,"Entry",H67=1,"Bar",H94=1,"C-mix",H121=1,"Rez",H148=1,"Homing",H175=1,"Toilets",H202=1,"Level",H229=1,"Çapèse",H256=1,"Tidying",H283=1,"Volante",H310=1,""))</f>
        <v>Bar</v>
      </c>
      <c r="AP13" s="54" t="str" cm="1">
        <f t="array" ref="AP13">IF(X13=0,"",_xlfn.IFS(I13=1,"Setup",I40=1,"Entry",I67=1,"Bar",I94=1,"C-mix",I121=1,"Rez",I148=1,"Homing",I175=1,"Toilets",I202=1,"Level",I229=1,"Çapèse",I256=1,"Tidying",I283=1,"Volante",I310=1,""))</f>
        <v>Level</v>
      </c>
      <c r="AQ13" s="54" t="str" cm="1">
        <f t="array" ref="AQ13">IF(Y13=0,"",_xlfn.IFS(J13=1,"Setup",J40=1,"Entry",J67=1,"Bar",J94=1,"C-mix",J121=1,"Rez",J148=1,"Homing",J175=1,"Toilets",J202=1,"Level",J229=1,"Çapèse",J256=1,"Tidying",J283=1,"Volante",J310=1,""))</f>
        <v/>
      </c>
      <c r="AR13" s="54" t="str" cm="1">
        <f t="array" ref="AR13">IF(Z13=0,"",_xlfn.IFS(K13=1,"Setup",K40=1,"Entry",K67=1,"Bar",K94=1,"C-mix",K121=1,"Rez",K148=1,"Homing",K175=1,"Toilets",K202=1,"Level",K229=1,"Çapèse",K256=1,"Tidying",K283=1,"Volante",K310=1,""))</f>
        <v>Bar</v>
      </c>
      <c r="AS13" s="54" t="str" cm="1">
        <f t="array" ref="AS13">IF(AA13=0,"",_xlfn.IFS(L13=1,"Setup",L40=1,"Entry",L67=1,"Bar",L94=1,"C-mix",L121=1,"Rez",L148=1,"Homing",L175=1,"Toilets",L202=1,"Level",L229=1,"Çapèse",L256=1,"Tidying",L283=1,"Volante",L310=1,""))</f>
        <v/>
      </c>
      <c r="AT13" s="54" t="str" cm="1">
        <f t="array" ref="AT13">IF(AB13=0,"",_xlfn.IFS(M13=1,"Setup",M40=1,"Entry",M67=1,"Bar",M94=1,"C-mix",M121=1,"Rez",M148=1,"Homing",M175=1,"Toilets",M202=1,"Level",M229=1,"Çapèse",M256=1,"Tidying",M283=1,"Volante",M310=1,""))</f>
        <v>C-mix</v>
      </c>
      <c r="AU13" s="54" t="str" cm="1">
        <f t="array" ref="AU13">IF(AC13=0,"",_xlfn.IFS(N13=1,"Setup",N40=1,"Entry",N67=1,"Bar",N94=1,"C-mix",N121=1,"Rez",N148=1,"Homing",N175=1,"Toilets",N202=1,"Level",N229=1,"Çapèse",N256=1,"Tidying",N283=1,"Volante",N310=1,""))</f>
        <v/>
      </c>
      <c r="AV13" s="55" t="str" cm="1">
        <f t="array" ref="AV13">IF(AD13=0,"",_xlfn.IFS(O13=1,"Setup",O40=1,"Entry",O67=1,"Bar",O94=1,"C-mix",O121=1,"Rez",O148=1,"Homing",O175=1,"Toilets",O202=1,"Level",O229=1,"Çapèse",O256=1,"Tidying",O283=1,"Volante",O310=1,""))</f>
        <v/>
      </c>
      <c r="AW13" s="1">
        <f t="shared" si="1"/>
        <v>8</v>
      </c>
    </row>
    <row r="14" spans="1:49" ht="18.3" x14ac:dyDescent="0.55000000000000004">
      <c r="A14" s="18">
        <v>1</v>
      </c>
      <c r="B14" s="46" t="str">
        <f>$Q$14</f>
        <v>Alex</v>
      </c>
      <c r="C14" s="59">
        <v>1</v>
      </c>
      <c r="D14" s="60">
        <v>0</v>
      </c>
      <c r="E14" s="60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1">
        <v>0</v>
      </c>
      <c r="Q14" s="50" t="s">
        <v>57</v>
      </c>
      <c r="R14" s="59">
        <v>1</v>
      </c>
      <c r="S14" s="60">
        <v>1</v>
      </c>
      <c r="T14" s="60">
        <v>1</v>
      </c>
      <c r="U14" s="60">
        <v>1</v>
      </c>
      <c r="V14" s="60">
        <v>1</v>
      </c>
      <c r="W14" s="60">
        <v>1</v>
      </c>
      <c r="X14" s="60">
        <v>1</v>
      </c>
      <c r="Y14" s="60">
        <v>1</v>
      </c>
      <c r="Z14" s="60">
        <v>1</v>
      </c>
      <c r="AA14" s="60">
        <v>1</v>
      </c>
      <c r="AB14" s="60">
        <v>1</v>
      </c>
      <c r="AC14" s="60">
        <v>1</v>
      </c>
      <c r="AD14" s="60">
        <v>1</v>
      </c>
      <c r="AE14" s="97">
        <f t="shared" si="0"/>
        <v>13</v>
      </c>
      <c r="AF14" s="100">
        <v>0</v>
      </c>
      <c r="AH14" s="1">
        <v>1</v>
      </c>
      <c r="AI14" s="90" t="str">
        <f>$Q$14</f>
        <v>Alex</v>
      </c>
      <c r="AJ14" s="54" t="str" cm="1">
        <f t="array" ref="AJ14">IF(R14=0,"",_xlfn.IFS(C14=1,"Setup",C41=1,"Entry",C68=1,"Bar",C95=1,"C-mix",C122=1,"Rez",C149=1,"Homing",C176=1,"Toilets",C203=1,"Level",C230=1,"Çapèse",C257=1,"Tidying",C284=1,"Volante",C311=1,""))</f>
        <v>Setup</v>
      </c>
      <c r="AK14" s="54" t="str" cm="1">
        <f t="array" ref="AK14">IF(S14=0,"",_xlfn.IFS(D14=1,"Setup",D41=1,"Entry",D68=1,"Bar",D95=1,"C-mix",D122=1,"Rez",D149=1,"Homing",D176=1,"Toilets",D203=1,"Level",D230=1,"Çapèse",D257=1,"Tidying",D284=1,"Volante",D311=1,""))</f>
        <v>Çapèse</v>
      </c>
      <c r="AL14" s="54" t="str" cm="1">
        <f t="array" ref="AL14">IF(T14=0,"",_xlfn.IFS(E14=1,"Setup",E41=1,"Entry",E68=1,"Bar",E95=1,"C-mix",E122=1,"Rez",E149=1,"Homing",E176=1,"Toilets",E203=1,"Level",E230=1,"Çapèse",E257=1,"Tidying",E284=1,"Volante",E311=1,""))</f>
        <v>C-mix</v>
      </c>
      <c r="AM14" s="54" t="str" cm="1">
        <f t="array" ref="AM14">IF(U14=0,"",_xlfn.IFS(F14=1,"Setup",F41=1,"Entry",F68=1,"Bar",F95=1,"C-mix",F122=1,"Rez",F149=1,"Homing",F176=1,"Toilets",F203=1,"Level",F230=1,"Çapèse",F257=1,"Tidying",F284=1,"Volante",F311=1,""))</f>
        <v>Bar</v>
      </c>
      <c r="AN14" s="54" t="str" cm="1">
        <f t="array" ref="AN14">IF(V14=0,"",_xlfn.IFS(G14=1,"Setup",G41=1,"Entry",G68=1,"Bar",G95=1,"C-mix",G122=1,"Rez",G149=1,"Homing",G176=1,"Toilets",G203=1,"Level",G230=1,"Çapèse",G257=1,"Tidying",G284=1,"Volante",G311=1,""))</f>
        <v/>
      </c>
      <c r="AO14" s="54" t="str" cm="1">
        <f t="array" ref="AO14">IF(W14=0,"",_xlfn.IFS(H14=1,"Setup",H41=1,"Entry",H68=1,"Bar",H95=1,"C-mix",H122=1,"Rez",H149=1,"Homing",H176=1,"Toilets",H203=1,"Level",H230=1,"Çapèse",H257=1,"Tidying",H284=1,"Volante",H311=1,""))</f>
        <v>Volante</v>
      </c>
      <c r="AP14" s="54" t="str" cm="1">
        <f t="array" ref="AP14">IF(X14=0,"",_xlfn.IFS(I14=1,"Setup",I41=1,"Entry",I68=1,"Bar",I95=1,"C-mix",I122=1,"Rez",I149=1,"Homing",I176=1,"Toilets",I203=1,"Level",I230=1,"Çapèse",I257=1,"Tidying",I284=1,"Volante",I311=1,""))</f>
        <v/>
      </c>
      <c r="AQ14" s="54" t="str" cm="1">
        <f t="array" ref="AQ14">IF(Y14=0,"",_xlfn.IFS(J14=1,"Setup",J41=1,"Entry",J68=1,"Bar",J95=1,"C-mix",J122=1,"Rez",J149=1,"Homing",J176=1,"Toilets",J203=1,"Level",J230=1,"Çapèse",J257=1,"Tidying",J284=1,"Volante",J311=1,""))</f>
        <v/>
      </c>
      <c r="AR14" s="54" t="str" cm="1">
        <f t="array" ref="AR14">IF(Z14=0,"",_xlfn.IFS(K14=1,"Setup",K41=1,"Entry",K68=1,"Bar",K95=1,"C-mix",K122=1,"Rez",K149=1,"Homing",K176=1,"Toilets",K203=1,"Level",K230=1,"Çapèse",K257=1,"Tidying",K284=1,"Volante",K311=1,""))</f>
        <v/>
      </c>
      <c r="AS14" s="54" t="str" cm="1">
        <f t="array" ref="AS14">IF(AA14=0,"",_xlfn.IFS(L14=1,"Setup",L41=1,"Entry",L68=1,"Bar",L95=1,"C-mix",L122=1,"Rez",L149=1,"Homing",L176=1,"Toilets",L203=1,"Level",L230=1,"Çapèse",L257=1,"Tidying",L284=1,"Volante",L311=1,""))</f>
        <v>Homing</v>
      </c>
      <c r="AT14" s="54" t="str" cm="1">
        <f t="array" ref="AT14">IF(AB14=0,"",_xlfn.IFS(M14=1,"Setup",M41=1,"Entry",M68=1,"Bar",M95=1,"C-mix",M122=1,"Rez",M149=1,"Homing",M176=1,"Toilets",M203=1,"Level",M230=1,"Çapèse",M257=1,"Tidying",M284=1,"Volante",M311=1,""))</f>
        <v>Homing</v>
      </c>
      <c r="AU14" s="54" t="str" cm="1">
        <f t="array" ref="AU14">IF(AC14=0,"",_xlfn.IFS(N14=1,"Setup",N41=1,"Entry",N68=1,"Bar",N95=1,"C-mix",N122=1,"Rez",N149=1,"Homing",N176=1,"Toilets",N203=1,"Level",N230=1,"Çapèse",N257=1,"Tidying",N284=1,"Volante",N311=1,""))</f>
        <v/>
      </c>
      <c r="AV14" s="55" t="str" cm="1">
        <f t="array" ref="AV14">IF(AD14=0,"",_xlfn.IFS(O14=1,"Setup",O41=1,"Entry",O68=1,"Bar",O95=1,"C-mix",O122=1,"Rez",O149=1,"Homing",O176=1,"Toilets",O203=1,"Level",O230=1,"Çapèse",O257=1,"Tidying",O284=1,"Volante",O311=1,""))</f>
        <v>Tidying</v>
      </c>
      <c r="AW14" s="1">
        <f t="shared" si="1"/>
        <v>8</v>
      </c>
    </row>
    <row r="15" spans="1:49" ht="18.3" x14ac:dyDescent="0.55000000000000004">
      <c r="A15" s="18">
        <v>2</v>
      </c>
      <c r="B15" s="52" t="str">
        <f>$Q$15</f>
        <v>Alyssa</v>
      </c>
      <c r="C15" s="53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4">
        <v>0</v>
      </c>
      <c r="O15" s="55">
        <v>0</v>
      </c>
      <c r="Q15" s="56" t="s">
        <v>58</v>
      </c>
      <c r="R15" s="53">
        <v>1</v>
      </c>
      <c r="S15" s="54">
        <v>1</v>
      </c>
      <c r="T15" s="54">
        <v>1</v>
      </c>
      <c r="U15" s="54">
        <v>1</v>
      </c>
      <c r="V15" s="54">
        <v>1</v>
      </c>
      <c r="W15" s="54">
        <v>1</v>
      </c>
      <c r="X15" s="54">
        <v>1</v>
      </c>
      <c r="Y15" s="54">
        <v>1</v>
      </c>
      <c r="Z15" s="54">
        <v>1</v>
      </c>
      <c r="AA15" s="54">
        <v>1</v>
      </c>
      <c r="AB15" s="54">
        <v>1</v>
      </c>
      <c r="AC15" s="54">
        <v>1</v>
      </c>
      <c r="AD15" s="54">
        <v>1</v>
      </c>
      <c r="AE15" s="97">
        <f t="shared" si="0"/>
        <v>13</v>
      </c>
      <c r="AF15" s="100">
        <v>0</v>
      </c>
      <c r="AH15" s="1">
        <v>2</v>
      </c>
      <c r="AI15" s="91" t="str">
        <f>$Q$15</f>
        <v>Alyssa</v>
      </c>
      <c r="AJ15" s="54" t="str" cm="1">
        <f t="array" ref="AJ15">IF(R15=0,"",_xlfn.IFS(C15=1,"Setup",C42=1,"Entry",C69=1,"Bar",C96=1,"C-mix",C123=1,"Rez",C150=1,"Homing",C177=1,"Toilets",C204=1,"Level",C231=1,"Çapèse",C258=1,"Tidying",C285=1,"Volante",C312=1,""))</f>
        <v/>
      </c>
      <c r="AK15" s="54" t="str" cm="1">
        <f t="array" ref="AK15">IF(S15=0,"",_xlfn.IFS(D15=1,"Setup",D42=1,"Entry",D69=1,"Bar",D96=1,"C-mix",D123=1,"Rez",D150=1,"Homing",D177=1,"Toilets",D204=1,"Level",D231=1,"Çapèse",D258=1,"Tidying",D285=1,"Volante",D312=1,""))</f>
        <v>Bar</v>
      </c>
      <c r="AL15" s="54" t="str" cm="1">
        <f t="array" ref="AL15">IF(T15=0,"",_xlfn.IFS(E15=1,"Setup",E42=1,"Entry",E69=1,"Bar",E96=1,"C-mix",E123=1,"Rez",E150=1,"Homing",E177=1,"Toilets",E204=1,"Level",E231=1,"Çapèse",E258=1,"Tidying",E285=1,"Volante",E312=1,""))</f>
        <v>Bar</v>
      </c>
      <c r="AM15" s="54" t="str" cm="1">
        <f t="array" ref="AM15">IF(U15=0,"",_xlfn.IFS(F15=1,"Setup",F42=1,"Entry",F69=1,"Bar",F96=1,"C-mix",F123=1,"Rez",F150=1,"Homing",F177=1,"Toilets",F204=1,"Level",F231=1,"Çapèse",F258=1,"Tidying",F285=1,"Volante",F312=1,""))</f>
        <v/>
      </c>
      <c r="AN15" s="54" t="str" cm="1">
        <f t="array" ref="AN15">IF(V15=0,"",_xlfn.IFS(G15=1,"Setup",G42=1,"Entry",G69=1,"Bar",G96=1,"C-mix",G123=1,"Rez",G150=1,"Homing",G177=1,"Toilets",G204=1,"Level",G231=1,"Çapèse",G258=1,"Tidying",G285=1,"Volante",G312=1,""))</f>
        <v>C-mix</v>
      </c>
      <c r="AO15" s="54" t="str" cm="1">
        <f t="array" ref="AO15">IF(W15=0,"",_xlfn.IFS(H15=1,"Setup",H42=1,"Entry",H69=1,"Bar",H96=1,"C-mix",H123=1,"Rez",H150=1,"Homing",H177=1,"Toilets",H204=1,"Level",H231=1,"Çapèse",H258=1,"Tidying",H285=1,"Volante",H312=1,""))</f>
        <v/>
      </c>
      <c r="AP15" s="54" t="str" cm="1">
        <f t="array" ref="AP15">IF(X15=0,"",_xlfn.IFS(I15=1,"Setup",I42=1,"Entry",I69=1,"Bar",I96=1,"C-mix",I123=1,"Rez",I150=1,"Homing",I177=1,"Toilets",I204=1,"Level",I231=1,"Çapèse",I258=1,"Tidying",I285=1,"Volante",I312=1,""))</f>
        <v>Entry</v>
      </c>
      <c r="AQ15" s="54" t="str" cm="1">
        <f t="array" ref="AQ15">IF(Y15=0,"",_xlfn.IFS(J15=1,"Setup",J42=1,"Entry",J69=1,"Bar",J96=1,"C-mix",J123=1,"Rez",J150=1,"Homing",J177=1,"Toilets",J204=1,"Level",J231=1,"Çapèse",J258=1,"Tidying",J285=1,"Volante",J312=1,""))</f>
        <v>Toilets</v>
      </c>
      <c r="AR15" s="54" t="str" cm="1">
        <f t="array" ref="AR15">IF(Z15=0,"",_xlfn.IFS(K15=1,"Setup",K42=1,"Entry",K69=1,"Bar",K96=1,"C-mix",K123=1,"Rez",K150=1,"Homing",K177=1,"Toilets",K204=1,"Level",K231=1,"Çapèse",K258=1,"Tidying",K285=1,"Volante",K312=1,""))</f>
        <v/>
      </c>
      <c r="AS15" s="54" t="str" cm="1">
        <f t="array" ref="AS15">IF(AA15=0,"",_xlfn.IFS(L15=1,"Setup",L42=1,"Entry",L69=1,"Bar",L96=1,"C-mix",L123=1,"Rez",L150=1,"Homing",L177=1,"Toilets",L204=1,"Level",L231=1,"Çapèse",L258=1,"Tidying",L285=1,"Volante",L312=1,""))</f>
        <v>Entry</v>
      </c>
      <c r="AT15" s="54" t="str" cm="1">
        <f t="array" ref="AT15">IF(AB15=0,"",_xlfn.IFS(M15=1,"Setup",M42=1,"Entry",M69=1,"Bar",M96=1,"C-mix",M123=1,"Rez",M150=1,"Homing",M177=1,"Toilets",M204=1,"Level",M231=1,"Çapèse",M258=1,"Tidying",M285=1,"Volante",M312=1,""))</f>
        <v/>
      </c>
      <c r="AU15" s="54" t="str" cm="1">
        <f t="array" ref="AU15">IF(AC15=0,"",_xlfn.IFS(N15=1,"Setup",N42=1,"Entry",N69=1,"Bar",N96=1,"C-mix",N123=1,"Rez",N150=1,"Homing",N177=1,"Toilets",N204=1,"Level",N231=1,"Çapèse",N258=1,"Tidying",N285=1,"Volante",N312=1,""))</f>
        <v>Tidying</v>
      </c>
      <c r="AV15" s="55" t="str" cm="1">
        <f t="array" ref="AV15">IF(AD15=0,"",_xlfn.IFS(O15=1,"Setup",O42=1,"Entry",O69=1,"Bar",O96=1,"C-mix",O123=1,"Rez",O150=1,"Homing",O177=1,"Toilets",O204=1,"Level",O231=1,"Çapèse",O258=1,"Tidying",O285=1,"Volante",O312=1,""))</f>
        <v>Tidying</v>
      </c>
      <c r="AW15" s="1">
        <f t="shared" si="1"/>
        <v>8</v>
      </c>
    </row>
    <row r="16" spans="1:49" ht="18.3" x14ac:dyDescent="0.55000000000000004">
      <c r="A16" s="18">
        <v>3</v>
      </c>
      <c r="B16" s="52" t="str">
        <f>$Q$16</f>
        <v>Amanda</v>
      </c>
      <c r="C16" s="53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5">
        <v>0</v>
      </c>
      <c r="Q16" s="56" t="s">
        <v>59</v>
      </c>
      <c r="R16" s="53">
        <v>1</v>
      </c>
      <c r="S16" s="54">
        <v>1</v>
      </c>
      <c r="T16" s="54">
        <v>1</v>
      </c>
      <c r="U16" s="54">
        <v>1</v>
      </c>
      <c r="V16" s="54">
        <v>1</v>
      </c>
      <c r="W16" s="54">
        <v>1</v>
      </c>
      <c r="X16" s="54">
        <v>1</v>
      </c>
      <c r="Y16" s="54">
        <v>1</v>
      </c>
      <c r="Z16" s="54">
        <v>1</v>
      </c>
      <c r="AA16" s="54">
        <v>1</v>
      </c>
      <c r="AB16" s="54">
        <v>1</v>
      </c>
      <c r="AC16" s="54">
        <v>1</v>
      </c>
      <c r="AD16" s="54">
        <v>1</v>
      </c>
      <c r="AE16" s="97">
        <f t="shared" si="0"/>
        <v>13</v>
      </c>
      <c r="AF16" s="100">
        <v>0</v>
      </c>
      <c r="AH16" s="1">
        <v>3</v>
      </c>
      <c r="AI16" s="91" t="str">
        <f>$Q$16</f>
        <v>Amanda</v>
      </c>
      <c r="AJ16" s="54" t="str" cm="1">
        <f t="array" ref="AJ16">IF(R16=0,"",_xlfn.IFS(C16=1,"Setup",C43=1,"Entry",C70=1,"Bar",C97=1,"C-mix",C124=1,"Rez",C151=1,"Homing",C178=1,"Toilets",C205=1,"Level",C232=1,"Çapèse",C259=1,"Tidying",C286=1,"Volante",C313=1,""))</f>
        <v/>
      </c>
      <c r="AK16" s="54" t="str" cm="1">
        <f t="array" ref="AK16">IF(S16=0,"",_xlfn.IFS(D16=1,"Setup",D43=1,"Entry",D70=1,"Bar",D97=1,"C-mix",D124=1,"Rez",D151=1,"Homing",D178=1,"Toilets",D205=1,"Level",D232=1,"Çapèse",D259=1,"Tidying",D286=1,"Volante",D313=1,""))</f>
        <v>Homing</v>
      </c>
      <c r="AL16" s="54" t="str" cm="1">
        <f t="array" ref="AL16">IF(T16=0,"",_xlfn.IFS(E16=1,"Setup",E43=1,"Entry",E70=1,"Bar",E97=1,"C-mix",E124=1,"Rez",E151=1,"Homing",E178=1,"Toilets",E205=1,"Level",E232=1,"Çapèse",E259=1,"Tidying",E286=1,"Volante",E313=1,""))</f>
        <v>Toilets</v>
      </c>
      <c r="AM16" s="54" t="str" cm="1">
        <f t="array" ref="AM16">IF(U16=0,"",_xlfn.IFS(F16=1,"Setup",F43=1,"Entry",F70=1,"Bar",F97=1,"C-mix",F124=1,"Rez",F151=1,"Homing",F178=1,"Toilets",F205=1,"Level",F232=1,"Çapèse",F259=1,"Tidying",F286=1,"Volante",F313=1,""))</f>
        <v/>
      </c>
      <c r="AN16" s="54" t="str" cm="1">
        <f t="array" ref="AN16">IF(V16=0,"",_xlfn.IFS(G16=1,"Setup",G43=1,"Entry",G70=1,"Bar",G97=1,"C-mix",G124=1,"Rez",G151=1,"Homing",G178=1,"Toilets",G205=1,"Level",G232=1,"Çapèse",G259=1,"Tidying",G286=1,"Volante",G313=1,""))</f>
        <v>Bar</v>
      </c>
      <c r="AO16" s="54" t="str" cm="1">
        <f t="array" ref="AO16">IF(W16=0,"",_xlfn.IFS(H16=1,"Setup",H43=1,"Entry",H70=1,"Bar",H97=1,"C-mix",H124=1,"Rez",H151=1,"Homing",H178=1,"Toilets",H205=1,"Level",H232=1,"Çapèse",H259=1,"Tidying",H286=1,"Volante",H313=1,""))</f>
        <v>Toilets</v>
      </c>
      <c r="AP16" s="54" t="str" cm="1">
        <f t="array" ref="AP16">IF(X16=0,"",_xlfn.IFS(I16=1,"Setup",I43=1,"Entry",I70=1,"Bar",I97=1,"C-mix",I124=1,"Rez",I151=1,"Homing",I178=1,"Toilets",I205=1,"Level",I232=1,"Çapèse",I259=1,"Tidying",I286=1,"Volante",I313=1,""))</f>
        <v>Bar</v>
      </c>
      <c r="AQ16" s="54" t="str" cm="1">
        <f t="array" ref="AQ16">IF(Y16=0,"",_xlfn.IFS(J16=1,"Setup",J43=1,"Entry",J70=1,"Bar",J97=1,"C-mix",J124=1,"Rez",J151=1,"Homing",J178=1,"Toilets",J205=1,"Level",J232=1,"Çapèse",J259=1,"Tidying",J286=1,"Volante",J313=1,""))</f>
        <v/>
      </c>
      <c r="AR16" s="54" t="str" cm="1">
        <f t="array" ref="AR16">IF(Z16=0,"",_xlfn.IFS(K16=1,"Setup",K43=1,"Entry",K70=1,"Bar",K97=1,"C-mix",K124=1,"Rez",K151=1,"Homing",K178=1,"Toilets",K205=1,"Level",K232=1,"Çapèse",K259=1,"Tidying",K286=1,"Volante",K313=1,""))</f>
        <v>Homing</v>
      </c>
      <c r="AS16" s="54" t="str" cm="1">
        <f t="array" ref="AS16">IF(AA16=0,"",_xlfn.IFS(L16=1,"Setup",L43=1,"Entry",L70=1,"Bar",L97=1,"C-mix",L124=1,"Rez",L151=1,"Homing",L178=1,"Toilets",L205=1,"Level",L232=1,"Çapèse",L259=1,"Tidying",L286=1,"Volante",L313=1,""))</f>
        <v>Homing</v>
      </c>
      <c r="AT16" s="54" t="str" cm="1">
        <f t="array" ref="AT16">IF(AB16=0,"",_xlfn.IFS(M16=1,"Setup",M43=1,"Entry",M70=1,"Bar",M97=1,"C-mix",M124=1,"Rez",M151=1,"Homing",M178=1,"Toilets",M205=1,"Level",M232=1,"Çapèse",M259=1,"Tidying",M286=1,"Volante",M313=1,""))</f>
        <v/>
      </c>
      <c r="AU16" s="54" t="str" cm="1">
        <f t="array" ref="AU16">IF(AC16=0,"",_xlfn.IFS(N16=1,"Setup",N43=1,"Entry",N70=1,"Bar",N97=1,"C-mix",N124=1,"Rez",N151=1,"Homing",N178=1,"Toilets",N205=1,"Level",N232=1,"Çapèse",N259=1,"Tidying",N286=1,"Volante",N313=1,""))</f>
        <v/>
      </c>
      <c r="AV16" s="55" t="str" cm="1">
        <f t="array" ref="AV16">IF(AD16=0,"",_xlfn.IFS(O16=1,"Setup",O43=1,"Entry",O70=1,"Bar",O97=1,"C-mix",O124=1,"Rez",O151=1,"Homing",O178=1,"Toilets",O205=1,"Level",O232=1,"Çapèse",O259=1,"Tidying",O286=1,"Volante",O313=1,""))</f>
        <v>Tidying</v>
      </c>
      <c r="AW16" s="1">
        <f t="shared" si="1"/>
        <v>8</v>
      </c>
    </row>
    <row r="17" spans="1:49" ht="18.3" x14ac:dyDescent="0.55000000000000004">
      <c r="A17" s="18">
        <v>4</v>
      </c>
      <c r="B17" s="52" t="str">
        <f>$Q$17</f>
        <v>Antoine</v>
      </c>
      <c r="C17" s="53">
        <v>1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5">
        <v>0</v>
      </c>
      <c r="Q17" s="56" t="s">
        <v>60</v>
      </c>
      <c r="R17" s="53">
        <v>1</v>
      </c>
      <c r="S17" s="54">
        <v>1</v>
      </c>
      <c r="T17" s="54">
        <v>1</v>
      </c>
      <c r="U17" s="54">
        <v>1</v>
      </c>
      <c r="V17" s="54">
        <v>1</v>
      </c>
      <c r="W17" s="54">
        <v>1</v>
      </c>
      <c r="X17" s="54">
        <v>1</v>
      </c>
      <c r="Y17" s="54">
        <v>1</v>
      </c>
      <c r="Z17" s="54">
        <v>1</v>
      </c>
      <c r="AA17" s="54">
        <v>1</v>
      </c>
      <c r="AB17" s="54">
        <v>1</v>
      </c>
      <c r="AC17" s="54">
        <v>1</v>
      </c>
      <c r="AD17" s="54">
        <v>1</v>
      </c>
      <c r="AE17" s="97">
        <f t="shared" si="0"/>
        <v>13</v>
      </c>
      <c r="AF17" s="100">
        <v>0</v>
      </c>
      <c r="AH17" s="1">
        <v>4</v>
      </c>
      <c r="AI17" s="91" t="str">
        <f>$Q$17</f>
        <v>Antoine</v>
      </c>
      <c r="AJ17" s="54" t="str" cm="1">
        <f t="array" ref="AJ17">IF(R17=0,"",_xlfn.IFS(C17=1,"Setup",C44=1,"Entry",C71=1,"Bar",C98=1,"C-mix",C125=1,"Rez",C152=1,"Homing",C179=1,"Toilets",C206=1,"Level",C233=1,"Çapèse",C260=1,"Tidying",C287=1,"Volante",C314=1,""))</f>
        <v>Setup</v>
      </c>
      <c r="AK17" s="54" t="str" cm="1">
        <f t="array" ref="AK17">IF(S17=0,"",_xlfn.IFS(D17=1,"Setup",D44=1,"Entry",D71=1,"Bar",D98=1,"C-mix",D125=1,"Rez",D152=1,"Homing",D179=1,"Toilets",D206=1,"Level",D233=1,"Çapèse",D260=1,"Tidying",D287=1,"Volante",D314=1,""))</f>
        <v>Level</v>
      </c>
      <c r="AL17" s="54" t="str" cm="1">
        <f t="array" ref="AL17">IF(T17=0,"",_xlfn.IFS(E17=1,"Setup",E44=1,"Entry",E71=1,"Bar",E98=1,"C-mix",E125=1,"Rez",E152=1,"Homing",E179=1,"Toilets",E206=1,"Level",E233=1,"Çapèse",E260=1,"Tidying",E287=1,"Volante",E314=1,""))</f>
        <v/>
      </c>
      <c r="AM17" s="54" t="str" cm="1">
        <f t="array" ref="AM17">IF(U17=0,"",_xlfn.IFS(F17=1,"Setup",F44=1,"Entry",F71=1,"Bar",F98=1,"C-mix",F125=1,"Rez",F152=1,"Homing",F179=1,"Toilets",F206=1,"Level",F233=1,"Çapèse",F260=1,"Tidying",F287=1,"Volante",F314=1,""))</f>
        <v/>
      </c>
      <c r="AN17" s="54" t="str" cm="1">
        <f t="array" ref="AN17">IF(V17=0,"",_xlfn.IFS(G17=1,"Setup",G44=1,"Entry",G71=1,"Bar",G98=1,"C-mix",G125=1,"Rez",G152=1,"Homing",G179=1,"Toilets",G206=1,"Level",G233=1,"Çapèse",G260=1,"Tidying",G287=1,"Volante",G314=1,""))</f>
        <v>Çapèse</v>
      </c>
      <c r="AO17" s="54" t="str" cm="1">
        <f t="array" ref="AO17">IF(W17=0,"",_xlfn.IFS(H17=1,"Setup",H44=1,"Entry",H71=1,"Bar",H98=1,"C-mix",H125=1,"Rez",H152=1,"Homing",H179=1,"Toilets",H206=1,"Level",H233=1,"Çapèse",H260=1,"Tidying",H287=1,"Volante",H314=1,""))</f>
        <v>Entry</v>
      </c>
      <c r="AP17" s="54" t="str" cm="1">
        <f t="array" ref="AP17">IF(X17=0,"",_xlfn.IFS(I17=1,"Setup",I44=1,"Entry",I71=1,"Bar",I98=1,"C-mix",I125=1,"Rez",I152=1,"Homing",I179=1,"Toilets",I206=1,"Level",I233=1,"Çapèse",I260=1,"Tidying",I287=1,"Volante",I314=1,""))</f>
        <v/>
      </c>
      <c r="AQ17" s="54" t="str" cm="1">
        <f t="array" ref="AQ17">IF(Y17=0,"",_xlfn.IFS(J17=1,"Setup",J44=1,"Entry",J71=1,"Bar",J98=1,"C-mix",J125=1,"Rez",J152=1,"Homing",J179=1,"Toilets",J206=1,"Level",J233=1,"Çapèse",J260=1,"Tidying",J287=1,"Volante",J314=1,""))</f>
        <v>Rez</v>
      </c>
      <c r="AR17" s="54" t="str" cm="1">
        <f t="array" ref="AR17">IF(Z17=0,"",_xlfn.IFS(K17=1,"Setup",K44=1,"Entry",K71=1,"Bar",K98=1,"C-mix",K125=1,"Rez",K152=1,"Homing",K179=1,"Toilets",K206=1,"Level",K233=1,"Çapèse",K260=1,"Tidying",K287=1,"Volante",K314=1,""))</f>
        <v>Level</v>
      </c>
      <c r="AS17" s="54" t="str" cm="1">
        <f t="array" ref="AS17">IF(AA17=0,"",_xlfn.IFS(L17=1,"Setup",L44=1,"Entry",L71=1,"Bar",L98=1,"C-mix",L125=1,"Rez",L152=1,"Homing",L179=1,"Toilets",L206=1,"Level",L233=1,"Çapèse",L260=1,"Tidying",L287=1,"Volante",L314=1,""))</f>
        <v/>
      </c>
      <c r="AT17" s="54" t="str" cm="1">
        <f t="array" ref="AT17">IF(AB17=0,"",_xlfn.IFS(M17=1,"Setup",M44=1,"Entry",M71=1,"Bar",M98=1,"C-mix",M125=1,"Rez",M152=1,"Homing",M179=1,"Toilets",M206=1,"Level",M233=1,"Çapèse",M260=1,"Tidying",M287=1,"Volante",M314=1,""))</f>
        <v>Volante</v>
      </c>
      <c r="AU17" s="54" t="str" cm="1">
        <f t="array" ref="AU17">IF(AC17=0,"",_xlfn.IFS(N17=1,"Setup",N44=1,"Entry",N71=1,"Bar",N98=1,"C-mix",N125=1,"Rez",N152=1,"Homing",N179=1,"Toilets",N206=1,"Level",N233=1,"Çapèse",N260=1,"Tidying",N287=1,"Volante",N314=1,""))</f>
        <v>Tidying</v>
      </c>
      <c r="AV17" s="55" t="str" cm="1">
        <f t="array" ref="AV17">IF(AD17=0,"",_xlfn.IFS(O17=1,"Setup",O44=1,"Entry",O71=1,"Bar",O98=1,"C-mix",O125=1,"Rez",O152=1,"Homing",O179=1,"Toilets",O206=1,"Level",O233=1,"Çapèse",O260=1,"Tidying",O287=1,"Volante",O314=1,""))</f>
        <v/>
      </c>
      <c r="AW17" s="1">
        <f t="shared" si="1"/>
        <v>8</v>
      </c>
    </row>
    <row r="18" spans="1:49" ht="18.3" x14ac:dyDescent="0.55000000000000004">
      <c r="A18" s="18">
        <v>5</v>
      </c>
      <c r="B18" s="52" t="str">
        <f>$Q$18</f>
        <v>Beatriz</v>
      </c>
      <c r="C18" s="53">
        <v>1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5">
        <v>0</v>
      </c>
      <c r="Q18" s="56" t="s">
        <v>61</v>
      </c>
      <c r="R18" s="53">
        <v>1</v>
      </c>
      <c r="S18" s="54">
        <v>1</v>
      </c>
      <c r="T18" s="54">
        <v>1</v>
      </c>
      <c r="U18" s="54">
        <v>1</v>
      </c>
      <c r="V18" s="54">
        <v>1</v>
      </c>
      <c r="W18" s="54">
        <v>1</v>
      </c>
      <c r="X18" s="54">
        <v>1</v>
      </c>
      <c r="Y18" s="54">
        <v>1</v>
      </c>
      <c r="Z18" s="54">
        <v>1</v>
      </c>
      <c r="AA18" s="54">
        <v>1</v>
      </c>
      <c r="AB18" s="54">
        <v>1</v>
      </c>
      <c r="AC18" s="54">
        <v>1</v>
      </c>
      <c r="AD18" s="54">
        <v>1</v>
      </c>
      <c r="AE18" s="97">
        <f t="shared" si="0"/>
        <v>13</v>
      </c>
      <c r="AF18" s="100">
        <v>0</v>
      </c>
      <c r="AH18" s="1">
        <v>5</v>
      </c>
      <c r="AI18" s="91" t="str">
        <f>$Q$18</f>
        <v>Beatriz</v>
      </c>
      <c r="AJ18" s="54" t="str" cm="1">
        <f t="array" ref="AJ18">IF(R18=0,"",_xlfn.IFS(C18=1,"Setup",C45=1,"Entry",C72=1,"Bar",C99=1,"C-mix",C126=1,"Rez",C153=1,"Homing",C180=1,"Toilets",C207=1,"Level",C234=1,"Çapèse",C261=1,"Tidying",C288=1,"Volante",C315=1,""))</f>
        <v>Setup</v>
      </c>
      <c r="AK18" s="54" t="str" cm="1">
        <f t="array" ref="AK18">IF(S18=0,"",_xlfn.IFS(D18=1,"Setup",D45=1,"Entry",D72=1,"Bar",D99=1,"C-mix",D126=1,"Rez",D153=1,"Homing",D180=1,"Toilets",D207=1,"Level",D234=1,"Çapèse",D261=1,"Tidying",D288=1,"Volante",D315=1,""))</f>
        <v>Entry</v>
      </c>
      <c r="AL18" s="54" t="str" cm="1">
        <f t="array" ref="AL18">IF(T18=0,"",_xlfn.IFS(E18=1,"Setup",E45=1,"Entry",E72=1,"Bar",E99=1,"C-mix",E126=1,"Rez",E153=1,"Homing",E180=1,"Toilets",E207=1,"Level",E234=1,"Çapèse",E261=1,"Tidying",E288=1,"Volante",E315=1,""))</f>
        <v>Bar</v>
      </c>
      <c r="AM18" s="54" t="str" cm="1">
        <f t="array" ref="AM18">IF(U18=0,"",_xlfn.IFS(F18=1,"Setup",F45=1,"Entry",F72=1,"Bar",F99=1,"C-mix",F126=1,"Rez",F153=1,"Homing",F180=1,"Toilets",F207=1,"Level",F234=1,"Çapèse",F261=1,"Tidying",F288=1,"Volante",F315=1,""))</f>
        <v>Homing</v>
      </c>
      <c r="AN18" s="54" t="str" cm="1">
        <f t="array" ref="AN18">IF(V18=0,"",_xlfn.IFS(G18=1,"Setup",G45=1,"Entry",G72=1,"Bar",G99=1,"C-mix",G126=1,"Rez",G153=1,"Homing",G180=1,"Toilets",G207=1,"Level",G234=1,"Çapèse",G261=1,"Tidying",G288=1,"Volante",G315=1,""))</f>
        <v/>
      </c>
      <c r="AO18" s="54" t="str" cm="1">
        <f t="array" ref="AO18">IF(W18=0,"",_xlfn.IFS(H18=1,"Setup",H45=1,"Entry",H72=1,"Bar",H99=1,"C-mix",H126=1,"Rez",H153=1,"Homing",H180=1,"Toilets",H207=1,"Level",H234=1,"Çapèse",H261=1,"Tidying",H288=1,"Volante",H315=1,""))</f>
        <v/>
      </c>
      <c r="AP18" s="54" t="str" cm="1">
        <f t="array" ref="AP18">IF(X18=0,"",_xlfn.IFS(I18=1,"Setup",I45=1,"Entry",I72=1,"Bar",I99=1,"C-mix",I126=1,"Rez",I153=1,"Homing",I180=1,"Toilets",I207=1,"Level",I234=1,"Çapèse",I261=1,"Tidying",I288=1,"Volante",I315=1,""))</f>
        <v>Homing</v>
      </c>
      <c r="AQ18" s="54" t="str" cm="1">
        <f t="array" ref="AQ18">IF(Y18=0,"",_xlfn.IFS(J18=1,"Setup",J45=1,"Entry",J72=1,"Bar",J99=1,"C-mix",J126=1,"Rez",J153=1,"Homing",J180=1,"Toilets",J207=1,"Level",J234=1,"Çapèse",J261=1,"Tidying",J288=1,"Volante",J315=1,""))</f>
        <v/>
      </c>
      <c r="AR18" s="54" t="str" cm="1">
        <f t="array" ref="AR18">IF(Z18=0,"",_xlfn.IFS(K18=1,"Setup",K45=1,"Entry",K72=1,"Bar",K99=1,"C-mix",K126=1,"Rez",K153=1,"Homing",K180=1,"Toilets",K207=1,"Level",K234=1,"Çapèse",K261=1,"Tidying",K288=1,"Volante",K315=1,""))</f>
        <v/>
      </c>
      <c r="AS18" s="54" t="str" cm="1">
        <f t="array" ref="AS18">IF(AA18=0,"",_xlfn.IFS(L18=1,"Setup",L45=1,"Entry",L72=1,"Bar",L99=1,"C-mix",L126=1,"Rez",L153=1,"Homing",L180=1,"Toilets",L207=1,"Level",L234=1,"Çapèse",L261=1,"Tidying",L288=1,"Volante",L315=1,""))</f>
        <v>Homing</v>
      </c>
      <c r="AT18" s="54" t="str" cm="1">
        <f t="array" ref="AT18">IF(AB18=0,"",_xlfn.IFS(M18=1,"Setup",M45=1,"Entry",M72=1,"Bar",M99=1,"C-mix",M126=1,"Rez",M153=1,"Homing",M180=1,"Toilets",M207=1,"Level",M234=1,"Çapèse",M261=1,"Tidying",M288=1,"Volante",M315=1,""))</f>
        <v/>
      </c>
      <c r="AU18" s="54" t="str" cm="1">
        <f t="array" ref="AU18">IF(AC18=0,"",_xlfn.IFS(N18=1,"Setup",N45=1,"Entry",N72=1,"Bar",N99=1,"C-mix",N126=1,"Rez",N153=1,"Homing",N180=1,"Toilets",N207=1,"Level",N234=1,"Çapèse",N261=1,"Tidying",N288=1,"Volante",N315=1,""))</f>
        <v>Tidying</v>
      </c>
      <c r="AV18" s="55" t="str" cm="1">
        <f t="array" ref="AV18">IF(AD18=0,"",_xlfn.IFS(O18=1,"Setup",O45=1,"Entry",O72=1,"Bar",O99=1,"C-mix",O126=1,"Rez",O153=1,"Homing",O180=1,"Toilets",O207=1,"Level",O234=1,"Çapèse",O261=1,"Tidying",O288=1,"Volante",O315=1,""))</f>
        <v>Tidying</v>
      </c>
      <c r="AW18" s="1">
        <f t="shared" si="1"/>
        <v>8</v>
      </c>
    </row>
    <row r="19" spans="1:49" ht="18.3" x14ac:dyDescent="0.55000000000000004">
      <c r="A19" s="18">
        <v>6</v>
      </c>
      <c r="B19" s="52" t="str">
        <f>$Q$19</f>
        <v>Charelle</v>
      </c>
      <c r="C19" s="53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5">
        <v>0</v>
      </c>
      <c r="Q19" s="56" t="s">
        <v>62</v>
      </c>
      <c r="R19" s="53">
        <v>1</v>
      </c>
      <c r="S19" s="54">
        <v>1</v>
      </c>
      <c r="T19" s="54">
        <v>1</v>
      </c>
      <c r="U19" s="54">
        <v>1</v>
      </c>
      <c r="V19" s="54">
        <v>1</v>
      </c>
      <c r="W19" s="54">
        <v>1</v>
      </c>
      <c r="X19" s="54">
        <v>1</v>
      </c>
      <c r="Y19" s="54">
        <v>1</v>
      </c>
      <c r="Z19" s="54">
        <v>1</v>
      </c>
      <c r="AA19" s="54">
        <v>1</v>
      </c>
      <c r="AB19" s="54">
        <v>1</v>
      </c>
      <c r="AC19" s="54">
        <v>1</v>
      </c>
      <c r="AD19" s="54">
        <v>1</v>
      </c>
      <c r="AE19" s="97">
        <f t="shared" si="0"/>
        <v>13</v>
      </c>
      <c r="AF19" s="100">
        <v>0</v>
      </c>
      <c r="AH19" s="1">
        <v>6</v>
      </c>
      <c r="AI19" s="91" t="str">
        <f>$Q$19</f>
        <v>Charelle</v>
      </c>
      <c r="AJ19" s="54" t="str" cm="1">
        <f t="array" ref="AJ19">IF(R19=0,"",_xlfn.IFS(C19=1,"Setup",C46=1,"Entry",C73=1,"Bar",C100=1,"C-mix",C127=1,"Rez",C154=1,"Homing",C181=1,"Toilets",C208=1,"Level",C235=1,"Çapèse",C262=1,"Tidying",C289=1,"Volante",C316=1,""))</f>
        <v/>
      </c>
      <c r="AK19" s="54" t="str" cm="1">
        <f t="array" ref="AK19">IF(S19=0,"",_xlfn.IFS(D19=1,"Setup",D46=1,"Entry",D73=1,"Bar",D100=1,"C-mix",D127=1,"Rez",D154=1,"Homing",D181=1,"Toilets",D208=1,"Level",D235=1,"Çapèse",D262=1,"Tidying",D289=1,"Volante",D316=1,""))</f>
        <v>Volante</v>
      </c>
      <c r="AL19" s="54" t="str" cm="1">
        <f t="array" ref="AL19">IF(T19=0,"",_xlfn.IFS(E19=1,"Setup",E46=1,"Entry",E73=1,"Bar",E100=1,"C-mix",E127=1,"Rez",E154=1,"Homing",E181=1,"Toilets",E208=1,"Level",E235=1,"Çapèse",E262=1,"Tidying",E289=1,"Volante",E316=1,""))</f>
        <v>Toilets</v>
      </c>
      <c r="AM19" s="54" t="str" cm="1">
        <f t="array" ref="AM19">IF(U19=0,"",_xlfn.IFS(F19=1,"Setup",F46=1,"Entry",F73=1,"Bar",F100=1,"C-mix",F127=1,"Rez",F154=1,"Homing",F181=1,"Toilets",F208=1,"Level",F235=1,"Çapèse",F262=1,"Tidying",F289=1,"Volante",F316=1,""))</f>
        <v/>
      </c>
      <c r="AN19" s="54" t="str" cm="1">
        <f t="array" ref="AN19">IF(V19=0,"",_xlfn.IFS(G19=1,"Setup",G46=1,"Entry",G73=1,"Bar",G100=1,"C-mix",G127=1,"Rez",G154=1,"Homing",G181=1,"Toilets",G208=1,"Level",G235=1,"Çapèse",G262=1,"Tidying",G289=1,"Volante",G316=1,""))</f>
        <v>Bar</v>
      </c>
      <c r="AO19" s="54" t="str" cm="1">
        <f t="array" ref="AO19">IF(W19=0,"",_xlfn.IFS(H19=1,"Setup",H46=1,"Entry",H73=1,"Bar",H100=1,"C-mix",H127=1,"Rez",H154=1,"Homing",H181=1,"Toilets",H208=1,"Level",H235=1,"Çapèse",H262=1,"Tidying",H289=1,"Volante",H316=1,""))</f>
        <v>Çapèse</v>
      </c>
      <c r="AP19" s="54" t="str" cm="1">
        <f t="array" ref="AP19">IF(X19=0,"",_xlfn.IFS(I19=1,"Setup",I46=1,"Entry",I73=1,"Bar",I100=1,"C-mix",I127=1,"Rez",I154=1,"Homing",I181=1,"Toilets",I208=1,"Level",I235=1,"Çapèse",I262=1,"Tidying",I289=1,"Volante",I316=1,""))</f>
        <v>Bar</v>
      </c>
      <c r="AQ19" s="54" t="str" cm="1">
        <f t="array" ref="AQ19">IF(Y19=0,"",_xlfn.IFS(J19=1,"Setup",J46=1,"Entry",J73=1,"Bar",J100=1,"C-mix",J127=1,"Rez",J154=1,"Homing",J181=1,"Toilets",J208=1,"Level",J235=1,"Çapèse",J262=1,"Tidying",J289=1,"Volante",J316=1,""))</f>
        <v>Bar</v>
      </c>
      <c r="AR19" s="54" t="str" cm="1">
        <f t="array" ref="AR19">IF(Z19=0,"",_xlfn.IFS(K19=1,"Setup",K46=1,"Entry",K73=1,"Bar",K100=1,"C-mix",K127=1,"Rez",K154=1,"Homing",K181=1,"Toilets",K208=1,"Level",K235=1,"Çapèse",K262=1,"Tidying",K289=1,"Volante",K316=1,""))</f>
        <v>Homing</v>
      </c>
      <c r="AS19" s="54" t="str" cm="1">
        <f t="array" ref="AS19">IF(AA19=0,"",_xlfn.IFS(L19=1,"Setup",L46=1,"Entry",L73=1,"Bar",L100=1,"C-mix",L127=1,"Rez",L154=1,"Homing",L181=1,"Toilets",L208=1,"Level",L235=1,"Çapèse",L262=1,"Tidying",L289=1,"Volante",L316=1,""))</f>
        <v/>
      </c>
      <c r="AT19" s="54" t="str" cm="1">
        <f t="array" ref="AT19">IF(AB19=0,"",_xlfn.IFS(M19=1,"Setup",M46=1,"Entry",M73=1,"Bar",M100=1,"C-mix",M127=1,"Rez",M154=1,"Homing",M181=1,"Toilets",M208=1,"Level",M235=1,"Çapèse",M262=1,"Tidying",M289=1,"Volante",M316=1,""))</f>
        <v>Bar</v>
      </c>
      <c r="AU19" s="54" t="str" cm="1">
        <f t="array" ref="AU19">IF(AC19=0,"",_xlfn.IFS(N19=1,"Setup",N46=1,"Entry",N73=1,"Bar",N100=1,"C-mix",N127=1,"Rez",N154=1,"Homing",N181=1,"Toilets",N208=1,"Level",N235=1,"Çapèse",N262=1,"Tidying",N289=1,"Volante",N316=1,""))</f>
        <v/>
      </c>
      <c r="AV19" s="55" t="str" cm="1">
        <f t="array" ref="AV19">IF(AD19=0,"",_xlfn.IFS(O19=1,"Setup",O46=1,"Entry",O73=1,"Bar",O100=1,"C-mix",O127=1,"Rez",O154=1,"Homing",O181=1,"Toilets",O208=1,"Level",O235=1,"Çapèse",O262=1,"Tidying",O289=1,"Volante",O316=1,""))</f>
        <v/>
      </c>
      <c r="AW19" s="1">
        <f t="shared" si="1"/>
        <v>8</v>
      </c>
    </row>
    <row r="20" spans="1:49" ht="18.3" x14ac:dyDescent="0.55000000000000004">
      <c r="A20" s="18">
        <v>7</v>
      </c>
      <c r="B20" s="52" t="str">
        <f>$Q$20</f>
        <v>Dimitri</v>
      </c>
      <c r="C20" s="53">
        <v>1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5">
        <v>0</v>
      </c>
      <c r="Q20" s="56" t="s">
        <v>63</v>
      </c>
      <c r="R20" s="53">
        <v>1</v>
      </c>
      <c r="S20" s="54">
        <v>1</v>
      </c>
      <c r="T20" s="54">
        <v>1</v>
      </c>
      <c r="U20" s="54">
        <v>1</v>
      </c>
      <c r="V20" s="54">
        <v>1</v>
      </c>
      <c r="W20" s="54">
        <v>1</v>
      </c>
      <c r="X20" s="54">
        <v>1</v>
      </c>
      <c r="Y20" s="54">
        <v>1</v>
      </c>
      <c r="Z20" s="54">
        <v>1</v>
      </c>
      <c r="AA20" s="54">
        <v>1</v>
      </c>
      <c r="AB20" s="54">
        <v>1</v>
      </c>
      <c r="AC20" s="54">
        <v>1</v>
      </c>
      <c r="AD20" s="54">
        <v>1</v>
      </c>
      <c r="AE20" s="97">
        <f t="shared" si="0"/>
        <v>13</v>
      </c>
      <c r="AF20" s="100">
        <v>0</v>
      </c>
      <c r="AH20" s="1">
        <v>7</v>
      </c>
      <c r="AI20" s="91" t="str">
        <f>$Q$20</f>
        <v>Dimitri</v>
      </c>
      <c r="AJ20" s="54" t="str" cm="1">
        <f t="array" ref="AJ20">IF(R20=0,"",_xlfn.IFS(C20=1,"Setup",C47=1,"Entry",C74=1,"Bar",C101=1,"C-mix",C128=1,"Rez",C155=1,"Homing",C182=1,"Toilets",C209=1,"Level",C236=1,"Çapèse",C263=1,"Tidying",C290=1,"Volante",C317=1,""))</f>
        <v>Setup</v>
      </c>
      <c r="AK20" s="54" t="str" cm="1">
        <f t="array" ref="AK20">IF(S20=0,"",_xlfn.IFS(D20=1,"Setup",D47=1,"Entry",D74=1,"Bar",D101=1,"C-mix",D128=1,"Rez",D155=1,"Homing",D182=1,"Toilets",D209=1,"Level",D236=1,"Çapèse",D263=1,"Tidying",D290=1,"Volante",D317=1,""))</f>
        <v>Rez</v>
      </c>
      <c r="AL20" s="54" t="str" cm="1">
        <f t="array" ref="AL20">IF(T20=0,"",_xlfn.IFS(E20=1,"Setup",E47=1,"Entry",E74=1,"Bar",E101=1,"C-mix",E128=1,"Rez",E155=1,"Homing",E182=1,"Toilets",E209=1,"Level",E236=1,"Çapèse",E263=1,"Tidying",E290=1,"Volante",E317=1,""))</f>
        <v/>
      </c>
      <c r="AM20" s="54" t="str" cm="1">
        <f t="array" ref="AM20">IF(U20=0,"",_xlfn.IFS(F20=1,"Setup",F47=1,"Entry",F74=1,"Bar",F101=1,"C-mix",F128=1,"Rez",F155=1,"Homing",F182=1,"Toilets",F209=1,"Level",F236=1,"Çapèse",F263=1,"Tidying",F290=1,"Volante",F317=1,""))</f>
        <v/>
      </c>
      <c r="AN20" s="54" t="str" cm="1">
        <f t="array" ref="AN20">IF(V20=0,"",_xlfn.IFS(G20=1,"Setup",G47=1,"Entry",G74=1,"Bar",G101=1,"C-mix",G128=1,"Rez",G155=1,"Homing",G182=1,"Toilets",G209=1,"Level",G236=1,"Çapèse",G263=1,"Tidying",G290=1,"Volante",G317=1,""))</f>
        <v/>
      </c>
      <c r="AO20" s="54" t="str" cm="1">
        <f t="array" ref="AO20">IF(W20=0,"",_xlfn.IFS(H20=1,"Setup",H47=1,"Entry",H74=1,"Bar",H101=1,"C-mix",H128=1,"Rez",H155=1,"Homing",H182=1,"Toilets",H209=1,"Level",H236=1,"Çapèse",H263=1,"Tidying",H290=1,"Volante",H317=1,""))</f>
        <v>Homing</v>
      </c>
      <c r="AP20" s="54" t="str" cm="1">
        <f t="array" ref="AP20">IF(X20=0,"",_xlfn.IFS(I20=1,"Setup",I47=1,"Entry",I74=1,"Bar",I101=1,"C-mix",I128=1,"Rez",I155=1,"Homing",I182=1,"Toilets",I209=1,"Level",I236=1,"Çapèse",I263=1,"Tidying",I290=1,"Volante",I317=1,""))</f>
        <v/>
      </c>
      <c r="AQ20" s="54" t="str" cm="1">
        <f t="array" ref="AQ20">IF(Y20=0,"",_xlfn.IFS(J20=1,"Setup",J47=1,"Entry",J74=1,"Bar",J101=1,"C-mix",J128=1,"Rez",J155=1,"Homing",J182=1,"Toilets",J209=1,"Level",J236=1,"Çapèse",J263=1,"Tidying",J290=1,"Volante",J317=1,""))</f>
        <v>Bar</v>
      </c>
      <c r="AR20" s="54" t="str" cm="1">
        <f t="array" ref="AR20">IF(Z20=0,"",_xlfn.IFS(K20=1,"Setup",K47=1,"Entry",K74=1,"Bar",K101=1,"C-mix",K128=1,"Rez",K155=1,"Homing",K182=1,"Toilets",K209=1,"Level",K236=1,"Çapèse",K263=1,"Tidying",K290=1,"Volante",K317=1,""))</f>
        <v>Entry</v>
      </c>
      <c r="AS20" s="54" t="str" cm="1">
        <f t="array" ref="AS20">IF(AA20=0,"",_xlfn.IFS(L20=1,"Setup",L47=1,"Entry",L74=1,"Bar",L101=1,"C-mix",L128=1,"Rez",L155=1,"Homing",L182=1,"Toilets",L209=1,"Level",L236=1,"Çapèse",L263=1,"Tidying",L290=1,"Volante",L317=1,""))</f>
        <v>Çapèse</v>
      </c>
      <c r="AT20" s="54" t="str" cm="1">
        <f t="array" ref="AT20">IF(AB20=0,"",_xlfn.IFS(M20=1,"Setup",M47=1,"Entry",M74=1,"Bar",M101=1,"C-mix",M128=1,"Rez",M155=1,"Homing",M182=1,"Toilets",M209=1,"Level",M236=1,"Çapèse",M263=1,"Tidying",M290=1,"Volante",M317=1,""))</f>
        <v>Entry</v>
      </c>
      <c r="AU20" s="54" t="str" cm="1">
        <f t="array" ref="AU20">IF(AC20=0,"",_xlfn.IFS(N20=1,"Setup",N47=1,"Entry",N74=1,"Bar",N101=1,"C-mix",N128=1,"Rez",N155=1,"Homing",N182=1,"Toilets",N209=1,"Level",N236=1,"Çapèse",N263=1,"Tidying",N290=1,"Volante",N317=1,""))</f>
        <v>Tidying</v>
      </c>
      <c r="AV20" s="55" t="str" cm="1">
        <f t="array" ref="AV20">IF(AD20=0,"",_xlfn.IFS(O20=1,"Setup",O47=1,"Entry",O74=1,"Bar",O101=1,"C-mix",O128=1,"Rez",O155=1,"Homing",O182=1,"Toilets",O209=1,"Level",O236=1,"Çapèse",O263=1,"Tidying",O290=1,"Volante",O317=1,""))</f>
        <v/>
      </c>
      <c r="AW20" s="1">
        <f t="shared" si="1"/>
        <v>8</v>
      </c>
    </row>
    <row r="21" spans="1:49" ht="18.3" x14ac:dyDescent="0.55000000000000004">
      <c r="A21" s="18">
        <v>8</v>
      </c>
      <c r="B21" s="52" t="str">
        <f>$Q$21</f>
        <v>Marina</v>
      </c>
      <c r="C21" s="53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5">
        <v>0</v>
      </c>
      <c r="Q21" s="56" t="s">
        <v>64</v>
      </c>
      <c r="R21" s="53">
        <v>1</v>
      </c>
      <c r="S21" s="54">
        <v>1</v>
      </c>
      <c r="T21" s="54">
        <v>1</v>
      </c>
      <c r="U21" s="54">
        <v>1</v>
      </c>
      <c r="V21" s="54">
        <v>1</v>
      </c>
      <c r="W21" s="54">
        <v>1</v>
      </c>
      <c r="X21" s="54">
        <v>1</v>
      </c>
      <c r="Y21" s="54">
        <v>1</v>
      </c>
      <c r="Z21" s="54">
        <v>1</v>
      </c>
      <c r="AA21" s="54">
        <v>1</v>
      </c>
      <c r="AB21" s="54">
        <v>1</v>
      </c>
      <c r="AC21" s="54">
        <v>1</v>
      </c>
      <c r="AD21" s="54">
        <v>1</v>
      </c>
      <c r="AE21" s="97">
        <f t="shared" si="0"/>
        <v>13</v>
      </c>
      <c r="AF21" s="100">
        <v>0</v>
      </c>
      <c r="AH21" s="1">
        <v>8</v>
      </c>
      <c r="AI21" s="91" t="str">
        <f>$Q$21</f>
        <v>Marina</v>
      </c>
      <c r="AJ21" s="54" t="str" cm="1">
        <f t="array" ref="AJ21">IF(R21=0,"",_xlfn.IFS(C21=1,"Setup",C48=1,"Entry",C75=1,"Bar",C102=1,"C-mix",C129=1,"Rez",C156=1,"Homing",C183=1,"Toilets",C210=1,"Level",C237=1,"Çapèse",C264=1,"Tidying",C291=1,"Volante",C318=1,""))</f>
        <v/>
      </c>
      <c r="AK21" s="54" t="str" cm="1">
        <f t="array" ref="AK21">IF(S21=0,"",_xlfn.IFS(D21=1,"Setup",D48=1,"Entry",D75=1,"Bar",D102=1,"C-mix",D129=1,"Rez",D156=1,"Homing",D183=1,"Toilets",D210=1,"Level",D237=1,"Çapèse",D264=1,"Tidying",D291=1,"Volante",D318=1,""))</f>
        <v/>
      </c>
      <c r="AL21" s="54" t="str" cm="1">
        <f t="array" ref="AL21">IF(T21=0,"",_xlfn.IFS(E21=1,"Setup",E48=1,"Entry",E75=1,"Bar",E102=1,"C-mix",E129=1,"Rez",E156=1,"Homing",E183=1,"Toilets",E210=1,"Level",E237=1,"Çapèse",E264=1,"Tidying",E291=1,"Volante",E318=1,""))</f>
        <v>Volante</v>
      </c>
      <c r="AM21" s="54" t="str" cm="1">
        <f t="array" ref="AM21">IF(U21=0,"",_xlfn.IFS(F21=1,"Setup",F48=1,"Entry",F75=1,"Bar",F102=1,"C-mix",F129=1,"Rez",F156=1,"Homing",F183=1,"Toilets",F210=1,"Level",F237=1,"Çapèse",F264=1,"Tidying",F291=1,"Volante",F318=1,""))</f>
        <v>Toilets</v>
      </c>
      <c r="AN21" s="54" t="str" cm="1">
        <f t="array" ref="AN21">IF(V21=0,"",_xlfn.IFS(G21=1,"Setup",G48=1,"Entry",G75=1,"Bar",G102=1,"C-mix",G129=1,"Rez",G156=1,"Homing",G183=1,"Toilets",G210=1,"Level",G237=1,"Çapèse",G264=1,"Tidying",G291=1,"Volante",G318=1,""))</f>
        <v>Bar</v>
      </c>
      <c r="AO21" s="54" t="str" cm="1">
        <f t="array" ref="AO21">IF(W21=0,"",_xlfn.IFS(H21=1,"Setup",H48=1,"Entry",H75=1,"Bar",H102=1,"C-mix",H129=1,"Rez",H156=1,"Homing",H183=1,"Toilets",H210=1,"Level",H237=1,"Çapèse",H264=1,"Tidying",H291=1,"Volante",H318=1,""))</f>
        <v>Toilets</v>
      </c>
      <c r="AP21" s="54" t="str" cm="1">
        <f t="array" ref="AP21">IF(X21=0,"",_xlfn.IFS(I21=1,"Setup",I48=1,"Entry",I75=1,"Bar",I102=1,"C-mix",I129=1,"Rez",I156=1,"Homing",I183=1,"Toilets",I210=1,"Level",I237=1,"Çapèse",I264=1,"Tidying",I291=1,"Volante",I318=1,""))</f>
        <v>Homing</v>
      </c>
      <c r="AQ21" s="54" t="str" cm="1">
        <f t="array" ref="AQ21">IF(Y21=0,"",_xlfn.IFS(J21=1,"Setup",J48=1,"Entry",J75=1,"Bar",J102=1,"C-mix",J129=1,"Rez",J156=1,"Homing",J183=1,"Toilets",J210=1,"Level",J237=1,"Çapèse",J264=1,"Tidying",J291=1,"Volante",J318=1,""))</f>
        <v>Entry</v>
      </c>
      <c r="AR21" s="54" t="str" cm="1">
        <f t="array" ref="AR21">IF(Z21=0,"",_xlfn.IFS(K21=1,"Setup",K48=1,"Entry",K75=1,"Bar",K102=1,"C-mix",K129=1,"Rez",K156=1,"Homing",K183=1,"Toilets",K210=1,"Level",K237=1,"Çapèse",K264=1,"Tidying",K291=1,"Volante",K318=1,""))</f>
        <v>C-mix</v>
      </c>
      <c r="AS21" s="54" t="str" cm="1">
        <f t="array" ref="AS21">IF(AA21=0,"",_xlfn.IFS(L21=1,"Setup",L48=1,"Entry",L75=1,"Bar",L102=1,"C-mix",L129=1,"Rez",L156=1,"Homing",L183=1,"Toilets",L210=1,"Level",L237=1,"Çapèse",L264=1,"Tidying",L291=1,"Volante",L318=1,""))</f>
        <v/>
      </c>
      <c r="AT21" s="54" t="str" cm="1">
        <f t="array" ref="AT21">IF(AB21=0,"",_xlfn.IFS(M21=1,"Setup",M48=1,"Entry",M75=1,"Bar",M102=1,"C-mix",M129=1,"Rez",M156=1,"Homing",M183=1,"Toilets",M210=1,"Level",M237=1,"Çapèse",M264=1,"Tidying",M291=1,"Volante",M318=1,""))</f>
        <v>Homing</v>
      </c>
      <c r="AU21" s="54" t="str" cm="1">
        <f t="array" ref="AU21">IF(AC21=0,"",_xlfn.IFS(N21=1,"Setup",N48=1,"Entry",N75=1,"Bar",N102=1,"C-mix",N129=1,"Rez",N156=1,"Homing",N183=1,"Toilets",N210=1,"Level",N237=1,"Çapèse",N264=1,"Tidying",N291=1,"Volante",N318=1,""))</f>
        <v/>
      </c>
      <c r="AV21" s="55" t="str" cm="1">
        <f t="array" ref="AV21">IF(AD21=0,"",_xlfn.IFS(O21=1,"Setup",O48=1,"Entry",O75=1,"Bar",O102=1,"C-mix",O129=1,"Rez",O156=1,"Homing",O183=1,"Toilets",O210=1,"Level",O237=1,"Çapèse",O264=1,"Tidying",O291=1,"Volante",O318=1,""))</f>
        <v/>
      </c>
      <c r="AW21" s="1">
        <f t="shared" si="1"/>
        <v>8</v>
      </c>
    </row>
    <row r="22" spans="1:49" ht="18.3" x14ac:dyDescent="0.55000000000000004">
      <c r="A22" s="18">
        <v>9</v>
      </c>
      <c r="B22" s="52" t="str">
        <f>$Q$22</f>
        <v>Michel</v>
      </c>
      <c r="C22" s="53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5">
        <v>0</v>
      </c>
      <c r="Q22" s="56" t="s">
        <v>65</v>
      </c>
      <c r="R22" s="53">
        <v>1</v>
      </c>
      <c r="S22" s="54">
        <v>1</v>
      </c>
      <c r="T22" s="54">
        <v>1</v>
      </c>
      <c r="U22" s="54">
        <v>1</v>
      </c>
      <c r="V22" s="54">
        <v>1</v>
      </c>
      <c r="W22" s="54">
        <v>1</v>
      </c>
      <c r="X22" s="54">
        <v>1</v>
      </c>
      <c r="Y22" s="54">
        <v>1</v>
      </c>
      <c r="Z22" s="54">
        <v>1</v>
      </c>
      <c r="AA22" s="54">
        <v>1</v>
      </c>
      <c r="AB22" s="54">
        <v>1</v>
      </c>
      <c r="AC22" s="54">
        <v>1</v>
      </c>
      <c r="AD22" s="54">
        <v>1</v>
      </c>
      <c r="AE22" s="97">
        <f t="shared" si="0"/>
        <v>13</v>
      </c>
      <c r="AF22" s="100">
        <v>0</v>
      </c>
      <c r="AH22" s="1">
        <v>9</v>
      </c>
      <c r="AI22" s="91" t="str">
        <f>$Q$22</f>
        <v>Michel</v>
      </c>
      <c r="AJ22" s="54" t="str" cm="1">
        <f t="array" ref="AJ22">IF(R22=0,"",_xlfn.IFS(C22=1,"Setup",C49=1,"Entry",C76=1,"Bar",C103=1,"C-mix",C130=1,"Rez",C157=1,"Homing",C184=1,"Toilets",C211=1,"Level",C238=1,"Çapèse",C265=1,"Tidying",C292=1,"Volante",C319=1,""))</f>
        <v/>
      </c>
      <c r="AK22" s="54" t="str" cm="1">
        <f t="array" ref="AK22">IF(S22=0,"",_xlfn.IFS(D22=1,"Setup",D49=1,"Entry",D76=1,"Bar",D103=1,"C-mix",D130=1,"Rez",D157=1,"Homing",D184=1,"Toilets",D211=1,"Level",D238=1,"Çapèse",D265=1,"Tidying",D292=1,"Volante",D319=1,""))</f>
        <v/>
      </c>
      <c r="AL22" s="54" t="str" cm="1">
        <f t="array" ref="AL22">IF(T22=0,"",_xlfn.IFS(E22=1,"Setup",E49=1,"Entry",E76=1,"Bar",E103=1,"C-mix",E130=1,"Rez",E157=1,"Homing",E184=1,"Toilets",E211=1,"Level",E238=1,"Çapèse",E265=1,"Tidying",E292=1,"Volante",E319=1,""))</f>
        <v>Homing</v>
      </c>
      <c r="AM22" s="54" t="str" cm="1">
        <f t="array" ref="AM22">IF(U22=0,"",_xlfn.IFS(F22=1,"Setup",F49=1,"Entry",F76=1,"Bar",F103=1,"C-mix",F130=1,"Rez",F157=1,"Homing",F184=1,"Toilets",F211=1,"Level",F238=1,"Çapèse",F265=1,"Tidying",F292=1,"Volante",F319=1,""))</f>
        <v>Homing</v>
      </c>
      <c r="AN22" s="54" t="str" cm="1">
        <f t="array" ref="AN22">IF(V22=0,"",_xlfn.IFS(G22=1,"Setup",G49=1,"Entry",G76=1,"Bar",G103=1,"C-mix",G130=1,"Rez",G157=1,"Homing",G184=1,"Toilets",G211=1,"Level",G238=1,"Çapèse",G265=1,"Tidying",G292=1,"Volante",G319=1,""))</f>
        <v/>
      </c>
      <c r="AO22" s="54" t="str" cm="1">
        <f t="array" ref="AO22">IF(W22=0,"",_xlfn.IFS(H22=1,"Setup",H49=1,"Entry",H76=1,"Bar",H103=1,"C-mix",H130=1,"Rez",H157=1,"Homing",H184=1,"Toilets",H211=1,"Level",H238=1,"Çapèse",H265=1,"Tidying",H292=1,"Volante",H319=1,""))</f>
        <v/>
      </c>
      <c r="AP22" s="54" t="str" cm="1">
        <f t="array" ref="AP22">IF(X22=0,"",_xlfn.IFS(I22=1,"Setup",I49=1,"Entry",I76=1,"Bar",I103=1,"C-mix",I130=1,"Rez",I157=1,"Homing",I184=1,"Toilets",I211=1,"Level",I238=1,"Çapèse",I265=1,"Tidying",I292=1,"Volante",I319=1,""))</f>
        <v>Toilets</v>
      </c>
      <c r="AQ22" s="54" t="str" cm="1">
        <f t="array" ref="AQ22">IF(Y22=0,"",_xlfn.IFS(J22=1,"Setup",J49=1,"Entry",J76=1,"Bar",J103=1,"C-mix",J130=1,"Rez",J157=1,"Homing",J184=1,"Toilets",J211=1,"Level",J238=1,"Çapèse",J265=1,"Tidying",J292=1,"Volante",J319=1,""))</f>
        <v>Entry</v>
      </c>
      <c r="AR22" s="54" t="str" cm="1">
        <f t="array" ref="AR22">IF(Z22=0,"",_xlfn.IFS(K22=1,"Setup",K49=1,"Entry",K76=1,"Bar",K103=1,"C-mix",K130=1,"Rez",K157=1,"Homing",K184=1,"Toilets",K211=1,"Level",K238=1,"Çapèse",K265=1,"Tidying",K292=1,"Volante",K319=1,""))</f>
        <v/>
      </c>
      <c r="AS22" s="54" t="str" cm="1">
        <f t="array" ref="AS22">IF(AA22=0,"",_xlfn.IFS(L22=1,"Setup",L49=1,"Entry",L76=1,"Bar",L103=1,"C-mix",L130=1,"Rez",L157=1,"Homing",L184=1,"Toilets",L211=1,"Level",L238=1,"Çapèse",L265=1,"Tidying",L292=1,"Volante",L319=1,""))</f>
        <v>C-mix</v>
      </c>
      <c r="AT22" s="54" t="str" cm="1">
        <f t="array" ref="AT22">IF(AB22=0,"",_xlfn.IFS(M22=1,"Setup",M49=1,"Entry",M76=1,"Bar",M103=1,"C-mix",M130=1,"Rez",M157=1,"Homing",M184=1,"Toilets",M211=1,"Level",M238=1,"Çapèse",M265=1,"Tidying",M292=1,"Volante",M319=1,""))</f>
        <v>Bar</v>
      </c>
      <c r="AU22" s="54" t="str" cm="1">
        <f t="array" ref="AU22">IF(AC22=0,"",_xlfn.IFS(N22=1,"Setup",N49=1,"Entry",N76=1,"Bar",N103=1,"C-mix",N130=1,"Rez",N157=1,"Homing",N184=1,"Toilets",N211=1,"Level",N238=1,"Çapèse",N265=1,"Tidying",N292=1,"Volante",N319=1,""))</f>
        <v>Tidying</v>
      </c>
      <c r="AV22" s="55" t="str" cm="1">
        <f t="array" ref="AV22">IF(AD22=0,"",_xlfn.IFS(O22=1,"Setup",O49=1,"Entry",O76=1,"Bar",O103=1,"C-mix",O130=1,"Rez",O157=1,"Homing",O184=1,"Toilets",O211=1,"Level",O238=1,"Çapèse",O265=1,"Tidying",O292=1,"Volante",O319=1,""))</f>
        <v>Tidying</v>
      </c>
      <c r="AW22" s="1">
        <f t="shared" si="1"/>
        <v>8</v>
      </c>
    </row>
    <row r="23" spans="1:49" ht="18.3" x14ac:dyDescent="0.55000000000000004">
      <c r="A23" s="18">
        <v>10</v>
      </c>
      <c r="B23" s="52" t="str">
        <f>$Q$23</f>
        <v>Nour</v>
      </c>
      <c r="C23" s="53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5">
        <v>0</v>
      </c>
      <c r="Q23" s="56" t="s">
        <v>66</v>
      </c>
      <c r="R23" s="53">
        <v>1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1</v>
      </c>
      <c r="AD23" s="54">
        <v>1</v>
      </c>
      <c r="AE23" s="97">
        <f t="shared" si="0"/>
        <v>3</v>
      </c>
      <c r="AF23" s="100">
        <v>0</v>
      </c>
      <c r="AH23" s="1">
        <v>10</v>
      </c>
      <c r="AI23" s="91" t="str">
        <f>$Q$23</f>
        <v>Nour</v>
      </c>
      <c r="AJ23" s="54" t="str" cm="1">
        <f t="array" ref="AJ23">IF(R23=0,"",_xlfn.IFS(C23=1,"Setup",C50=1,"Entry",C77=1,"Bar",C104=1,"C-mix",C131=1,"Rez",C158=1,"Homing",C185=1,"Toilets",C212=1,"Level",C239=1,"Çapèse",C266=1,"Tidying",C293=1,"Volante",C320=1,""))</f>
        <v/>
      </c>
      <c r="AK23" s="54" t="str" cm="1">
        <f t="array" ref="AK23">IF(S23=0,"",_xlfn.IFS(D23=1,"Setup",D50=1,"Entry",D77=1,"Bar",D104=1,"C-mix",D131=1,"Rez",D158=1,"Homing",D185=1,"Toilets",D212=1,"Level",D239=1,"Çapèse",D266=1,"Tidying",D293=1,"Volante",D320=1,""))</f>
        <v/>
      </c>
      <c r="AL23" s="54" t="str" cm="1">
        <f t="array" ref="AL23">IF(T23=0,"",_xlfn.IFS(E23=1,"Setup",E50=1,"Entry",E77=1,"Bar",E104=1,"C-mix",E131=1,"Rez",E158=1,"Homing",E185=1,"Toilets",E212=1,"Level",E239=1,"Çapèse",E266=1,"Tidying",E293=1,"Volante",E320=1,""))</f>
        <v/>
      </c>
      <c r="AM23" s="54" t="str" cm="1">
        <f t="array" ref="AM23">IF(U23=0,"",_xlfn.IFS(F23=1,"Setup",F50=1,"Entry",F77=1,"Bar",F104=1,"C-mix",F131=1,"Rez",F158=1,"Homing",F185=1,"Toilets",F212=1,"Level",F239=1,"Çapèse",F266=1,"Tidying",F293=1,"Volante",F320=1,""))</f>
        <v/>
      </c>
      <c r="AN23" s="54" t="str" cm="1">
        <f t="array" ref="AN23">IF(V23=0,"",_xlfn.IFS(G23=1,"Setup",G50=1,"Entry",G77=1,"Bar",G104=1,"C-mix",G131=1,"Rez",G158=1,"Homing",G185=1,"Toilets",G212=1,"Level",G239=1,"Çapèse",G266=1,"Tidying",G293=1,"Volante",G320=1,""))</f>
        <v/>
      </c>
      <c r="AO23" s="54" t="str" cm="1">
        <f t="array" ref="AO23">IF(W23=0,"",_xlfn.IFS(H23=1,"Setup",H50=1,"Entry",H77=1,"Bar",H104=1,"C-mix",H131=1,"Rez",H158=1,"Homing",H185=1,"Toilets",H212=1,"Level",H239=1,"Çapèse",H266=1,"Tidying",H293=1,"Volante",H320=1,""))</f>
        <v/>
      </c>
      <c r="AP23" s="54" t="str" cm="1">
        <f t="array" ref="AP23">IF(X23=0,"",_xlfn.IFS(I23=1,"Setup",I50=1,"Entry",I77=1,"Bar",I104=1,"C-mix",I131=1,"Rez",I158=1,"Homing",I185=1,"Toilets",I212=1,"Level",I239=1,"Çapèse",I266=1,"Tidying",I293=1,"Volante",I320=1,""))</f>
        <v/>
      </c>
      <c r="AQ23" s="54" t="str" cm="1">
        <f t="array" ref="AQ23">IF(Y23=0,"",_xlfn.IFS(J23=1,"Setup",J50=1,"Entry",J77=1,"Bar",J104=1,"C-mix",J131=1,"Rez",J158=1,"Homing",J185=1,"Toilets",J212=1,"Level",J239=1,"Çapèse",J266=1,"Tidying",J293=1,"Volante",J320=1,""))</f>
        <v/>
      </c>
      <c r="AR23" s="54" t="str" cm="1">
        <f t="array" ref="AR23">IF(Z23=0,"",_xlfn.IFS(K23=1,"Setup",K50=1,"Entry",K77=1,"Bar",K104=1,"C-mix",K131=1,"Rez",K158=1,"Homing",K185=1,"Toilets",K212=1,"Level",K239=1,"Çapèse",K266=1,"Tidying",K293=1,"Volante",K320=1,""))</f>
        <v/>
      </c>
      <c r="AS23" s="54" t="str" cm="1">
        <f t="array" ref="AS23">IF(AA23=0,"",_xlfn.IFS(L23=1,"Setup",L50=1,"Entry",L77=1,"Bar",L104=1,"C-mix",L131=1,"Rez",L158=1,"Homing",L185=1,"Toilets",L212=1,"Level",L239=1,"Çapèse",L266=1,"Tidying",L293=1,"Volante",L320=1,""))</f>
        <v/>
      </c>
      <c r="AT23" s="54" t="str" cm="1">
        <f t="array" ref="AT23">IF(AB23=0,"",_xlfn.IFS(M23=1,"Setup",M50=1,"Entry",M77=1,"Bar",M104=1,"C-mix",M131=1,"Rez",M158=1,"Homing",M185=1,"Toilets",M212=1,"Level",M239=1,"Çapèse",M266=1,"Tidying",M293=1,"Volante",M320=1,""))</f>
        <v/>
      </c>
      <c r="AU23" s="54" t="str" cm="1">
        <f t="array" ref="AU23">IF(AC23=0,"",_xlfn.IFS(N23=1,"Setup",N50=1,"Entry",N77=1,"Bar",N104=1,"C-mix",N131=1,"Rez",N158=1,"Homing",N185=1,"Toilets",N212=1,"Level",N239=1,"Çapèse",N266=1,"Tidying",N293=1,"Volante",N320=1,""))</f>
        <v>Tidying</v>
      </c>
      <c r="AV23" s="55" t="str" cm="1">
        <f t="array" ref="AV23">IF(AD23=0,"",_xlfn.IFS(O23=1,"Setup",O50=1,"Entry",O77=1,"Bar",O104=1,"C-mix",O131=1,"Rez",O158=1,"Homing",O185=1,"Toilets",O212=1,"Level",O239=1,"Çapèse",O266=1,"Tidying",O293=1,"Volante",O320=1,""))</f>
        <v>Tidying</v>
      </c>
      <c r="AW23" s="1">
        <f t="shared" si="1"/>
        <v>2</v>
      </c>
    </row>
    <row r="24" spans="1:49" ht="18.3" x14ac:dyDescent="0.55000000000000004">
      <c r="A24" s="18">
        <v>11</v>
      </c>
      <c r="B24" s="52" t="str">
        <f>$Q$24</f>
        <v>Samuel</v>
      </c>
      <c r="C24" s="53">
        <v>1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5">
        <v>0</v>
      </c>
      <c r="Q24" s="56" t="s">
        <v>67</v>
      </c>
      <c r="R24" s="53">
        <v>1</v>
      </c>
      <c r="S24" s="54">
        <v>1</v>
      </c>
      <c r="T24" s="54">
        <v>1</v>
      </c>
      <c r="U24" s="54">
        <v>1</v>
      </c>
      <c r="V24" s="54">
        <v>1</v>
      </c>
      <c r="W24" s="54">
        <v>1</v>
      </c>
      <c r="X24" s="54">
        <v>1</v>
      </c>
      <c r="Y24" s="54">
        <v>1</v>
      </c>
      <c r="Z24" s="54">
        <v>1</v>
      </c>
      <c r="AA24" s="54">
        <v>1</v>
      </c>
      <c r="AB24" s="54">
        <v>1</v>
      </c>
      <c r="AC24" s="54">
        <v>1</v>
      </c>
      <c r="AD24" s="54">
        <v>1</v>
      </c>
      <c r="AE24" s="97">
        <f t="shared" si="0"/>
        <v>13</v>
      </c>
      <c r="AF24" s="100">
        <v>0</v>
      </c>
      <c r="AH24" s="1">
        <v>11</v>
      </c>
      <c r="AI24" s="91" t="str">
        <f>$Q$24</f>
        <v>Samuel</v>
      </c>
      <c r="AJ24" s="54" t="str" cm="1">
        <f t="array" ref="AJ24">IF(R24=0,"",_xlfn.IFS(C24=1,"Setup",C51=1,"Entry",C78=1,"Bar",C105=1,"C-mix",C132=1,"Rez",C159=1,"Homing",C186=1,"Toilets",C213=1,"Level",C240=1,"Çapèse",C267=1,"Tidying",C294=1,"Volante",C321=1,""))</f>
        <v>Setup</v>
      </c>
      <c r="AK24" s="54" t="str" cm="1">
        <f t="array" ref="AK24">IF(S24=0,"",_xlfn.IFS(D24=1,"Setup",D51=1,"Entry",D78=1,"Bar",D105=1,"C-mix",D132=1,"Rez",D159=1,"Homing",D186=1,"Toilets",D213=1,"Level",D240=1,"Çapèse",D267=1,"Tidying",D294=1,"Volante",D321=1,""))</f>
        <v>Entry</v>
      </c>
      <c r="AL24" s="54" t="str" cm="1">
        <f t="array" ref="AL24">IF(T24=0,"",_xlfn.IFS(E24=1,"Setup",E51=1,"Entry",E78=1,"Bar",E105=1,"C-mix",E132=1,"Rez",E159=1,"Homing",E186=1,"Toilets",E213=1,"Level",E240=1,"Çapèse",E267=1,"Tidying",E294=1,"Volante",E321=1,""))</f>
        <v>Homing</v>
      </c>
      <c r="AM24" s="54" t="str" cm="1">
        <f t="array" ref="AM24">IF(U24=0,"",_xlfn.IFS(F24=1,"Setup",F51=1,"Entry",F78=1,"Bar",F105=1,"C-mix",F132=1,"Rez",F159=1,"Homing",F186=1,"Toilets",F213=1,"Level",F240=1,"Çapèse",F267=1,"Tidying",F294=1,"Volante",F321=1,""))</f>
        <v>Rez</v>
      </c>
      <c r="AN24" s="54" t="str" cm="1">
        <f t="array" ref="AN24">IF(V24=0,"",_xlfn.IFS(G24=1,"Setup",G51=1,"Entry",G78=1,"Bar",G105=1,"C-mix",G132=1,"Rez",G159=1,"Homing",G186=1,"Toilets",G213=1,"Level",G240=1,"Çapèse",G267=1,"Tidying",G294=1,"Volante",G321=1,""))</f>
        <v>Entry</v>
      </c>
      <c r="AO24" s="54" t="str" cm="1">
        <f t="array" ref="AO24">IF(W24=0,"",_xlfn.IFS(H24=1,"Setup",H51=1,"Entry",H78=1,"Bar",H105=1,"C-mix",H132=1,"Rez",H159=1,"Homing",H186=1,"Toilets",H213=1,"Level",H240=1,"Çapèse",H267=1,"Tidying",H294=1,"Volante",H321=1,""))</f>
        <v/>
      </c>
      <c r="AP24" s="54" t="str" cm="1">
        <f t="array" ref="AP24">IF(X24=0,"",_xlfn.IFS(I24=1,"Setup",I51=1,"Entry",I78=1,"Bar",I105=1,"C-mix",I132=1,"Rez",I159=1,"Homing",I186=1,"Toilets",I213=1,"Level",I240=1,"Çapèse",I267=1,"Tidying",I294=1,"Volante",I321=1,""))</f>
        <v>Rez</v>
      </c>
      <c r="AQ24" s="54" t="str" cm="1">
        <f t="array" ref="AQ24">IF(Y24=0,"",_xlfn.IFS(J24=1,"Setup",J51=1,"Entry",J78=1,"Bar",J105=1,"C-mix",J132=1,"Rez",J159=1,"Homing",J186=1,"Toilets",J213=1,"Level",J240=1,"Çapèse",J267=1,"Tidying",J294=1,"Volante",J321=1,""))</f>
        <v/>
      </c>
      <c r="AR24" s="54" t="str" cm="1">
        <f t="array" ref="AR24">IF(Z24=0,"",_xlfn.IFS(K24=1,"Setup",K51=1,"Entry",K78=1,"Bar",K105=1,"C-mix",K132=1,"Rez",K159=1,"Homing",K186=1,"Toilets",K213=1,"Level",K240=1,"Çapèse",K267=1,"Tidying",K294=1,"Volante",K321=1,""))</f>
        <v>Bar</v>
      </c>
      <c r="AS24" s="54" t="str" cm="1">
        <f t="array" ref="AS24">IF(AA24=0,"",_xlfn.IFS(L24=1,"Setup",L51=1,"Entry",L78=1,"Bar",L105=1,"C-mix",L132=1,"Rez",L159=1,"Homing",L186=1,"Toilets",L213=1,"Level",L240=1,"Çapèse",L267=1,"Tidying",L294=1,"Volante",L321=1,""))</f>
        <v/>
      </c>
      <c r="AT24" s="54" t="str" cm="1">
        <f t="array" ref="AT24">IF(AB24=0,"",_xlfn.IFS(M24=1,"Setup",M51=1,"Entry",M78=1,"Bar",M105=1,"C-mix",M132=1,"Rez",M159=1,"Homing",M186=1,"Toilets",M213=1,"Level",M240=1,"Çapèse",M267=1,"Tidying",M294=1,"Volante",M321=1,""))</f>
        <v/>
      </c>
      <c r="AU24" s="54" t="str" cm="1">
        <f t="array" ref="AU24">IF(AC24=0,"",_xlfn.IFS(N24=1,"Setup",N51=1,"Entry",N78=1,"Bar",N105=1,"C-mix",N132=1,"Rez",N159=1,"Homing",N186=1,"Toilets",N213=1,"Level",N240=1,"Çapèse",N267=1,"Tidying",N294=1,"Volante",N321=1,""))</f>
        <v/>
      </c>
      <c r="AV24" s="55" t="str" cm="1">
        <f t="array" ref="AV24">IF(AD24=0,"",_xlfn.IFS(O24=1,"Setup",O51=1,"Entry",O78=1,"Bar",O105=1,"C-mix",O132=1,"Rez",O159=1,"Homing",O186=1,"Toilets",O213=1,"Level",O240=1,"Çapèse",O267=1,"Tidying",O294=1,"Volante",O321=1,""))</f>
        <v>Tidying</v>
      </c>
      <c r="AW24" s="1">
        <f t="shared" si="1"/>
        <v>8</v>
      </c>
    </row>
    <row r="25" spans="1:49" ht="18.3" x14ac:dyDescent="0.55000000000000004">
      <c r="A25" s="18">
        <v>12</v>
      </c>
      <c r="B25" s="52" t="str">
        <f>$Q$25</f>
        <v>Yassin</v>
      </c>
      <c r="C25" s="53">
        <v>1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5">
        <v>0</v>
      </c>
      <c r="Q25" s="56" t="s">
        <v>68</v>
      </c>
      <c r="R25" s="53">
        <v>1</v>
      </c>
      <c r="S25" s="54">
        <v>1</v>
      </c>
      <c r="T25" s="54">
        <v>1</v>
      </c>
      <c r="U25" s="54">
        <v>1</v>
      </c>
      <c r="V25" s="54">
        <v>1</v>
      </c>
      <c r="W25" s="54">
        <v>1</v>
      </c>
      <c r="X25" s="54">
        <v>1</v>
      </c>
      <c r="Y25" s="54">
        <v>1</v>
      </c>
      <c r="Z25" s="54">
        <v>1</v>
      </c>
      <c r="AA25" s="54">
        <v>1</v>
      </c>
      <c r="AB25" s="54">
        <v>1</v>
      </c>
      <c r="AC25" s="54">
        <v>1</v>
      </c>
      <c r="AD25" s="54">
        <v>1</v>
      </c>
      <c r="AE25" s="97">
        <f t="shared" si="0"/>
        <v>13</v>
      </c>
      <c r="AF25" s="100">
        <v>0</v>
      </c>
      <c r="AH25" s="1">
        <v>12</v>
      </c>
      <c r="AI25" s="91" t="str">
        <f>$Q$25</f>
        <v>Yassin</v>
      </c>
      <c r="AJ25" s="54" t="str" cm="1">
        <f t="array" ref="AJ25">IF(R25=0,"",_xlfn.IFS(C25=1,"Setup",C52=1,"Entry",C79=1,"Bar",C106=1,"C-mix",C133=1,"Rez",C160=1,"Homing",C187=1,"Toilets",C214=1,"Level",C241=1,"Çapèse",C268=1,"Tidying",C295=1,"Volante",C322=1,""))</f>
        <v>Setup</v>
      </c>
      <c r="AK25" s="54" t="str" cm="1">
        <f t="array" ref="AK25">IF(S25=0,"",_xlfn.IFS(D25=1,"Setup",D52=1,"Entry",D79=1,"Bar",D106=1,"C-mix",D133=1,"Rez",D160=1,"Homing",D187=1,"Toilets",D214=1,"Level",D241=1,"Çapèse",D268=1,"Tidying",D295=1,"Volante",D322=1,""))</f>
        <v/>
      </c>
      <c r="AL25" s="54" t="str" cm="1">
        <f t="array" ref="AL25">IF(T25=0,"",_xlfn.IFS(E25=1,"Setup",E52=1,"Entry",E79=1,"Bar",E106=1,"C-mix",E133=1,"Rez",E160=1,"Homing",E187=1,"Toilets",E214=1,"Level",E241=1,"Çapèse",E268=1,"Tidying",E295=1,"Volante",E322=1,""))</f>
        <v>Entry</v>
      </c>
      <c r="AM25" s="54" t="str" cm="1">
        <f t="array" ref="AM25">IF(U25=0,"",_xlfn.IFS(F25=1,"Setup",F52=1,"Entry",F79=1,"Bar",F106=1,"C-mix",F133=1,"Rez",F160=1,"Homing",F187=1,"Toilets",F214=1,"Level",F241=1,"Çapèse",F268=1,"Tidying",F295=1,"Volante",F322=1,""))</f>
        <v>C-mix</v>
      </c>
      <c r="AN25" s="54" t="str" cm="1">
        <f t="array" ref="AN25">IF(V25=0,"",_xlfn.IFS(G25=1,"Setup",G52=1,"Entry",G79=1,"Bar",G106=1,"C-mix",G133=1,"Rez",G160=1,"Homing",G187=1,"Toilets",G214=1,"Level",G241=1,"Çapèse",G268=1,"Tidying",G295=1,"Volante",G322=1,""))</f>
        <v>Toilets</v>
      </c>
      <c r="AO25" s="54" t="str" cm="1">
        <f t="array" ref="AO25">IF(W25=0,"",_xlfn.IFS(H25=1,"Setup",H52=1,"Entry",H79=1,"Bar",H106=1,"C-mix",H133=1,"Rez",H160=1,"Homing",H187=1,"Toilets",H214=1,"Level",H241=1,"Çapèse",H268=1,"Tidying",H295=1,"Volante",H322=1,""))</f>
        <v/>
      </c>
      <c r="AP25" s="54" t="str" cm="1">
        <f t="array" ref="AP25">IF(X25=0,"",_xlfn.IFS(I25=1,"Setup",I52=1,"Entry",I79=1,"Bar",I106=1,"C-mix",I133=1,"Rez",I160=1,"Homing",I187=1,"Toilets",I214=1,"Level",I241=1,"Çapèse",I268=1,"Tidying",I295=1,"Volante",I322=1,""))</f>
        <v>Entry</v>
      </c>
      <c r="AQ25" s="54" t="str" cm="1">
        <f t="array" ref="AQ25">IF(Y25=0,"",_xlfn.IFS(J25=1,"Setup",J52=1,"Entry",J79=1,"Bar",J106=1,"C-mix",J133=1,"Rez",J160=1,"Homing",J187=1,"Toilets",J214=1,"Level",J241=1,"Çapèse",J268=1,"Tidying",J295=1,"Volante",J322=1,""))</f>
        <v/>
      </c>
      <c r="AR25" s="54" t="str" cm="1">
        <f t="array" ref="AR25">IF(Z25=0,"",_xlfn.IFS(K25=1,"Setup",K52=1,"Entry",K79=1,"Bar",K106=1,"C-mix",K133=1,"Rez",K160=1,"Homing",K187=1,"Toilets",K214=1,"Level",K241=1,"Çapèse",K268=1,"Tidying",K295=1,"Volante",K322=1,""))</f>
        <v>Çapèse</v>
      </c>
      <c r="AS25" s="54" t="str" cm="1">
        <f t="array" ref="AS25">IF(AA25=0,"",_xlfn.IFS(L25=1,"Setup",L52=1,"Entry",L79=1,"Bar",L106=1,"C-mix",L133=1,"Rez",L160=1,"Homing",L187=1,"Toilets",L214=1,"Level",L241=1,"Çapèse",L268=1,"Tidying",L295=1,"Volante",L322=1,""))</f>
        <v/>
      </c>
      <c r="AT25" s="54" t="str" cm="1">
        <f t="array" ref="AT25">IF(AB25=0,"",_xlfn.IFS(M25=1,"Setup",M52=1,"Entry",M79=1,"Bar",M106=1,"C-mix",M133=1,"Rez",M160=1,"Homing",M187=1,"Toilets",M214=1,"Level",M241=1,"Çapèse",M268=1,"Tidying",M295=1,"Volante",M322=1,""))</f>
        <v>Toilets</v>
      </c>
      <c r="AU25" s="54" t="str" cm="1">
        <f t="array" ref="AU25">IF(AC25=0,"",_xlfn.IFS(N25=1,"Setup",N52=1,"Entry",N79=1,"Bar",N106=1,"C-mix",N133=1,"Rez",N160=1,"Homing",N187=1,"Toilets",N214=1,"Level",N241=1,"Çapèse",N268=1,"Tidying",N295=1,"Volante",N322=1,""))</f>
        <v>Tidying</v>
      </c>
      <c r="AV25" s="55" t="str" cm="1">
        <f t="array" ref="AV25">IF(AD25=0,"",_xlfn.IFS(O25=1,"Setup",O52=1,"Entry",O79=1,"Bar",O106=1,"C-mix",O133=1,"Rez",O160=1,"Homing",O187=1,"Toilets",O214=1,"Level",O241=1,"Çapèse",O268=1,"Tidying",O295=1,"Volante",O322=1,""))</f>
        <v/>
      </c>
      <c r="AW25" s="1">
        <f t="shared" si="1"/>
        <v>8</v>
      </c>
    </row>
    <row r="26" spans="1:49" ht="18.600000000000001" thickBot="1" x14ac:dyDescent="0.6">
      <c r="A26" s="62">
        <v>13</v>
      </c>
      <c r="B26" s="52" t="str">
        <f>$Q$26</f>
        <v>Kamar</v>
      </c>
      <c r="C26" s="63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5">
        <v>0</v>
      </c>
      <c r="Q26" s="58" t="s">
        <v>69</v>
      </c>
      <c r="R26" s="53">
        <v>1</v>
      </c>
      <c r="S26" s="54">
        <v>1</v>
      </c>
      <c r="T26" s="54">
        <v>1</v>
      </c>
      <c r="U26" s="54">
        <v>1</v>
      </c>
      <c r="V26" s="54">
        <v>1</v>
      </c>
      <c r="W26" s="54">
        <v>1</v>
      </c>
      <c r="X26" s="54">
        <v>1</v>
      </c>
      <c r="Y26" s="54">
        <v>1</v>
      </c>
      <c r="Z26" s="54">
        <v>1</v>
      </c>
      <c r="AA26" s="54">
        <v>1</v>
      </c>
      <c r="AB26" s="54">
        <v>1</v>
      </c>
      <c r="AC26" s="54">
        <v>1</v>
      </c>
      <c r="AD26" s="54">
        <v>1</v>
      </c>
      <c r="AE26" s="98">
        <f t="shared" si="0"/>
        <v>13</v>
      </c>
      <c r="AF26" s="101">
        <v>0</v>
      </c>
      <c r="AH26" s="1">
        <v>13</v>
      </c>
      <c r="AI26" s="92" t="str">
        <f>$Q$26</f>
        <v>Kamar</v>
      </c>
      <c r="AJ26" s="64" t="str" cm="1">
        <f t="array" ref="AJ26">IF(R26=0,"",_xlfn.IFS(C26=1,"Setup",C53=1,"Entry",C80=1,"Bar",C107=1,"C-mix",C134=1,"Rez",C161=1,"Homing",C188=1,"Toilets",C215=1,"Level",C242=1,"Çapèse",C269=1,"Tidying",C296=1,"Volante",C323=1,""))</f>
        <v/>
      </c>
      <c r="AK26" s="64" t="str" cm="1">
        <f t="array" ref="AK26">IF(S26=0,"",_xlfn.IFS(D26=1,"Setup",D53=1,"Entry",D80=1,"Bar",D107=1,"C-mix",D134=1,"Rez",D161=1,"Homing",D188=1,"Toilets",D215=1,"Level",D242=1,"Çapèse",D269=1,"Tidying",D296=1,"Volante",D323=1,""))</f>
        <v>C-mix</v>
      </c>
      <c r="AL26" s="64" t="str" cm="1">
        <f t="array" ref="AL26">IF(T26=0,"",_xlfn.IFS(E26=1,"Setup",E53=1,"Entry",E80=1,"Bar",E107=1,"C-mix",E134=1,"Rez",E161=1,"Homing",E188=1,"Toilets",E215=1,"Level",E242=1,"Çapèse",E269=1,"Tidying",E296=1,"Volante",E323=1,""))</f>
        <v>Çapèse</v>
      </c>
      <c r="AM26" s="64" t="str" cm="1">
        <f t="array" ref="AM26">IF(U26=0,"",_xlfn.IFS(F26=1,"Setup",F53=1,"Entry",F80=1,"Bar",F107=1,"C-mix",F134=1,"Rez",F161=1,"Homing",F188=1,"Toilets",F215=1,"Level",F242=1,"Çapèse",F269=1,"Tidying",F296=1,"Volante",F323=1,""))</f>
        <v>Entry</v>
      </c>
      <c r="AN26" s="64" t="str" cm="1">
        <f t="array" ref="AN26">IF(V26=0,"",_xlfn.IFS(G26=1,"Setup",G53=1,"Entry",G80=1,"Bar",G107=1,"C-mix",G134=1,"Rez",G161=1,"Homing",G188=1,"Toilets",G215=1,"Level",G242=1,"Çapèse",G269=1,"Tidying",G296=1,"Volante",G323=1,""))</f>
        <v>Entry</v>
      </c>
      <c r="AO26" s="64" t="str" cm="1">
        <f t="array" ref="AO26">IF(W26=0,"",_xlfn.IFS(H26=1,"Setup",H53=1,"Entry",H80=1,"Bar",H107=1,"C-mix",H134=1,"Rez",H161=1,"Homing",H188=1,"Toilets",H215=1,"Level",H242=1,"Çapèse",H269=1,"Tidying",H296=1,"Volante",H323=1,""))</f>
        <v/>
      </c>
      <c r="AP26" s="64" t="str" cm="1">
        <f t="array" ref="AP26">IF(X26=0,"",_xlfn.IFS(I26=1,"Setup",I53=1,"Entry",I80=1,"Bar",I107=1,"C-mix",I134=1,"Rez",I161=1,"Homing",I188=1,"Toilets",I215=1,"Level",I242=1,"Çapèse",I269=1,"Tidying",I296=1,"Volante",I323=1,""))</f>
        <v>Bar</v>
      </c>
      <c r="AQ26" s="64" t="str" cm="1">
        <f t="array" ref="AQ26">IF(Y26=0,"",_xlfn.IFS(J26=1,"Setup",J53=1,"Entry",J80=1,"Bar",J107=1,"C-mix",J134=1,"Rez",J161=1,"Homing",J188=1,"Toilets",J215=1,"Level",J242=1,"Çapèse",J269=1,"Tidying",J296=1,"Volante",J323=1,""))</f>
        <v/>
      </c>
      <c r="AR26" s="64" t="str" cm="1">
        <f t="array" ref="AR26">IF(Z26=0,"",_xlfn.IFS(K26=1,"Setup",K53=1,"Entry",K80=1,"Bar",K107=1,"C-mix",K134=1,"Rez",K161=1,"Homing",K188=1,"Toilets",K215=1,"Level",K242=1,"Çapèse",K269=1,"Tidying",K296=1,"Volante",K323=1,""))</f>
        <v>Volante</v>
      </c>
      <c r="AS26" s="64" t="str" cm="1">
        <f t="array" ref="AS26">IF(AA26=0,"",_xlfn.IFS(L26=1,"Setup",L53=1,"Entry",L80=1,"Bar",L107=1,"C-mix",L134=1,"Rez",L161=1,"Homing",L188=1,"Toilets",L215=1,"Level",L242=1,"Çapèse",L269=1,"Tidying",L296=1,"Volante",L323=1,""))</f>
        <v>Bar</v>
      </c>
      <c r="AT26" s="64" t="str" cm="1">
        <f t="array" ref="AT26">IF(AB26=0,"",_xlfn.IFS(M26=1,"Setup",M53=1,"Entry",M80=1,"Bar",M107=1,"C-mix",M134=1,"Rez",M161=1,"Homing",M188=1,"Toilets",M215=1,"Level",M242=1,"Çapèse",M269=1,"Tidying",M296=1,"Volante",M323=1,""))</f>
        <v/>
      </c>
      <c r="AU26" s="64" t="str" cm="1">
        <f t="array" ref="AU26">IF(AC26=0,"",_xlfn.IFS(N26=1,"Setup",N53=1,"Entry",N80=1,"Bar",N107=1,"C-mix",N134=1,"Rez",N161=1,"Homing",N188=1,"Toilets",N215=1,"Level",N242=1,"Çapèse",N269=1,"Tidying",N296=1,"Volante",N323=1,""))</f>
        <v>Tidying</v>
      </c>
      <c r="AV26" s="65" t="str" cm="1">
        <f t="array" ref="AV26">IF(AD26=0,"",_xlfn.IFS(O26=1,"Setup",O53=1,"Entry",O80=1,"Bar",O107=1,"C-mix",O134=1,"Rez",O161=1,"Homing",O188=1,"Toilets",O215=1,"Level",O242=1,"Çapèse",O269=1,"Tidying",O296=1,"Volante",O323=1,""))</f>
        <v/>
      </c>
      <c r="AW26" s="1">
        <f t="shared" si="1"/>
        <v>8</v>
      </c>
    </row>
    <row r="27" spans="1:49" ht="21.3" x14ac:dyDescent="0.55000000000000004">
      <c r="Q27" s="42" t="s">
        <v>125</v>
      </c>
      <c r="R27" s="93">
        <f>SUM(R3:R26)</f>
        <v>24</v>
      </c>
      <c r="S27" s="94">
        <f t="shared" ref="S27:AD27" si="2">SUM(S3:S26)</f>
        <v>23</v>
      </c>
      <c r="T27" s="94">
        <f t="shared" si="2"/>
        <v>23</v>
      </c>
      <c r="U27" s="94">
        <f t="shared" si="2"/>
        <v>23</v>
      </c>
      <c r="V27" s="94">
        <f t="shared" si="2"/>
        <v>23</v>
      </c>
      <c r="W27" s="94">
        <f t="shared" si="2"/>
        <v>23</v>
      </c>
      <c r="X27" s="94">
        <f t="shared" si="2"/>
        <v>23</v>
      </c>
      <c r="Y27" s="94">
        <f t="shared" si="2"/>
        <v>23</v>
      </c>
      <c r="Z27" s="94">
        <f t="shared" si="2"/>
        <v>23</v>
      </c>
      <c r="AA27" s="94">
        <f t="shared" si="2"/>
        <v>23</v>
      </c>
      <c r="AB27" s="94">
        <f t="shared" si="2"/>
        <v>23</v>
      </c>
      <c r="AC27" s="94">
        <f t="shared" si="2"/>
        <v>24</v>
      </c>
      <c r="AD27" s="95">
        <f t="shared" si="2"/>
        <v>24</v>
      </c>
    </row>
    <row r="29" spans="1:49" ht="15.9" thickBot="1" x14ac:dyDescent="0.6">
      <c r="B29" s="66" t="str">
        <f>$Q$37</f>
        <v>Entry</v>
      </c>
      <c r="C29" s="40" t="str">
        <f>$R$2</f>
        <v>16h</v>
      </c>
      <c r="D29" s="41" t="str">
        <f>$S$2</f>
        <v>17h</v>
      </c>
      <c r="E29" s="41" t="str">
        <f>$T$2</f>
        <v>18h</v>
      </c>
      <c r="F29" s="41" t="str">
        <f>$U$2</f>
        <v>19h</v>
      </c>
      <c r="G29" s="41" t="str">
        <f>$V$2</f>
        <v>20h</v>
      </c>
      <c r="H29" s="41" t="str">
        <f>$W$2</f>
        <v>21h</v>
      </c>
      <c r="I29" s="41" t="str">
        <f>$X$2</f>
        <v>22h</v>
      </c>
      <c r="J29" s="41" t="str">
        <f>$Y$2</f>
        <v>23h</v>
      </c>
      <c r="K29" s="41" t="str">
        <f>$Z$2</f>
        <v>00h</v>
      </c>
      <c r="L29" s="41" t="str">
        <f>$AA$2</f>
        <v>01h</v>
      </c>
      <c r="M29" s="41" t="str">
        <f>$AB$2</f>
        <v>02h</v>
      </c>
      <c r="N29" s="41" t="str">
        <f>$AC$2</f>
        <v>03h</v>
      </c>
      <c r="O29" s="38" t="str">
        <f>$AD$2</f>
        <v>04h</v>
      </c>
    </row>
    <row r="30" spans="1:49" ht="15.6" x14ac:dyDescent="0.55000000000000004">
      <c r="A30" s="17">
        <v>1</v>
      </c>
      <c r="B30" s="46" t="str">
        <f>$Q$3</f>
        <v>Jennifer</v>
      </c>
      <c r="C30" s="47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9">
        <v>0</v>
      </c>
    </row>
    <row r="31" spans="1:49" ht="15.6" x14ac:dyDescent="0.55000000000000004">
      <c r="A31" s="18">
        <v>2</v>
      </c>
      <c r="B31" s="52" t="str">
        <f>$Q$4</f>
        <v>Galileo</v>
      </c>
      <c r="C31" s="53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1</v>
      </c>
      <c r="N31" s="54">
        <v>0</v>
      </c>
      <c r="O31" s="55">
        <v>0</v>
      </c>
    </row>
    <row r="32" spans="1:49" ht="15.6" x14ac:dyDescent="0.55000000000000004">
      <c r="A32" s="18">
        <v>3</v>
      </c>
      <c r="B32" s="52" t="str">
        <f>$Q$5</f>
        <v>Óscar</v>
      </c>
      <c r="C32" s="53">
        <v>0</v>
      </c>
      <c r="D32" s="54">
        <v>0</v>
      </c>
      <c r="E32" s="54">
        <v>0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>
        <v>1</v>
      </c>
      <c r="M32" s="54">
        <v>0</v>
      </c>
      <c r="N32" s="54">
        <v>0</v>
      </c>
      <c r="O32" s="55">
        <v>0</v>
      </c>
    </row>
    <row r="33" spans="1:30" ht="15.6" x14ac:dyDescent="0.55000000000000004">
      <c r="A33" s="18">
        <v>4</v>
      </c>
      <c r="B33" s="52" t="str">
        <f>$Q$6</f>
        <v>Sebastián</v>
      </c>
      <c r="C33" s="53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5">
        <v>0</v>
      </c>
    </row>
    <row r="34" spans="1:30" ht="21.3" x14ac:dyDescent="0.55000000000000004">
      <c r="A34" s="18">
        <v>5</v>
      </c>
      <c r="B34" s="52" t="str">
        <f>$Q$7</f>
        <v>Marcos</v>
      </c>
      <c r="C34" s="53">
        <v>0</v>
      </c>
      <c r="D34" s="54">
        <v>0</v>
      </c>
      <c r="E34" s="54">
        <v>0</v>
      </c>
      <c r="F34" s="54">
        <v>1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5">
        <v>0</v>
      </c>
      <c r="Q34" s="111" t="s">
        <v>121</v>
      </c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spans="1:30" ht="21.6" thickBot="1" x14ac:dyDescent="0.6">
      <c r="A35" s="18">
        <v>6</v>
      </c>
      <c r="B35" s="52" t="str">
        <f>$Q$8</f>
        <v>Weixin</v>
      </c>
      <c r="C35" s="53">
        <v>0</v>
      </c>
      <c r="D35" s="54">
        <v>0</v>
      </c>
      <c r="E35" s="54">
        <v>1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5">
        <v>0</v>
      </c>
      <c r="Q35" s="42" t="s">
        <v>118</v>
      </c>
      <c r="R35" s="40" t="str">
        <f>$R$2</f>
        <v>16h</v>
      </c>
      <c r="S35" s="41" t="str">
        <f>$S$2</f>
        <v>17h</v>
      </c>
      <c r="T35" s="41" t="str">
        <f>$T$2</f>
        <v>18h</v>
      </c>
      <c r="U35" s="41" t="str">
        <f>$U$2</f>
        <v>19h</v>
      </c>
      <c r="V35" s="41" t="str">
        <f>$V$2</f>
        <v>20h</v>
      </c>
      <c r="W35" s="41" t="str">
        <f>$W$2</f>
        <v>21h</v>
      </c>
      <c r="X35" s="41" t="str">
        <f>$X$2</f>
        <v>22h</v>
      </c>
      <c r="Y35" s="41" t="str">
        <f>$Y$2</f>
        <v>23h</v>
      </c>
      <c r="Z35" s="41" t="str">
        <f>$Z$2</f>
        <v>00h</v>
      </c>
      <c r="AA35" s="41" t="str">
        <f>$AA$2</f>
        <v>01h</v>
      </c>
      <c r="AB35" s="41" t="str">
        <f>$AB$2</f>
        <v>02h</v>
      </c>
      <c r="AC35" s="41" t="str">
        <f>$AC$2</f>
        <v>03h</v>
      </c>
      <c r="AD35" s="38" t="str">
        <f>$AD$2</f>
        <v>04h</v>
      </c>
    </row>
    <row r="36" spans="1:30" ht="15.6" x14ac:dyDescent="0.55000000000000004">
      <c r="A36" s="18">
        <v>7</v>
      </c>
      <c r="B36" s="52" t="str">
        <f>$Q$9</f>
        <v>Benjamin</v>
      </c>
      <c r="C36" s="53">
        <v>0</v>
      </c>
      <c r="D36" s="54">
        <v>0</v>
      </c>
      <c r="E36" s="54">
        <v>0</v>
      </c>
      <c r="F36" s="54">
        <v>0</v>
      </c>
      <c r="G36" s="54">
        <v>0</v>
      </c>
      <c r="H36" s="54">
        <v>1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5">
        <v>0</v>
      </c>
      <c r="Q36" s="67" t="s">
        <v>116</v>
      </c>
      <c r="R36" s="68">
        <v>12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9">
        <v>0</v>
      </c>
    </row>
    <row r="37" spans="1:30" ht="15.6" x14ac:dyDescent="0.55000000000000004">
      <c r="A37" s="18">
        <v>8</v>
      </c>
      <c r="B37" s="52" t="str">
        <f>$Q$10</f>
        <v>Joelle</v>
      </c>
      <c r="C37" s="53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5">
        <v>0</v>
      </c>
      <c r="Q37" s="70" t="s">
        <v>35</v>
      </c>
      <c r="R37" s="71">
        <v>0</v>
      </c>
      <c r="S37" s="71">
        <v>2</v>
      </c>
      <c r="T37" s="71">
        <v>2</v>
      </c>
      <c r="U37" s="71">
        <v>2</v>
      </c>
      <c r="V37" s="71">
        <v>2</v>
      </c>
      <c r="W37" s="71">
        <v>2</v>
      </c>
      <c r="X37" s="71">
        <v>2</v>
      </c>
      <c r="Y37" s="71">
        <v>2</v>
      </c>
      <c r="Z37" s="71">
        <v>2</v>
      </c>
      <c r="AA37" s="71">
        <v>2</v>
      </c>
      <c r="AB37" s="71">
        <v>2</v>
      </c>
      <c r="AC37" s="71">
        <v>0</v>
      </c>
      <c r="AD37" s="72">
        <v>0</v>
      </c>
    </row>
    <row r="38" spans="1:30" ht="15.6" x14ac:dyDescent="0.55000000000000004">
      <c r="A38" s="18">
        <v>9</v>
      </c>
      <c r="B38" s="52" t="str">
        <f>$Q$11</f>
        <v>Alexia</v>
      </c>
      <c r="C38" s="53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1</v>
      </c>
      <c r="L38" s="54">
        <v>0</v>
      </c>
      <c r="M38" s="54">
        <v>0</v>
      </c>
      <c r="N38" s="54">
        <v>0</v>
      </c>
      <c r="O38" s="55">
        <v>0</v>
      </c>
      <c r="Q38" s="73" t="s">
        <v>36</v>
      </c>
      <c r="R38" s="71">
        <v>0</v>
      </c>
      <c r="S38" s="71">
        <v>3</v>
      </c>
      <c r="T38" s="71">
        <v>3</v>
      </c>
      <c r="U38" s="71">
        <v>3</v>
      </c>
      <c r="V38" s="71">
        <v>3</v>
      </c>
      <c r="W38" s="71">
        <v>3</v>
      </c>
      <c r="X38" s="71">
        <v>3</v>
      </c>
      <c r="Y38" s="71">
        <v>3</v>
      </c>
      <c r="Z38" s="71">
        <v>3</v>
      </c>
      <c r="AA38" s="71">
        <v>3</v>
      </c>
      <c r="AB38" s="71">
        <v>3</v>
      </c>
      <c r="AC38" s="71">
        <v>0</v>
      </c>
      <c r="AD38" s="72">
        <v>0</v>
      </c>
    </row>
    <row r="39" spans="1:30" ht="15.6" x14ac:dyDescent="0.55000000000000004">
      <c r="A39" s="18">
        <v>10</v>
      </c>
      <c r="B39" s="52" t="str">
        <f>$Q$12</f>
        <v>Joao</v>
      </c>
      <c r="C39" s="53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5">
        <v>0</v>
      </c>
      <c r="Q39" s="74" t="s">
        <v>37</v>
      </c>
      <c r="R39" s="71">
        <v>0</v>
      </c>
      <c r="S39" s="71">
        <v>1</v>
      </c>
      <c r="T39" s="71">
        <v>1</v>
      </c>
      <c r="U39" s="71">
        <v>1</v>
      </c>
      <c r="V39" s="71">
        <v>1</v>
      </c>
      <c r="W39" s="71">
        <v>1</v>
      </c>
      <c r="X39" s="71">
        <v>1</v>
      </c>
      <c r="Y39" s="71">
        <v>1</v>
      </c>
      <c r="Z39" s="71">
        <v>1</v>
      </c>
      <c r="AA39" s="71">
        <v>1</v>
      </c>
      <c r="AB39" s="71">
        <v>1</v>
      </c>
      <c r="AC39" s="71">
        <v>0</v>
      </c>
      <c r="AD39" s="72">
        <v>0</v>
      </c>
    </row>
    <row r="40" spans="1:30" ht="15.6" x14ac:dyDescent="0.55000000000000004">
      <c r="A40" s="18">
        <v>11</v>
      </c>
      <c r="B40" s="57" t="str">
        <f>$Q$13</f>
        <v>Maxime</v>
      </c>
      <c r="C40" s="53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5">
        <v>0</v>
      </c>
      <c r="Q40" s="75" t="s">
        <v>38</v>
      </c>
      <c r="R40" s="71">
        <v>0</v>
      </c>
      <c r="S40" s="71">
        <v>1</v>
      </c>
      <c r="T40" s="71">
        <v>1</v>
      </c>
      <c r="U40" s="71">
        <v>1</v>
      </c>
      <c r="V40" s="71">
        <v>1</v>
      </c>
      <c r="W40" s="71">
        <v>1</v>
      </c>
      <c r="X40" s="71">
        <v>1</v>
      </c>
      <c r="Y40" s="71">
        <v>1</v>
      </c>
      <c r="Z40" s="71">
        <v>1</v>
      </c>
      <c r="AA40" s="71">
        <v>1</v>
      </c>
      <c r="AB40" s="71">
        <v>1</v>
      </c>
      <c r="AC40" s="71">
        <v>0</v>
      </c>
      <c r="AD40" s="72">
        <v>0</v>
      </c>
    </row>
    <row r="41" spans="1:30" ht="15.6" x14ac:dyDescent="0.55000000000000004">
      <c r="A41" s="18">
        <v>1</v>
      </c>
      <c r="B41" s="46" t="str">
        <f>$Q$14</f>
        <v>Alex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1">
        <v>0</v>
      </c>
      <c r="Q41" s="76" t="s">
        <v>39</v>
      </c>
      <c r="R41" s="71">
        <v>0</v>
      </c>
      <c r="S41" s="71">
        <v>3</v>
      </c>
      <c r="T41" s="71">
        <v>3</v>
      </c>
      <c r="U41" s="71">
        <v>3</v>
      </c>
      <c r="V41" s="71">
        <v>3</v>
      </c>
      <c r="W41" s="71">
        <v>3</v>
      </c>
      <c r="X41" s="71">
        <v>3</v>
      </c>
      <c r="Y41" s="71">
        <v>3</v>
      </c>
      <c r="Z41" s="71">
        <v>3</v>
      </c>
      <c r="AA41" s="71">
        <v>3</v>
      </c>
      <c r="AB41" s="71">
        <v>3</v>
      </c>
      <c r="AC41" s="71">
        <v>0</v>
      </c>
      <c r="AD41" s="72">
        <v>0</v>
      </c>
    </row>
    <row r="42" spans="1:30" ht="15.6" x14ac:dyDescent="0.55000000000000004">
      <c r="A42" s="18">
        <v>2</v>
      </c>
      <c r="B42" s="52" t="str">
        <f>$Q$15</f>
        <v>Alyssa</v>
      </c>
      <c r="C42" s="53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1</v>
      </c>
      <c r="J42" s="54">
        <v>0</v>
      </c>
      <c r="K42" s="54">
        <v>0</v>
      </c>
      <c r="L42" s="54">
        <v>1</v>
      </c>
      <c r="M42" s="54">
        <v>0</v>
      </c>
      <c r="N42" s="54">
        <v>0</v>
      </c>
      <c r="O42" s="55">
        <v>0</v>
      </c>
      <c r="Q42" s="77" t="s">
        <v>40</v>
      </c>
      <c r="R42" s="71">
        <v>0</v>
      </c>
      <c r="S42" s="71">
        <v>2</v>
      </c>
      <c r="T42" s="71">
        <v>2</v>
      </c>
      <c r="U42" s="71">
        <v>2</v>
      </c>
      <c r="V42" s="71">
        <v>2</v>
      </c>
      <c r="W42" s="71">
        <v>2</v>
      </c>
      <c r="X42" s="71">
        <v>2</v>
      </c>
      <c r="Y42" s="71">
        <v>2</v>
      </c>
      <c r="Z42" s="71">
        <v>2</v>
      </c>
      <c r="AA42" s="71">
        <v>2</v>
      </c>
      <c r="AB42" s="71">
        <v>2</v>
      </c>
      <c r="AC42" s="71">
        <v>0</v>
      </c>
      <c r="AD42" s="72">
        <v>0</v>
      </c>
    </row>
    <row r="43" spans="1:30" ht="15.6" x14ac:dyDescent="0.55000000000000004">
      <c r="A43" s="18">
        <v>3</v>
      </c>
      <c r="B43" s="52" t="str">
        <f>$Q$16</f>
        <v>Amanda</v>
      </c>
      <c r="C43" s="53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5">
        <v>0</v>
      </c>
      <c r="Q43" s="78" t="s">
        <v>41</v>
      </c>
      <c r="R43" s="71">
        <v>0</v>
      </c>
      <c r="S43" s="71">
        <v>1</v>
      </c>
      <c r="T43" s="71">
        <v>1</v>
      </c>
      <c r="U43" s="71">
        <v>1</v>
      </c>
      <c r="V43" s="71">
        <v>1</v>
      </c>
      <c r="W43" s="71">
        <v>1</v>
      </c>
      <c r="X43" s="71">
        <v>1</v>
      </c>
      <c r="Y43" s="71">
        <v>1</v>
      </c>
      <c r="Z43" s="71">
        <v>1</v>
      </c>
      <c r="AA43" s="71">
        <v>1</v>
      </c>
      <c r="AB43" s="71">
        <v>1</v>
      </c>
      <c r="AC43" s="71">
        <v>0</v>
      </c>
      <c r="AD43" s="72">
        <v>0</v>
      </c>
    </row>
    <row r="44" spans="1:30" ht="15.6" x14ac:dyDescent="0.55000000000000004">
      <c r="A44" s="18">
        <v>4</v>
      </c>
      <c r="B44" s="52" t="str">
        <f>$Q$17</f>
        <v>Antoine</v>
      </c>
      <c r="C44" s="53">
        <v>0</v>
      </c>
      <c r="D44" s="54">
        <v>0</v>
      </c>
      <c r="E44" s="54">
        <v>0</v>
      </c>
      <c r="F44" s="54">
        <v>0</v>
      </c>
      <c r="G44" s="54">
        <v>0</v>
      </c>
      <c r="H44" s="54">
        <v>1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5">
        <v>0</v>
      </c>
      <c r="Q44" s="79" t="s">
        <v>42</v>
      </c>
      <c r="R44" s="71">
        <v>0</v>
      </c>
      <c r="S44" s="71">
        <v>1</v>
      </c>
      <c r="T44" s="71">
        <v>1</v>
      </c>
      <c r="U44" s="71">
        <v>1</v>
      </c>
      <c r="V44" s="71">
        <v>1</v>
      </c>
      <c r="W44" s="71">
        <v>1</v>
      </c>
      <c r="X44" s="71">
        <v>1</v>
      </c>
      <c r="Y44" s="71">
        <v>1</v>
      </c>
      <c r="Z44" s="71">
        <v>1</v>
      </c>
      <c r="AA44" s="71">
        <v>1</v>
      </c>
      <c r="AB44" s="71">
        <v>1</v>
      </c>
      <c r="AC44" s="71">
        <v>0</v>
      </c>
      <c r="AD44" s="72">
        <v>0</v>
      </c>
    </row>
    <row r="45" spans="1:30" ht="15.6" x14ac:dyDescent="0.55000000000000004">
      <c r="A45" s="18">
        <v>5</v>
      </c>
      <c r="B45" s="52" t="str">
        <f>$Q$18</f>
        <v>Beatriz</v>
      </c>
      <c r="C45" s="53">
        <v>0</v>
      </c>
      <c r="D45" s="54">
        <v>1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5">
        <v>0</v>
      </c>
      <c r="Q45" s="80" t="s">
        <v>43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>
        <v>0</v>
      </c>
      <c r="AA45" s="71">
        <v>0</v>
      </c>
      <c r="AB45" s="71">
        <v>0</v>
      </c>
      <c r="AC45" s="71">
        <v>12</v>
      </c>
      <c r="AD45" s="72">
        <v>12</v>
      </c>
    </row>
    <row r="46" spans="1:30" ht="15.9" thickBot="1" x14ac:dyDescent="0.6">
      <c r="A46" s="18">
        <v>6</v>
      </c>
      <c r="B46" s="52" t="str">
        <f>$Q$19</f>
        <v>Charelle</v>
      </c>
      <c r="C46" s="53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5">
        <v>0</v>
      </c>
      <c r="Q46" s="81" t="s">
        <v>44</v>
      </c>
      <c r="R46" s="82">
        <v>0</v>
      </c>
      <c r="S46" s="82">
        <v>1</v>
      </c>
      <c r="T46" s="82">
        <v>1</v>
      </c>
      <c r="U46" s="82">
        <v>1</v>
      </c>
      <c r="V46" s="82">
        <v>1</v>
      </c>
      <c r="W46" s="82">
        <v>1</v>
      </c>
      <c r="X46" s="82">
        <v>1</v>
      </c>
      <c r="Y46" s="82">
        <v>1</v>
      </c>
      <c r="Z46" s="82">
        <v>1</v>
      </c>
      <c r="AA46" s="82">
        <v>1</v>
      </c>
      <c r="AB46" s="82">
        <v>1</v>
      </c>
      <c r="AC46" s="82">
        <v>0</v>
      </c>
      <c r="AD46" s="83">
        <v>0</v>
      </c>
    </row>
    <row r="47" spans="1:30" ht="21.3" x14ac:dyDescent="0.55000000000000004">
      <c r="A47" s="18">
        <v>7</v>
      </c>
      <c r="B47" s="52" t="str">
        <f>$Q$20</f>
        <v>Dimitri</v>
      </c>
      <c r="C47" s="53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1</v>
      </c>
      <c r="L47" s="54">
        <v>0</v>
      </c>
      <c r="M47" s="54">
        <v>1</v>
      </c>
      <c r="N47" s="54">
        <v>0</v>
      </c>
      <c r="O47" s="55">
        <v>0</v>
      </c>
      <c r="Q47" s="42" t="s">
        <v>132</v>
      </c>
      <c r="R47" s="93">
        <f>SUM(R36:R46)</f>
        <v>12</v>
      </c>
      <c r="S47" s="94">
        <f t="shared" ref="S47:AB47" si="3">SUM(S36:S46)</f>
        <v>15</v>
      </c>
      <c r="T47" s="94">
        <f t="shared" si="3"/>
        <v>15</v>
      </c>
      <c r="U47" s="94">
        <f t="shared" si="3"/>
        <v>15</v>
      </c>
      <c r="V47" s="94">
        <f t="shared" si="3"/>
        <v>15</v>
      </c>
      <c r="W47" s="94">
        <f t="shared" si="3"/>
        <v>15</v>
      </c>
      <c r="X47" s="94">
        <f t="shared" si="3"/>
        <v>15</v>
      </c>
      <c r="Y47" s="94">
        <f t="shared" si="3"/>
        <v>15</v>
      </c>
      <c r="Z47" s="94">
        <f t="shared" si="3"/>
        <v>15</v>
      </c>
      <c r="AA47" s="94">
        <f t="shared" si="3"/>
        <v>15</v>
      </c>
      <c r="AB47" s="94">
        <f t="shared" si="3"/>
        <v>15</v>
      </c>
      <c r="AC47" s="94">
        <f t="shared" ref="AC47" si="4">SUM(AC36:AC46)</f>
        <v>12</v>
      </c>
      <c r="AD47" s="95">
        <f t="shared" ref="AD47" si="5">SUM(AD36:AD46)</f>
        <v>12</v>
      </c>
    </row>
    <row r="48" spans="1:30" ht="15.6" x14ac:dyDescent="0.55000000000000004">
      <c r="A48" s="18">
        <v>8</v>
      </c>
      <c r="B48" s="52" t="str">
        <f>$Q$21</f>
        <v>Marina</v>
      </c>
      <c r="C48" s="53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1</v>
      </c>
      <c r="K48" s="54">
        <v>0</v>
      </c>
      <c r="L48" s="54">
        <v>0</v>
      </c>
      <c r="M48" s="54">
        <v>0</v>
      </c>
      <c r="N48" s="54">
        <v>0</v>
      </c>
      <c r="O48" s="55">
        <v>0</v>
      </c>
    </row>
    <row r="49" spans="1:29" ht="15.6" x14ac:dyDescent="0.55000000000000004">
      <c r="A49" s="18">
        <v>9</v>
      </c>
      <c r="B49" s="52" t="str">
        <f>$Q$22</f>
        <v>Michel</v>
      </c>
      <c r="C49" s="53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1</v>
      </c>
      <c r="K49" s="54">
        <v>0</v>
      </c>
      <c r="L49" s="54">
        <v>0</v>
      </c>
      <c r="M49" s="54">
        <v>0</v>
      </c>
      <c r="N49" s="54">
        <v>0</v>
      </c>
      <c r="O49" s="55">
        <v>0</v>
      </c>
    </row>
    <row r="50" spans="1:29" ht="15.6" x14ac:dyDescent="0.55000000000000004">
      <c r="A50" s="18">
        <v>10</v>
      </c>
      <c r="B50" s="52" t="str">
        <f>$Q$23</f>
        <v>Nour</v>
      </c>
      <c r="C50" s="53">
        <v>0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5">
        <v>0</v>
      </c>
    </row>
    <row r="51" spans="1:29" ht="15.6" x14ac:dyDescent="0.55000000000000004">
      <c r="A51" s="18">
        <v>11</v>
      </c>
      <c r="B51" s="52" t="str">
        <f>$Q$24</f>
        <v>Samuel</v>
      </c>
      <c r="C51" s="53">
        <v>0</v>
      </c>
      <c r="D51" s="54">
        <v>1</v>
      </c>
      <c r="E51" s="54">
        <v>0</v>
      </c>
      <c r="F51" s="54">
        <v>0</v>
      </c>
      <c r="G51" s="54">
        <v>1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5">
        <v>0</v>
      </c>
    </row>
    <row r="52" spans="1:29" ht="15.6" x14ac:dyDescent="0.55000000000000004">
      <c r="A52" s="18">
        <v>12</v>
      </c>
      <c r="B52" s="52" t="str">
        <f>$Q$25</f>
        <v>Yassin</v>
      </c>
      <c r="C52" s="53">
        <v>0</v>
      </c>
      <c r="D52" s="54">
        <v>0</v>
      </c>
      <c r="E52" s="54">
        <v>1</v>
      </c>
      <c r="F52" s="54">
        <v>0</v>
      </c>
      <c r="G52" s="54">
        <v>0</v>
      </c>
      <c r="H52" s="54">
        <v>0</v>
      </c>
      <c r="I52" s="54">
        <v>1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5">
        <v>0</v>
      </c>
    </row>
    <row r="53" spans="1:29" ht="15.9" thickBot="1" x14ac:dyDescent="0.6">
      <c r="A53" s="62">
        <v>13</v>
      </c>
      <c r="B53" s="52" t="str">
        <f>$Q$26</f>
        <v>Kamar</v>
      </c>
      <c r="C53" s="63">
        <v>0</v>
      </c>
      <c r="D53" s="64">
        <v>0</v>
      </c>
      <c r="E53" s="64">
        <v>0</v>
      </c>
      <c r="F53" s="64">
        <v>1</v>
      </c>
      <c r="G53" s="64">
        <v>1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5">
        <v>0</v>
      </c>
    </row>
    <row r="55" spans="1:29" ht="21.3" x14ac:dyDescent="0.55000000000000004">
      <c r="Q55" s="111" t="s">
        <v>123</v>
      </c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21.6" thickBot="1" x14ac:dyDescent="0.6">
      <c r="B56" s="73" t="str">
        <f>$Q$38</f>
        <v>Bar</v>
      </c>
      <c r="C56" s="40" t="str">
        <f>$R$2</f>
        <v>16h</v>
      </c>
      <c r="D56" s="41" t="str">
        <f>$S$2</f>
        <v>17h</v>
      </c>
      <c r="E56" s="41" t="str">
        <f>$T$2</f>
        <v>18h</v>
      </c>
      <c r="F56" s="41" t="str">
        <f>$U$2</f>
        <v>19h</v>
      </c>
      <c r="G56" s="41" t="str">
        <f>$V$2</f>
        <v>20h</v>
      </c>
      <c r="H56" s="41" t="str">
        <f>$W$2</f>
        <v>21h</v>
      </c>
      <c r="I56" s="41" t="str">
        <f>$X$2</f>
        <v>22h</v>
      </c>
      <c r="J56" s="41" t="str">
        <f>$Y$2</f>
        <v>23h</v>
      </c>
      <c r="K56" s="41" t="str">
        <f>$Z$2</f>
        <v>00h</v>
      </c>
      <c r="L56" s="41" t="str">
        <f>$AA$2</f>
        <v>01h</v>
      </c>
      <c r="M56" s="41" t="str">
        <f>$AB$2</f>
        <v>02h</v>
      </c>
      <c r="N56" s="41" t="str">
        <f>$AC$2</f>
        <v>03h</v>
      </c>
      <c r="O56" s="38" t="str">
        <f>$AD$2</f>
        <v>04h</v>
      </c>
      <c r="Q56" s="42" t="s">
        <v>122</v>
      </c>
      <c r="R56" s="67" t="str">
        <f>$Q$36</f>
        <v>Setup</v>
      </c>
      <c r="S56" s="70" t="str">
        <f>$Q$37</f>
        <v>Entry</v>
      </c>
      <c r="T56" s="73" t="str">
        <f>$Q$38</f>
        <v>Bar</v>
      </c>
      <c r="U56" s="74" t="str">
        <f>$Q$39</f>
        <v>C-mix</v>
      </c>
      <c r="V56" s="75" t="str">
        <f>$Q$40</f>
        <v>Rez</v>
      </c>
      <c r="W56" s="76" t="str">
        <f>$Q$41</f>
        <v>Homing</v>
      </c>
      <c r="X56" s="77" t="str">
        <f>$Q$42</f>
        <v>Toilets</v>
      </c>
      <c r="Y56" s="78" t="str">
        <f>$Q$43</f>
        <v>Level</v>
      </c>
      <c r="Z56" s="79" t="str">
        <f>$Q$44</f>
        <v>Çapèse</v>
      </c>
      <c r="AA56" s="80" t="str">
        <f>$Q$45</f>
        <v>Tidying</v>
      </c>
      <c r="AB56" s="81" t="str">
        <f>$Q$46</f>
        <v>Volante</v>
      </c>
      <c r="AC56" s="38" t="s">
        <v>115</v>
      </c>
    </row>
    <row r="57" spans="1:29" ht="15.6" x14ac:dyDescent="0.55000000000000004">
      <c r="A57" s="17">
        <v>1</v>
      </c>
      <c r="B57" s="46" t="str">
        <f>$Q$3</f>
        <v>Jennifer</v>
      </c>
      <c r="C57" s="47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9">
        <v>0</v>
      </c>
      <c r="Q57" s="46" t="str">
        <f>$Q$3</f>
        <v>Jennifer</v>
      </c>
      <c r="R57" s="47">
        <v>1</v>
      </c>
      <c r="S57" s="48">
        <v>1</v>
      </c>
      <c r="T57" s="48">
        <v>1</v>
      </c>
      <c r="U57" s="54">
        <v>1</v>
      </c>
      <c r="V57" s="48">
        <v>1</v>
      </c>
      <c r="W57" s="48">
        <v>1</v>
      </c>
      <c r="X57" s="48">
        <v>1</v>
      </c>
      <c r="Y57" s="48">
        <v>1</v>
      </c>
      <c r="Z57" s="54">
        <v>1</v>
      </c>
      <c r="AA57" s="48">
        <v>1</v>
      </c>
      <c r="AB57" s="48">
        <v>1</v>
      </c>
      <c r="AC57" s="49">
        <v>1</v>
      </c>
    </row>
    <row r="58" spans="1:29" ht="15.6" x14ac:dyDescent="0.55000000000000004">
      <c r="A58" s="18">
        <v>2</v>
      </c>
      <c r="B58" s="52" t="str">
        <f>$Q$4</f>
        <v>Galileo</v>
      </c>
      <c r="C58" s="53">
        <v>0</v>
      </c>
      <c r="D58" s="54">
        <v>0</v>
      </c>
      <c r="E58" s="54">
        <v>1</v>
      </c>
      <c r="F58" s="54">
        <v>0</v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0</v>
      </c>
      <c r="O58" s="55">
        <v>0</v>
      </c>
      <c r="Q58" s="52" t="str">
        <f>$Q$4</f>
        <v>Galileo</v>
      </c>
      <c r="R58" s="53">
        <v>1</v>
      </c>
      <c r="S58" s="54">
        <v>1</v>
      </c>
      <c r="T58" s="54">
        <v>1</v>
      </c>
      <c r="U58" s="54">
        <v>1</v>
      </c>
      <c r="V58" s="54">
        <v>1</v>
      </c>
      <c r="W58" s="54">
        <v>1</v>
      </c>
      <c r="X58" s="54">
        <v>1</v>
      </c>
      <c r="Y58" s="54">
        <v>1</v>
      </c>
      <c r="Z58" s="54">
        <v>1</v>
      </c>
      <c r="AA58" s="54">
        <v>1</v>
      </c>
      <c r="AB58" s="54">
        <v>1</v>
      </c>
      <c r="AC58" s="55">
        <v>1</v>
      </c>
    </row>
    <row r="59" spans="1:29" ht="15.6" x14ac:dyDescent="0.55000000000000004">
      <c r="A59" s="18">
        <v>3</v>
      </c>
      <c r="B59" s="52" t="str">
        <f>$Q$5</f>
        <v>Óscar</v>
      </c>
      <c r="C59" s="53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1</v>
      </c>
      <c r="L59" s="54">
        <v>0</v>
      </c>
      <c r="M59" s="54">
        <v>1</v>
      </c>
      <c r="N59" s="54">
        <v>0</v>
      </c>
      <c r="O59" s="55">
        <v>0</v>
      </c>
      <c r="Q59" s="52" t="str">
        <f>$Q$5</f>
        <v>Óscar</v>
      </c>
      <c r="R59" s="53">
        <v>1</v>
      </c>
      <c r="S59" s="54">
        <v>1</v>
      </c>
      <c r="T59" s="54">
        <v>1</v>
      </c>
      <c r="U59" s="54">
        <v>1</v>
      </c>
      <c r="V59" s="54">
        <v>1</v>
      </c>
      <c r="W59" s="54">
        <v>1</v>
      </c>
      <c r="X59" s="54">
        <v>1</v>
      </c>
      <c r="Y59" s="54">
        <v>1</v>
      </c>
      <c r="Z59" s="54">
        <v>1</v>
      </c>
      <c r="AA59" s="54">
        <v>1</v>
      </c>
      <c r="AB59" s="54">
        <v>1</v>
      </c>
      <c r="AC59" s="55">
        <v>1</v>
      </c>
    </row>
    <row r="60" spans="1:29" ht="15.6" x14ac:dyDescent="0.55000000000000004">
      <c r="A60" s="18">
        <v>4</v>
      </c>
      <c r="B60" s="52" t="str">
        <f>$Q$6</f>
        <v>Sebastián</v>
      </c>
      <c r="C60" s="53">
        <v>0</v>
      </c>
      <c r="D60" s="54">
        <v>0</v>
      </c>
      <c r="E60" s="54">
        <v>0</v>
      </c>
      <c r="F60" s="54">
        <v>1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5">
        <v>0</v>
      </c>
      <c r="Q60" s="52" t="str">
        <f>$Q$6</f>
        <v>Sebastián</v>
      </c>
      <c r="R60" s="53">
        <v>1</v>
      </c>
      <c r="S60" s="54">
        <v>1</v>
      </c>
      <c r="T60" s="54">
        <v>1</v>
      </c>
      <c r="U60" s="54">
        <v>1</v>
      </c>
      <c r="V60" s="54">
        <v>1</v>
      </c>
      <c r="W60" s="54">
        <v>1</v>
      </c>
      <c r="X60" s="54">
        <v>1</v>
      </c>
      <c r="Y60" s="54">
        <v>1</v>
      </c>
      <c r="Z60" s="54">
        <v>1</v>
      </c>
      <c r="AA60" s="54">
        <v>1</v>
      </c>
      <c r="AB60" s="54">
        <v>1</v>
      </c>
      <c r="AC60" s="55">
        <v>1</v>
      </c>
    </row>
    <row r="61" spans="1:29" ht="15.6" x14ac:dyDescent="0.55000000000000004">
      <c r="A61" s="18">
        <v>5</v>
      </c>
      <c r="B61" s="52" t="str">
        <f>$Q$7</f>
        <v>Marcos</v>
      </c>
      <c r="C61" s="53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1</v>
      </c>
      <c r="K61" s="54">
        <v>0</v>
      </c>
      <c r="L61" s="54">
        <v>0</v>
      </c>
      <c r="M61" s="54">
        <v>0</v>
      </c>
      <c r="N61" s="54">
        <v>0</v>
      </c>
      <c r="O61" s="55">
        <v>0</v>
      </c>
      <c r="Q61" s="52" t="str">
        <f>$Q$7</f>
        <v>Marcos</v>
      </c>
      <c r="R61" s="53">
        <v>1</v>
      </c>
      <c r="S61" s="54">
        <v>1</v>
      </c>
      <c r="T61" s="54">
        <v>1</v>
      </c>
      <c r="U61" s="54">
        <v>1</v>
      </c>
      <c r="V61" s="54">
        <v>1</v>
      </c>
      <c r="W61" s="54">
        <v>1</v>
      </c>
      <c r="X61" s="54">
        <v>1</v>
      </c>
      <c r="Y61" s="54">
        <v>1</v>
      </c>
      <c r="Z61" s="54">
        <v>1</v>
      </c>
      <c r="AA61" s="54">
        <v>1</v>
      </c>
      <c r="AB61" s="54">
        <v>1</v>
      </c>
      <c r="AC61" s="55">
        <v>1</v>
      </c>
    </row>
    <row r="62" spans="1:29" ht="15.6" x14ac:dyDescent="0.55000000000000004">
      <c r="A62" s="18">
        <v>6</v>
      </c>
      <c r="B62" s="52" t="str">
        <f>$Q$8</f>
        <v>Weixin</v>
      </c>
      <c r="C62" s="53">
        <v>0</v>
      </c>
      <c r="D62" s="54">
        <v>0</v>
      </c>
      <c r="E62" s="54">
        <v>0</v>
      </c>
      <c r="F62" s="54">
        <v>1</v>
      </c>
      <c r="G62" s="54">
        <v>0</v>
      </c>
      <c r="H62" s="54">
        <v>1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5">
        <v>0</v>
      </c>
      <c r="Q62" s="52" t="str">
        <f>$Q$8</f>
        <v>Weixin</v>
      </c>
      <c r="R62" s="53">
        <v>1</v>
      </c>
      <c r="S62" s="54">
        <v>1</v>
      </c>
      <c r="T62" s="54">
        <v>1</v>
      </c>
      <c r="U62" s="54">
        <v>1</v>
      </c>
      <c r="V62" s="54">
        <v>1</v>
      </c>
      <c r="W62" s="54">
        <v>1</v>
      </c>
      <c r="X62" s="54">
        <v>1</v>
      </c>
      <c r="Y62" s="54">
        <v>1</v>
      </c>
      <c r="Z62" s="54">
        <v>1</v>
      </c>
      <c r="AA62" s="54">
        <v>1</v>
      </c>
      <c r="AB62" s="54">
        <v>1</v>
      </c>
      <c r="AC62" s="55">
        <v>1</v>
      </c>
    </row>
    <row r="63" spans="1:29" ht="15.6" x14ac:dyDescent="0.55000000000000004">
      <c r="A63" s="18">
        <v>7</v>
      </c>
      <c r="B63" s="52" t="str">
        <f>$Q$9</f>
        <v>Benjamin</v>
      </c>
      <c r="C63" s="53">
        <v>0</v>
      </c>
      <c r="D63" s="54">
        <v>1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1</v>
      </c>
      <c r="M63" s="54">
        <v>0</v>
      </c>
      <c r="N63" s="54">
        <v>0</v>
      </c>
      <c r="O63" s="55">
        <v>0</v>
      </c>
      <c r="Q63" s="52" t="str">
        <f>$Q$9</f>
        <v>Benjamin</v>
      </c>
      <c r="R63" s="53">
        <v>1</v>
      </c>
      <c r="S63" s="54">
        <v>1</v>
      </c>
      <c r="T63" s="54">
        <v>1</v>
      </c>
      <c r="U63" s="54">
        <v>1</v>
      </c>
      <c r="V63" s="54">
        <v>1</v>
      </c>
      <c r="W63" s="54">
        <v>1</v>
      </c>
      <c r="X63" s="54">
        <v>1</v>
      </c>
      <c r="Y63" s="54">
        <v>1</v>
      </c>
      <c r="Z63" s="54">
        <v>1</v>
      </c>
      <c r="AA63" s="54">
        <v>1</v>
      </c>
      <c r="AB63" s="54">
        <v>1</v>
      </c>
      <c r="AC63" s="55">
        <v>1</v>
      </c>
    </row>
    <row r="64" spans="1:29" ht="15.6" x14ac:dyDescent="0.55000000000000004">
      <c r="A64" s="18">
        <v>8</v>
      </c>
      <c r="B64" s="52" t="str">
        <f>$Q$10</f>
        <v>Joelle</v>
      </c>
      <c r="C64" s="53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5">
        <v>0</v>
      </c>
      <c r="Q64" s="52" t="str">
        <f>$Q$10</f>
        <v>Joelle</v>
      </c>
      <c r="R64" s="53">
        <v>1</v>
      </c>
      <c r="S64" s="54">
        <v>1</v>
      </c>
      <c r="T64" s="54">
        <v>1</v>
      </c>
      <c r="U64" s="54">
        <v>1</v>
      </c>
      <c r="V64" s="54">
        <v>1</v>
      </c>
      <c r="W64" s="54">
        <v>1</v>
      </c>
      <c r="X64" s="54">
        <v>1</v>
      </c>
      <c r="Y64" s="54">
        <v>1</v>
      </c>
      <c r="Z64" s="54">
        <v>1</v>
      </c>
      <c r="AA64" s="54">
        <v>1</v>
      </c>
      <c r="AB64" s="54">
        <v>1</v>
      </c>
      <c r="AC64" s="55">
        <v>1</v>
      </c>
    </row>
    <row r="65" spans="1:29" ht="15.6" x14ac:dyDescent="0.55000000000000004">
      <c r="A65" s="18">
        <v>9</v>
      </c>
      <c r="B65" s="52" t="str">
        <f>$Q$11</f>
        <v>Alexia</v>
      </c>
      <c r="C65" s="53">
        <v>0</v>
      </c>
      <c r="D65" s="54">
        <v>0</v>
      </c>
      <c r="E65" s="54">
        <v>0</v>
      </c>
      <c r="F65" s="54">
        <v>0</v>
      </c>
      <c r="G65" s="54">
        <v>0</v>
      </c>
      <c r="H65" s="54">
        <v>1</v>
      </c>
      <c r="I65" s="54">
        <v>0</v>
      </c>
      <c r="J65" s="54">
        <v>0</v>
      </c>
      <c r="K65" s="54">
        <v>0</v>
      </c>
      <c r="L65" s="54">
        <v>1</v>
      </c>
      <c r="M65" s="54">
        <v>0</v>
      </c>
      <c r="N65" s="54">
        <v>0</v>
      </c>
      <c r="O65" s="55">
        <v>0</v>
      </c>
      <c r="Q65" s="52" t="str">
        <f>$Q$11</f>
        <v>Alexia</v>
      </c>
      <c r="R65" s="53">
        <v>1</v>
      </c>
      <c r="S65" s="54">
        <v>1</v>
      </c>
      <c r="T65" s="54">
        <v>1</v>
      </c>
      <c r="U65" s="54">
        <v>1</v>
      </c>
      <c r="V65" s="54">
        <v>1</v>
      </c>
      <c r="W65" s="54">
        <v>1</v>
      </c>
      <c r="X65" s="54">
        <v>1</v>
      </c>
      <c r="Y65" s="54">
        <v>1</v>
      </c>
      <c r="Z65" s="54">
        <v>1</v>
      </c>
      <c r="AA65" s="54">
        <v>1</v>
      </c>
      <c r="AB65" s="54">
        <v>1</v>
      </c>
      <c r="AC65" s="55">
        <v>1</v>
      </c>
    </row>
    <row r="66" spans="1:29" ht="15.6" x14ac:dyDescent="0.55000000000000004">
      <c r="A66" s="18">
        <v>10</v>
      </c>
      <c r="B66" s="52" t="str">
        <f>$Q$12</f>
        <v>Joao</v>
      </c>
      <c r="C66" s="53">
        <v>0</v>
      </c>
      <c r="D66" s="54">
        <v>1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55">
        <v>0</v>
      </c>
      <c r="Q66" s="52" t="str">
        <f>$Q$12</f>
        <v>Joao</v>
      </c>
      <c r="R66" s="53">
        <v>1</v>
      </c>
      <c r="S66" s="54">
        <v>1</v>
      </c>
      <c r="T66" s="54">
        <v>1</v>
      </c>
      <c r="U66" s="54">
        <v>1</v>
      </c>
      <c r="V66" s="54">
        <v>1</v>
      </c>
      <c r="W66" s="54">
        <v>1</v>
      </c>
      <c r="X66" s="54">
        <v>1</v>
      </c>
      <c r="Y66" s="54">
        <v>1</v>
      </c>
      <c r="Z66" s="54">
        <v>1</v>
      </c>
      <c r="AA66" s="54">
        <v>1</v>
      </c>
      <c r="AB66" s="54">
        <v>1</v>
      </c>
      <c r="AC66" s="55">
        <v>1</v>
      </c>
    </row>
    <row r="67" spans="1:29" ht="15.6" x14ac:dyDescent="0.55000000000000004">
      <c r="A67" s="18">
        <v>11</v>
      </c>
      <c r="B67" s="57" t="str">
        <f>$Q$13</f>
        <v>Maxime</v>
      </c>
      <c r="C67" s="53">
        <v>0</v>
      </c>
      <c r="D67" s="54">
        <v>0</v>
      </c>
      <c r="E67" s="54">
        <v>0</v>
      </c>
      <c r="F67" s="54">
        <v>0</v>
      </c>
      <c r="G67" s="54">
        <v>0</v>
      </c>
      <c r="H67" s="54">
        <v>1</v>
      </c>
      <c r="I67" s="54">
        <v>0</v>
      </c>
      <c r="J67" s="54">
        <v>0</v>
      </c>
      <c r="K67" s="54">
        <v>1</v>
      </c>
      <c r="L67" s="54">
        <v>0</v>
      </c>
      <c r="M67" s="54">
        <v>0</v>
      </c>
      <c r="N67" s="54">
        <v>0</v>
      </c>
      <c r="O67" s="55">
        <v>0</v>
      </c>
      <c r="Q67" s="57" t="str">
        <f>$Q$13</f>
        <v>Maxime</v>
      </c>
      <c r="R67" s="53">
        <v>1</v>
      </c>
      <c r="S67" s="54">
        <v>1</v>
      </c>
      <c r="T67" s="54">
        <v>1</v>
      </c>
      <c r="U67" s="54">
        <v>1</v>
      </c>
      <c r="V67" s="54">
        <v>1</v>
      </c>
      <c r="W67" s="54">
        <v>1</v>
      </c>
      <c r="X67" s="54">
        <v>1</v>
      </c>
      <c r="Y67" s="54">
        <v>1</v>
      </c>
      <c r="Z67" s="54">
        <v>1</v>
      </c>
      <c r="AA67" s="54">
        <v>1</v>
      </c>
      <c r="AB67" s="54">
        <v>1</v>
      </c>
      <c r="AC67" s="55">
        <v>1</v>
      </c>
    </row>
    <row r="68" spans="1:29" ht="15.6" x14ac:dyDescent="0.55000000000000004">
      <c r="A68" s="18">
        <v>1</v>
      </c>
      <c r="B68" s="46" t="str">
        <f>$Q$14</f>
        <v>Alex</v>
      </c>
      <c r="C68" s="59">
        <v>0</v>
      </c>
      <c r="D68" s="60">
        <v>0</v>
      </c>
      <c r="E68" s="60">
        <v>0</v>
      </c>
      <c r="F68" s="60">
        <v>1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1">
        <v>0</v>
      </c>
      <c r="Q68" s="46" t="str">
        <f>$Q$14</f>
        <v>Alex</v>
      </c>
      <c r="R68" s="59">
        <v>1</v>
      </c>
      <c r="S68" s="60">
        <v>1</v>
      </c>
      <c r="T68" s="60">
        <v>1</v>
      </c>
      <c r="U68" s="54">
        <v>1</v>
      </c>
      <c r="V68" s="60">
        <v>1</v>
      </c>
      <c r="W68" s="60">
        <v>1</v>
      </c>
      <c r="X68" s="60">
        <v>1</v>
      </c>
      <c r="Y68" s="60">
        <v>1</v>
      </c>
      <c r="Z68" s="54">
        <v>1</v>
      </c>
      <c r="AA68" s="60">
        <v>1</v>
      </c>
      <c r="AB68" s="54">
        <v>1</v>
      </c>
      <c r="AC68" s="61">
        <v>1</v>
      </c>
    </row>
    <row r="69" spans="1:29" ht="15.6" x14ac:dyDescent="0.55000000000000004">
      <c r="A69" s="18">
        <v>2</v>
      </c>
      <c r="B69" s="52" t="str">
        <f>$Q$15</f>
        <v>Alyssa</v>
      </c>
      <c r="C69" s="53">
        <v>0</v>
      </c>
      <c r="D69" s="54">
        <v>1</v>
      </c>
      <c r="E69" s="54">
        <v>1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5">
        <v>0</v>
      </c>
      <c r="Q69" s="52" t="str">
        <f>$Q$15</f>
        <v>Alyssa</v>
      </c>
      <c r="R69" s="53">
        <v>1</v>
      </c>
      <c r="S69" s="54">
        <v>1</v>
      </c>
      <c r="T69" s="54">
        <v>1</v>
      </c>
      <c r="U69" s="54">
        <v>1</v>
      </c>
      <c r="V69" s="54">
        <v>1</v>
      </c>
      <c r="W69" s="54">
        <v>1</v>
      </c>
      <c r="X69" s="54">
        <v>1</v>
      </c>
      <c r="Y69" s="54">
        <v>1</v>
      </c>
      <c r="Z69" s="54">
        <v>1</v>
      </c>
      <c r="AA69" s="54">
        <v>1</v>
      </c>
      <c r="AB69" s="54">
        <v>1</v>
      </c>
      <c r="AC69" s="55">
        <v>1</v>
      </c>
    </row>
    <row r="70" spans="1:29" ht="15.6" x14ac:dyDescent="0.55000000000000004">
      <c r="A70" s="18">
        <v>3</v>
      </c>
      <c r="B70" s="52" t="str">
        <f>$Q$16</f>
        <v>Amanda</v>
      </c>
      <c r="C70" s="53">
        <v>0</v>
      </c>
      <c r="D70" s="54">
        <v>0</v>
      </c>
      <c r="E70" s="54">
        <v>0</v>
      </c>
      <c r="F70" s="54">
        <v>0</v>
      </c>
      <c r="G70" s="54">
        <v>1</v>
      </c>
      <c r="H70" s="54">
        <v>0</v>
      </c>
      <c r="I70" s="54">
        <v>1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5">
        <v>0</v>
      </c>
      <c r="Q70" s="52" t="str">
        <f>$Q$16</f>
        <v>Amanda</v>
      </c>
      <c r="R70" s="53">
        <v>1</v>
      </c>
      <c r="S70" s="54">
        <v>1</v>
      </c>
      <c r="T70" s="54">
        <v>1</v>
      </c>
      <c r="U70" s="54">
        <v>1</v>
      </c>
      <c r="V70" s="54">
        <v>1</v>
      </c>
      <c r="W70" s="54">
        <v>1</v>
      </c>
      <c r="X70" s="54">
        <v>1</v>
      </c>
      <c r="Y70" s="54">
        <v>1</v>
      </c>
      <c r="Z70" s="54">
        <v>1</v>
      </c>
      <c r="AA70" s="54">
        <v>1</v>
      </c>
      <c r="AB70" s="54">
        <v>1</v>
      </c>
      <c r="AC70" s="55">
        <v>1</v>
      </c>
    </row>
    <row r="71" spans="1:29" ht="15.6" x14ac:dyDescent="0.55000000000000004">
      <c r="A71" s="18">
        <v>4</v>
      </c>
      <c r="B71" s="52" t="str">
        <f>$Q$17</f>
        <v>Antoine</v>
      </c>
      <c r="C71" s="53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5">
        <v>0</v>
      </c>
      <c r="Q71" s="52" t="str">
        <f>$Q$17</f>
        <v>Antoine</v>
      </c>
      <c r="R71" s="53">
        <v>1</v>
      </c>
      <c r="S71" s="54">
        <v>1</v>
      </c>
      <c r="T71" s="54">
        <v>1</v>
      </c>
      <c r="U71" s="54">
        <v>1</v>
      </c>
      <c r="V71" s="54">
        <v>1</v>
      </c>
      <c r="W71" s="54">
        <v>1</v>
      </c>
      <c r="X71" s="54">
        <v>1</v>
      </c>
      <c r="Y71" s="54">
        <v>1</v>
      </c>
      <c r="Z71" s="54">
        <v>1</v>
      </c>
      <c r="AA71" s="54">
        <v>1</v>
      </c>
      <c r="AB71" s="54">
        <v>1</v>
      </c>
      <c r="AC71" s="55">
        <v>1</v>
      </c>
    </row>
    <row r="72" spans="1:29" ht="15.6" x14ac:dyDescent="0.55000000000000004">
      <c r="A72" s="18">
        <v>5</v>
      </c>
      <c r="B72" s="52" t="str">
        <f>$Q$18</f>
        <v>Beatriz</v>
      </c>
      <c r="C72" s="53">
        <v>0</v>
      </c>
      <c r="D72" s="54">
        <v>0</v>
      </c>
      <c r="E72" s="54">
        <v>1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5">
        <v>0</v>
      </c>
      <c r="Q72" s="52" t="str">
        <f>$Q$18</f>
        <v>Beatriz</v>
      </c>
      <c r="R72" s="53">
        <v>1</v>
      </c>
      <c r="S72" s="54">
        <v>1</v>
      </c>
      <c r="T72" s="54">
        <v>1</v>
      </c>
      <c r="U72" s="54">
        <v>1</v>
      </c>
      <c r="V72" s="54">
        <v>1</v>
      </c>
      <c r="W72" s="54">
        <v>1</v>
      </c>
      <c r="X72" s="54">
        <v>1</v>
      </c>
      <c r="Y72" s="54">
        <v>1</v>
      </c>
      <c r="Z72" s="54">
        <v>1</v>
      </c>
      <c r="AA72" s="54">
        <v>1</v>
      </c>
      <c r="AB72" s="54">
        <v>1</v>
      </c>
      <c r="AC72" s="55">
        <v>1</v>
      </c>
    </row>
    <row r="73" spans="1:29" ht="15.6" x14ac:dyDescent="0.55000000000000004">
      <c r="A73" s="18">
        <v>6</v>
      </c>
      <c r="B73" s="52" t="str">
        <f>$Q$19</f>
        <v>Charelle</v>
      </c>
      <c r="C73" s="53">
        <v>0</v>
      </c>
      <c r="D73" s="54">
        <v>0</v>
      </c>
      <c r="E73" s="54">
        <v>0</v>
      </c>
      <c r="F73" s="54">
        <v>0</v>
      </c>
      <c r="G73" s="54">
        <v>1</v>
      </c>
      <c r="H73" s="54">
        <v>0</v>
      </c>
      <c r="I73" s="54">
        <v>1</v>
      </c>
      <c r="J73" s="54">
        <v>1</v>
      </c>
      <c r="K73" s="54">
        <v>0</v>
      </c>
      <c r="L73" s="54">
        <v>0</v>
      </c>
      <c r="M73" s="54">
        <v>1</v>
      </c>
      <c r="N73" s="54">
        <v>0</v>
      </c>
      <c r="O73" s="55">
        <v>0</v>
      </c>
      <c r="Q73" s="52" t="str">
        <f>$Q$19</f>
        <v>Charelle</v>
      </c>
      <c r="R73" s="53">
        <v>1</v>
      </c>
      <c r="S73" s="54">
        <v>1</v>
      </c>
      <c r="T73" s="54">
        <v>1</v>
      </c>
      <c r="U73" s="54">
        <v>1</v>
      </c>
      <c r="V73" s="54">
        <v>1</v>
      </c>
      <c r="W73" s="54">
        <v>1</v>
      </c>
      <c r="X73" s="54">
        <v>1</v>
      </c>
      <c r="Y73" s="54">
        <v>1</v>
      </c>
      <c r="Z73" s="54">
        <v>1</v>
      </c>
      <c r="AA73" s="54">
        <v>1</v>
      </c>
      <c r="AB73" s="54">
        <v>1</v>
      </c>
      <c r="AC73" s="55">
        <v>1</v>
      </c>
    </row>
    <row r="74" spans="1:29" ht="15.6" x14ac:dyDescent="0.55000000000000004">
      <c r="A74" s="18">
        <v>7</v>
      </c>
      <c r="B74" s="52" t="str">
        <f>$Q$20</f>
        <v>Dimitri</v>
      </c>
      <c r="C74" s="53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1</v>
      </c>
      <c r="K74" s="54">
        <v>0</v>
      </c>
      <c r="L74" s="54">
        <v>0</v>
      </c>
      <c r="M74" s="54">
        <v>0</v>
      </c>
      <c r="N74" s="54">
        <v>0</v>
      </c>
      <c r="O74" s="55">
        <v>0</v>
      </c>
      <c r="Q74" s="52" t="str">
        <f>$Q$20</f>
        <v>Dimitri</v>
      </c>
      <c r="R74" s="53">
        <v>1</v>
      </c>
      <c r="S74" s="54">
        <v>1</v>
      </c>
      <c r="T74" s="54">
        <v>1</v>
      </c>
      <c r="U74" s="54">
        <v>1</v>
      </c>
      <c r="V74" s="54">
        <v>1</v>
      </c>
      <c r="W74" s="54">
        <v>1</v>
      </c>
      <c r="X74" s="54">
        <v>1</v>
      </c>
      <c r="Y74" s="54">
        <v>1</v>
      </c>
      <c r="Z74" s="54">
        <v>1</v>
      </c>
      <c r="AA74" s="54">
        <v>1</v>
      </c>
      <c r="AB74" s="54">
        <v>1</v>
      </c>
      <c r="AC74" s="55">
        <v>1</v>
      </c>
    </row>
    <row r="75" spans="1:29" ht="15.6" x14ac:dyDescent="0.55000000000000004">
      <c r="A75" s="18">
        <v>8</v>
      </c>
      <c r="B75" s="52" t="str">
        <f>$Q$21</f>
        <v>Marina</v>
      </c>
      <c r="C75" s="53">
        <v>0</v>
      </c>
      <c r="D75" s="54">
        <v>0</v>
      </c>
      <c r="E75" s="54">
        <v>0</v>
      </c>
      <c r="F75" s="54">
        <v>0</v>
      </c>
      <c r="G75" s="54">
        <v>1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5">
        <v>0</v>
      </c>
      <c r="Q75" s="52" t="str">
        <f>$Q$21</f>
        <v>Marina</v>
      </c>
      <c r="R75" s="53">
        <v>1</v>
      </c>
      <c r="S75" s="54">
        <v>1</v>
      </c>
      <c r="T75" s="54">
        <v>1</v>
      </c>
      <c r="U75" s="54">
        <v>1</v>
      </c>
      <c r="V75" s="54">
        <v>1</v>
      </c>
      <c r="W75" s="54">
        <v>1</v>
      </c>
      <c r="X75" s="54">
        <v>1</v>
      </c>
      <c r="Y75" s="54">
        <v>1</v>
      </c>
      <c r="Z75" s="54">
        <v>1</v>
      </c>
      <c r="AA75" s="54">
        <v>1</v>
      </c>
      <c r="AB75" s="54">
        <v>1</v>
      </c>
      <c r="AC75" s="55">
        <v>1</v>
      </c>
    </row>
    <row r="76" spans="1:29" ht="15.6" x14ac:dyDescent="0.55000000000000004">
      <c r="A76" s="18">
        <v>9</v>
      </c>
      <c r="B76" s="52" t="str">
        <f>$Q$22</f>
        <v>Michel</v>
      </c>
      <c r="C76" s="53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1</v>
      </c>
      <c r="N76" s="54">
        <v>0</v>
      </c>
      <c r="O76" s="55">
        <v>0</v>
      </c>
      <c r="Q76" s="52" t="str">
        <f>$Q$22</f>
        <v>Michel</v>
      </c>
      <c r="R76" s="53">
        <v>1</v>
      </c>
      <c r="S76" s="54">
        <v>1</v>
      </c>
      <c r="T76" s="54">
        <v>1</v>
      </c>
      <c r="U76" s="54">
        <v>1</v>
      </c>
      <c r="V76" s="54">
        <v>1</v>
      </c>
      <c r="W76" s="54">
        <v>1</v>
      </c>
      <c r="X76" s="54">
        <v>1</v>
      </c>
      <c r="Y76" s="54">
        <v>1</v>
      </c>
      <c r="Z76" s="54">
        <v>1</v>
      </c>
      <c r="AA76" s="54">
        <v>1</v>
      </c>
      <c r="AB76" s="54">
        <v>1</v>
      </c>
      <c r="AC76" s="55">
        <v>1</v>
      </c>
    </row>
    <row r="77" spans="1:29" ht="15.6" x14ac:dyDescent="0.55000000000000004">
      <c r="A77" s="18">
        <v>10</v>
      </c>
      <c r="B77" s="52" t="str">
        <f>$Q$23</f>
        <v>Nour</v>
      </c>
      <c r="C77" s="53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5">
        <v>0</v>
      </c>
      <c r="Q77" s="52" t="str">
        <f>$Q$23</f>
        <v>Nour</v>
      </c>
      <c r="R77" s="53">
        <v>1</v>
      </c>
      <c r="S77" s="54">
        <v>1</v>
      </c>
      <c r="T77" s="54">
        <v>1</v>
      </c>
      <c r="U77" s="54">
        <v>1</v>
      </c>
      <c r="V77" s="54">
        <v>1</v>
      </c>
      <c r="W77" s="54">
        <v>1</v>
      </c>
      <c r="X77" s="54">
        <v>1</v>
      </c>
      <c r="Y77" s="54">
        <v>1</v>
      </c>
      <c r="Z77" s="54">
        <v>1</v>
      </c>
      <c r="AA77" s="54">
        <v>1</v>
      </c>
      <c r="AB77" s="54">
        <v>1</v>
      </c>
      <c r="AC77" s="55">
        <v>1</v>
      </c>
    </row>
    <row r="78" spans="1:29" ht="15.6" x14ac:dyDescent="0.55000000000000004">
      <c r="A78" s="18">
        <v>11</v>
      </c>
      <c r="B78" s="52" t="str">
        <f>$Q$24</f>
        <v>Samuel</v>
      </c>
      <c r="C78" s="53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1</v>
      </c>
      <c r="L78" s="54">
        <v>0</v>
      </c>
      <c r="M78" s="54">
        <v>0</v>
      </c>
      <c r="N78" s="54">
        <v>0</v>
      </c>
      <c r="O78" s="55">
        <v>0</v>
      </c>
      <c r="Q78" s="52" t="str">
        <f>$Q$24</f>
        <v>Samuel</v>
      </c>
      <c r="R78" s="53">
        <v>1</v>
      </c>
      <c r="S78" s="54">
        <v>1</v>
      </c>
      <c r="T78" s="54">
        <v>1</v>
      </c>
      <c r="U78" s="54">
        <v>1</v>
      </c>
      <c r="V78" s="54">
        <v>1</v>
      </c>
      <c r="W78" s="54">
        <v>1</v>
      </c>
      <c r="X78" s="54">
        <v>1</v>
      </c>
      <c r="Y78" s="54">
        <v>1</v>
      </c>
      <c r="Z78" s="54">
        <v>1</v>
      </c>
      <c r="AA78" s="54">
        <v>1</v>
      </c>
      <c r="AB78" s="54">
        <v>1</v>
      </c>
      <c r="AC78" s="55">
        <v>1</v>
      </c>
    </row>
    <row r="79" spans="1:29" ht="15.6" x14ac:dyDescent="0.55000000000000004">
      <c r="A79" s="18">
        <v>12</v>
      </c>
      <c r="B79" s="52" t="str">
        <f>$Q$25</f>
        <v>Yassin</v>
      </c>
      <c r="C79" s="53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5">
        <v>0</v>
      </c>
      <c r="Q79" s="52" t="str">
        <f>$Q$25</f>
        <v>Yassin</v>
      </c>
      <c r="R79" s="53">
        <v>1</v>
      </c>
      <c r="S79" s="54">
        <v>1</v>
      </c>
      <c r="T79" s="54">
        <v>1</v>
      </c>
      <c r="U79" s="54">
        <v>1</v>
      </c>
      <c r="V79" s="54">
        <v>1</v>
      </c>
      <c r="W79" s="54">
        <v>1</v>
      </c>
      <c r="X79" s="54">
        <v>1</v>
      </c>
      <c r="Y79" s="54">
        <v>1</v>
      </c>
      <c r="Z79" s="54">
        <v>1</v>
      </c>
      <c r="AA79" s="54">
        <v>1</v>
      </c>
      <c r="AB79" s="54">
        <v>1</v>
      </c>
      <c r="AC79" s="55">
        <v>1</v>
      </c>
    </row>
    <row r="80" spans="1:29" ht="15.9" thickBot="1" x14ac:dyDescent="0.6">
      <c r="A80" s="62">
        <v>13</v>
      </c>
      <c r="B80" s="52" t="str">
        <f>$Q$26</f>
        <v>Kamar</v>
      </c>
      <c r="C80" s="63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1</v>
      </c>
      <c r="J80" s="64">
        <v>0</v>
      </c>
      <c r="K80" s="64">
        <v>0</v>
      </c>
      <c r="L80" s="64">
        <v>1</v>
      </c>
      <c r="M80" s="64">
        <v>0</v>
      </c>
      <c r="N80" s="64">
        <v>0</v>
      </c>
      <c r="O80" s="65">
        <v>0</v>
      </c>
      <c r="Q80" s="52" t="str">
        <f>$Q$26</f>
        <v>Kamar</v>
      </c>
      <c r="R80" s="63">
        <v>1</v>
      </c>
      <c r="S80" s="64">
        <v>1</v>
      </c>
      <c r="T80" s="64">
        <v>1</v>
      </c>
      <c r="U80" s="64">
        <v>1</v>
      </c>
      <c r="V80" s="64">
        <v>1</v>
      </c>
      <c r="W80" s="64">
        <v>1</v>
      </c>
      <c r="X80" s="64">
        <v>1</v>
      </c>
      <c r="Y80" s="64">
        <v>1</v>
      </c>
      <c r="Z80" s="64">
        <v>1</v>
      </c>
      <c r="AA80" s="64">
        <v>1</v>
      </c>
      <c r="AB80" s="64">
        <v>1</v>
      </c>
      <c r="AC80" s="65">
        <v>1</v>
      </c>
    </row>
    <row r="83" spans="1:15" ht="15.9" outlineLevel="1" thickBot="1" x14ac:dyDescent="0.6">
      <c r="B83" s="74" t="str">
        <f>$Q$39</f>
        <v>C-mix</v>
      </c>
      <c r="C83" s="40" t="str">
        <f>$R$2</f>
        <v>16h</v>
      </c>
      <c r="D83" s="41" t="str">
        <f>$S$2</f>
        <v>17h</v>
      </c>
      <c r="E83" s="41" t="str">
        <f>$T$2</f>
        <v>18h</v>
      </c>
      <c r="F83" s="41" t="str">
        <f>$U$2</f>
        <v>19h</v>
      </c>
      <c r="G83" s="41" t="str">
        <f>$V$2</f>
        <v>20h</v>
      </c>
      <c r="H83" s="41" t="str">
        <f>$W$2</f>
        <v>21h</v>
      </c>
      <c r="I83" s="41" t="str">
        <f>$X$2</f>
        <v>22h</v>
      </c>
      <c r="J83" s="41" t="str">
        <f>$Y$2</f>
        <v>23h</v>
      </c>
      <c r="K83" s="41" t="str">
        <f>$Z$2</f>
        <v>00h</v>
      </c>
      <c r="L83" s="41" t="str">
        <f>$AA$2</f>
        <v>01h</v>
      </c>
      <c r="M83" s="41" t="str">
        <f>$AB$2</f>
        <v>02h</v>
      </c>
      <c r="N83" s="41" t="str">
        <f>$AC$2</f>
        <v>03h</v>
      </c>
      <c r="O83" s="38" t="str">
        <f>$AD$2</f>
        <v>04h</v>
      </c>
    </row>
    <row r="84" spans="1:15" ht="15.6" outlineLevel="1" x14ac:dyDescent="0.55000000000000004">
      <c r="A84" s="17">
        <v>1</v>
      </c>
      <c r="B84" s="46" t="str">
        <f>$Q$3</f>
        <v>Jennifer</v>
      </c>
      <c r="C84" s="47">
        <v>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9">
        <v>0</v>
      </c>
    </row>
    <row r="85" spans="1:15" ht="15.6" outlineLevel="1" x14ac:dyDescent="0.55000000000000004">
      <c r="A85" s="18">
        <v>2</v>
      </c>
      <c r="B85" s="52" t="str">
        <f>$Q$4</f>
        <v>Galileo</v>
      </c>
      <c r="C85" s="53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5">
        <v>0</v>
      </c>
    </row>
    <row r="86" spans="1:15" ht="15.6" outlineLevel="1" x14ac:dyDescent="0.55000000000000004">
      <c r="A86" s="18">
        <v>3</v>
      </c>
      <c r="B86" s="52" t="str">
        <f>$Q$5</f>
        <v>Óscar</v>
      </c>
      <c r="C86" s="53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55">
        <v>0</v>
      </c>
    </row>
    <row r="87" spans="1:15" ht="15.6" outlineLevel="1" x14ac:dyDescent="0.55000000000000004">
      <c r="A87" s="18">
        <v>4</v>
      </c>
      <c r="B87" s="52" t="str">
        <f>$Q$6</f>
        <v>Sebastián</v>
      </c>
      <c r="C87" s="53">
        <v>0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0</v>
      </c>
      <c r="O87" s="55">
        <v>0</v>
      </c>
    </row>
    <row r="88" spans="1:15" ht="15.6" outlineLevel="1" x14ac:dyDescent="0.55000000000000004">
      <c r="A88" s="18">
        <v>5</v>
      </c>
      <c r="B88" s="52" t="str">
        <f>$Q$7</f>
        <v>Marcos</v>
      </c>
      <c r="C88" s="53">
        <v>0</v>
      </c>
      <c r="D88" s="54">
        <v>0</v>
      </c>
      <c r="E88" s="54">
        <v>0</v>
      </c>
      <c r="F88" s="54">
        <v>0</v>
      </c>
      <c r="G88" s="54">
        <v>0</v>
      </c>
      <c r="H88" s="54">
        <v>1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5">
        <v>0</v>
      </c>
    </row>
    <row r="89" spans="1:15" ht="15.6" outlineLevel="1" x14ac:dyDescent="0.55000000000000004">
      <c r="A89" s="18">
        <v>6</v>
      </c>
      <c r="B89" s="52" t="str">
        <f>$Q$8</f>
        <v>Weixin</v>
      </c>
      <c r="C89" s="53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5">
        <v>0</v>
      </c>
    </row>
    <row r="90" spans="1:15" ht="15.6" outlineLevel="1" x14ac:dyDescent="0.55000000000000004">
      <c r="A90" s="18">
        <v>7</v>
      </c>
      <c r="B90" s="52" t="str">
        <f>$Q$9</f>
        <v>Benjamin</v>
      </c>
      <c r="C90" s="53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1</v>
      </c>
      <c r="J90" s="54">
        <v>0</v>
      </c>
      <c r="K90" s="54">
        <v>0</v>
      </c>
      <c r="L90" s="54">
        <v>0</v>
      </c>
      <c r="M90" s="54">
        <v>0</v>
      </c>
      <c r="N90" s="54">
        <v>0</v>
      </c>
      <c r="O90" s="55">
        <v>0</v>
      </c>
    </row>
    <row r="91" spans="1:15" ht="15.6" outlineLevel="1" x14ac:dyDescent="0.55000000000000004">
      <c r="A91" s="18">
        <v>8</v>
      </c>
      <c r="B91" s="52" t="str">
        <f>$Q$10</f>
        <v>Joelle</v>
      </c>
      <c r="C91" s="53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4">
        <v>0</v>
      </c>
      <c r="O91" s="55">
        <v>0</v>
      </c>
    </row>
    <row r="92" spans="1:15" ht="15.6" outlineLevel="1" x14ac:dyDescent="0.55000000000000004">
      <c r="A92" s="18">
        <v>9</v>
      </c>
      <c r="B92" s="52" t="str">
        <f>$Q$11</f>
        <v>Alexia</v>
      </c>
      <c r="C92" s="53">
        <v>0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1</v>
      </c>
      <c r="K92" s="54">
        <v>0</v>
      </c>
      <c r="L92" s="54">
        <v>0</v>
      </c>
      <c r="M92" s="54">
        <v>0</v>
      </c>
      <c r="N92" s="54">
        <v>0</v>
      </c>
      <c r="O92" s="55">
        <v>0</v>
      </c>
    </row>
    <row r="93" spans="1:15" ht="15.6" outlineLevel="1" x14ac:dyDescent="0.55000000000000004">
      <c r="A93" s="18">
        <v>10</v>
      </c>
      <c r="B93" s="52" t="str">
        <f>$Q$12</f>
        <v>Joao</v>
      </c>
      <c r="C93" s="53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0</v>
      </c>
      <c r="O93" s="55">
        <v>0</v>
      </c>
    </row>
    <row r="94" spans="1:15" ht="15.6" outlineLevel="1" x14ac:dyDescent="0.55000000000000004">
      <c r="A94" s="18">
        <v>11</v>
      </c>
      <c r="B94" s="57" t="str">
        <f>$Q$13</f>
        <v>Maxime</v>
      </c>
      <c r="C94" s="53">
        <v>0</v>
      </c>
      <c r="D94" s="54">
        <v>0</v>
      </c>
      <c r="E94" s="54">
        <v>0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1</v>
      </c>
      <c r="N94" s="54">
        <v>0</v>
      </c>
      <c r="O94" s="55">
        <v>0</v>
      </c>
    </row>
    <row r="95" spans="1:15" ht="15.6" outlineLevel="1" x14ac:dyDescent="0.55000000000000004">
      <c r="A95" s="18">
        <v>1</v>
      </c>
      <c r="B95" s="46" t="str">
        <f>$Q$14</f>
        <v>Alex</v>
      </c>
      <c r="C95" s="59">
        <v>0</v>
      </c>
      <c r="D95" s="60">
        <v>0</v>
      </c>
      <c r="E95" s="60">
        <v>1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1">
        <v>0</v>
      </c>
    </row>
    <row r="96" spans="1:15" ht="15.6" outlineLevel="1" x14ac:dyDescent="0.55000000000000004">
      <c r="A96" s="18">
        <v>2</v>
      </c>
      <c r="B96" s="52" t="str">
        <f>$Q$15</f>
        <v>Alyssa</v>
      </c>
      <c r="C96" s="53">
        <v>0</v>
      </c>
      <c r="D96" s="54">
        <v>0</v>
      </c>
      <c r="E96" s="54">
        <v>0</v>
      </c>
      <c r="F96" s="54">
        <v>0</v>
      </c>
      <c r="G96" s="54">
        <v>1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5">
        <v>0</v>
      </c>
    </row>
    <row r="97" spans="1:15" ht="15.6" outlineLevel="1" x14ac:dyDescent="0.55000000000000004">
      <c r="A97" s="18">
        <v>3</v>
      </c>
      <c r="B97" s="52" t="str">
        <f>$Q$16</f>
        <v>Amanda</v>
      </c>
      <c r="C97" s="53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5">
        <v>0</v>
      </c>
    </row>
    <row r="98" spans="1:15" ht="15.6" outlineLevel="1" x14ac:dyDescent="0.55000000000000004">
      <c r="A98" s="18">
        <v>4</v>
      </c>
      <c r="B98" s="52" t="str">
        <f>$Q$17</f>
        <v>Antoine</v>
      </c>
      <c r="C98" s="53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5">
        <v>0</v>
      </c>
    </row>
    <row r="99" spans="1:15" ht="15.6" outlineLevel="1" x14ac:dyDescent="0.55000000000000004">
      <c r="A99" s="18">
        <v>5</v>
      </c>
      <c r="B99" s="52" t="str">
        <f>$Q$18</f>
        <v>Beatriz</v>
      </c>
      <c r="C99" s="53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5">
        <v>0</v>
      </c>
    </row>
    <row r="100" spans="1:15" ht="15.6" outlineLevel="1" x14ac:dyDescent="0.55000000000000004">
      <c r="A100" s="18">
        <v>6</v>
      </c>
      <c r="B100" s="52" t="str">
        <f>$Q$19</f>
        <v>Charelle</v>
      </c>
      <c r="C100" s="53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5">
        <v>0</v>
      </c>
    </row>
    <row r="101" spans="1:15" ht="15.6" outlineLevel="1" x14ac:dyDescent="0.55000000000000004">
      <c r="A101" s="18">
        <v>7</v>
      </c>
      <c r="B101" s="52" t="str">
        <f>$Q$20</f>
        <v>Dimitri</v>
      </c>
      <c r="C101" s="53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5">
        <v>0</v>
      </c>
    </row>
    <row r="102" spans="1:15" ht="15.6" outlineLevel="1" x14ac:dyDescent="0.55000000000000004">
      <c r="A102" s="18">
        <v>8</v>
      </c>
      <c r="B102" s="52" t="str">
        <f>$Q$21</f>
        <v>Marina</v>
      </c>
      <c r="C102" s="53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1</v>
      </c>
      <c r="L102" s="54">
        <v>0</v>
      </c>
      <c r="M102" s="54">
        <v>0</v>
      </c>
      <c r="N102" s="54">
        <v>0</v>
      </c>
      <c r="O102" s="55">
        <v>0</v>
      </c>
    </row>
    <row r="103" spans="1:15" ht="15.6" outlineLevel="1" x14ac:dyDescent="0.55000000000000004">
      <c r="A103" s="18">
        <v>9</v>
      </c>
      <c r="B103" s="52" t="str">
        <f>$Q$22</f>
        <v>Michel</v>
      </c>
      <c r="C103" s="53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1</v>
      </c>
      <c r="M103" s="54">
        <v>0</v>
      </c>
      <c r="N103" s="54">
        <v>0</v>
      </c>
      <c r="O103" s="55">
        <v>0</v>
      </c>
    </row>
    <row r="104" spans="1:15" ht="15.6" outlineLevel="1" x14ac:dyDescent="0.55000000000000004">
      <c r="A104" s="18">
        <v>10</v>
      </c>
      <c r="B104" s="52" t="str">
        <f>$Q$23</f>
        <v>Nour</v>
      </c>
      <c r="C104" s="53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5">
        <v>0</v>
      </c>
    </row>
    <row r="105" spans="1:15" ht="15.6" outlineLevel="1" x14ac:dyDescent="0.55000000000000004">
      <c r="A105" s="18">
        <v>11</v>
      </c>
      <c r="B105" s="52" t="str">
        <f>$Q$24</f>
        <v>Samuel</v>
      </c>
      <c r="C105" s="53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5">
        <v>0</v>
      </c>
    </row>
    <row r="106" spans="1:15" ht="15.6" outlineLevel="1" x14ac:dyDescent="0.55000000000000004">
      <c r="A106" s="18">
        <v>12</v>
      </c>
      <c r="B106" s="52" t="str">
        <f>$Q$25</f>
        <v>Yassin</v>
      </c>
      <c r="C106" s="53">
        <v>0</v>
      </c>
      <c r="D106" s="54">
        <v>0</v>
      </c>
      <c r="E106" s="54">
        <v>0</v>
      </c>
      <c r="F106" s="54">
        <v>1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5">
        <v>0</v>
      </c>
    </row>
    <row r="107" spans="1:15" ht="15.9" outlineLevel="1" thickBot="1" x14ac:dyDescent="0.6">
      <c r="A107" s="62">
        <v>13</v>
      </c>
      <c r="B107" s="52" t="str">
        <f>$Q$26</f>
        <v>Kamar</v>
      </c>
      <c r="C107" s="63">
        <v>0</v>
      </c>
      <c r="D107" s="64">
        <v>1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5">
        <v>0</v>
      </c>
    </row>
    <row r="108" spans="1:15" outlineLevel="1" collapsed="1" x14ac:dyDescent="0.55000000000000004"/>
    <row r="109" spans="1:15" outlineLevel="1" x14ac:dyDescent="0.55000000000000004"/>
    <row r="110" spans="1:15" ht="14.7" customHeight="1" outlineLevel="1" thickBot="1" x14ac:dyDescent="0.6">
      <c r="B110" s="75" t="str">
        <f>$Q$40</f>
        <v>Rez</v>
      </c>
      <c r="C110" s="40" t="str">
        <f>$R$2</f>
        <v>16h</v>
      </c>
      <c r="D110" s="41" t="str">
        <f>$S$2</f>
        <v>17h</v>
      </c>
      <c r="E110" s="41" t="str">
        <f>$T$2</f>
        <v>18h</v>
      </c>
      <c r="F110" s="41" t="str">
        <f>$U$2</f>
        <v>19h</v>
      </c>
      <c r="G110" s="41" t="str">
        <f>$V$2</f>
        <v>20h</v>
      </c>
      <c r="H110" s="41" t="str">
        <f>$W$2</f>
        <v>21h</v>
      </c>
      <c r="I110" s="41" t="str">
        <f>$X$2</f>
        <v>22h</v>
      </c>
      <c r="J110" s="41" t="str">
        <f>$Y$2</f>
        <v>23h</v>
      </c>
      <c r="K110" s="41" t="str">
        <f>$Z$2</f>
        <v>00h</v>
      </c>
      <c r="L110" s="41" t="str">
        <f>$AA$2</f>
        <v>01h</v>
      </c>
      <c r="M110" s="41" t="str">
        <f>$AB$2</f>
        <v>02h</v>
      </c>
      <c r="N110" s="41" t="str">
        <f>$AC$2</f>
        <v>03h</v>
      </c>
      <c r="O110" s="38" t="str">
        <f>$AD$2</f>
        <v>04h</v>
      </c>
    </row>
    <row r="111" spans="1:15" ht="14.7" customHeight="1" outlineLevel="1" x14ac:dyDescent="0.55000000000000004">
      <c r="A111" s="17">
        <v>1</v>
      </c>
      <c r="B111" s="46" t="str">
        <f>$Q$3</f>
        <v>Jennifer</v>
      </c>
      <c r="C111" s="47">
        <v>0</v>
      </c>
      <c r="D111" s="48">
        <v>0</v>
      </c>
      <c r="E111" s="48">
        <v>0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0</v>
      </c>
      <c r="M111" s="48">
        <v>0</v>
      </c>
      <c r="N111" s="48">
        <v>0</v>
      </c>
      <c r="O111" s="49">
        <v>0</v>
      </c>
    </row>
    <row r="112" spans="1:15" ht="14.7" customHeight="1" outlineLevel="1" x14ac:dyDescent="0.55000000000000004">
      <c r="A112" s="18">
        <v>2</v>
      </c>
      <c r="B112" s="52" t="str">
        <f>$Q$4</f>
        <v>Galileo</v>
      </c>
      <c r="C112" s="53">
        <v>0</v>
      </c>
      <c r="D112" s="54">
        <v>0</v>
      </c>
      <c r="E112" s="54">
        <v>0</v>
      </c>
      <c r="F112" s="54">
        <v>0</v>
      </c>
      <c r="G112" s="54">
        <v>1</v>
      </c>
      <c r="H112" s="54">
        <v>0</v>
      </c>
      <c r="I112" s="54">
        <v>0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55">
        <v>0</v>
      </c>
    </row>
    <row r="113" spans="1:15" ht="14.7" customHeight="1" outlineLevel="1" x14ac:dyDescent="0.55000000000000004">
      <c r="A113" s="18">
        <v>3</v>
      </c>
      <c r="B113" s="52" t="str">
        <f>$Q$5</f>
        <v>Óscar</v>
      </c>
      <c r="C113" s="53">
        <v>0</v>
      </c>
      <c r="D113" s="54">
        <v>0</v>
      </c>
      <c r="E113" s="54">
        <v>0</v>
      </c>
      <c r="F113" s="54">
        <v>0</v>
      </c>
      <c r="G113" s="54">
        <v>0</v>
      </c>
      <c r="H113" s="54">
        <v>0</v>
      </c>
      <c r="I113" s="54">
        <v>0</v>
      </c>
      <c r="J113" s="54">
        <v>0</v>
      </c>
      <c r="K113" s="54">
        <v>0</v>
      </c>
      <c r="L113" s="54">
        <v>0</v>
      </c>
      <c r="M113" s="54">
        <v>0</v>
      </c>
      <c r="N113" s="54">
        <v>0</v>
      </c>
      <c r="O113" s="55">
        <v>0</v>
      </c>
    </row>
    <row r="114" spans="1:15" ht="14.7" customHeight="1" outlineLevel="1" x14ac:dyDescent="0.55000000000000004">
      <c r="A114" s="18">
        <v>4</v>
      </c>
      <c r="B114" s="52" t="str">
        <f>$Q$6</f>
        <v>Sebastián</v>
      </c>
      <c r="C114" s="53">
        <v>0</v>
      </c>
      <c r="D114" s="54">
        <v>0</v>
      </c>
      <c r="E114" s="54">
        <v>0</v>
      </c>
      <c r="F114" s="54">
        <v>0</v>
      </c>
      <c r="G114" s="54">
        <v>0</v>
      </c>
      <c r="H114" s="54">
        <v>1</v>
      </c>
      <c r="I114" s="54">
        <v>0</v>
      </c>
      <c r="J114" s="54">
        <v>0</v>
      </c>
      <c r="K114" s="54">
        <v>0</v>
      </c>
      <c r="L114" s="54">
        <v>0</v>
      </c>
      <c r="M114" s="54">
        <v>1</v>
      </c>
      <c r="N114" s="54">
        <v>0</v>
      </c>
      <c r="O114" s="55">
        <v>0</v>
      </c>
    </row>
    <row r="115" spans="1:15" ht="14.7" customHeight="1" outlineLevel="1" x14ac:dyDescent="0.55000000000000004">
      <c r="A115" s="18">
        <v>5</v>
      </c>
      <c r="B115" s="52" t="str">
        <f>$Q$7</f>
        <v>Marcos</v>
      </c>
      <c r="C115" s="53">
        <v>0</v>
      </c>
      <c r="D115" s="54">
        <v>0</v>
      </c>
      <c r="E115" s="54">
        <v>0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0</v>
      </c>
      <c r="N115" s="54">
        <v>0</v>
      </c>
      <c r="O115" s="55">
        <v>0</v>
      </c>
    </row>
    <row r="116" spans="1:15" ht="14.7" customHeight="1" outlineLevel="1" x14ac:dyDescent="0.55000000000000004">
      <c r="A116" s="18">
        <v>6</v>
      </c>
      <c r="B116" s="52" t="str">
        <f>$Q$8</f>
        <v>Weixin</v>
      </c>
      <c r="C116" s="53">
        <v>0</v>
      </c>
      <c r="D116" s="54">
        <v>0</v>
      </c>
      <c r="E116" s="54">
        <v>0</v>
      </c>
      <c r="F116" s="54">
        <v>0</v>
      </c>
      <c r="G116" s="54">
        <v>0</v>
      </c>
      <c r="H116" s="54">
        <v>0</v>
      </c>
      <c r="I116" s="54">
        <v>0</v>
      </c>
      <c r="J116" s="54">
        <v>0</v>
      </c>
      <c r="K116" s="54">
        <v>0</v>
      </c>
      <c r="L116" s="54">
        <v>0</v>
      </c>
      <c r="M116" s="54">
        <v>0</v>
      </c>
      <c r="N116" s="54">
        <v>0</v>
      </c>
      <c r="O116" s="55">
        <v>0</v>
      </c>
    </row>
    <row r="117" spans="1:15" ht="14.7" customHeight="1" outlineLevel="1" x14ac:dyDescent="0.55000000000000004">
      <c r="A117" s="18">
        <v>7</v>
      </c>
      <c r="B117" s="52" t="str">
        <f>$Q$9</f>
        <v>Benjamin</v>
      </c>
      <c r="C117" s="53">
        <v>0</v>
      </c>
      <c r="D117" s="54">
        <v>0</v>
      </c>
      <c r="E117" s="54">
        <v>0</v>
      </c>
      <c r="F117" s="54">
        <v>0</v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5">
        <v>0</v>
      </c>
    </row>
    <row r="118" spans="1:15" ht="14.7" customHeight="1" outlineLevel="1" x14ac:dyDescent="0.55000000000000004">
      <c r="A118" s="18">
        <v>8</v>
      </c>
      <c r="B118" s="52" t="str">
        <f>$Q$10</f>
        <v>Joelle</v>
      </c>
      <c r="C118" s="53">
        <v>0</v>
      </c>
      <c r="D118" s="54">
        <v>0</v>
      </c>
      <c r="E118" s="54">
        <v>0</v>
      </c>
      <c r="F118" s="54">
        <v>0</v>
      </c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4">
        <v>1</v>
      </c>
      <c r="M118" s="54">
        <v>0</v>
      </c>
      <c r="N118" s="54">
        <v>0</v>
      </c>
      <c r="O118" s="55">
        <v>0</v>
      </c>
    </row>
    <row r="119" spans="1:15" ht="14.7" customHeight="1" outlineLevel="1" x14ac:dyDescent="0.55000000000000004">
      <c r="A119" s="18">
        <v>9</v>
      </c>
      <c r="B119" s="52" t="str">
        <f>$Q$11</f>
        <v>Alexia</v>
      </c>
      <c r="C119" s="53">
        <v>0</v>
      </c>
      <c r="D119" s="54">
        <v>0</v>
      </c>
      <c r="E119" s="54">
        <v>0</v>
      </c>
      <c r="F119" s="54">
        <v>0</v>
      </c>
      <c r="G119" s="54">
        <v>0</v>
      </c>
      <c r="H119" s="54">
        <v>0</v>
      </c>
      <c r="I119" s="54">
        <v>0</v>
      </c>
      <c r="J119" s="54">
        <v>0</v>
      </c>
      <c r="K119" s="54">
        <v>0</v>
      </c>
      <c r="L119" s="54">
        <v>0</v>
      </c>
      <c r="M119" s="54">
        <v>0</v>
      </c>
      <c r="N119" s="54">
        <v>0</v>
      </c>
      <c r="O119" s="55">
        <v>0</v>
      </c>
    </row>
    <row r="120" spans="1:15" ht="14.7" customHeight="1" outlineLevel="1" x14ac:dyDescent="0.55000000000000004">
      <c r="A120" s="18">
        <v>10</v>
      </c>
      <c r="B120" s="52" t="str">
        <f>$Q$12</f>
        <v>Joao</v>
      </c>
      <c r="C120" s="53">
        <v>0</v>
      </c>
      <c r="D120" s="54">
        <v>0</v>
      </c>
      <c r="E120" s="54">
        <v>0</v>
      </c>
      <c r="F120" s="54">
        <v>0</v>
      </c>
      <c r="G120" s="54">
        <v>0</v>
      </c>
      <c r="H120" s="54">
        <v>0</v>
      </c>
      <c r="I120" s="54">
        <v>0</v>
      </c>
      <c r="J120" s="54">
        <v>0</v>
      </c>
      <c r="K120" s="54">
        <v>1</v>
      </c>
      <c r="L120" s="54">
        <v>0</v>
      </c>
      <c r="M120" s="54">
        <v>0</v>
      </c>
      <c r="N120" s="54">
        <v>0</v>
      </c>
      <c r="O120" s="55">
        <v>0</v>
      </c>
    </row>
    <row r="121" spans="1:15" ht="14.7" customHeight="1" outlineLevel="1" x14ac:dyDescent="0.55000000000000004">
      <c r="A121" s="18">
        <v>11</v>
      </c>
      <c r="B121" s="57" t="str">
        <f>$Q$13</f>
        <v>Maxime</v>
      </c>
      <c r="C121" s="53">
        <v>0</v>
      </c>
      <c r="D121" s="54">
        <v>0</v>
      </c>
      <c r="E121" s="54">
        <v>1</v>
      </c>
      <c r="F121" s="54">
        <v>0</v>
      </c>
      <c r="G121" s="54">
        <v>0</v>
      </c>
      <c r="H121" s="54">
        <v>0</v>
      </c>
      <c r="I121" s="54">
        <v>0</v>
      </c>
      <c r="J121" s="54">
        <v>0</v>
      </c>
      <c r="K121" s="54">
        <v>0</v>
      </c>
      <c r="L121" s="54">
        <v>0</v>
      </c>
      <c r="M121" s="54">
        <v>0</v>
      </c>
      <c r="N121" s="54">
        <v>0</v>
      </c>
      <c r="O121" s="55">
        <v>0</v>
      </c>
    </row>
    <row r="122" spans="1:15" ht="14.7" customHeight="1" outlineLevel="1" x14ac:dyDescent="0.55000000000000004">
      <c r="A122" s="18">
        <v>1</v>
      </c>
      <c r="B122" s="46" t="str">
        <f>$Q$14</f>
        <v>Alex</v>
      </c>
      <c r="C122" s="59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1">
        <v>0</v>
      </c>
    </row>
    <row r="123" spans="1:15" ht="14.7" customHeight="1" outlineLevel="1" x14ac:dyDescent="0.55000000000000004">
      <c r="A123" s="18">
        <v>2</v>
      </c>
      <c r="B123" s="52" t="str">
        <f>$Q$15</f>
        <v>Alyssa</v>
      </c>
      <c r="C123" s="53">
        <v>0</v>
      </c>
      <c r="D123" s="54">
        <v>0</v>
      </c>
      <c r="E123" s="54">
        <v>0</v>
      </c>
      <c r="F123" s="54">
        <v>0</v>
      </c>
      <c r="G123" s="54">
        <v>0</v>
      </c>
      <c r="H123" s="54">
        <v>0</v>
      </c>
      <c r="I123" s="54">
        <v>0</v>
      </c>
      <c r="J123" s="54">
        <v>0</v>
      </c>
      <c r="K123" s="54">
        <v>0</v>
      </c>
      <c r="L123" s="54">
        <v>0</v>
      </c>
      <c r="M123" s="54">
        <v>0</v>
      </c>
      <c r="N123" s="54">
        <v>0</v>
      </c>
      <c r="O123" s="55">
        <v>0</v>
      </c>
    </row>
    <row r="124" spans="1:15" ht="14.7" customHeight="1" outlineLevel="1" x14ac:dyDescent="0.55000000000000004">
      <c r="A124" s="18">
        <v>3</v>
      </c>
      <c r="B124" s="52" t="str">
        <f>$Q$16</f>
        <v>Amanda</v>
      </c>
      <c r="C124" s="53">
        <v>0</v>
      </c>
      <c r="D124" s="54">
        <v>0</v>
      </c>
      <c r="E124" s="54">
        <v>0</v>
      </c>
      <c r="F124" s="54">
        <v>0</v>
      </c>
      <c r="G124" s="54">
        <v>0</v>
      </c>
      <c r="H124" s="54">
        <v>0</v>
      </c>
      <c r="I124" s="54">
        <v>0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5">
        <v>0</v>
      </c>
    </row>
    <row r="125" spans="1:15" ht="14.7" customHeight="1" outlineLevel="1" x14ac:dyDescent="0.55000000000000004">
      <c r="A125" s="18">
        <v>4</v>
      </c>
      <c r="B125" s="52" t="str">
        <f>$Q$17</f>
        <v>Antoine</v>
      </c>
      <c r="C125" s="53">
        <v>0</v>
      </c>
      <c r="D125" s="54">
        <v>0</v>
      </c>
      <c r="E125" s="54">
        <v>0</v>
      </c>
      <c r="F125" s="54">
        <v>0</v>
      </c>
      <c r="G125" s="54">
        <v>0</v>
      </c>
      <c r="H125" s="54">
        <v>0</v>
      </c>
      <c r="I125" s="54">
        <v>0</v>
      </c>
      <c r="J125" s="54">
        <v>1</v>
      </c>
      <c r="K125" s="54">
        <v>0</v>
      </c>
      <c r="L125" s="54">
        <v>0</v>
      </c>
      <c r="M125" s="54">
        <v>0</v>
      </c>
      <c r="N125" s="54">
        <v>0</v>
      </c>
      <c r="O125" s="55">
        <v>0</v>
      </c>
    </row>
    <row r="126" spans="1:15" ht="14.7" customHeight="1" outlineLevel="1" x14ac:dyDescent="0.55000000000000004">
      <c r="A126" s="18">
        <v>5</v>
      </c>
      <c r="B126" s="52" t="str">
        <f>$Q$18</f>
        <v>Beatriz</v>
      </c>
      <c r="C126" s="53">
        <v>0</v>
      </c>
      <c r="D126" s="54">
        <v>0</v>
      </c>
      <c r="E126" s="54">
        <v>0</v>
      </c>
      <c r="F126" s="54">
        <v>0</v>
      </c>
      <c r="G126" s="54">
        <v>0</v>
      </c>
      <c r="H126" s="54">
        <v>0</v>
      </c>
      <c r="I126" s="54">
        <v>0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5">
        <v>0</v>
      </c>
    </row>
    <row r="127" spans="1:15" ht="14.7" customHeight="1" outlineLevel="1" x14ac:dyDescent="0.55000000000000004">
      <c r="A127" s="18">
        <v>6</v>
      </c>
      <c r="B127" s="52" t="str">
        <f>$Q$19</f>
        <v>Charelle</v>
      </c>
      <c r="C127" s="53">
        <v>0</v>
      </c>
      <c r="D127" s="54">
        <v>0</v>
      </c>
      <c r="E127" s="54">
        <v>0</v>
      </c>
      <c r="F127" s="54">
        <v>0</v>
      </c>
      <c r="G127" s="54">
        <v>0</v>
      </c>
      <c r="H127" s="54">
        <v>0</v>
      </c>
      <c r="I127" s="54">
        <v>0</v>
      </c>
      <c r="J127" s="54">
        <v>0</v>
      </c>
      <c r="K127" s="54">
        <v>0</v>
      </c>
      <c r="L127" s="54">
        <v>0</v>
      </c>
      <c r="M127" s="54">
        <v>0</v>
      </c>
      <c r="N127" s="54">
        <v>0</v>
      </c>
      <c r="O127" s="55">
        <v>0</v>
      </c>
    </row>
    <row r="128" spans="1:15" ht="14.7" customHeight="1" outlineLevel="1" x14ac:dyDescent="0.55000000000000004">
      <c r="A128" s="18">
        <v>7</v>
      </c>
      <c r="B128" s="52" t="str">
        <f>$Q$20</f>
        <v>Dimitri</v>
      </c>
      <c r="C128" s="53">
        <v>0</v>
      </c>
      <c r="D128" s="54">
        <v>1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  <c r="J128" s="54">
        <v>0</v>
      </c>
      <c r="K128" s="54">
        <v>0</v>
      </c>
      <c r="L128" s="54">
        <v>0</v>
      </c>
      <c r="M128" s="54">
        <v>0</v>
      </c>
      <c r="N128" s="54">
        <v>0</v>
      </c>
      <c r="O128" s="55">
        <v>0</v>
      </c>
    </row>
    <row r="129" spans="1:15" ht="14.7" customHeight="1" outlineLevel="1" x14ac:dyDescent="0.55000000000000004">
      <c r="A129" s="18">
        <v>8</v>
      </c>
      <c r="B129" s="52" t="str">
        <f>$Q$21</f>
        <v>Marina</v>
      </c>
      <c r="C129" s="53">
        <v>0</v>
      </c>
      <c r="D129" s="54">
        <v>0</v>
      </c>
      <c r="E129" s="54">
        <v>0</v>
      </c>
      <c r="F129" s="54">
        <v>0</v>
      </c>
      <c r="G129" s="54">
        <v>0</v>
      </c>
      <c r="H129" s="54">
        <v>0</v>
      </c>
      <c r="I129" s="54">
        <v>0</v>
      </c>
      <c r="J129" s="54">
        <v>0</v>
      </c>
      <c r="K129" s="54">
        <v>0</v>
      </c>
      <c r="L129" s="54">
        <v>0</v>
      </c>
      <c r="M129" s="54">
        <v>0</v>
      </c>
      <c r="N129" s="54">
        <v>0</v>
      </c>
      <c r="O129" s="55">
        <v>0</v>
      </c>
    </row>
    <row r="130" spans="1:15" ht="14.7" customHeight="1" outlineLevel="1" x14ac:dyDescent="0.55000000000000004">
      <c r="A130" s="18">
        <v>9</v>
      </c>
      <c r="B130" s="52" t="str">
        <f>$Q$22</f>
        <v>Michel</v>
      </c>
      <c r="C130" s="53">
        <v>0</v>
      </c>
      <c r="D130" s="54">
        <v>0</v>
      </c>
      <c r="E130" s="54">
        <v>0</v>
      </c>
      <c r="F130" s="54">
        <v>0</v>
      </c>
      <c r="G130" s="54">
        <v>0</v>
      </c>
      <c r="H130" s="54">
        <v>0</v>
      </c>
      <c r="I130" s="54">
        <v>0</v>
      </c>
      <c r="J130" s="54">
        <v>0</v>
      </c>
      <c r="K130" s="54">
        <v>0</v>
      </c>
      <c r="L130" s="54">
        <v>0</v>
      </c>
      <c r="M130" s="54">
        <v>0</v>
      </c>
      <c r="N130" s="54">
        <v>0</v>
      </c>
      <c r="O130" s="55">
        <v>0</v>
      </c>
    </row>
    <row r="131" spans="1:15" ht="14.7" customHeight="1" outlineLevel="1" x14ac:dyDescent="0.55000000000000004">
      <c r="A131" s="18">
        <v>10</v>
      </c>
      <c r="B131" s="52" t="str">
        <f>$Q$23</f>
        <v>Nour</v>
      </c>
      <c r="C131" s="53">
        <v>0</v>
      </c>
      <c r="D131" s="54">
        <v>0</v>
      </c>
      <c r="E131" s="54">
        <v>0</v>
      </c>
      <c r="F131" s="54">
        <v>0</v>
      </c>
      <c r="G131" s="54">
        <v>0</v>
      </c>
      <c r="H131" s="54">
        <v>0</v>
      </c>
      <c r="I131" s="54">
        <v>0</v>
      </c>
      <c r="J131" s="54">
        <v>0</v>
      </c>
      <c r="K131" s="54">
        <v>0</v>
      </c>
      <c r="L131" s="54">
        <v>0</v>
      </c>
      <c r="M131" s="54">
        <v>0</v>
      </c>
      <c r="N131" s="54">
        <v>0</v>
      </c>
      <c r="O131" s="55">
        <v>0</v>
      </c>
    </row>
    <row r="132" spans="1:15" ht="14.7" customHeight="1" outlineLevel="1" x14ac:dyDescent="0.55000000000000004">
      <c r="A132" s="18">
        <v>11</v>
      </c>
      <c r="B132" s="52" t="str">
        <f>$Q$24</f>
        <v>Samuel</v>
      </c>
      <c r="C132" s="53">
        <v>0</v>
      </c>
      <c r="D132" s="54">
        <v>0</v>
      </c>
      <c r="E132" s="54">
        <v>0</v>
      </c>
      <c r="F132" s="54">
        <v>1</v>
      </c>
      <c r="G132" s="54">
        <v>0</v>
      </c>
      <c r="H132" s="54">
        <v>0</v>
      </c>
      <c r="I132" s="54">
        <v>1</v>
      </c>
      <c r="J132" s="54">
        <v>0</v>
      </c>
      <c r="K132" s="54">
        <v>0</v>
      </c>
      <c r="L132" s="54">
        <v>0</v>
      </c>
      <c r="M132" s="54">
        <v>0</v>
      </c>
      <c r="N132" s="54">
        <v>0</v>
      </c>
      <c r="O132" s="55">
        <v>0</v>
      </c>
    </row>
    <row r="133" spans="1:15" ht="14.7" customHeight="1" outlineLevel="1" x14ac:dyDescent="0.55000000000000004">
      <c r="A133" s="18">
        <v>12</v>
      </c>
      <c r="B133" s="52" t="str">
        <f>$Q$25</f>
        <v>Yassin</v>
      </c>
      <c r="C133" s="53">
        <v>0</v>
      </c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  <c r="L133" s="54">
        <v>0</v>
      </c>
      <c r="M133" s="54">
        <v>0</v>
      </c>
      <c r="N133" s="54">
        <v>0</v>
      </c>
      <c r="O133" s="55">
        <v>0</v>
      </c>
    </row>
    <row r="134" spans="1:15" ht="14.7" customHeight="1" outlineLevel="1" thickBot="1" x14ac:dyDescent="0.6">
      <c r="A134" s="62">
        <v>13</v>
      </c>
      <c r="B134" s="52" t="str">
        <f>$Q$26</f>
        <v>Kamar</v>
      </c>
      <c r="C134" s="63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5">
        <v>0</v>
      </c>
    </row>
    <row r="135" spans="1:15" ht="14.7" customHeight="1" outlineLevel="1" collapsed="1" x14ac:dyDescent="0.55000000000000004"/>
    <row r="136" spans="1:15" ht="14.7" customHeight="1" outlineLevel="1" x14ac:dyDescent="0.55000000000000004"/>
    <row r="137" spans="1:15" ht="14.7" customHeight="1" outlineLevel="1" thickBot="1" x14ac:dyDescent="0.6">
      <c r="B137" s="75" t="str">
        <f>$Q$41</f>
        <v>Homing</v>
      </c>
      <c r="C137" s="40" t="str">
        <f>$R$2</f>
        <v>16h</v>
      </c>
      <c r="D137" s="41" t="str">
        <f>$S$2</f>
        <v>17h</v>
      </c>
      <c r="E137" s="41" t="str">
        <f>$T$2</f>
        <v>18h</v>
      </c>
      <c r="F137" s="41" t="str">
        <f>$U$2</f>
        <v>19h</v>
      </c>
      <c r="G137" s="41" t="str">
        <f>$V$2</f>
        <v>20h</v>
      </c>
      <c r="H137" s="41" t="str">
        <f>$W$2</f>
        <v>21h</v>
      </c>
      <c r="I137" s="41" t="str">
        <f>$X$2</f>
        <v>22h</v>
      </c>
      <c r="J137" s="41" t="str">
        <f>$Y$2</f>
        <v>23h</v>
      </c>
      <c r="K137" s="41" t="str">
        <f>$Z$2</f>
        <v>00h</v>
      </c>
      <c r="L137" s="41" t="str">
        <f>$AA$2</f>
        <v>01h</v>
      </c>
      <c r="M137" s="41" t="str">
        <f>$AB$2</f>
        <v>02h</v>
      </c>
      <c r="N137" s="41" t="str">
        <f>$AC$2</f>
        <v>03h</v>
      </c>
      <c r="O137" s="38" t="str">
        <f>$AD$2</f>
        <v>04h</v>
      </c>
    </row>
    <row r="138" spans="1:15" ht="14.7" customHeight="1" outlineLevel="1" x14ac:dyDescent="0.55000000000000004">
      <c r="A138" s="17">
        <v>1</v>
      </c>
      <c r="B138" s="46" t="str">
        <f>$Q$3</f>
        <v>Jennifer</v>
      </c>
      <c r="C138" s="47">
        <v>0</v>
      </c>
      <c r="D138" s="48">
        <v>0</v>
      </c>
      <c r="E138" s="48">
        <v>0</v>
      </c>
      <c r="F138" s="48">
        <v>0</v>
      </c>
      <c r="G138" s="48">
        <v>1</v>
      </c>
      <c r="H138" s="48">
        <v>0</v>
      </c>
      <c r="I138" s="48">
        <v>0</v>
      </c>
      <c r="J138" s="48">
        <v>0</v>
      </c>
      <c r="K138" s="48">
        <v>1</v>
      </c>
      <c r="L138" s="48">
        <v>0</v>
      </c>
      <c r="M138" s="48">
        <v>0</v>
      </c>
      <c r="N138" s="48">
        <v>0</v>
      </c>
      <c r="O138" s="49">
        <v>0</v>
      </c>
    </row>
    <row r="139" spans="1:15" ht="14.7" customHeight="1" outlineLevel="1" x14ac:dyDescent="0.55000000000000004">
      <c r="A139" s="18">
        <v>2</v>
      </c>
      <c r="B139" s="52" t="str">
        <f>$Q$4</f>
        <v>Galileo</v>
      </c>
      <c r="C139" s="53">
        <v>0</v>
      </c>
      <c r="D139" s="54">
        <v>0</v>
      </c>
      <c r="E139" s="54">
        <v>0</v>
      </c>
      <c r="F139" s="54">
        <v>0</v>
      </c>
      <c r="G139" s="54">
        <v>0</v>
      </c>
      <c r="H139" s="54">
        <v>0</v>
      </c>
      <c r="I139" s="54">
        <v>0</v>
      </c>
      <c r="J139" s="54">
        <v>1</v>
      </c>
      <c r="K139" s="54">
        <v>0</v>
      </c>
      <c r="L139" s="54">
        <v>0</v>
      </c>
      <c r="M139" s="54">
        <v>0</v>
      </c>
      <c r="N139" s="54">
        <v>0</v>
      </c>
      <c r="O139" s="55">
        <v>0</v>
      </c>
    </row>
    <row r="140" spans="1:15" ht="14.7" customHeight="1" outlineLevel="1" x14ac:dyDescent="0.55000000000000004">
      <c r="A140" s="18">
        <v>3</v>
      </c>
      <c r="B140" s="52" t="str">
        <f>$Q$5</f>
        <v>Óscar</v>
      </c>
      <c r="C140" s="53">
        <v>0</v>
      </c>
      <c r="D140" s="54">
        <v>0</v>
      </c>
      <c r="E140" s="54">
        <v>0</v>
      </c>
      <c r="F140" s="54">
        <v>0</v>
      </c>
      <c r="G140" s="54">
        <v>0</v>
      </c>
      <c r="H140" s="54">
        <v>1</v>
      </c>
      <c r="I140" s="54">
        <v>0</v>
      </c>
      <c r="J140" s="54">
        <v>1</v>
      </c>
      <c r="K140" s="54">
        <v>0</v>
      </c>
      <c r="L140" s="54">
        <v>0</v>
      </c>
      <c r="M140" s="54">
        <v>0</v>
      </c>
      <c r="N140" s="54">
        <v>0</v>
      </c>
      <c r="O140" s="55">
        <v>0</v>
      </c>
    </row>
    <row r="141" spans="1:15" ht="14.7" customHeight="1" outlineLevel="1" x14ac:dyDescent="0.55000000000000004">
      <c r="A141" s="18">
        <v>4</v>
      </c>
      <c r="B141" s="52" t="str">
        <f>$Q$6</f>
        <v>Sebastián</v>
      </c>
      <c r="C141" s="53">
        <v>0</v>
      </c>
      <c r="D141" s="54">
        <v>0</v>
      </c>
      <c r="E141" s="54">
        <v>0</v>
      </c>
      <c r="F141" s="54">
        <v>0</v>
      </c>
      <c r="G141" s="54">
        <v>0</v>
      </c>
      <c r="H141" s="54">
        <v>0</v>
      </c>
      <c r="I141" s="54">
        <v>1</v>
      </c>
      <c r="J141" s="54">
        <v>1</v>
      </c>
      <c r="K141" s="54">
        <v>0</v>
      </c>
      <c r="L141" s="54">
        <v>0</v>
      </c>
      <c r="M141" s="54">
        <v>0</v>
      </c>
      <c r="N141" s="54">
        <v>0</v>
      </c>
      <c r="O141" s="55">
        <v>0</v>
      </c>
    </row>
    <row r="142" spans="1:15" ht="14.7" customHeight="1" outlineLevel="1" x14ac:dyDescent="0.55000000000000004">
      <c r="A142" s="18">
        <v>5</v>
      </c>
      <c r="B142" s="52" t="str">
        <f>$Q$7</f>
        <v>Marcos</v>
      </c>
      <c r="C142" s="53">
        <v>0</v>
      </c>
      <c r="D142" s="54">
        <v>0</v>
      </c>
      <c r="E142" s="54">
        <v>1</v>
      </c>
      <c r="F142" s="54">
        <v>0</v>
      </c>
      <c r="G142" s="54">
        <v>0</v>
      </c>
      <c r="H142" s="54">
        <v>0</v>
      </c>
      <c r="I142" s="54">
        <v>0</v>
      </c>
      <c r="J142" s="54">
        <v>0</v>
      </c>
      <c r="K142" s="54">
        <v>0</v>
      </c>
      <c r="L142" s="54">
        <v>0</v>
      </c>
      <c r="M142" s="54">
        <v>0</v>
      </c>
      <c r="N142" s="54">
        <v>0</v>
      </c>
      <c r="O142" s="55">
        <v>0</v>
      </c>
    </row>
    <row r="143" spans="1:15" ht="14.7" customHeight="1" outlineLevel="1" x14ac:dyDescent="0.55000000000000004">
      <c r="A143" s="18">
        <v>6</v>
      </c>
      <c r="B143" s="52" t="str">
        <f>$Q$8</f>
        <v>Weixin</v>
      </c>
      <c r="C143" s="53">
        <v>0</v>
      </c>
      <c r="D143" s="54">
        <v>1</v>
      </c>
      <c r="E143" s="54">
        <v>0</v>
      </c>
      <c r="F143" s="54">
        <v>0</v>
      </c>
      <c r="G143" s="54">
        <v>0</v>
      </c>
      <c r="H143" s="54">
        <v>0</v>
      </c>
      <c r="I143" s="54">
        <v>0</v>
      </c>
      <c r="J143" s="54">
        <v>0</v>
      </c>
      <c r="K143" s="54">
        <v>0</v>
      </c>
      <c r="L143" s="54">
        <v>0</v>
      </c>
      <c r="M143" s="54">
        <v>0</v>
      </c>
      <c r="N143" s="54">
        <v>0</v>
      </c>
      <c r="O143" s="55">
        <v>0</v>
      </c>
    </row>
    <row r="144" spans="1:15" ht="14.7" customHeight="1" outlineLevel="1" x14ac:dyDescent="0.55000000000000004">
      <c r="A144" s="18">
        <v>7</v>
      </c>
      <c r="B144" s="52" t="str">
        <f>$Q$9</f>
        <v>Benjamin</v>
      </c>
      <c r="C144" s="53">
        <v>0</v>
      </c>
      <c r="D144" s="54">
        <v>0</v>
      </c>
      <c r="E144" s="54">
        <v>0</v>
      </c>
      <c r="F144" s="54">
        <v>0</v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4">
        <v>0</v>
      </c>
      <c r="M144" s="54">
        <v>0</v>
      </c>
      <c r="N144" s="54">
        <v>0</v>
      </c>
      <c r="O144" s="55">
        <v>0</v>
      </c>
    </row>
    <row r="145" spans="1:15" ht="14.7" customHeight="1" outlineLevel="1" x14ac:dyDescent="0.55000000000000004">
      <c r="A145" s="18">
        <v>8</v>
      </c>
      <c r="B145" s="52" t="str">
        <f>$Q$10</f>
        <v>Joelle</v>
      </c>
      <c r="C145" s="53">
        <v>0</v>
      </c>
      <c r="D145" s="54">
        <v>0</v>
      </c>
      <c r="E145" s="54">
        <v>0</v>
      </c>
      <c r="F145" s="54">
        <v>1</v>
      </c>
      <c r="G145" s="54">
        <v>1</v>
      </c>
      <c r="H145" s="54">
        <v>1</v>
      </c>
      <c r="I145" s="54">
        <v>0</v>
      </c>
      <c r="J145" s="54">
        <v>0</v>
      </c>
      <c r="K145" s="54">
        <v>0</v>
      </c>
      <c r="L145" s="54">
        <v>0</v>
      </c>
      <c r="M145" s="54">
        <v>0</v>
      </c>
      <c r="N145" s="54">
        <v>0</v>
      </c>
      <c r="O145" s="55">
        <v>0</v>
      </c>
    </row>
    <row r="146" spans="1:15" ht="14.7" customHeight="1" outlineLevel="1" x14ac:dyDescent="0.55000000000000004">
      <c r="A146" s="18">
        <v>9</v>
      </c>
      <c r="B146" s="52" t="str">
        <f>$Q$11</f>
        <v>Alexia</v>
      </c>
      <c r="C146" s="53">
        <v>0</v>
      </c>
      <c r="D146" s="54">
        <v>0</v>
      </c>
      <c r="E146" s="54">
        <v>0</v>
      </c>
      <c r="F146" s="54">
        <v>0</v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4">
        <v>0</v>
      </c>
      <c r="M146" s="54">
        <v>1</v>
      </c>
      <c r="N146" s="54">
        <v>0</v>
      </c>
      <c r="O146" s="55">
        <v>0</v>
      </c>
    </row>
    <row r="147" spans="1:15" ht="14.7" customHeight="1" outlineLevel="1" x14ac:dyDescent="0.55000000000000004">
      <c r="A147" s="18">
        <v>10</v>
      </c>
      <c r="B147" s="52" t="str">
        <f>$Q$12</f>
        <v>Joao</v>
      </c>
      <c r="C147" s="53">
        <v>0</v>
      </c>
      <c r="D147" s="54">
        <v>0</v>
      </c>
      <c r="E147" s="54">
        <v>0</v>
      </c>
      <c r="F147" s="54">
        <v>0</v>
      </c>
      <c r="G147" s="54">
        <v>1</v>
      </c>
      <c r="H147" s="54">
        <v>0</v>
      </c>
      <c r="I147" s="54">
        <v>0</v>
      </c>
      <c r="J147" s="54">
        <v>0</v>
      </c>
      <c r="K147" s="54">
        <v>0</v>
      </c>
      <c r="L147" s="54">
        <v>0</v>
      </c>
      <c r="M147" s="54">
        <v>0</v>
      </c>
      <c r="N147" s="54">
        <v>0</v>
      </c>
      <c r="O147" s="55">
        <v>0</v>
      </c>
    </row>
    <row r="148" spans="1:15" ht="14.7" customHeight="1" outlineLevel="1" x14ac:dyDescent="0.55000000000000004">
      <c r="A148" s="18">
        <v>11</v>
      </c>
      <c r="B148" s="57" t="str">
        <f>$Q$13</f>
        <v>Maxime</v>
      </c>
      <c r="C148" s="53">
        <v>0</v>
      </c>
      <c r="D148" s="54">
        <v>1</v>
      </c>
      <c r="E148" s="54">
        <v>0</v>
      </c>
      <c r="F148" s="54">
        <v>0</v>
      </c>
      <c r="G148" s="54">
        <v>0</v>
      </c>
      <c r="H148" s="54">
        <v>0</v>
      </c>
      <c r="I148" s="54">
        <v>0</v>
      </c>
      <c r="J148" s="54">
        <v>0</v>
      </c>
      <c r="K148" s="54">
        <v>0</v>
      </c>
      <c r="L148" s="54">
        <v>0</v>
      </c>
      <c r="M148" s="54">
        <v>0</v>
      </c>
      <c r="N148" s="54">
        <v>0</v>
      </c>
      <c r="O148" s="55">
        <v>0</v>
      </c>
    </row>
    <row r="149" spans="1:15" ht="14.7" customHeight="1" outlineLevel="1" x14ac:dyDescent="0.55000000000000004">
      <c r="A149" s="18">
        <v>1</v>
      </c>
      <c r="B149" s="46" t="str">
        <f>$Q$14</f>
        <v>Alex</v>
      </c>
      <c r="C149" s="59">
        <v>0</v>
      </c>
      <c r="D149" s="60">
        <v>0</v>
      </c>
      <c r="E149" s="60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1</v>
      </c>
      <c r="M149" s="60">
        <v>1</v>
      </c>
      <c r="N149" s="60">
        <v>0</v>
      </c>
      <c r="O149" s="61">
        <v>0</v>
      </c>
    </row>
    <row r="150" spans="1:15" ht="14.7" customHeight="1" outlineLevel="1" x14ac:dyDescent="0.55000000000000004">
      <c r="A150" s="18">
        <v>2</v>
      </c>
      <c r="B150" s="52" t="str">
        <f>$Q$15</f>
        <v>Alyssa</v>
      </c>
      <c r="C150" s="53">
        <v>0</v>
      </c>
      <c r="D150" s="54">
        <v>0</v>
      </c>
      <c r="E150" s="54">
        <v>0</v>
      </c>
      <c r="F150" s="54">
        <v>0</v>
      </c>
      <c r="G150" s="54">
        <v>0</v>
      </c>
      <c r="H150" s="54">
        <v>0</v>
      </c>
      <c r="I150" s="54">
        <v>0</v>
      </c>
      <c r="J150" s="54">
        <v>0</v>
      </c>
      <c r="K150" s="54">
        <v>0</v>
      </c>
      <c r="L150" s="54">
        <v>0</v>
      </c>
      <c r="M150" s="54">
        <v>0</v>
      </c>
      <c r="N150" s="54">
        <v>0</v>
      </c>
      <c r="O150" s="55">
        <v>0</v>
      </c>
    </row>
    <row r="151" spans="1:15" ht="14.7" customHeight="1" outlineLevel="1" x14ac:dyDescent="0.55000000000000004">
      <c r="A151" s="18">
        <v>3</v>
      </c>
      <c r="B151" s="52" t="str">
        <f>$Q$16</f>
        <v>Amanda</v>
      </c>
      <c r="C151" s="53">
        <v>0</v>
      </c>
      <c r="D151" s="54">
        <v>1</v>
      </c>
      <c r="E151" s="54">
        <v>0</v>
      </c>
      <c r="F151" s="54">
        <v>0</v>
      </c>
      <c r="G151" s="54">
        <v>0</v>
      </c>
      <c r="H151" s="54">
        <v>0</v>
      </c>
      <c r="I151" s="54">
        <v>0</v>
      </c>
      <c r="J151" s="54">
        <v>0</v>
      </c>
      <c r="K151" s="54">
        <v>1</v>
      </c>
      <c r="L151" s="54">
        <v>1</v>
      </c>
      <c r="M151" s="54">
        <v>0</v>
      </c>
      <c r="N151" s="54">
        <v>0</v>
      </c>
      <c r="O151" s="55">
        <v>0</v>
      </c>
    </row>
    <row r="152" spans="1:15" ht="14.7" customHeight="1" outlineLevel="1" x14ac:dyDescent="0.55000000000000004">
      <c r="A152" s="18">
        <v>4</v>
      </c>
      <c r="B152" s="52" t="str">
        <f>$Q$17</f>
        <v>Antoine</v>
      </c>
      <c r="C152" s="53">
        <v>0</v>
      </c>
      <c r="D152" s="54">
        <v>0</v>
      </c>
      <c r="E152" s="54">
        <v>0</v>
      </c>
      <c r="F152" s="54">
        <v>0</v>
      </c>
      <c r="G152" s="54">
        <v>0</v>
      </c>
      <c r="H152" s="54">
        <v>0</v>
      </c>
      <c r="I152" s="54">
        <v>0</v>
      </c>
      <c r="J152" s="54">
        <v>0</v>
      </c>
      <c r="K152" s="54">
        <v>0</v>
      </c>
      <c r="L152" s="54">
        <v>0</v>
      </c>
      <c r="M152" s="54">
        <v>0</v>
      </c>
      <c r="N152" s="54">
        <v>0</v>
      </c>
      <c r="O152" s="55">
        <v>0</v>
      </c>
    </row>
    <row r="153" spans="1:15" ht="14.7" customHeight="1" outlineLevel="1" x14ac:dyDescent="0.55000000000000004">
      <c r="A153" s="18">
        <v>5</v>
      </c>
      <c r="B153" s="52" t="str">
        <f>$Q$18</f>
        <v>Beatriz</v>
      </c>
      <c r="C153" s="53">
        <v>0</v>
      </c>
      <c r="D153" s="54">
        <v>0</v>
      </c>
      <c r="E153" s="54">
        <v>0</v>
      </c>
      <c r="F153" s="54">
        <v>1</v>
      </c>
      <c r="G153" s="54">
        <v>0</v>
      </c>
      <c r="H153" s="54">
        <v>0</v>
      </c>
      <c r="I153" s="54">
        <v>1</v>
      </c>
      <c r="J153" s="54">
        <v>0</v>
      </c>
      <c r="K153" s="54">
        <v>0</v>
      </c>
      <c r="L153" s="54">
        <v>1</v>
      </c>
      <c r="M153" s="54">
        <v>0</v>
      </c>
      <c r="N153" s="54">
        <v>0</v>
      </c>
      <c r="O153" s="55">
        <v>0</v>
      </c>
    </row>
    <row r="154" spans="1:15" ht="14.7" customHeight="1" outlineLevel="1" x14ac:dyDescent="0.55000000000000004">
      <c r="A154" s="18">
        <v>6</v>
      </c>
      <c r="B154" s="52" t="str">
        <f>$Q$19</f>
        <v>Charelle</v>
      </c>
      <c r="C154" s="53">
        <v>0</v>
      </c>
      <c r="D154" s="54">
        <v>0</v>
      </c>
      <c r="E154" s="54">
        <v>0</v>
      </c>
      <c r="F154" s="54">
        <v>0</v>
      </c>
      <c r="G154" s="54">
        <v>0</v>
      </c>
      <c r="H154" s="54">
        <v>0</v>
      </c>
      <c r="I154" s="54">
        <v>0</v>
      </c>
      <c r="J154" s="54">
        <v>0</v>
      </c>
      <c r="K154" s="54">
        <v>1</v>
      </c>
      <c r="L154" s="54">
        <v>0</v>
      </c>
      <c r="M154" s="54">
        <v>0</v>
      </c>
      <c r="N154" s="54">
        <v>0</v>
      </c>
      <c r="O154" s="55">
        <v>0</v>
      </c>
    </row>
    <row r="155" spans="1:15" ht="14.7" customHeight="1" outlineLevel="1" x14ac:dyDescent="0.55000000000000004">
      <c r="A155" s="18">
        <v>7</v>
      </c>
      <c r="B155" s="52" t="str">
        <f>$Q$20</f>
        <v>Dimitri</v>
      </c>
      <c r="C155" s="53">
        <v>0</v>
      </c>
      <c r="D155" s="54">
        <v>0</v>
      </c>
      <c r="E155" s="54">
        <v>0</v>
      </c>
      <c r="F155" s="54">
        <v>0</v>
      </c>
      <c r="G155" s="54">
        <v>0</v>
      </c>
      <c r="H155" s="54">
        <v>1</v>
      </c>
      <c r="I155" s="54">
        <v>0</v>
      </c>
      <c r="J155" s="54">
        <v>0</v>
      </c>
      <c r="K155" s="54">
        <v>0</v>
      </c>
      <c r="L155" s="54">
        <v>0</v>
      </c>
      <c r="M155" s="54">
        <v>0</v>
      </c>
      <c r="N155" s="54">
        <v>0</v>
      </c>
      <c r="O155" s="55">
        <v>0</v>
      </c>
    </row>
    <row r="156" spans="1:15" ht="14.7" customHeight="1" outlineLevel="1" x14ac:dyDescent="0.55000000000000004">
      <c r="A156" s="18">
        <v>8</v>
      </c>
      <c r="B156" s="52" t="str">
        <f>$Q$21</f>
        <v>Marina</v>
      </c>
      <c r="C156" s="53">
        <v>0</v>
      </c>
      <c r="D156" s="54">
        <v>0</v>
      </c>
      <c r="E156" s="54">
        <v>0</v>
      </c>
      <c r="F156" s="54">
        <v>0</v>
      </c>
      <c r="G156" s="54">
        <v>0</v>
      </c>
      <c r="H156" s="54">
        <v>0</v>
      </c>
      <c r="I156" s="54">
        <v>1</v>
      </c>
      <c r="J156" s="54">
        <v>0</v>
      </c>
      <c r="K156" s="54">
        <v>0</v>
      </c>
      <c r="L156" s="54">
        <v>0</v>
      </c>
      <c r="M156" s="54">
        <v>1</v>
      </c>
      <c r="N156" s="54">
        <v>0</v>
      </c>
      <c r="O156" s="55">
        <v>0</v>
      </c>
    </row>
    <row r="157" spans="1:15" ht="14.7" customHeight="1" outlineLevel="1" x14ac:dyDescent="0.55000000000000004">
      <c r="A157" s="18">
        <v>9</v>
      </c>
      <c r="B157" s="52" t="str">
        <f>$Q$22</f>
        <v>Michel</v>
      </c>
      <c r="C157" s="53">
        <v>0</v>
      </c>
      <c r="D157" s="54">
        <v>0</v>
      </c>
      <c r="E157" s="54">
        <v>1</v>
      </c>
      <c r="F157" s="54">
        <v>1</v>
      </c>
      <c r="G157" s="54">
        <v>0</v>
      </c>
      <c r="H157" s="54">
        <v>0</v>
      </c>
      <c r="I157" s="54">
        <v>0</v>
      </c>
      <c r="J157" s="54">
        <v>0</v>
      </c>
      <c r="K157" s="54">
        <v>0</v>
      </c>
      <c r="L157" s="54">
        <v>0</v>
      </c>
      <c r="M157" s="54">
        <v>0</v>
      </c>
      <c r="N157" s="54">
        <v>0</v>
      </c>
      <c r="O157" s="55">
        <v>0</v>
      </c>
    </row>
    <row r="158" spans="1:15" ht="14.7" customHeight="1" outlineLevel="1" x14ac:dyDescent="0.55000000000000004">
      <c r="A158" s="18">
        <v>10</v>
      </c>
      <c r="B158" s="52" t="str">
        <f>$Q$23</f>
        <v>Nour</v>
      </c>
      <c r="C158" s="53">
        <v>0</v>
      </c>
      <c r="D158" s="54">
        <v>0</v>
      </c>
      <c r="E158" s="54">
        <v>0</v>
      </c>
      <c r="F158" s="54">
        <v>0</v>
      </c>
      <c r="G158" s="54">
        <v>0</v>
      </c>
      <c r="H158" s="54">
        <v>0</v>
      </c>
      <c r="I158" s="54">
        <v>0</v>
      </c>
      <c r="J158" s="54">
        <v>0</v>
      </c>
      <c r="K158" s="54">
        <v>0</v>
      </c>
      <c r="L158" s="54">
        <v>0</v>
      </c>
      <c r="M158" s="54">
        <v>0</v>
      </c>
      <c r="N158" s="54">
        <v>0</v>
      </c>
      <c r="O158" s="55">
        <v>0</v>
      </c>
    </row>
    <row r="159" spans="1:15" ht="14.7" customHeight="1" outlineLevel="1" x14ac:dyDescent="0.55000000000000004">
      <c r="A159" s="18">
        <v>11</v>
      </c>
      <c r="B159" s="52" t="str">
        <f>$Q$24</f>
        <v>Samuel</v>
      </c>
      <c r="C159" s="53">
        <v>0</v>
      </c>
      <c r="D159" s="54">
        <v>0</v>
      </c>
      <c r="E159" s="54">
        <v>1</v>
      </c>
      <c r="F159" s="54">
        <v>0</v>
      </c>
      <c r="G159" s="54">
        <v>0</v>
      </c>
      <c r="H159" s="54">
        <v>0</v>
      </c>
      <c r="I159" s="54">
        <v>0</v>
      </c>
      <c r="J159" s="54">
        <v>0</v>
      </c>
      <c r="K159" s="54">
        <v>0</v>
      </c>
      <c r="L159" s="54">
        <v>0</v>
      </c>
      <c r="M159" s="54">
        <v>0</v>
      </c>
      <c r="N159" s="54">
        <v>0</v>
      </c>
      <c r="O159" s="55">
        <v>0</v>
      </c>
    </row>
    <row r="160" spans="1:15" ht="14.7" customHeight="1" outlineLevel="1" x14ac:dyDescent="0.55000000000000004">
      <c r="A160" s="18">
        <v>12</v>
      </c>
      <c r="B160" s="52" t="str">
        <f>$Q$25</f>
        <v>Yassin</v>
      </c>
      <c r="C160" s="53">
        <v>0</v>
      </c>
      <c r="D160" s="54">
        <v>0</v>
      </c>
      <c r="E160" s="54">
        <v>0</v>
      </c>
      <c r="F160" s="54">
        <v>0</v>
      </c>
      <c r="G160" s="54">
        <v>0</v>
      </c>
      <c r="H160" s="54">
        <v>0</v>
      </c>
      <c r="I160" s="54">
        <v>0</v>
      </c>
      <c r="J160" s="54">
        <v>0</v>
      </c>
      <c r="K160" s="54">
        <v>0</v>
      </c>
      <c r="L160" s="54">
        <v>0</v>
      </c>
      <c r="M160" s="54">
        <v>0</v>
      </c>
      <c r="N160" s="54">
        <v>0</v>
      </c>
      <c r="O160" s="55">
        <v>0</v>
      </c>
    </row>
    <row r="161" spans="1:15" ht="14.7" customHeight="1" outlineLevel="1" thickBot="1" x14ac:dyDescent="0.6">
      <c r="A161" s="62">
        <v>13</v>
      </c>
      <c r="B161" s="52" t="str">
        <f>$Q$26</f>
        <v>Kamar</v>
      </c>
      <c r="C161" s="63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5">
        <v>0</v>
      </c>
    </row>
    <row r="162" spans="1:15" ht="14.7" customHeight="1" outlineLevel="1" collapsed="1" x14ac:dyDescent="0.55000000000000004"/>
    <row r="163" spans="1:15" ht="14.7" customHeight="1" outlineLevel="1" x14ac:dyDescent="0.55000000000000004"/>
    <row r="164" spans="1:15" ht="14.7" customHeight="1" outlineLevel="1" thickBot="1" x14ac:dyDescent="0.6">
      <c r="B164" s="77" t="str">
        <f>$Q$42</f>
        <v>Toilets</v>
      </c>
      <c r="C164" s="40" t="str">
        <f>$R$2</f>
        <v>16h</v>
      </c>
      <c r="D164" s="41" t="str">
        <f>$S$2</f>
        <v>17h</v>
      </c>
      <c r="E164" s="41" t="str">
        <f>$T$2</f>
        <v>18h</v>
      </c>
      <c r="F164" s="41" t="str">
        <f>$U$2</f>
        <v>19h</v>
      </c>
      <c r="G164" s="41" t="str">
        <f>$V$2</f>
        <v>20h</v>
      </c>
      <c r="H164" s="41" t="str">
        <f>$W$2</f>
        <v>21h</v>
      </c>
      <c r="I164" s="41" t="str">
        <f>$X$2</f>
        <v>22h</v>
      </c>
      <c r="J164" s="41" t="str">
        <f>$Y$2</f>
        <v>23h</v>
      </c>
      <c r="K164" s="41" t="str">
        <f>$Z$2</f>
        <v>00h</v>
      </c>
      <c r="L164" s="41" t="str">
        <f>$AA$2</f>
        <v>01h</v>
      </c>
      <c r="M164" s="41" t="str">
        <f>$AB$2</f>
        <v>02h</v>
      </c>
      <c r="N164" s="41" t="str">
        <f>$AC$2</f>
        <v>03h</v>
      </c>
      <c r="O164" s="38" t="str">
        <f>$AD$2</f>
        <v>04h</v>
      </c>
    </row>
    <row r="165" spans="1:15" ht="14.7" customHeight="1" outlineLevel="1" x14ac:dyDescent="0.55000000000000004">
      <c r="A165" s="17">
        <v>1</v>
      </c>
      <c r="B165" s="46" t="str">
        <f>$Q$3</f>
        <v>Jennifer</v>
      </c>
      <c r="C165" s="47">
        <v>0</v>
      </c>
      <c r="D165" s="48">
        <v>0</v>
      </c>
      <c r="E165" s="48">
        <v>0</v>
      </c>
      <c r="F165" s="48">
        <v>0</v>
      </c>
      <c r="G165" s="48">
        <v>0</v>
      </c>
      <c r="H165" s="48">
        <v>0</v>
      </c>
      <c r="I165" s="48">
        <v>0</v>
      </c>
      <c r="J165" s="48">
        <v>0</v>
      </c>
      <c r="K165" s="48">
        <v>0</v>
      </c>
      <c r="L165" s="48">
        <v>0</v>
      </c>
      <c r="M165" s="48">
        <v>0</v>
      </c>
      <c r="N165" s="48">
        <v>0</v>
      </c>
      <c r="O165" s="49">
        <v>0</v>
      </c>
    </row>
    <row r="166" spans="1:15" ht="14.7" customHeight="1" outlineLevel="1" x14ac:dyDescent="0.55000000000000004">
      <c r="A166" s="18">
        <v>2</v>
      </c>
      <c r="B166" s="52" t="str">
        <f>$Q$4</f>
        <v>Galileo</v>
      </c>
      <c r="C166" s="53">
        <v>0</v>
      </c>
      <c r="D166" s="54">
        <v>0</v>
      </c>
      <c r="E166" s="54">
        <v>0</v>
      </c>
      <c r="F166" s="54">
        <v>0</v>
      </c>
      <c r="G166" s="54">
        <v>0</v>
      </c>
      <c r="H166" s="54">
        <v>0</v>
      </c>
      <c r="I166" s="54">
        <v>0</v>
      </c>
      <c r="J166" s="54">
        <v>0</v>
      </c>
      <c r="K166" s="54">
        <v>1</v>
      </c>
      <c r="L166" s="54">
        <v>1</v>
      </c>
      <c r="M166" s="54">
        <v>0</v>
      </c>
      <c r="N166" s="54">
        <v>0</v>
      </c>
      <c r="O166" s="55">
        <v>0</v>
      </c>
    </row>
    <row r="167" spans="1:15" ht="14.7" customHeight="1" outlineLevel="1" x14ac:dyDescent="0.55000000000000004">
      <c r="A167" s="18">
        <v>3</v>
      </c>
      <c r="B167" s="52" t="str">
        <f>$Q$5</f>
        <v>Óscar</v>
      </c>
      <c r="C167" s="53">
        <v>0</v>
      </c>
      <c r="D167" s="54">
        <v>0</v>
      </c>
      <c r="E167" s="54">
        <v>0</v>
      </c>
      <c r="F167" s="54">
        <v>0</v>
      </c>
      <c r="G167" s="54">
        <v>0</v>
      </c>
      <c r="H167" s="54">
        <v>0</v>
      </c>
      <c r="I167" s="54">
        <v>1</v>
      </c>
      <c r="J167" s="54">
        <v>0</v>
      </c>
      <c r="K167" s="54">
        <v>0</v>
      </c>
      <c r="L167" s="54">
        <v>0</v>
      </c>
      <c r="M167" s="54">
        <v>0</v>
      </c>
      <c r="N167" s="54">
        <v>0</v>
      </c>
      <c r="O167" s="55">
        <v>0</v>
      </c>
    </row>
    <row r="168" spans="1:15" ht="14.7" customHeight="1" outlineLevel="1" x14ac:dyDescent="0.55000000000000004">
      <c r="A168" s="18">
        <v>4</v>
      </c>
      <c r="B168" s="52" t="str">
        <f>$Q$6</f>
        <v>Sebastián</v>
      </c>
      <c r="C168" s="53">
        <v>0</v>
      </c>
      <c r="D168" s="54">
        <v>0</v>
      </c>
      <c r="E168" s="54">
        <v>0</v>
      </c>
      <c r="F168" s="54">
        <v>0</v>
      </c>
      <c r="G168" s="54">
        <v>0</v>
      </c>
      <c r="H168" s="54">
        <v>0</v>
      </c>
      <c r="I168" s="54">
        <v>0</v>
      </c>
      <c r="J168" s="54">
        <v>0</v>
      </c>
      <c r="K168" s="54">
        <v>1</v>
      </c>
      <c r="L168" s="54">
        <v>0</v>
      </c>
      <c r="M168" s="54">
        <v>0</v>
      </c>
      <c r="N168" s="54">
        <v>0</v>
      </c>
      <c r="O168" s="55">
        <v>0</v>
      </c>
    </row>
    <row r="169" spans="1:15" ht="14.7" customHeight="1" outlineLevel="1" x14ac:dyDescent="0.55000000000000004">
      <c r="A169" s="18">
        <v>5</v>
      </c>
      <c r="B169" s="52" t="str">
        <f>$Q$7</f>
        <v>Marcos</v>
      </c>
      <c r="C169" s="53">
        <v>0</v>
      </c>
      <c r="D169" s="54">
        <v>0</v>
      </c>
      <c r="E169" s="54">
        <v>0</v>
      </c>
      <c r="F169" s="54">
        <v>0</v>
      </c>
      <c r="G169" s="54">
        <v>0</v>
      </c>
      <c r="H169" s="54">
        <v>0</v>
      </c>
      <c r="I169" s="54">
        <v>0</v>
      </c>
      <c r="J169" s="54">
        <v>0</v>
      </c>
      <c r="K169" s="54">
        <v>0</v>
      </c>
      <c r="L169" s="54">
        <v>0</v>
      </c>
      <c r="M169" s="54">
        <v>0</v>
      </c>
      <c r="N169" s="54">
        <v>0</v>
      </c>
      <c r="O169" s="55">
        <v>0</v>
      </c>
    </row>
    <row r="170" spans="1:15" ht="14.7" customHeight="1" outlineLevel="1" x14ac:dyDescent="0.55000000000000004">
      <c r="A170" s="18">
        <v>6</v>
      </c>
      <c r="B170" s="52" t="str">
        <f>$Q$8</f>
        <v>Weixin</v>
      </c>
      <c r="C170" s="53">
        <v>0</v>
      </c>
      <c r="D170" s="54">
        <v>0</v>
      </c>
      <c r="E170" s="54">
        <v>0</v>
      </c>
      <c r="F170" s="54">
        <v>0</v>
      </c>
      <c r="G170" s="54">
        <v>0</v>
      </c>
      <c r="H170" s="54">
        <v>0</v>
      </c>
      <c r="I170" s="54">
        <v>0</v>
      </c>
      <c r="J170" s="54">
        <v>0</v>
      </c>
      <c r="K170" s="54">
        <v>0</v>
      </c>
      <c r="L170" s="54">
        <v>0</v>
      </c>
      <c r="M170" s="54">
        <v>1</v>
      </c>
      <c r="N170" s="54">
        <v>0</v>
      </c>
      <c r="O170" s="55">
        <v>0</v>
      </c>
    </row>
    <row r="171" spans="1:15" ht="14.7" customHeight="1" outlineLevel="1" x14ac:dyDescent="0.55000000000000004">
      <c r="A171" s="18">
        <v>7</v>
      </c>
      <c r="B171" s="52" t="str">
        <f>$Q$9</f>
        <v>Benjamin</v>
      </c>
      <c r="C171" s="53">
        <v>0</v>
      </c>
      <c r="D171" s="54">
        <v>0</v>
      </c>
      <c r="E171" s="54">
        <v>0</v>
      </c>
      <c r="F171" s="54">
        <v>0</v>
      </c>
      <c r="G171" s="54">
        <v>1</v>
      </c>
      <c r="H171" s="54">
        <v>0</v>
      </c>
      <c r="I171" s="54">
        <v>0</v>
      </c>
      <c r="J171" s="54">
        <v>0</v>
      </c>
      <c r="K171" s="54">
        <v>0</v>
      </c>
      <c r="L171" s="54">
        <v>0</v>
      </c>
      <c r="M171" s="54">
        <v>0</v>
      </c>
      <c r="N171" s="54">
        <v>0</v>
      </c>
      <c r="O171" s="55">
        <v>0</v>
      </c>
    </row>
    <row r="172" spans="1:15" ht="14.7" customHeight="1" outlineLevel="1" x14ac:dyDescent="0.55000000000000004">
      <c r="A172" s="18">
        <v>8</v>
      </c>
      <c r="B172" s="52" t="str">
        <f>$Q$10</f>
        <v>Joelle</v>
      </c>
      <c r="C172" s="53">
        <v>0</v>
      </c>
      <c r="D172" s="54">
        <v>1</v>
      </c>
      <c r="E172" s="54">
        <v>0</v>
      </c>
      <c r="F172" s="54">
        <v>0</v>
      </c>
      <c r="G172" s="54">
        <v>0</v>
      </c>
      <c r="H172" s="54">
        <v>0</v>
      </c>
      <c r="I172" s="54">
        <v>0</v>
      </c>
      <c r="J172" s="54">
        <v>1</v>
      </c>
      <c r="K172" s="54">
        <v>0</v>
      </c>
      <c r="L172" s="54">
        <v>0</v>
      </c>
      <c r="M172" s="54">
        <v>0</v>
      </c>
      <c r="N172" s="54">
        <v>0</v>
      </c>
      <c r="O172" s="55">
        <v>0</v>
      </c>
    </row>
    <row r="173" spans="1:15" ht="14.7" customHeight="1" outlineLevel="1" x14ac:dyDescent="0.55000000000000004">
      <c r="A173" s="18">
        <v>9</v>
      </c>
      <c r="B173" s="52" t="str">
        <f>$Q$11</f>
        <v>Alexia</v>
      </c>
      <c r="C173" s="53">
        <v>0</v>
      </c>
      <c r="D173" s="54">
        <v>1</v>
      </c>
      <c r="E173" s="54">
        <v>0</v>
      </c>
      <c r="F173" s="54">
        <v>1</v>
      </c>
      <c r="G173" s="54">
        <v>0</v>
      </c>
      <c r="H173" s="54">
        <v>0</v>
      </c>
      <c r="I173" s="54">
        <v>0</v>
      </c>
      <c r="J173" s="54">
        <v>0</v>
      </c>
      <c r="K173" s="54">
        <v>0</v>
      </c>
      <c r="L173" s="54">
        <v>0</v>
      </c>
      <c r="M173" s="54">
        <v>0</v>
      </c>
      <c r="N173" s="54">
        <v>0</v>
      </c>
      <c r="O173" s="55">
        <v>0</v>
      </c>
    </row>
    <row r="174" spans="1:15" ht="14.7" customHeight="1" outlineLevel="1" x14ac:dyDescent="0.55000000000000004">
      <c r="A174" s="18">
        <v>10</v>
      </c>
      <c r="B174" s="52" t="str">
        <f>$Q$12</f>
        <v>Joao</v>
      </c>
      <c r="C174" s="53">
        <v>0</v>
      </c>
      <c r="D174" s="54">
        <v>0</v>
      </c>
      <c r="E174" s="54">
        <v>0</v>
      </c>
      <c r="F174" s="54">
        <v>0</v>
      </c>
      <c r="G174" s="54">
        <v>0</v>
      </c>
      <c r="H174" s="54">
        <v>0</v>
      </c>
      <c r="I174" s="54">
        <v>0</v>
      </c>
      <c r="J174" s="54">
        <v>0</v>
      </c>
      <c r="K174" s="54">
        <v>0</v>
      </c>
      <c r="L174" s="54">
        <v>1</v>
      </c>
      <c r="M174" s="54">
        <v>0</v>
      </c>
      <c r="N174" s="54">
        <v>0</v>
      </c>
      <c r="O174" s="55">
        <v>0</v>
      </c>
    </row>
    <row r="175" spans="1:15" ht="14.7" customHeight="1" outlineLevel="1" x14ac:dyDescent="0.55000000000000004">
      <c r="A175" s="18">
        <v>11</v>
      </c>
      <c r="B175" s="57" t="str">
        <f>$Q$13</f>
        <v>Maxime</v>
      </c>
      <c r="C175" s="53">
        <v>0</v>
      </c>
      <c r="D175" s="54">
        <v>0</v>
      </c>
      <c r="E175" s="54">
        <v>0</v>
      </c>
      <c r="F175" s="54">
        <v>0</v>
      </c>
      <c r="G175" s="54">
        <v>0</v>
      </c>
      <c r="H175" s="54">
        <v>0</v>
      </c>
      <c r="I175" s="54">
        <v>0</v>
      </c>
      <c r="J175" s="54">
        <v>0</v>
      </c>
      <c r="K175" s="54">
        <v>0</v>
      </c>
      <c r="L175" s="54">
        <v>0</v>
      </c>
      <c r="M175" s="54">
        <v>0</v>
      </c>
      <c r="N175" s="54">
        <v>0</v>
      </c>
      <c r="O175" s="55">
        <v>0</v>
      </c>
    </row>
    <row r="176" spans="1:15" ht="14.7" customHeight="1" outlineLevel="1" x14ac:dyDescent="0.55000000000000004">
      <c r="A176" s="18">
        <v>1</v>
      </c>
      <c r="B176" s="46" t="str">
        <f>$Q$14</f>
        <v>Alex</v>
      </c>
      <c r="C176" s="59">
        <v>0</v>
      </c>
      <c r="D176" s="60">
        <v>0</v>
      </c>
      <c r="E176" s="60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1">
        <v>0</v>
      </c>
    </row>
    <row r="177" spans="1:15" ht="14.7" customHeight="1" outlineLevel="1" x14ac:dyDescent="0.55000000000000004">
      <c r="A177" s="18">
        <v>2</v>
      </c>
      <c r="B177" s="52" t="str">
        <f>$Q$15</f>
        <v>Alyssa</v>
      </c>
      <c r="C177" s="53">
        <v>0</v>
      </c>
      <c r="D177" s="54">
        <v>0</v>
      </c>
      <c r="E177" s="54">
        <v>0</v>
      </c>
      <c r="F177" s="54">
        <v>0</v>
      </c>
      <c r="G177" s="54">
        <v>0</v>
      </c>
      <c r="H177" s="54">
        <v>0</v>
      </c>
      <c r="I177" s="54">
        <v>0</v>
      </c>
      <c r="J177" s="54">
        <v>1</v>
      </c>
      <c r="K177" s="54">
        <v>0</v>
      </c>
      <c r="L177" s="54">
        <v>0</v>
      </c>
      <c r="M177" s="54">
        <v>0</v>
      </c>
      <c r="N177" s="54">
        <v>0</v>
      </c>
      <c r="O177" s="55">
        <v>0</v>
      </c>
    </row>
    <row r="178" spans="1:15" ht="14.7" customHeight="1" outlineLevel="1" x14ac:dyDescent="0.55000000000000004">
      <c r="A178" s="18">
        <v>3</v>
      </c>
      <c r="B178" s="52" t="str">
        <f>$Q$16</f>
        <v>Amanda</v>
      </c>
      <c r="C178" s="53">
        <v>0</v>
      </c>
      <c r="D178" s="54">
        <v>0</v>
      </c>
      <c r="E178" s="54">
        <v>1</v>
      </c>
      <c r="F178" s="54">
        <v>0</v>
      </c>
      <c r="G178" s="54">
        <v>0</v>
      </c>
      <c r="H178" s="54">
        <v>1</v>
      </c>
      <c r="I178" s="54">
        <v>0</v>
      </c>
      <c r="J178" s="54">
        <v>0</v>
      </c>
      <c r="K178" s="54">
        <v>0</v>
      </c>
      <c r="L178" s="54">
        <v>0</v>
      </c>
      <c r="M178" s="54">
        <v>0</v>
      </c>
      <c r="N178" s="54">
        <v>0</v>
      </c>
      <c r="O178" s="55">
        <v>0</v>
      </c>
    </row>
    <row r="179" spans="1:15" ht="14.7" customHeight="1" outlineLevel="1" x14ac:dyDescent="0.55000000000000004">
      <c r="A179" s="18">
        <v>4</v>
      </c>
      <c r="B179" s="52" t="str">
        <f>$Q$17</f>
        <v>Antoine</v>
      </c>
      <c r="C179" s="53">
        <v>0</v>
      </c>
      <c r="D179" s="54">
        <v>0</v>
      </c>
      <c r="E179" s="54">
        <v>0</v>
      </c>
      <c r="F179" s="54">
        <v>0</v>
      </c>
      <c r="G179" s="54">
        <v>0</v>
      </c>
      <c r="H179" s="54">
        <v>0</v>
      </c>
      <c r="I179" s="54">
        <v>0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  <c r="O179" s="55">
        <v>0</v>
      </c>
    </row>
    <row r="180" spans="1:15" ht="14.7" customHeight="1" outlineLevel="1" x14ac:dyDescent="0.55000000000000004">
      <c r="A180" s="18">
        <v>5</v>
      </c>
      <c r="B180" s="52" t="str">
        <f>$Q$18</f>
        <v>Beatriz</v>
      </c>
      <c r="C180" s="53">
        <v>0</v>
      </c>
      <c r="D180" s="54">
        <v>0</v>
      </c>
      <c r="E180" s="54">
        <v>0</v>
      </c>
      <c r="F180" s="54">
        <v>0</v>
      </c>
      <c r="G180" s="54">
        <v>0</v>
      </c>
      <c r="H180" s="54">
        <v>0</v>
      </c>
      <c r="I180" s="54">
        <v>0</v>
      </c>
      <c r="J180" s="54">
        <v>0</v>
      </c>
      <c r="K180" s="54">
        <v>0</v>
      </c>
      <c r="L180" s="54">
        <v>0</v>
      </c>
      <c r="M180" s="54">
        <v>0</v>
      </c>
      <c r="N180" s="54">
        <v>0</v>
      </c>
      <c r="O180" s="55">
        <v>0</v>
      </c>
    </row>
    <row r="181" spans="1:15" ht="14.7" customHeight="1" outlineLevel="1" x14ac:dyDescent="0.55000000000000004">
      <c r="A181" s="18">
        <v>6</v>
      </c>
      <c r="B181" s="52" t="str">
        <f>$Q$19</f>
        <v>Charelle</v>
      </c>
      <c r="C181" s="53">
        <v>0</v>
      </c>
      <c r="D181" s="54">
        <v>0</v>
      </c>
      <c r="E181" s="54">
        <v>1</v>
      </c>
      <c r="F181" s="54">
        <v>0</v>
      </c>
      <c r="G181" s="54">
        <v>0</v>
      </c>
      <c r="H181" s="54">
        <v>0</v>
      </c>
      <c r="I181" s="54">
        <v>0</v>
      </c>
      <c r="J181" s="54">
        <v>0</v>
      </c>
      <c r="K181" s="54">
        <v>0</v>
      </c>
      <c r="L181" s="54">
        <v>0</v>
      </c>
      <c r="M181" s="54">
        <v>0</v>
      </c>
      <c r="N181" s="54">
        <v>0</v>
      </c>
      <c r="O181" s="55">
        <v>0</v>
      </c>
    </row>
    <row r="182" spans="1:15" ht="14.7" customHeight="1" outlineLevel="1" x14ac:dyDescent="0.55000000000000004">
      <c r="A182" s="18">
        <v>7</v>
      </c>
      <c r="B182" s="52" t="str">
        <f>$Q$20</f>
        <v>Dimitri</v>
      </c>
      <c r="C182" s="53">
        <v>0</v>
      </c>
      <c r="D182" s="54">
        <v>0</v>
      </c>
      <c r="E182" s="54">
        <v>0</v>
      </c>
      <c r="F182" s="54">
        <v>0</v>
      </c>
      <c r="G182" s="54">
        <v>0</v>
      </c>
      <c r="H182" s="54">
        <v>0</v>
      </c>
      <c r="I182" s="54">
        <v>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  <c r="O182" s="55">
        <v>0</v>
      </c>
    </row>
    <row r="183" spans="1:15" ht="14.7" customHeight="1" outlineLevel="1" x14ac:dyDescent="0.55000000000000004">
      <c r="A183" s="18">
        <v>8</v>
      </c>
      <c r="B183" s="52" t="str">
        <f>$Q$21</f>
        <v>Marina</v>
      </c>
      <c r="C183" s="53">
        <v>0</v>
      </c>
      <c r="D183" s="54">
        <v>0</v>
      </c>
      <c r="E183" s="54">
        <v>0</v>
      </c>
      <c r="F183" s="54">
        <v>1</v>
      </c>
      <c r="G183" s="54">
        <v>0</v>
      </c>
      <c r="H183" s="54">
        <v>1</v>
      </c>
      <c r="I183" s="54">
        <v>0</v>
      </c>
      <c r="J183" s="54">
        <v>0</v>
      </c>
      <c r="K183" s="54">
        <v>0</v>
      </c>
      <c r="L183" s="54">
        <v>0</v>
      </c>
      <c r="M183" s="54">
        <v>0</v>
      </c>
      <c r="N183" s="54">
        <v>0</v>
      </c>
      <c r="O183" s="55">
        <v>0</v>
      </c>
    </row>
    <row r="184" spans="1:15" ht="14.7" customHeight="1" outlineLevel="1" x14ac:dyDescent="0.55000000000000004">
      <c r="A184" s="18">
        <v>9</v>
      </c>
      <c r="B184" s="52" t="str">
        <f>$Q$22</f>
        <v>Michel</v>
      </c>
      <c r="C184" s="53">
        <v>0</v>
      </c>
      <c r="D184" s="54">
        <v>0</v>
      </c>
      <c r="E184" s="54">
        <v>0</v>
      </c>
      <c r="F184" s="54">
        <v>0</v>
      </c>
      <c r="G184" s="54">
        <v>0</v>
      </c>
      <c r="H184" s="54">
        <v>0</v>
      </c>
      <c r="I184" s="54">
        <v>1</v>
      </c>
      <c r="J184" s="54">
        <v>0</v>
      </c>
      <c r="K184" s="54">
        <v>0</v>
      </c>
      <c r="L184" s="54">
        <v>0</v>
      </c>
      <c r="M184" s="54">
        <v>0</v>
      </c>
      <c r="N184" s="54">
        <v>0</v>
      </c>
      <c r="O184" s="55">
        <v>0</v>
      </c>
    </row>
    <row r="185" spans="1:15" ht="14.7" customHeight="1" outlineLevel="1" x14ac:dyDescent="0.55000000000000004">
      <c r="A185" s="18">
        <v>10</v>
      </c>
      <c r="B185" s="52" t="str">
        <f>$Q$23</f>
        <v>Nour</v>
      </c>
      <c r="C185" s="53">
        <v>0</v>
      </c>
      <c r="D185" s="54">
        <v>0</v>
      </c>
      <c r="E185" s="54">
        <v>0</v>
      </c>
      <c r="F185" s="54">
        <v>0</v>
      </c>
      <c r="G185" s="54">
        <v>0</v>
      </c>
      <c r="H185" s="54">
        <v>0</v>
      </c>
      <c r="I185" s="54">
        <v>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  <c r="O185" s="55">
        <v>0</v>
      </c>
    </row>
    <row r="186" spans="1:15" ht="14.7" customHeight="1" outlineLevel="1" x14ac:dyDescent="0.55000000000000004">
      <c r="A186" s="18">
        <v>11</v>
      </c>
      <c r="B186" s="52" t="str">
        <f>$Q$24</f>
        <v>Samuel</v>
      </c>
      <c r="C186" s="53">
        <v>0</v>
      </c>
      <c r="D186" s="54">
        <v>0</v>
      </c>
      <c r="E186" s="54">
        <v>0</v>
      </c>
      <c r="F186" s="54">
        <v>0</v>
      </c>
      <c r="G186" s="54">
        <v>0</v>
      </c>
      <c r="H186" s="54">
        <v>0</v>
      </c>
      <c r="I186" s="54">
        <v>0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  <c r="O186" s="55">
        <v>0</v>
      </c>
    </row>
    <row r="187" spans="1:15" ht="14.7" customHeight="1" outlineLevel="1" x14ac:dyDescent="0.55000000000000004">
      <c r="A187" s="18">
        <v>12</v>
      </c>
      <c r="B187" s="52" t="str">
        <f>$Q$25</f>
        <v>Yassin</v>
      </c>
      <c r="C187" s="53">
        <v>0</v>
      </c>
      <c r="D187" s="54">
        <v>0</v>
      </c>
      <c r="E187" s="54">
        <v>0</v>
      </c>
      <c r="F187" s="54">
        <v>0</v>
      </c>
      <c r="G187" s="54">
        <v>1</v>
      </c>
      <c r="H187" s="54">
        <v>0</v>
      </c>
      <c r="I187" s="54">
        <v>0</v>
      </c>
      <c r="J187" s="54">
        <v>0</v>
      </c>
      <c r="K187" s="54">
        <v>0</v>
      </c>
      <c r="L187" s="54">
        <v>0</v>
      </c>
      <c r="M187" s="54">
        <v>1</v>
      </c>
      <c r="N187" s="54">
        <v>0</v>
      </c>
      <c r="O187" s="55">
        <v>0</v>
      </c>
    </row>
    <row r="188" spans="1:15" ht="14.7" customHeight="1" outlineLevel="1" thickBot="1" x14ac:dyDescent="0.6">
      <c r="A188" s="62">
        <v>13</v>
      </c>
      <c r="B188" s="52" t="str">
        <f>$Q$26</f>
        <v>Kamar</v>
      </c>
      <c r="C188" s="63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5">
        <v>0</v>
      </c>
    </row>
    <row r="189" spans="1:15" ht="14.7" customHeight="1" outlineLevel="1" collapsed="1" x14ac:dyDescent="0.55000000000000004"/>
    <row r="190" spans="1:15" ht="14.7" customHeight="1" outlineLevel="1" x14ac:dyDescent="0.55000000000000004"/>
    <row r="191" spans="1:15" ht="14.7" customHeight="1" outlineLevel="1" thickBot="1" x14ac:dyDescent="0.6">
      <c r="B191" s="78" t="str">
        <f>$Q$43</f>
        <v>Level</v>
      </c>
      <c r="C191" s="40" t="str">
        <f>$R$2</f>
        <v>16h</v>
      </c>
      <c r="D191" s="41" t="str">
        <f>$S$2</f>
        <v>17h</v>
      </c>
      <c r="E191" s="41" t="str">
        <f>$T$2</f>
        <v>18h</v>
      </c>
      <c r="F191" s="41" t="str">
        <f>$U$2</f>
        <v>19h</v>
      </c>
      <c r="G191" s="41" t="str">
        <f>$V$2</f>
        <v>20h</v>
      </c>
      <c r="H191" s="41" t="str">
        <f>$W$2</f>
        <v>21h</v>
      </c>
      <c r="I191" s="41" t="str">
        <f>$X$2</f>
        <v>22h</v>
      </c>
      <c r="J191" s="41" t="str">
        <f>$Y$2</f>
        <v>23h</v>
      </c>
      <c r="K191" s="41" t="str">
        <f>$Z$2</f>
        <v>00h</v>
      </c>
      <c r="L191" s="41" t="str">
        <f>$AA$2</f>
        <v>01h</v>
      </c>
      <c r="M191" s="41" t="str">
        <f>$AB$2</f>
        <v>02h</v>
      </c>
      <c r="N191" s="41" t="str">
        <f>$AC$2</f>
        <v>03h</v>
      </c>
      <c r="O191" s="38" t="str">
        <f>$AD$2</f>
        <v>04h</v>
      </c>
    </row>
    <row r="192" spans="1:15" ht="14.7" customHeight="1" outlineLevel="1" x14ac:dyDescent="0.55000000000000004">
      <c r="A192" s="17">
        <v>1</v>
      </c>
      <c r="B192" s="46" t="str">
        <f>$Q$3</f>
        <v>Jennifer</v>
      </c>
      <c r="C192" s="47">
        <v>0</v>
      </c>
      <c r="D192" s="48">
        <v>0</v>
      </c>
      <c r="E192" s="48">
        <v>0</v>
      </c>
      <c r="F192" s="48">
        <v>0</v>
      </c>
      <c r="G192" s="48">
        <v>0</v>
      </c>
      <c r="H192" s="48">
        <v>1</v>
      </c>
      <c r="I192" s="48">
        <v>0</v>
      </c>
      <c r="J192" s="48">
        <v>0</v>
      </c>
      <c r="K192" s="48">
        <v>0</v>
      </c>
      <c r="L192" s="48">
        <v>0</v>
      </c>
      <c r="M192" s="48">
        <v>1</v>
      </c>
      <c r="N192" s="48">
        <v>0</v>
      </c>
      <c r="O192" s="49">
        <v>0</v>
      </c>
    </row>
    <row r="193" spans="1:15" ht="14.7" customHeight="1" outlineLevel="1" x14ac:dyDescent="0.55000000000000004">
      <c r="A193" s="18">
        <v>2</v>
      </c>
      <c r="B193" s="52" t="str">
        <f>$Q$4</f>
        <v>Galileo</v>
      </c>
      <c r="C193" s="53">
        <v>0</v>
      </c>
      <c r="D193" s="54">
        <v>0</v>
      </c>
      <c r="E193" s="54">
        <v>0</v>
      </c>
      <c r="F193" s="54">
        <v>0</v>
      </c>
      <c r="G193" s="54">
        <v>0</v>
      </c>
      <c r="H193" s="54">
        <v>0</v>
      </c>
      <c r="I193" s="54">
        <v>0</v>
      </c>
      <c r="J193" s="54">
        <v>0</v>
      </c>
      <c r="K193" s="54">
        <v>0</v>
      </c>
      <c r="L193" s="54">
        <v>0</v>
      </c>
      <c r="M193" s="54">
        <v>0</v>
      </c>
      <c r="N193" s="54">
        <v>0</v>
      </c>
      <c r="O193" s="55">
        <v>0</v>
      </c>
    </row>
    <row r="194" spans="1:15" ht="14.7" customHeight="1" outlineLevel="1" x14ac:dyDescent="0.55000000000000004">
      <c r="A194" s="18">
        <v>3</v>
      </c>
      <c r="B194" s="52" t="str">
        <f>$Q$5</f>
        <v>Óscar</v>
      </c>
      <c r="C194" s="53">
        <v>0</v>
      </c>
      <c r="D194" s="54">
        <v>0</v>
      </c>
      <c r="E194" s="54">
        <v>0</v>
      </c>
      <c r="F194" s="54">
        <v>0</v>
      </c>
      <c r="G194" s="54">
        <v>0</v>
      </c>
      <c r="H194" s="54">
        <v>0</v>
      </c>
      <c r="I194" s="54">
        <v>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  <c r="O194" s="55">
        <v>0</v>
      </c>
    </row>
    <row r="195" spans="1:15" ht="14.7" customHeight="1" outlineLevel="1" x14ac:dyDescent="0.55000000000000004">
      <c r="A195" s="18">
        <v>4</v>
      </c>
      <c r="B195" s="52" t="str">
        <f>$Q$6</f>
        <v>Sebastián</v>
      </c>
      <c r="C195" s="53">
        <v>0</v>
      </c>
      <c r="D195" s="54">
        <v>0</v>
      </c>
      <c r="E195" s="54">
        <v>0</v>
      </c>
      <c r="F195" s="54">
        <v>0</v>
      </c>
      <c r="G195" s="54">
        <v>0</v>
      </c>
      <c r="H195" s="54">
        <v>0</v>
      </c>
      <c r="I195" s="54">
        <v>0</v>
      </c>
      <c r="J195" s="54">
        <v>0</v>
      </c>
      <c r="K195" s="54">
        <v>0</v>
      </c>
      <c r="L195" s="54">
        <v>0</v>
      </c>
      <c r="M195" s="54">
        <v>0</v>
      </c>
      <c r="N195" s="54">
        <v>0</v>
      </c>
      <c r="O195" s="55">
        <v>0</v>
      </c>
    </row>
    <row r="196" spans="1:15" ht="14.7" customHeight="1" outlineLevel="1" x14ac:dyDescent="0.55000000000000004">
      <c r="A196" s="18">
        <v>5</v>
      </c>
      <c r="B196" s="52" t="str">
        <f>$Q$7</f>
        <v>Marcos</v>
      </c>
      <c r="C196" s="53">
        <v>0</v>
      </c>
      <c r="D196" s="54">
        <v>0</v>
      </c>
      <c r="E196" s="54">
        <v>0</v>
      </c>
      <c r="F196" s="54">
        <v>0</v>
      </c>
      <c r="G196" s="54">
        <v>1</v>
      </c>
      <c r="H196" s="54">
        <v>0</v>
      </c>
      <c r="I196" s="54">
        <v>0</v>
      </c>
      <c r="J196" s="54">
        <v>0</v>
      </c>
      <c r="K196" s="54">
        <v>0</v>
      </c>
      <c r="L196" s="54">
        <v>0</v>
      </c>
      <c r="M196" s="54">
        <v>0</v>
      </c>
      <c r="N196" s="54">
        <v>0</v>
      </c>
      <c r="O196" s="55">
        <v>0</v>
      </c>
    </row>
    <row r="197" spans="1:15" ht="14.7" customHeight="1" outlineLevel="1" x14ac:dyDescent="0.55000000000000004">
      <c r="A197" s="18">
        <v>6</v>
      </c>
      <c r="B197" s="52" t="str">
        <f>$Q$8</f>
        <v>Weixin</v>
      </c>
      <c r="C197" s="53">
        <v>0</v>
      </c>
      <c r="D197" s="54">
        <v>0</v>
      </c>
      <c r="E197" s="54">
        <v>0</v>
      </c>
      <c r="F197" s="54">
        <v>0</v>
      </c>
      <c r="G197" s="54">
        <v>0</v>
      </c>
      <c r="H197" s="54">
        <v>0</v>
      </c>
      <c r="I197" s="54">
        <v>0</v>
      </c>
      <c r="J197" s="54">
        <v>0</v>
      </c>
      <c r="K197" s="54">
        <v>0</v>
      </c>
      <c r="L197" s="54">
        <v>1</v>
      </c>
      <c r="M197" s="54">
        <v>0</v>
      </c>
      <c r="N197" s="54">
        <v>0</v>
      </c>
      <c r="O197" s="55">
        <v>0</v>
      </c>
    </row>
    <row r="198" spans="1:15" ht="14.7" customHeight="1" outlineLevel="1" x14ac:dyDescent="0.55000000000000004">
      <c r="A198" s="18">
        <v>7</v>
      </c>
      <c r="B198" s="52" t="str">
        <f>$Q$9</f>
        <v>Benjamin</v>
      </c>
      <c r="C198" s="53">
        <v>0</v>
      </c>
      <c r="D198" s="54">
        <v>0</v>
      </c>
      <c r="E198" s="54">
        <v>1</v>
      </c>
      <c r="F198" s="54">
        <v>0</v>
      </c>
      <c r="G198" s="54">
        <v>0</v>
      </c>
      <c r="H198" s="54">
        <v>0</v>
      </c>
      <c r="I198" s="54">
        <v>0</v>
      </c>
      <c r="J198" s="54">
        <v>0</v>
      </c>
      <c r="K198" s="54">
        <v>0</v>
      </c>
      <c r="L198" s="54">
        <v>0</v>
      </c>
      <c r="M198" s="54">
        <v>0</v>
      </c>
      <c r="N198" s="54">
        <v>0</v>
      </c>
      <c r="O198" s="55">
        <v>0</v>
      </c>
    </row>
    <row r="199" spans="1:15" ht="14.7" customHeight="1" outlineLevel="1" x14ac:dyDescent="0.55000000000000004">
      <c r="A199" s="18">
        <v>8</v>
      </c>
      <c r="B199" s="52" t="str">
        <f>$Q$10</f>
        <v>Joelle</v>
      </c>
      <c r="C199" s="53">
        <v>0</v>
      </c>
      <c r="D199" s="54">
        <v>0</v>
      </c>
      <c r="E199" s="54">
        <v>0</v>
      </c>
      <c r="F199" s="54">
        <v>0</v>
      </c>
      <c r="G199" s="54">
        <v>0</v>
      </c>
      <c r="H199" s="54">
        <v>0</v>
      </c>
      <c r="I199" s="54">
        <v>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  <c r="O199" s="55">
        <v>0</v>
      </c>
    </row>
    <row r="200" spans="1:15" ht="14.7" customHeight="1" outlineLevel="1" x14ac:dyDescent="0.55000000000000004">
      <c r="A200" s="18">
        <v>9</v>
      </c>
      <c r="B200" s="52" t="str">
        <f>$Q$11</f>
        <v>Alexia</v>
      </c>
      <c r="C200" s="53">
        <v>0</v>
      </c>
      <c r="D200" s="54">
        <v>0</v>
      </c>
      <c r="E200" s="54">
        <v>0</v>
      </c>
      <c r="F200" s="54">
        <v>0</v>
      </c>
      <c r="G200" s="54">
        <v>0</v>
      </c>
      <c r="H200" s="54">
        <v>0</v>
      </c>
      <c r="I200" s="54">
        <v>0</v>
      </c>
      <c r="J200" s="54">
        <v>0</v>
      </c>
      <c r="K200" s="54">
        <v>0</v>
      </c>
      <c r="L200" s="54">
        <v>0</v>
      </c>
      <c r="M200" s="54">
        <v>0</v>
      </c>
      <c r="N200" s="54">
        <v>0</v>
      </c>
      <c r="O200" s="55">
        <v>0</v>
      </c>
    </row>
    <row r="201" spans="1:15" ht="14.7" customHeight="1" outlineLevel="1" x14ac:dyDescent="0.55000000000000004">
      <c r="A201" s="18">
        <v>10</v>
      </c>
      <c r="B201" s="52" t="str">
        <f>$Q$12</f>
        <v>Joao</v>
      </c>
      <c r="C201" s="53">
        <v>0</v>
      </c>
      <c r="D201" s="54">
        <v>0</v>
      </c>
      <c r="E201" s="54">
        <v>0</v>
      </c>
      <c r="F201" s="54">
        <v>1</v>
      </c>
      <c r="G201" s="54">
        <v>0</v>
      </c>
      <c r="H201" s="54">
        <v>0</v>
      </c>
      <c r="I201" s="54">
        <v>0</v>
      </c>
      <c r="J201" s="54">
        <v>1</v>
      </c>
      <c r="K201" s="54">
        <v>0</v>
      </c>
      <c r="L201" s="54">
        <v>0</v>
      </c>
      <c r="M201" s="54">
        <v>0</v>
      </c>
      <c r="N201" s="54">
        <v>0</v>
      </c>
      <c r="O201" s="55">
        <v>0</v>
      </c>
    </row>
    <row r="202" spans="1:15" ht="14.7" customHeight="1" outlineLevel="1" x14ac:dyDescent="0.55000000000000004">
      <c r="A202" s="18">
        <v>11</v>
      </c>
      <c r="B202" s="57" t="str">
        <f>$Q$13</f>
        <v>Maxime</v>
      </c>
      <c r="C202" s="53">
        <v>0</v>
      </c>
      <c r="D202" s="54">
        <v>0</v>
      </c>
      <c r="E202" s="54">
        <v>0</v>
      </c>
      <c r="F202" s="54">
        <v>0</v>
      </c>
      <c r="G202" s="54">
        <v>0</v>
      </c>
      <c r="H202" s="54">
        <v>0</v>
      </c>
      <c r="I202" s="54">
        <v>1</v>
      </c>
      <c r="J202" s="54">
        <v>0</v>
      </c>
      <c r="K202" s="54">
        <v>0</v>
      </c>
      <c r="L202" s="54">
        <v>0</v>
      </c>
      <c r="M202" s="54">
        <v>0</v>
      </c>
      <c r="N202" s="54">
        <v>0</v>
      </c>
      <c r="O202" s="55">
        <v>0</v>
      </c>
    </row>
    <row r="203" spans="1:15" ht="14.7" customHeight="1" outlineLevel="1" x14ac:dyDescent="0.55000000000000004">
      <c r="A203" s="18">
        <v>1</v>
      </c>
      <c r="B203" s="46" t="str">
        <f>$Q$14</f>
        <v>Alex</v>
      </c>
      <c r="C203" s="59">
        <v>0</v>
      </c>
      <c r="D203" s="60">
        <v>0</v>
      </c>
      <c r="E203" s="60">
        <v>0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0</v>
      </c>
      <c r="M203" s="60">
        <v>0</v>
      </c>
      <c r="N203" s="60">
        <v>0</v>
      </c>
      <c r="O203" s="61">
        <v>0</v>
      </c>
    </row>
    <row r="204" spans="1:15" ht="14.7" customHeight="1" outlineLevel="1" x14ac:dyDescent="0.55000000000000004">
      <c r="A204" s="18">
        <v>2</v>
      </c>
      <c r="B204" s="52" t="str">
        <f>$Q$15</f>
        <v>Alyssa</v>
      </c>
      <c r="C204" s="53">
        <v>0</v>
      </c>
      <c r="D204" s="54">
        <v>0</v>
      </c>
      <c r="E204" s="54">
        <v>0</v>
      </c>
      <c r="F204" s="54">
        <v>0</v>
      </c>
      <c r="G204" s="54">
        <v>0</v>
      </c>
      <c r="H204" s="54">
        <v>0</v>
      </c>
      <c r="I204" s="54">
        <v>0</v>
      </c>
      <c r="J204" s="54">
        <v>0</v>
      </c>
      <c r="K204" s="54">
        <v>0</v>
      </c>
      <c r="L204" s="54">
        <v>0</v>
      </c>
      <c r="M204" s="54">
        <v>0</v>
      </c>
      <c r="N204" s="54">
        <v>0</v>
      </c>
      <c r="O204" s="55">
        <v>0</v>
      </c>
    </row>
    <row r="205" spans="1:15" ht="14.7" customHeight="1" outlineLevel="1" x14ac:dyDescent="0.55000000000000004">
      <c r="A205" s="18">
        <v>3</v>
      </c>
      <c r="B205" s="52" t="str">
        <f>$Q$16</f>
        <v>Amanda</v>
      </c>
      <c r="C205" s="53">
        <v>0</v>
      </c>
      <c r="D205" s="54">
        <v>0</v>
      </c>
      <c r="E205" s="54">
        <v>0</v>
      </c>
      <c r="F205" s="54">
        <v>0</v>
      </c>
      <c r="G205" s="54">
        <v>0</v>
      </c>
      <c r="H205" s="54">
        <v>0</v>
      </c>
      <c r="I205" s="54">
        <v>0</v>
      </c>
      <c r="J205" s="54">
        <v>0</v>
      </c>
      <c r="K205" s="54">
        <v>0</v>
      </c>
      <c r="L205" s="54">
        <v>0</v>
      </c>
      <c r="M205" s="54">
        <v>0</v>
      </c>
      <c r="N205" s="54">
        <v>0</v>
      </c>
      <c r="O205" s="55">
        <v>0</v>
      </c>
    </row>
    <row r="206" spans="1:15" ht="14.7" customHeight="1" outlineLevel="1" x14ac:dyDescent="0.55000000000000004">
      <c r="A206" s="18">
        <v>4</v>
      </c>
      <c r="B206" s="52" t="str">
        <f>$Q$17</f>
        <v>Antoine</v>
      </c>
      <c r="C206" s="53">
        <v>0</v>
      </c>
      <c r="D206" s="54">
        <v>1</v>
      </c>
      <c r="E206" s="54">
        <v>0</v>
      </c>
      <c r="F206" s="54">
        <v>0</v>
      </c>
      <c r="G206" s="54">
        <v>0</v>
      </c>
      <c r="H206" s="54">
        <v>0</v>
      </c>
      <c r="I206" s="54">
        <v>0</v>
      </c>
      <c r="J206" s="54">
        <v>0</v>
      </c>
      <c r="K206" s="54">
        <v>1</v>
      </c>
      <c r="L206" s="54">
        <v>0</v>
      </c>
      <c r="M206" s="54">
        <v>0</v>
      </c>
      <c r="N206" s="54">
        <v>0</v>
      </c>
      <c r="O206" s="55">
        <v>0</v>
      </c>
    </row>
    <row r="207" spans="1:15" ht="14.7" customHeight="1" outlineLevel="1" x14ac:dyDescent="0.55000000000000004">
      <c r="A207" s="18">
        <v>5</v>
      </c>
      <c r="B207" s="52" t="str">
        <f>$Q$18</f>
        <v>Beatriz</v>
      </c>
      <c r="C207" s="53">
        <v>0</v>
      </c>
      <c r="D207" s="54">
        <v>0</v>
      </c>
      <c r="E207" s="54">
        <v>0</v>
      </c>
      <c r="F207" s="54">
        <v>0</v>
      </c>
      <c r="G207" s="54">
        <v>0</v>
      </c>
      <c r="H207" s="54">
        <v>0</v>
      </c>
      <c r="I207" s="54">
        <v>0</v>
      </c>
      <c r="J207" s="54">
        <v>0</v>
      </c>
      <c r="K207" s="54">
        <v>0</v>
      </c>
      <c r="L207" s="54">
        <v>0</v>
      </c>
      <c r="M207" s="54">
        <v>0</v>
      </c>
      <c r="N207" s="54">
        <v>0</v>
      </c>
      <c r="O207" s="55">
        <v>0</v>
      </c>
    </row>
    <row r="208" spans="1:15" ht="14.7" customHeight="1" outlineLevel="1" x14ac:dyDescent="0.55000000000000004">
      <c r="A208" s="18">
        <v>6</v>
      </c>
      <c r="B208" s="52" t="str">
        <f>$Q$19</f>
        <v>Charelle</v>
      </c>
      <c r="C208" s="53">
        <v>0</v>
      </c>
      <c r="D208" s="54">
        <v>0</v>
      </c>
      <c r="E208" s="54">
        <v>0</v>
      </c>
      <c r="F208" s="54">
        <v>0</v>
      </c>
      <c r="G208" s="54">
        <v>0</v>
      </c>
      <c r="H208" s="54">
        <v>0</v>
      </c>
      <c r="I208" s="54">
        <v>0</v>
      </c>
      <c r="J208" s="54">
        <v>0</v>
      </c>
      <c r="K208" s="54">
        <v>0</v>
      </c>
      <c r="L208" s="54">
        <v>0</v>
      </c>
      <c r="M208" s="54">
        <v>0</v>
      </c>
      <c r="N208" s="54">
        <v>0</v>
      </c>
      <c r="O208" s="55">
        <v>0</v>
      </c>
    </row>
    <row r="209" spans="1:15" ht="14.7" customHeight="1" outlineLevel="1" x14ac:dyDescent="0.55000000000000004">
      <c r="A209" s="18">
        <v>7</v>
      </c>
      <c r="B209" s="52" t="str">
        <f>$Q$20</f>
        <v>Dimitri</v>
      </c>
      <c r="C209" s="53">
        <v>0</v>
      </c>
      <c r="D209" s="54">
        <v>0</v>
      </c>
      <c r="E209" s="54">
        <v>0</v>
      </c>
      <c r="F209" s="54">
        <v>0</v>
      </c>
      <c r="G209" s="54">
        <v>0</v>
      </c>
      <c r="H209" s="54">
        <v>0</v>
      </c>
      <c r="I209" s="54">
        <v>0</v>
      </c>
      <c r="J209" s="54">
        <v>0</v>
      </c>
      <c r="K209" s="54">
        <v>0</v>
      </c>
      <c r="L209" s="54">
        <v>0</v>
      </c>
      <c r="M209" s="54">
        <v>0</v>
      </c>
      <c r="N209" s="54">
        <v>0</v>
      </c>
      <c r="O209" s="55">
        <v>0</v>
      </c>
    </row>
    <row r="210" spans="1:15" ht="14.7" customHeight="1" outlineLevel="1" x14ac:dyDescent="0.55000000000000004">
      <c r="A210" s="18">
        <v>8</v>
      </c>
      <c r="B210" s="52" t="str">
        <f>$Q$21</f>
        <v>Marina</v>
      </c>
      <c r="C210" s="53">
        <v>0</v>
      </c>
      <c r="D210" s="54">
        <v>0</v>
      </c>
      <c r="E210" s="54">
        <v>0</v>
      </c>
      <c r="F210" s="54">
        <v>0</v>
      </c>
      <c r="G210" s="54">
        <v>0</v>
      </c>
      <c r="H210" s="54">
        <v>0</v>
      </c>
      <c r="I210" s="54">
        <v>0</v>
      </c>
      <c r="J210" s="54">
        <v>0</v>
      </c>
      <c r="K210" s="54">
        <v>0</v>
      </c>
      <c r="L210" s="54">
        <v>0</v>
      </c>
      <c r="M210" s="54">
        <v>0</v>
      </c>
      <c r="N210" s="54">
        <v>0</v>
      </c>
      <c r="O210" s="55">
        <v>0</v>
      </c>
    </row>
    <row r="211" spans="1:15" ht="14.7" customHeight="1" outlineLevel="1" x14ac:dyDescent="0.55000000000000004">
      <c r="A211" s="18">
        <v>9</v>
      </c>
      <c r="B211" s="52" t="str">
        <f>$Q$22</f>
        <v>Michel</v>
      </c>
      <c r="C211" s="53">
        <v>0</v>
      </c>
      <c r="D211" s="54">
        <v>0</v>
      </c>
      <c r="E211" s="54">
        <v>0</v>
      </c>
      <c r="F211" s="54">
        <v>0</v>
      </c>
      <c r="G211" s="54">
        <v>0</v>
      </c>
      <c r="H211" s="54">
        <v>0</v>
      </c>
      <c r="I211" s="54">
        <v>0</v>
      </c>
      <c r="J211" s="54">
        <v>0</v>
      </c>
      <c r="K211" s="54">
        <v>0</v>
      </c>
      <c r="L211" s="54">
        <v>0</v>
      </c>
      <c r="M211" s="54">
        <v>0</v>
      </c>
      <c r="N211" s="54">
        <v>0</v>
      </c>
      <c r="O211" s="55">
        <v>0</v>
      </c>
    </row>
    <row r="212" spans="1:15" ht="14.7" customHeight="1" outlineLevel="1" x14ac:dyDescent="0.55000000000000004">
      <c r="A212" s="18">
        <v>10</v>
      </c>
      <c r="B212" s="52" t="str">
        <f>$Q$23</f>
        <v>Nour</v>
      </c>
      <c r="C212" s="53">
        <v>0</v>
      </c>
      <c r="D212" s="54">
        <v>0</v>
      </c>
      <c r="E212" s="54">
        <v>0</v>
      </c>
      <c r="F212" s="54">
        <v>0</v>
      </c>
      <c r="G212" s="54">
        <v>0</v>
      </c>
      <c r="H212" s="54">
        <v>0</v>
      </c>
      <c r="I212" s="54">
        <v>0</v>
      </c>
      <c r="J212" s="54">
        <v>0</v>
      </c>
      <c r="K212" s="54">
        <v>0</v>
      </c>
      <c r="L212" s="54">
        <v>0</v>
      </c>
      <c r="M212" s="54">
        <v>0</v>
      </c>
      <c r="N212" s="54">
        <v>0</v>
      </c>
      <c r="O212" s="55">
        <v>0</v>
      </c>
    </row>
    <row r="213" spans="1:15" ht="14.7" customHeight="1" outlineLevel="1" x14ac:dyDescent="0.55000000000000004">
      <c r="A213" s="18">
        <v>11</v>
      </c>
      <c r="B213" s="52" t="str">
        <f>$Q$24</f>
        <v>Samuel</v>
      </c>
      <c r="C213" s="53">
        <v>0</v>
      </c>
      <c r="D213" s="54">
        <v>0</v>
      </c>
      <c r="E213" s="54">
        <v>0</v>
      </c>
      <c r="F213" s="54">
        <v>0</v>
      </c>
      <c r="G213" s="54">
        <v>0</v>
      </c>
      <c r="H213" s="54">
        <v>0</v>
      </c>
      <c r="I213" s="54">
        <v>0</v>
      </c>
      <c r="J213" s="54">
        <v>0</v>
      </c>
      <c r="K213" s="54">
        <v>0</v>
      </c>
      <c r="L213" s="54">
        <v>0</v>
      </c>
      <c r="M213" s="54">
        <v>0</v>
      </c>
      <c r="N213" s="54">
        <v>0</v>
      </c>
      <c r="O213" s="55">
        <v>0</v>
      </c>
    </row>
    <row r="214" spans="1:15" ht="14.7" customHeight="1" outlineLevel="1" x14ac:dyDescent="0.55000000000000004">
      <c r="A214" s="18">
        <v>12</v>
      </c>
      <c r="B214" s="52" t="str">
        <f>$Q$25</f>
        <v>Yassin</v>
      </c>
      <c r="C214" s="53">
        <v>0</v>
      </c>
      <c r="D214" s="54">
        <v>0</v>
      </c>
      <c r="E214" s="54">
        <v>0</v>
      </c>
      <c r="F214" s="54">
        <v>0</v>
      </c>
      <c r="G214" s="54">
        <v>0</v>
      </c>
      <c r="H214" s="54">
        <v>0</v>
      </c>
      <c r="I214" s="54">
        <v>0</v>
      </c>
      <c r="J214" s="54">
        <v>0</v>
      </c>
      <c r="K214" s="54">
        <v>0</v>
      </c>
      <c r="L214" s="54">
        <v>0</v>
      </c>
      <c r="M214" s="54">
        <v>0</v>
      </c>
      <c r="N214" s="54">
        <v>0</v>
      </c>
      <c r="O214" s="55">
        <v>0</v>
      </c>
    </row>
    <row r="215" spans="1:15" ht="14.7" customHeight="1" outlineLevel="1" thickBot="1" x14ac:dyDescent="0.6">
      <c r="A215" s="62">
        <v>13</v>
      </c>
      <c r="B215" s="52" t="str">
        <f>$Q$26</f>
        <v>Kamar</v>
      </c>
      <c r="C215" s="63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5">
        <v>0</v>
      </c>
    </row>
    <row r="216" spans="1:15" ht="14.7" customHeight="1" outlineLevel="1" collapsed="1" x14ac:dyDescent="0.55000000000000004"/>
    <row r="217" spans="1:15" ht="14.7" customHeight="1" outlineLevel="1" x14ac:dyDescent="0.55000000000000004"/>
    <row r="218" spans="1:15" ht="14.7" customHeight="1" outlineLevel="1" thickBot="1" x14ac:dyDescent="0.6">
      <c r="B218" s="39" t="str">
        <f>$Q$44</f>
        <v>Çapèse</v>
      </c>
      <c r="C218" s="40" t="str">
        <f>$R$2</f>
        <v>16h</v>
      </c>
      <c r="D218" s="41" t="str">
        <f>$S$2</f>
        <v>17h</v>
      </c>
      <c r="E218" s="41" t="str">
        <f>$T$2</f>
        <v>18h</v>
      </c>
      <c r="F218" s="41" t="str">
        <f>$U$2</f>
        <v>19h</v>
      </c>
      <c r="G218" s="41" t="str">
        <f>$V$2</f>
        <v>20h</v>
      </c>
      <c r="H218" s="41" t="str">
        <f>$W$2</f>
        <v>21h</v>
      </c>
      <c r="I218" s="41" t="str">
        <f>$X$2</f>
        <v>22h</v>
      </c>
      <c r="J218" s="41" t="str">
        <f>$Y$2</f>
        <v>23h</v>
      </c>
      <c r="K218" s="41" t="str">
        <f>$Z$2</f>
        <v>00h</v>
      </c>
      <c r="L218" s="41" t="str">
        <f>$AA$2</f>
        <v>01h</v>
      </c>
      <c r="M218" s="41" t="str">
        <f>$AB$2</f>
        <v>02h</v>
      </c>
      <c r="N218" s="41" t="str">
        <f>$AC$2</f>
        <v>03h</v>
      </c>
      <c r="O218" s="38" t="str">
        <f>$AD$2</f>
        <v>04h</v>
      </c>
    </row>
    <row r="219" spans="1:15" ht="14.7" customHeight="1" outlineLevel="1" x14ac:dyDescent="0.55000000000000004">
      <c r="A219" s="17">
        <v>1</v>
      </c>
      <c r="B219" s="46" t="str">
        <f>$Q$3</f>
        <v>Jennifer</v>
      </c>
      <c r="C219" s="47">
        <v>0</v>
      </c>
      <c r="D219" s="48">
        <v>0</v>
      </c>
      <c r="E219" s="48">
        <v>0</v>
      </c>
      <c r="F219" s="48">
        <v>0</v>
      </c>
      <c r="G219" s="48">
        <v>0</v>
      </c>
      <c r="H219" s="48">
        <v>0</v>
      </c>
      <c r="I219" s="48">
        <v>0</v>
      </c>
      <c r="J219" s="48">
        <v>0</v>
      </c>
      <c r="K219" s="48">
        <v>0</v>
      </c>
      <c r="L219" s="48">
        <v>0</v>
      </c>
      <c r="M219" s="48">
        <v>0</v>
      </c>
      <c r="N219" s="48">
        <v>0</v>
      </c>
      <c r="O219" s="49">
        <v>0</v>
      </c>
    </row>
    <row r="220" spans="1:15" ht="14.7" customHeight="1" outlineLevel="1" x14ac:dyDescent="0.55000000000000004">
      <c r="A220" s="18">
        <v>2</v>
      </c>
      <c r="B220" s="52" t="str">
        <f>$Q$4</f>
        <v>Galileo</v>
      </c>
      <c r="C220" s="53">
        <v>0</v>
      </c>
      <c r="D220" s="54">
        <v>0</v>
      </c>
      <c r="E220" s="54">
        <v>0</v>
      </c>
      <c r="F220" s="54">
        <v>1</v>
      </c>
      <c r="G220" s="54">
        <v>0</v>
      </c>
      <c r="H220" s="54">
        <v>0</v>
      </c>
      <c r="I220" s="54">
        <v>0</v>
      </c>
      <c r="J220" s="54">
        <v>0</v>
      </c>
      <c r="K220" s="54">
        <v>0</v>
      </c>
      <c r="L220" s="54">
        <v>0</v>
      </c>
      <c r="M220" s="54">
        <v>0</v>
      </c>
      <c r="N220" s="54">
        <v>0</v>
      </c>
      <c r="O220" s="55">
        <v>0</v>
      </c>
    </row>
    <row r="221" spans="1:15" ht="14.7" customHeight="1" outlineLevel="1" x14ac:dyDescent="0.55000000000000004">
      <c r="A221" s="18">
        <v>3</v>
      </c>
      <c r="B221" s="52" t="str">
        <f>$Q$5</f>
        <v>Óscar</v>
      </c>
      <c r="C221" s="53">
        <v>0</v>
      </c>
      <c r="D221" s="54">
        <v>0</v>
      </c>
      <c r="E221" s="54">
        <v>0</v>
      </c>
      <c r="F221" s="54">
        <v>0</v>
      </c>
      <c r="G221" s="54">
        <v>0</v>
      </c>
      <c r="H221" s="54">
        <v>0</v>
      </c>
      <c r="I221" s="54">
        <v>0</v>
      </c>
      <c r="J221" s="54">
        <v>0</v>
      </c>
      <c r="K221" s="54">
        <v>0</v>
      </c>
      <c r="L221" s="54">
        <v>0</v>
      </c>
      <c r="M221" s="54">
        <v>0</v>
      </c>
      <c r="N221" s="54">
        <v>0</v>
      </c>
      <c r="O221" s="55">
        <v>0</v>
      </c>
    </row>
    <row r="222" spans="1:15" ht="14.7" customHeight="1" outlineLevel="1" x14ac:dyDescent="0.55000000000000004">
      <c r="A222" s="18">
        <v>4</v>
      </c>
      <c r="B222" s="52" t="str">
        <f>$Q$6</f>
        <v>Sebastián</v>
      </c>
      <c r="C222" s="53">
        <v>0</v>
      </c>
      <c r="D222" s="54">
        <v>0</v>
      </c>
      <c r="E222" s="54">
        <v>0</v>
      </c>
      <c r="F222" s="54">
        <v>0</v>
      </c>
      <c r="G222" s="54">
        <v>0</v>
      </c>
      <c r="H222" s="54">
        <v>0</v>
      </c>
      <c r="I222" s="54">
        <v>0</v>
      </c>
      <c r="J222" s="54">
        <v>0</v>
      </c>
      <c r="K222" s="54">
        <v>0</v>
      </c>
      <c r="L222" s="54">
        <v>0</v>
      </c>
      <c r="M222" s="54">
        <v>0</v>
      </c>
      <c r="N222" s="54">
        <v>0</v>
      </c>
      <c r="O222" s="55">
        <v>0</v>
      </c>
    </row>
    <row r="223" spans="1:15" ht="14.7" customHeight="1" outlineLevel="1" x14ac:dyDescent="0.55000000000000004">
      <c r="A223" s="18">
        <v>5</v>
      </c>
      <c r="B223" s="52" t="str">
        <f>$Q$7</f>
        <v>Marcos</v>
      </c>
      <c r="C223" s="53">
        <v>0</v>
      </c>
      <c r="D223" s="54">
        <v>0</v>
      </c>
      <c r="E223" s="54">
        <v>0</v>
      </c>
      <c r="F223" s="54">
        <v>0</v>
      </c>
      <c r="G223" s="54">
        <v>0</v>
      </c>
      <c r="H223" s="54">
        <v>0</v>
      </c>
      <c r="I223" s="54">
        <v>0</v>
      </c>
      <c r="J223" s="54">
        <v>0</v>
      </c>
      <c r="K223" s="54">
        <v>0</v>
      </c>
      <c r="L223" s="54">
        <v>0</v>
      </c>
      <c r="M223" s="54">
        <v>1</v>
      </c>
      <c r="N223" s="54">
        <v>0</v>
      </c>
      <c r="O223" s="55">
        <v>0</v>
      </c>
    </row>
    <row r="224" spans="1:15" ht="14.7" customHeight="1" outlineLevel="1" x14ac:dyDescent="0.55000000000000004">
      <c r="A224" s="18">
        <v>6</v>
      </c>
      <c r="B224" s="52" t="str">
        <f>$Q$8</f>
        <v>Weixin</v>
      </c>
      <c r="C224" s="53">
        <v>0</v>
      </c>
      <c r="D224" s="54">
        <v>0</v>
      </c>
      <c r="E224" s="54">
        <v>0</v>
      </c>
      <c r="F224" s="54">
        <v>0</v>
      </c>
      <c r="G224" s="54">
        <v>0</v>
      </c>
      <c r="H224" s="54">
        <v>0</v>
      </c>
      <c r="I224" s="54">
        <v>0</v>
      </c>
      <c r="J224" s="54">
        <v>1</v>
      </c>
      <c r="K224" s="54">
        <v>0</v>
      </c>
      <c r="L224" s="54">
        <v>0</v>
      </c>
      <c r="M224" s="54">
        <v>0</v>
      </c>
      <c r="N224" s="54">
        <v>0</v>
      </c>
      <c r="O224" s="55">
        <v>0</v>
      </c>
    </row>
    <row r="225" spans="1:15" ht="14.7" customHeight="1" outlineLevel="1" x14ac:dyDescent="0.55000000000000004">
      <c r="A225" s="18">
        <v>7</v>
      </c>
      <c r="B225" s="52" t="str">
        <f>$Q$9</f>
        <v>Benjamin</v>
      </c>
      <c r="C225" s="53">
        <v>0</v>
      </c>
      <c r="D225" s="54">
        <v>0</v>
      </c>
      <c r="E225" s="54">
        <v>0</v>
      </c>
      <c r="F225" s="54">
        <v>0</v>
      </c>
      <c r="G225" s="54">
        <v>0</v>
      </c>
      <c r="H225" s="54">
        <v>0</v>
      </c>
      <c r="I225" s="54">
        <v>0</v>
      </c>
      <c r="J225" s="54">
        <v>0</v>
      </c>
      <c r="K225" s="54">
        <v>0</v>
      </c>
      <c r="L225" s="54">
        <v>0</v>
      </c>
      <c r="M225" s="54">
        <v>0</v>
      </c>
      <c r="N225" s="54">
        <v>0</v>
      </c>
      <c r="O225" s="55">
        <v>0</v>
      </c>
    </row>
    <row r="226" spans="1:15" ht="14.7" customHeight="1" outlineLevel="1" x14ac:dyDescent="0.55000000000000004">
      <c r="A226" s="18">
        <v>8</v>
      </c>
      <c r="B226" s="52" t="str">
        <f>$Q$10</f>
        <v>Joelle</v>
      </c>
      <c r="C226" s="53">
        <v>0</v>
      </c>
      <c r="D226" s="54">
        <v>0</v>
      </c>
      <c r="E226" s="54">
        <v>0</v>
      </c>
      <c r="F226" s="54">
        <v>0</v>
      </c>
      <c r="G226" s="54">
        <v>0</v>
      </c>
      <c r="H226" s="54">
        <v>0</v>
      </c>
      <c r="I226" s="54">
        <v>0</v>
      </c>
      <c r="J226" s="54">
        <v>0</v>
      </c>
      <c r="K226" s="54">
        <v>0</v>
      </c>
      <c r="L226" s="54">
        <v>0</v>
      </c>
      <c r="M226" s="54">
        <v>0</v>
      </c>
      <c r="N226" s="54">
        <v>0</v>
      </c>
      <c r="O226" s="55">
        <v>0</v>
      </c>
    </row>
    <row r="227" spans="1:15" ht="14.7" customHeight="1" outlineLevel="1" x14ac:dyDescent="0.55000000000000004">
      <c r="A227" s="18">
        <v>9</v>
      </c>
      <c r="B227" s="52" t="str">
        <f>$Q$11</f>
        <v>Alexia</v>
      </c>
      <c r="C227" s="53">
        <v>0</v>
      </c>
      <c r="D227" s="54">
        <v>0</v>
      </c>
      <c r="E227" s="54">
        <v>0</v>
      </c>
      <c r="F227" s="54">
        <v>0</v>
      </c>
      <c r="G227" s="54">
        <v>0</v>
      </c>
      <c r="H227" s="54">
        <v>0</v>
      </c>
      <c r="I227" s="54">
        <v>0</v>
      </c>
      <c r="J227" s="54">
        <v>0</v>
      </c>
      <c r="K227" s="54">
        <v>0</v>
      </c>
      <c r="L227" s="54">
        <v>0</v>
      </c>
      <c r="M227" s="54">
        <v>0</v>
      </c>
      <c r="N227" s="54">
        <v>0</v>
      </c>
      <c r="O227" s="55">
        <v>0</v>
      </c>
    </row>
    <row r="228" spans="1:15" ht="14.7" customHeight="1" outlineLevel="1" x14ac:dyDescent="0.55000000000000004">
      <c r="A228" s="18">
        <v>10</v>
      </c>
      <c r="B228" s="52" t="str">
        <f>$Q$12</f>
        <v>Joao</v>
      </c>
      <c r="C228" s="53">
        <v>0</v>
      </c>
      <c r="D228" s="54">
        <v>0</v>
      </c>
      <c r="E228" s="54">
        <v>0</v>
      </c>
      <c r="F228" s="54">
        <v>0</v>
      </c>
      <c r="G228" s="54">
        <v>0</v>
      </c>
      <c r="H228" s="54">
        <v>0</v>
      </c>
      <c r="I228" s="54">
        <v>1</v>
      </c>
      <c r="J228" s="54">
        <v>0</v>
      </c>
      <c r="K228" s="54">
        <v>0</v>
      </c>
      <c r="L228" s="54">
        <v>0</v>
      </c>
      <c r="M228" s="54">
        <v>0</v>
      </c>
      <c r="N228" s="54">
        <v>0</v>
      </c>
      <c r="O228" s="55">
        <v>0</v>
      </c>
    </row>
    <row r="229" spans="1:15" ht="14.7" customHeight="1" outlineLevel="1" x14ac:dyDescent="0.55000000000000004">
      <c r="A229" s="18">
        <v>11</v>
      </c>
      <c r="B229" s="57" t="str">
        <f>$Q$13</f>
        <v>Maxime</v>
      </c>
      <c r="C229" s="53">
        <v>0</v>
      </c>
      <c r="D229" s="54">
        <v>0</v>
      </c>
      <c r="E229" s="54">
        <v>0</v>
      </c>
      <c r="F229" s="54">
        <v>0</v>
      </c>
      <c r="G229" s="54">
        <v>0</v>
      </c>
      <c r="H229" s="54">
        <v>0</v>
      </c>
      <c r="I229" s="54">
        <v>0</v>
      </c>
      <c r="J229" s="54">
        <v>0</v>
      </c>
      <c r="K229" s="54">
        <v>0</v>
      </c>
      <c r="L229" s="54">
        <v>0</v>
      </c>
      <c r="M229" s="54">
        <v>0</v>
      </c>
      <c r="N229" s="54">
        <v>0</v>
      </c>
      <c r="O229" s="55">
        <v>0</v>
      </c>
    </row>
    <row r="230" spans="1:15" ht="14.7" customHeight="1" outlineLevel="1" x14ac:dyDescent="0.55000000000000004">
      <c r="A230" s="18">
        <v>1</v>
      </c>
      <c r="B230" s="46" t="str">
        <f>$Q$14</f>
        <v>Alex</v>
      </c>
      <c r="C230" s="59">
        <v>0</v>
      </c>
      <c r="D230" s="60">
        <v>1</v>
      </c>
      <c r="E230" s="60">
        <v>0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1">
        <v>0</v>
      </c>
    </row>
    <row r="231" spans="1:15" ht="14.7" customHeight="1" outlineLevel="1" x14ac:dyDescent="0.55000000000000004">
      <c r="A231" s="18">
        <v>2</v>
      </c>
      <c r="B231" s="52" t="str">
        <f>$Q$15</f>
        <v>Alyssa</v>
      </c>
      <c r="C231" s="53">
        <v>0</v>
      </c>
      <c r="D231" s="54">
        <v>0</v>
      </c>
      <c r="E231" s="54">
        <v>0</v>
      </c>
      <c r="F231" s="54">
        <v>0</v>
      </c>
      <c r="G231" s="54">
        <v>0</v>
      </c>
      <c r="H231" s="54">
        <v>0</v>
      </c>
      <c r="I231" s="54">
        <v>0</v>
      </c>
      <c r="J231" s="54">
        <v>0</v>
      </c>
      <c r="K231" s="54">
        <v>0</v>
      </c>
      <c r="L231" s="54">
        <v>0</v>
      </c>
      <c r="M231" s="54">
        <v>0</v>
      </c>
      <c r="N231" s="54">
        <v>0</v>
      </c>
      <c r="O231" s="55">
        <v>0</v>
      </c>
    </row>
    <row r="232" spans="1:15" ht="14.7" customHeight="1" outlineLevel="1" x14ac:dyDescent="0.55000000000000004">
      <c r="A232" s="18">
        <v>3</v>
      </c>
      <c r="B232" s="52" t="str">
        <f>$Q$16</f>
        <v>Amanda</v>
      </c>
      <c r="C232" s="53">
        <v>0</v>
      </c>
      <c r="D232" s="54">
        <v>0</v>
      </c>
      <c r="E232" s="54">
        <v>0</v>
      </c>
      <c r="F232" s="54">
        <v>0</v>
      </c>
      <c r="G232" s="54">
        <v>0</v>
      </c>
      <c r="H232" s="54">
        <v>0</v>
      </c>
      <c r="I232" s="54">
        <v>0</v>
      </c>
      <c r="J232" s="54">
        <v>0</v>
      </c>
      <c r="K232" s="54">
        <v>0</v>
      </c>
      <c r="L232" s="54">
        <v>0</v>
      </c>
      <c r="M232" s="54">
        <v>0</v>
      </c>
      <c r="N232" s="54">
        <v>0</v>
      </c>
      <c r="O232" s="55">
        <v>0</v>
      </c>
    </row>
    <row r="233" spans="1:15" ht="14.7" customHeight="1" outlineLevel="1" x14ac:dyDescent="0.55000000000000004">
      <c r="A233" s="18">
        <v>4</v>
      </c>
      <c r="B233" s="52" t="str">
        <f>$Q$17</f>
        <v>Antoine</v>
      </c>
      <c r="C233" s="53">
        <v>0</v>
      </c>
      <c r="D233" s="54">
        <v>0</v>
      </c>
      <c r="E233" s="54">
        <v>0</v>
      </c>
      <c r="F233" s="54">
        <v>0</v>
      </c>
      <c r="G233" s="54">
        <v>1</v>
      </c>
      <c r="H233" s="54">
        <v>0</v>
      </c>
      <c r="I233" s="54">
        <v>0</v>
      </c>
      <c r="J233" s="54">
        <v>0</v>
      </c>
      <c r="K233" s="54">
        <v>0</v>
      </c>
      <c r="L233" s="54">
        <v>0</v>
      </c>
      <c r="M233" s="54">
        <v>0</v>
      </c>
      <c r="N233" s="54">
        <v>0</v>
      </c>
      <c r="O233" s="55">
        <v>0</v>
      </c>
    </row>
    <row r="234" spans="1:15" ht="14.7" customHeight="1" outlineLevel="1" x14ac:dyDescent="0.55000000000000004">
      <c r="A234" s="18">
        <v>5</v>
      </c>
      <c r="B234" s="52" t="str">
        <f>$Q$18</f>
        <v>Beatriz</v>
      </c>
      <c r="C234" s="53">
        <v>0</v>
      </c>
      <c r="D234" s="54">
        <v>0</v>
      </c>
      <c r="E234" s="54">
        <v>0</v>
      </c>
      <c r="F234" s="54">
        <v>0</v>
      </c>
      <c r="G234" s="54">
        <v>0</v>
      </c>
      <c r="H234" s="54">
        <v>0</v>
      </c>
      <c r="I234" s="54">
        <v>0</v>
      </c>
      <c r="J234" s="54">
        <v>0</v>
      </c>
      <c r="K234" s="54">
        <v>0</v>
      </c>
      <c r="L234" s="54">
        <v>0</v>
      </c>
      <c r="M234" s="54">
        <v>0</v>
      </c>
      <c r="N234" s="54">
        <v>0</v>
      </c>
      <c r="O234" s="55">
        <v>0</v>
      </c>
    </row>
    <row r="235" spans="1:15" ht="14.7" customHeight="1" outlineLevel="1" x14ac:dyDescent="0.55000000000000004">
      <c r="A235" s="18">
        <v>6</v>
      </c>
      <c r="B235" s="52" t="str">
        <f>$Q$19</f>
        <v>Charelle</v>
      </c>
      <c r="C235" s="53">
        <v>0</v>
      </c>
      <c r="D235" s="54">
        <v>0</v>
      </c>
      <c r="E235" s="54">
        <v>0</v>
      </c>
      <c r="F235" s="54">
        <v>0</v>
      </c>
      <c r="G235" s="54">
        <v>0</v>
      </c>
      <c r="H235" s="54">
        <v>1</v>
      </c>
      <c r="I235" s="54">
        <v>0</v>
      </c>
      <c r="J235" s="54">
        <v>0</v>
      </c>
      <c r="K235" s="54">
        <v>0</v>
      </c>
      <c r="L235" s="54">
        <v>0</v>
      </c>
      <c r="M235" s="54">
        <v>0</v>
      </c>
      <c r="N235" s="54">
        <v>0</v>
      </c>
      <c r="O235" s="55">
        <v>0</v>
      </c>
    </row>
    <row r="236" spans="1:15" ht="14.7" customHeight="1" outlineLevel="1" x14ac:dyDescent="0.55000000000000004">
      <c r="A236" s="18">
        <v>7</v>
      </c>
      <c r="B236" s="52" t="str">
        <f>$Q$20</f>
        <v>Dimitri</v>
      </c>
      <c r="C236" s="53">
        <v>0</v>
      </c>
      <c r="D236" s="54">
        <v>0</v>
      </c>
      <c r="E236" s="54">
        <v>0</v>
      </c>
      <c r="F236" s="54">
        <v>0</v>
      </c>
      <c r="G236" s="54">
        <v>0</v>
      </c>
      <c r="H236" s="54">
        <v>0</v>
      </c>
      <c r="I236" s="54">
        <v>0</v>
      </c>
      <c r="J236" s="54">
        <v>0</v>
      </c>
      <c r="K236" s="54">
        <v>0</v>
      </c>
      <c r="L236" s="54">
        <v>1</v>
      </c>
      <c r="M236" s="54">
        <v>0</v>
      </c>
      <c r="N236" s="54">
        <v>0</v>
      </c>
      <c r="O236" s="55">
        <v>0</v>
      </c>
    </row>
    <row r="237" spans="1:15" ht="14.7" customHeight="1" outlineLevel="1" x14ac:dyDescent="0.55000000000000004">
      <c r="A237" s="18">
        <v>8</v>
      </c>
      <c r="B237" s="52" t="str">
        <f>$Q$21</f>
        <v>Marina</v>
      </c>
      <c r="C237" s="53">
        <v>0</v>
      </c>
      <c r="D237" s="54">
        <v>0</v>
      </c>
      <c r="E237" s="54">
        <v>0</v>
      </c>
      <c r="F237" s="54">
        <v>0</v>
      </c>
      <c r="G237" s="54">
        <v>0</v>
      </c>
      <c r="H237" s="54">
        <v>0</v>
      </c>
      <c r="I237" s="54">
        <v>0</v>
      </c>
      <c r="J237" s="54">
        <v>0</v>
      </c>
      <c r="K237" s="54">
        <v>0</v>
      </c>
      <c r="L237" s="54">
        <v>0</v>
      </c>
      <c r="M237" s="54">
        <v>0</v>
      </c>
      <c r="N237" s="54">
        <v>0</v>
      </c>
      <c r="O237" s="55">
        <v>0</v>
      </c>
    </row>
    <row r="238" spans="1:15" ht="14.7" customHeight="1" outlineLevel="1" x14ac:dyDescent="0.55000000000000004">
      <c r="A238" s="18">
        <v>9</v>
      </c>
      <c r="B238" s="52" t="str">
        <f>$Q$22</f>
        <v>Michel</v>
      </c>
      <c r="C238" s="53">
        <v>0</v>
      </c>
      <c r="D238" s="54">
        <v>0</v>
      </c>
      <c r="E238" s="54">
        <v>0</v>
      </c>
      <c r="F238" s="54">
        <v>0</v>
      </c>
      <c r="G238" s="54">
        <v>0</v>
      </c>
      <c r="H238" s="54">
        <v>0</v>
      </c>
      <c r="I238" s="54">
        <v>0</v>
      </c>
      <c r="J238" s="54">
        <v>0</v>
      </c>
      <c r="K238" s="54">
        <v>0</v>
      </c>
      <c r="L238" s="54">
        <v>0</v>
      </c>
      <c r="M238" s="54">
        <v>0</v>
      </c>
      <c r="N238" s="54">
        <v>0</v>
      </c>
      <c r="O238" s="55">
        <v>0</v>
      </c>
    </row>
    <row r="239" spans="1:15" ht="14.7" customHeight="1" outlineLevel="1" x14ac:dyDescent="0.55000000000000004">
      <c r="A239" s="18">
        <v>10</v>
      </c>
      <c r="B239" s="52" t="str">
        <f>$Q$23</f>
        <v>Nour</v>
      </c>
      <c r="C239" s="53">
        <v>0</v>
      </c>
      <c r="D239" s="54">
        <v>0</v>
      </c>
      <c r="E239" s="54">
        <v>0</v>
      </c>
      <c r="F239" s="54">
        <v>0</v>
      </c>
      <c r="G239" s="54">
        <v>0</v>
      </c>
      <c r="H239" s="54">
        <v>0</v>
      </c>
      <c r="I239" s="54">
        <v>0</v>
      </c>
      <c r="J239" s="54">
        <v>0</v>
      </c>
      <c r="K239" s="54">
        <v>0</v>
      </c>
      <c r="L239" s="54">
        <v>0</v>
      </c>
      <c r="M239" s="54">
        <v>0</v>
      </c>
      <c r="N239" s="54">
        <v>0</v>
      </c>
      <c r="O239" s="55">
        <v>0</v>
      </c>
    </row>
    <row r="240" spans="1:15" ht="14.7" customHeight="1" outlineLevel="1" x14ac:dyDescent="0.55000000000000004">
      <c r="A240" s="18">
        <v>11</v>
      </c>
      <c r="B240" s="52" t="str">
        <f>$Q$24</f>
        <v>Samuel</v>
      </c>
      <c r="C240" s="53">
        <v>0</v>
      </c>
      <c r="D240" s="54">
        <v>0</v>
      </c>
      <c r="E240" s="54">
        <v>0</v>
      </c>
      <c r="F240" s="54">
        <v>0</v>
      </c>
      <c r="G240" s="54">
        <v>0</v>
      </c>
      <c r="H240" s="54">
        <v>0</v>
      </c>
      <c r="I240" s="54">
        <v>0</v>
      </c>
      <c r="J240" s="54">
        <v>0</v>
      </c>
      <c r="K240" s="54">
        <v>0</v>
      </c>
      <c r="L240" s="54">
        <v>0</v>
      </c>
      <c r="M240" s="54">
        <v>0</v>
      </c>
      <c r="N240" s="54">
        <v>0</v>
      </c>
      <c r="O240" s="55">
        <v>0</v>
      </c>
    </row>
    <row r="241" spans="1:15" ht="14.7" customHeight="1" outlineLevel="1" x14ac:dyDescent="0.55000000000000004">
      <c r="A241" s="18">
        <v>12</v>
      </c>
      <c r="B241" s="52" t="str">
        <f>$Q$25</f>
        <v>Yassin</v>
      </c>
      <c r="C241" s="53">
        <v>0</v>
      </c>
      <c r="D241" s="54">
        <v>0</v>
      </c>
      <c r="E241" s="54">
        <v>0</v>
      </c>
      <c r="F241" s="54">
        <v>0</v>
      </c>
      <c r="G241" s="54">
        <v>0</v>
      </c>
      <c r="H241" s="54">
        <v>0</v>
      </c>
      <c r="I241" s="54">
        <v>0</v>
      </c>
      <c r="J241" s="54">
        <v>0</v>
      </c>
      <c r="K241" s="54">
        <v>1</v>
      </c>
      <c r="L241" s="54">
        <v>0</v>
      </c>
      <c r="M241" s="54">
        <v>0</v>
      </c>
      <c r="N241" s="54">
        <v>0</v>
      </c>
      <c r="O241" s="55">
        <v>0</v>
      </c>
    </row>
    <row r="242" spans="1:15" ht="14.7" customHeight="1" outlineLevel="1" thickBot="1" x14ac:dyDescent="0.6">
      <c r="A242" s="62">
        <v>13</v>
      </c>
      <c r="B242" s="52" t="str">
        <f>$Q$26</f>
        <v>Kamar</v>
      </c>
      <c r="C242" s="63">
        <v>0</v>
      </c>
      <c r="D242" s="64">
        <v>0</v>
      </c>
      <c r="E242" s="64">
        <v>1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5">
        <v>0</v>
      </c>
    </row>
    <row r="243" spans="1:15" ht="14.7" customHeight="1" outlineLevel="1" collapsed="1" x14ac:dyDescent="0.55000000000000004"/>
    <row r="244" spans="1:15" ht="14.7" customHeight="1" outlineLevel="1" x14ac:dyDescent="0.55000000000000004"/>
    <row r="245" spans="1:15" ht="14.7" customHeight="1" outlineLevel="1" thickBot="1" x14ac:dyDescent="0.6">
      <c r="B245" s="39" t="str">
        <f>$Q$45</f>
        <v>Tidying</v>
      </c>
      <c r="C245" s="40" t="str">
        <f>$R$2</f>
        <v>16h</v>
      </c>
      <c r="D245" s="41" t="str">
        <f>$S$2</f>
        <v>17h</v>
      </c>
      <c r="E245" s="41" t="str">
        <f>$T$2</f>
        <v>18h</v>
      </c>
      <c r="F245" s="41" t="str">
        <f>$U$2</f>
        <v>19h</v>
      </c>
      <c r="G245" s="41" t="str">
        <f>$V$2</f>
        <v>20h</v>
      </c>
      <c r="H245" s="41" t="str">
        <f>$W$2</f>
        <v>21h</v>
      </c>
      <c r="I245" s="41" t="str">
        <f>$X$2</f>
        <v>22h</v>
      </c>
      <c r="J245" s="41" t="str">
        <f>$Y$2</f>
        <v>23h</v>
      </c>
      <c r="K245" s="41" t="str">
        <f>$Z$2</f>
        <v>00h</v>
      </c>
      <c r="L245" s="41" t="str">
        <f>$AA$2</f>
        <v>01h</v>
      </c>
      <c r="M245" s="41" t="str">
        <f>$AB$2</f>
        <v>02h</v>
      </c>
      <c r="N245" s="41" t="str">
        <f>$AC$2</f>
        <v>03h</v>
      </c>
      <c r="O245" s="38" t="str">
        <f>$AD$2</f>
        <v>04h</v>
      </c>
    </row>
    <row r="246" spans="1:15" ht="14.7" customHeight="1" outlineLevel="1" x14ac:dyDescent="0.55000000000000004">
      <c r="A246" s="17">
        <v>1</v>
      </c>
      <c r="B246" s="46" t="str">
        <f>$Q$3</f>
        <v>Jennifer</v>
      </c>
      <c r="C246" s="47">
        <v>0</v>
      </c>
      <c r="D246" s="48">
        <v>0</v>
      </c>
      <c r="E246" s="48">
        <v>0</v>
      </c>
      <c r="F246" s="48">
        <v>0</v>
      </c>
      <c r="G246" s="48">
        <v>0</v>
      </c>
      <c r="H246" s="48">
        <v>0</v>
      </c>
      <c r="I246" s="48">
        <v>0</v>
      </c>
      <c r="J246" s="48">
        <v>0</v>
      </c>
      <c r="K246" s="48">
        <v>0</v>
      </c>
      <c r="L246" s="48">
        <v>0</v>
      </c>
      <c r="M246" s="48">
        <v>0</v>
      </c>
      <c r="N246" s="48">
        <v>1</v>
      </c>
      <c r="O246" s="49">
        <v>1</v>
      </c>
    </row>
    <row r="247" spans="1:15" ht="14.7" customHeight="1" outlineLevel="1" x14ac:dyDescent="0.55000000000000004">
      <c r="A247" s="18">
        <v>2</v>
      </c>
      <c r="B247" s="52" t="str">
        <f>$Q$4</f>
        <v>Galileo</v>
      </c>
      <c r="C247" s="53">
        <v>0</v>
      </c>
      <c r="D247" s="54">
        <v>0</v>
      </c>
      <c r="E247" s="54">
        <v>0</v>
      </c>
      <c r="F247" s="54">
        <v>0</v>
      </c>
      <c r="G247" s="54">
        <v>0</v>
      </c>
      <c r="H247" s="54">
        <v>0</v>
      </c>
      <c r="I247" s="54">
        <v>0</v>
      </c>
      <c r="J247" s="54">
        <v>0</v>
      </c>
      <c r="K247" s="54">
        <v>0</v>
      </c>
      <c r="L247" s="54">
        <v>0</v>
      </c>
      <c r="M247" s="54">
        <v>0</v>
      </c>
      <c r="N247" s="54">
        <v>0</v>
      </c>
      <c r="O247" s="55">
        <v>1</v>
      </c>
    </row>
    <row r="248" spans="1:15" ht="14.7" customHeight="1" outlineLevel="1" x14ac:dyDescent="0.55000000000000004">
      <c r="A248" s="18">
        <v>3</v>
      </c>
      <c r="B248" s="52" t="str">
        <f>$Q$5</f>
        <v>Óscar</v>
      </c>
      <c r="C248" s="53">
        <v>0</v>
      </c>
      <c r="D248" s="54">
        <v>0</v>
      </c>
      <c r="E248" s="54">
        <v>0</v>
      </c>
      <c r="F248" s="54">
        <v>0</v>
      </c>
      <c r="G248" s="54">
        <v>0</v>
      </c>
      <c r="H248" s="54">
        <v>0</v>
      </c>
      <c r="I248" s="54">
        <v>0</v>
      </c>
      <c r="J248" s="54">
        <v>0</v>
      </c>
      <c r="K248" s="54">
        <v>0</v>
      </c>
      <c r="L248" s="54">
        <v>0</v>
      </c>
      <c r="M248" s="54">
        <v>0</v>
      </c>
      <c r="N248" s="54">
        <v>0</v>
      </c>
      <c r="O248" s="55">
        <v>1</v>
      </c>
    </row>
    <row r="249" spans="1:15" ht="14.7" customHeight="1" outlineLevel="1" x14ac:dyDescent="0.55000000000000004">
      <c r="A249" s="18">
        <v>4</v>
      </c>
      <c r="B249" s="52" t="str">
        <f>$Q$6</f>
        <v>Sebastián</v>
      </c>
      <c r="C249" s="53">
        <v>0</v>
      </c>
      <c r="D249" s="54">
        <v>0</v>
      </c>
      <c r="E249" s="54">
        <v>0</v>
      </c>
      <c r="F249" s="54">
        <v>0</v>
      </c>
      <c r="G249" s="54">
        <v>0</v>
      </c>
      <c r="H249" s="54">
        <v>0</v>
      </c>
      <c r="I249" s="54">
        <v>0</v>
      </c>
      <c r="J249" s="54">
        <v>0</v>
      </c>
      <c r="K249" s="54">
        <v>0</v>
      </c>
      <c r="L249" s="54">
        <v>0</v>
      </c>
      <c r="M249" s="54">
        <v>0</v>
      </c>
      <c r="N249" s="54">
        <v>1</v>
      </c>
      <c r="O249" s="55">
        <v>0</v>
      </c>
    </row>
    <row r="250" spans="1:15" ht="14.7" customHeight="1" outlineLevel="1" x14ac:dyDescent="0.55000000000000004">
      <c r="A250" s="18">
        <v>5</v>
      </c>
      <c r="B250" s="52" t="str">
        <f>$Q$7</f>
        <v>Marcos</v>
      </c>
      <c r="C250" s="53">
        <v>0</v>
      </c>
      <c r="D250" s="54">
        <v>0</v>
      </c>
      <c r="E250" s="54">
        <v>0</v>
      </c>
      <c r="F250" s="54">
        <v>0</v>
      </c>
      <c r="G250" s="54">
        <v>0</v>
      </c>
      <c r="H250" s="54">
        <v>0</v>
      </c>
      <c r="I250" s="54">
        <v>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  <c r="O250" s="55">
        <v>0</v>
      </c>
    </row>
    <row r="251" spans="1:15" ht="14.7" customHeight="1" outlineLevel="1" x14ac:dyDescent="0.55000000000000004">
      <c r="A251" s="18">
        <v>6</v>
      </c>
      <c r="B251" s="52" t="str">
        <f>$Q$8</f>
        <v>Weixin</v>
      </c>
      <c r="C251" s="53">
        <v>0</v>
      </c>
      <c r="D251" s="54">
        <v>0</v>
      </c>
      <c r="E251" s="54">
        <v>0</v>
      </c>
      <c r="F251" s="54">
        <v>0</v>
      </c>
      <c r="G251" s="54">
        <v>0</v>
      </c>
      <c r="H251" s="54">
        <v>0</v>
      </c>
      <c r="I251" s="54">
        <v>0</v>
      </c>
      <c r="J251" s="54">
        <v>0</v>
      </c>
      <c r="K251" s="54">
        <v>0</v>
      </c>
      <c r="L251" s="54">
        <v>0</v>
      </c>
      <c r="M251" s="54">
        <v>0</v>
      </c>
      <c r="N251" s="54">
        <v>1</v>
      </c>
      <c r="O251" s="55">
        <v>0</v>
      </c>
    </row>
    <row r="252" spans="1:15" ht="14.7" customHeight="1" outlineLevel="1" x14ac:dyDescent="0.55000000000000004">
      <c r="A252" s="18">
        <v>7</v>
      </c>
      <c r="B252" s="52" t="str">
        <f>$Q$9</f>
        <v>Benjamin</v>
      </c>
      <c r="C252" s="53">
        <v>0</v>
      </c>
      <c r="D252" s="54">
        <v>0</v>
      </c>
      <c r="E252" s="54">
        <v>0</v>
      </c>
      <c r="F252" s="54">
        <v>0</v>
      </c>
      <c r="G252" s="54">
        <v>0</v>
      </c>
      <c r="H252" s="54">
        <v>0</v>
      </c>
      <c r="I252" s="54">
        <v>0</v>
      </c>
      <c r="J252" s="54">
        <v>0</v>
      </c>
      <c r="K252" s="54">
        <v>0</v>
      </c>
      <c r="L252" s="54">
        <v>0</v>
      </c>
      <c r="M252" s="54">
        <v>0</v>
      </c>
      <c r="N252" s="54">
        <v>0</v>
      </c>
      <c r="O252" s="55">
        <v>0</v>
      </c>
    </row>
    <row r="253" spans="1:15" ht="14.7" customHeight="1" outlineLevel="1" x14ac:dyDescent="0.55000000000000004">
      <c r="A253" s="18">
        <v>8</v>
      </c>
      <c r="B253" s="52" t="str">
        <f>$Q$10</f>
        <v>Joelle</v>
      </c>
      <c r="C253" s="53">
        <v>0</v>
      </c>
      <c r="D253" s="54">
        <v>0</v>
      </c>
      <c r="E253" s="54">
        <v>0</v>
      </c>
      <c r="F253" s="54">
        <v>0</v>
      </c>
      <c r="G253" s="54">
        <v>0</v>
      </c>
      <c r="H253" s="54">
        <v>0</v>
      </c>
      <c r="I253" s="54">
        <v>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  <c r="O253" s="55">
        <v>1</v>
      </c>
    </row>
    <row r="254" spans="1:15" ht="14.7" customHeight="1" outlineLevel="1" x14ac:dyDescent="0.55000000000000004">
      <c r="A254" s="18">
        <v>9</v>
      </c>
      <c r="B254" s="52" t="str">
        <f>$Q$11</f>
        <v>Alexia</v>
      </c>
      <c r="C254" s="53">
        <v>0</v>
      </c>
      <c r="D254" s="54">
        <v>0</v>
      </c>
      <c r="E254" s="54">
        <v>0</v>
      </c>
      <c r="F254" s="54">
        <v>0</v>
      </c>
      <c r="G254" s="54">
        <v>0</v>
      </c>
      <c r="H254" s="54">
        <v>0</v>
      </c>
      <c r="I254" s="54">
        <v>0</v>
      </c>
      <c r="J254" s="54">
        <v>0</v>
      </c>
      <c r="K254" s="54">
        <v>0</v>
      </c>
      <c r="L254" s="54">
        <v>0</v>
      </c>
      <c r="M254" s="54">
        <v>0</v>
      </c>
      <c r="N254" s="54">
        <v>0</v>
      </c>
      <c r="O254" s="55">
        <v>1</v>
      </c>
    </row>
    <row r="255" spans="1:15" ht="14.7" customHeight="1" outlineLevel="1" x14ac:dyDescent="0.55000000000000004">
      <c r="A255" s="18">
        <v>10</v>
      </c>
      <c r="B255" s="52" t="str">
        <f>$Q$12</f>
        <v>Joao</v>
      </c>
      <c r="C255" s="53">
        <v>0</v>
      </c>
      <c r="D255" s="54">
        <v>0</v>
      </c>
      <c r="E255" s="54">
        <v>0</v>
      </c>
      <c r="F255" s="54">
        <v>0</v>
      </c>
      <c r="G255" s="54">
        <v>0</v>
      </c>
      <c r="H255" s="54">
        <v>0</v>
      </c>
      <c r="I255" s="54">
        <v>0</v>
      </c>
      <c r="J255" s="54">
        <v>0</v>
      </c>
      <c r="K255" s="54">
        <v>0</v>
      </c>
      <c r="L255" s="54">
        <v>0</v>
      </c>
      <c r="M255" s="54">
        <v>0</v>
      </c>
      <c r="N255" s="54">
        <v>1</v>
      </c>
      <c r="O255" s="55">
        <v>0</v>
      </c>
    </row>
    <row r="256" spans="1:15" ht="14.7" customHeight="1" outlineLevel="1" x14ac:dyDescent="0.55000000000000004">
      <c r="A256" s="18">
        <v>11</v>
      </c>
      <c r="B256" s="57" t="str">
        <f>$Q$13</f>
        <v>Maxime</v>
      </c>
      <c r="C256" s="53">
        <v>0</v>
      </c>
      <c r="D256" s="54">
        <v>0</v>
      </c>
      <c r="E256" s="54">
        <v>0</v>
      </c>
      <c r="F256" s="54">
        <v>0</v>
      </c>
      <c r="G256" s="54">
        <v>0</v>
      </c>
      <c r="H256" s="54">
        <v>0</v>
      </c>
      <c r="I256" s="54">
        <v>0</v>
      </c>
      <c r="J256" s="54">
        <v>0</v>
      </c>
      <c r="K256" s="54">
        <v>0</v>
      </c>
      <c r="L256" s="54">
        <v>0</v>
      </c>
      <c r="M256" s="54">
        <v>0</v>
      </c>
      <c r="N256" s="54">
        <v>0</v>
      </c>
      <c r="O256" s="55">
        <v>0</v>
      </c>
    </row>
    <row r="257" spans="1:15" ht="14.7" customHeight="1" outlineLevel="1" x14ac:dyDescent="0.55000000000000004">
      <c r="A257" s="18">
        <v>1</v>
      </c>
      <c r="B257" s="46" t="str">
        <f>$Q$14</f>
        <v>Alex</v>
      </c>
      <c r="C257" s="59">
        <v>0</v>
      </c>
      <c r="D257" s="60">
        <v>0</v>
      </c>
      <c r="E257" s="60">
        <v>0</v>
      </c>
      <c r="F257" s="60">
        <v>0</v>
      </c>
      <c r="G257" s="60">
        <v>0</v>
      </c>
      <c r="H257" s="60">
        <v>0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1">
        <v>1</v>
      </c>
    </row>
    <row r="258" spans="1:15" ht="14.7" customHeight="1" outlineLevel="1" x14ac:dyDescent="0.55000000000000004">
      <c r="A258" s="18">
        <v>2</v>
      </c>
      <c r="B258" s="52" t="str">
        <f>$Q$15</f>
        <v>Alyssa</v>
      </c>
      <c r="C258" s="53">
        <v>0</v>
      </c>
      <c r="D258" s="54">
        <v>0</v>
      </c>
      <c r="E258" s="54">
        <v>0</v>
      </c>
      <c r="F258" s="54">
        <v>0</v>
      </c>
      <c r="G258" s="54">
        <v>0</v>
      </c>
      <c r="H258" s="54">
        <v>0</v>
      </c>
      <c r="I258" s="54">
        <v>0</v>
      </c>
      <c r="J258" s="54">
        <v>0</v>
      </c>
      <c r="K258" s="54">
        <v>0</v>
      </c>
      <c r="L258" s="54">
        <v>0</v>
      </c>
      <c r="M258" s="54">
        <v>0</v>
      </c>
      <c r="N258" s="54">
        <v>1</v>
      </c>
      <c r="O258" s="55">
        <v>1</v>
      </c>
    </row>
    <row r="259" spans="1:15" ht="14.7" customHeight="1" outlineLevel="1" x14ac:dyDescent="0.55000000000000004">
      <c r="A259" s="18">
        <v>3</v>
      </c>
      <c r="B259" s="52" t="str">
        <f>$Q$16</f>
        <v>Amanda</v>
      </c>
      <c r="C259" s="53">
        <v>0</v>
      </c>
      <c r="D259" s="54">
        <v>0</v>
      </c>
      <c r="E259" s="54">
        <v>0</v>
      </c>
      <c r="F259" s="54">
        <v>0</v>
      </c>
      <c r="G259" s="54">
        <v>0</v>
      </c>
      <c r="H259" s="54">
        <v>0</v>
      </c>
      <c r="I259" s="54">
        <v>0</v>
      </c>
      <c r="J259" s="54">
        <v>0</v>
      </c>
      <c r="K259" s="54">
        <v>0</v>
      </c>
      <c r="L259" s="54">
        <v>0</v>
      </c>
      <c r="M259" s="54">
        <v>0</v>
      </c>
      <c r="N259" s="54">
        <v>0</v>
      </c>
      <c r="O259" s="55">
        <v>1</v>
      </c>
    </row>
    <row r="260" spans="1:15" ht="14.7" customHeight="1" outlineLevel="1" x14ac:dyDescent="0.55000000000000004">
      <c r="A260" s="18">
        <v>4</v>
      </c>
      <c r="B260" s="52" t="str">
        <f>$Q$17</f>
        <v>Antoine</v>
      </c>
      <c r="C260" s="53">
        <v>0</v>
      </c>
      <c r="D260" s="54">
        <v>0</v>
      </c>
      <c r="E260" s="54">
        <v>0</v>
      </c>
      <c r="F260" s="54">
        <v>0</v>
      </c>
      <c r="G260" s="54">
        <v>0</v>
      </c>
      <c r="H260" s="54">
        <v>0</v>
      </c>
      <c r="I260" s="54">
        <v>0</v>
      </c>
      <c r="J260" s="54">
        <v>0</v>
      </c>
      <c r="K260" s="54">
        <v>0</v>
      </c>
      <c r="L260" s="54">
        <v>0</v>
      </c>
      <c r="M260" s="54">
        <v>0</v>
      </c>
      <c r="N260" s="54">
        <v>1</v>
      </c>
      <c r="O260" s="55">
        <v>0</v>
      </c>
    </row>
    <row r="261" spans="1:15" ht="14.7" customHeight="1" outlineLevel="1" x14ac:dyDescent="0.55000000000000004">
      <c r="A261" s="18">
        <v>5</v>
      </c>
      <c r="B261" s="52" t="str">
        <f>$Q$18</f>
        <v>Beatriz</v>
      </c>
      <c r="C261" s="53">
        <v>0</v>
      </c>
      <c r="D261" s="54">
        <v>0</v>
      </c>
      <c r="E261" s="54">
        <v>0</v>
      </c>
      <c r="F261" s="54">
        <v>0</v>
      </c>
      <c r="G261" s="54">
        <v>0</v>
      </c>
      <c r="H261" s="54">
        <v>0</v>
      </c>
      <c r="I261" s="54">
        <v>0</v>
      </c>
      <c r="J261" s="54">
        <v>0</v>
      </c>
      <c r="K261" s="54">
        <v>0</v>
      </c>
      <c r="L261" s="54">
        <v>0</v>
      </c>
      <c r="M261" s="54">
        <v>0</v>
      </c>
      <c r="N261" s="54">
        <v>1</v>
      </c>
      <c r="O261" s="55">
        <v>1</v>
      </c>
    </row>
    <row r="262" spans="1:15" ht="14.7" customHeight="1" outlineLevel="1" x14ac:dyDescent="0.55000000000000004">
      <c r="A262" s="18">
        <v>6</v>
      </c>
      <c r="B262" s="52" t="str">
        <f>$Q$19</f>
        <v>Charelle</v>
      </c>
      <c r="C262" s="53">
        <v>0</v>
      </c>
      <c r="D262" s="54">
        <v>0</v>
      </c>
      <c r="E262" s="54">
        <v>0</v>
      </c>
      <c r="F262" s="54">
        <v>0</v>
      </c>
      <c r="G262" s="54">
        <v>0</v>
      </c>
      <c r="H262" s="54">
        <v>0</v>
      </c>
      <c r="I262" s="54">
        <v>0</v>
      </c>
      <c r="J262" s="54">
        <v>0</v>
      </c>
      <c r="K262" s="54">
        <v>0</v>
      </c>
      <c r="L262" s="54">
        <v>0</v>
      </c>
      <c r="M262" s="54">
        <v>0</v>
      </c>
      <c r="N262" s="54">
        <v>0</v>
      </c>
      <c r="O262" s="55">
        <v>0</v>
      </c>
    </row>
    <row r="263" spans="1:15" ht="14.7" customHeight="1" outlineLevel="1" x14ac:dyDescent="0.55000000000000004">
      <c r="A263" s="18">
        <v>7</v>
      </c>
      <c r="B263" s="52" t="str">
        <f>$Q$20</f>
        <v>Dimitri</v>
      </c>
      <c r="C263" s="53">
        <v>0</v>
      </c>
      <c r="D263" s="54">
        <v>0</v>
      </c>
      <c r="E263" s="54">
        <v>0</v>
      </c>
      <c r="F263" s="54">
        <v>0</v>
      </c>
      <c r="G263" s="54">
        <v>0</v>
      </c>
      <c r="H263" s="54">
        <v>0</v>
      </c>
      <c r="I263" s="54">
        <v>0</v>
      </c>
      <c r="J263" s="54">
        <v>0</v>
      </c>
      <c r="K263" s="54">
        <v>0</v>
      </c>
      <c r="L263" s="54">
        <v>0</v>
      </c>
      <c r="M263" s="54">
        <v>0</v>
      </c>
      <c r="N263" s="54">
        <v>1</v>
      </c>
      <c r="O263" s="55">
        <v>0</v>
      </c>
    </row>
    <row r="264" spans="1:15" ht="14.7" customHeight="1" outlineLevel="1" x14ac:dyDescent="0.55000000000000004">
      <c r="A264" s="18">
        <v>8</v>
      </c>
      <c r="B264" s="52" t="str">
        <f>$Q$21</f>
        <v>Marina</v>
      </c>
      <c r="C264" s="53">
        <v>0</v>
      </c>
      <c r="D264" s="54">
        <v>0</v>
      </c>
      <c r="E264" s="54">
        <v>0</v>
      </c>
      <c r="F264" s="54">
        <v>0</v>
      </c>
      <c r="G264" s="54">
        <v>0</v>
      </c>
      <c r="H264" s="54">
        <v>0</v>
      </c>
      <c r="I264" s="54">
        <v>0</v>
      </c>
      <c r="J264" s="54">
        <v>0</v>
      </c>
      <c r="K264" s="54">
        <v>0</v>
      </c>
      <c r="L264" s="54">
        <v>0</v>
      </c>
      <c r="M264" s="54">
        <v>0</v>
      </c>
      <c r="N264" s="54">
        <v>0</v>
      </c>
      <c r="O264" s="55">
        <v>0</v>
      </c>
    </row>
    <row r="265" spans="1:15" ht="14.7" customHeight="1" outlineLevel="1" x14ac:dyDescent="0.55000000000000004">
      <c r="A265" s="18">
        <v>9</v>
      </c>
      <c r="B265" s="52" t="str">
        <f>$Q$22</f>
        <v>Michel</v>
      </c>
      <c r="C265" s="53">
        <v>0</v>
      </c>
      <c r="D265" s="54">
        <v>0</v>
      </c>
      <c r="E265" s="54">
        <v>0</v>
      </c>
      <c r="F265" s="54">
        <v>0</v>
      </c>
      <c r="G265" s="54">
        <v>0</v>
      </c>
      <c r="H265" s="54">
        <v>0</v>
      </c>
      <c r="I265" s="54">
        <v>0</v>
      </c>
      <c r="J265" s="54">
        <v>0</v>
      </c>
      <c r="K265" s="54">
        <v>0</v>
      </c>
      <c r="L265" s="54">
        <v>0</v>
      </c>
      <c r="M265" s="54">
        <v>0</v>
      </c>
      <c r="N265" s="54">
        <v>1</v>
      </c>
      <c r="O265" s="55">
        <v>1</v>
      </c>
    </row>
    <row r="266" spans="1:15" ht="14.7" customHeight="1" outlineLevel="1" x14ac:dyDescent="0.55000000000000004">
      <c r="A266" s="18">
        <v>10</v>
      </c>
      <c r="B266" s="52" t="str">
        <f>$Q$23</f>
        <v>Nour</v>
      </c>
      <c r="C266" s="53">
        <v>0</v>
      </c>
      <c r="D266" s="54">
        <v>0</v>
      </c>
      <c r="E266" s="54">
        <v>0</v>
      </c>
      <c r="F266" s="54">
        <v>0</v>
      </c>
      <c r="G266" s="54">
        <v>0</v>
      </c>
      <c r="H266" s="54">
        <v>0</v>
      </c>
      <c r="I266" s="54">
        <v>0</v>
      </c>
      <c r="J266" s="54">
        <v>0</v>
      </c>
      <c r="K266" s="54">
        <v>0</v>
      </c>
      <c r="L266" s="54">
        <v>0</v>
      </c>
      <c r="M266" s="54">
        <v>0</v>
      </c>
      <c r="N266" s="54">
        <v>1</v>
      </c>
      <c r="O266" s="55">
        <v>1</v>
      </c>
    </row>
    <row r="267" spans="1:15" ht="14.7" customHeight="1" outlineLevel="1" x14ac:dyDescent="0.55000000000000004">
      <c r="A267" s="18">
        <v>11</v>
      </c>
      <c r="B267" s="52" t="str">
        <f>$Q$24</f>
        <v>Samuel</v>
      </c>
      <c r="C267" s="53">
        <v>0</v>
      </c>
      <c r="D267" s="54">
        <v>0</v>
      </c>
      <c r="E267" s="54">
        <v>0</v>
      </c>
      <c r="F267" s="54">
        <v>0</v>
      </c>
      <c r="G267" s="54">
        <v>0</v>
      </c>
      <c r="H267" s="54">
        <v>0</v>
      </c>
      <c r="I267" s="54">
        <v>0</v>
      </c>
      <c r="J267" s="54">
        <v>0</v>
      </c>
      <c r="K267" s="54">
        <v>0</v>
      </c>
      <c r="L267" s="54">
        <v>0</v>
      </c>
      <c r="M267" s="54">
        <v>0</v>
      </c>
      <c r="N267" s="54">
        <v>0</v>
      </c>
      <c r="O267" s="55">
        <v>1</v>
      </c>
    </row>
    <row r="268" spans="1:15" ht="14.7" customHeight="1" outlineLevel="1" x14ac:dyDescent="0.55000000000000004">
      <c r="A268" s="18">
        <v>12</v>
      </c>
      <c r="B268" s="52" t="str">
        <f>$Q$25</f>
        <v>Yassin</v>
      </c>
      <c r="C268" s="53">
        <v>0</v>
      </c>
      <c r="D268" s="54">
        <v>0</v>
      </c>
      <c r="E268" s="54">
        <v>0</v>
      </c>
      <c r="F268" s="54">
        <v>0</v>
      </c>
      <c r="G268" s="54">
        <v>0</v>
      </c>
      <c r="H268" s="54">
        <v>0</v>
      </c>
      <c r="I268" s="54">
        <v>0</v>
      </c>
      <c r="J268" s="54">
        <v>0</v>
      </c>
      <c r="K268" s="54">
        <v>0</v>
      </c>
      <c r="L268" s="54">
        <v>0</v>
      </c>
      <c r="M268" s="54">
        <v>0</v>
      </c>
      <c r="N268" s="54">
        <v>1</v>
      </c>
      <c r="O268" s="55">
        <v>0</v>
      </c>
    </row>
    <row r="269" spans="1:15" ht="14.7" customHeight="1" outlineLevel="1" thickBot="1" x14ac:dyDescent="0.6">
      <c r="A269" s="62">
        <v>13</v>
      </c>
      <c r="B269" s="52" t="str">
        <f>$Q$26</f>
        <v>Kamar</v>
      </c>
      <c r="C269" s="63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1</v>
      </c>
      <c r="O269" s="65">
        <v>0</v>
      </c>
    </row>
    <row r="270" spans="1:15" ht="14.7" customHeight="1" outlineLevel="1" collapsed="1" x14ac:dyDescent="0.55000000000000004"/>
    <row r="271" spans="1:15" ht="14.7" customHeight="1" outlineLevel="1" x14ac:dyDescent="0.55000000000000004"/>
    <row r="272" spans="1:15" ht="14.7" customHeight="1" outlineLevel="1" thickBot="1" x14ac:dyDescent="0.6">
      <c r="B272" s="39" t="str">
        <f>$Q$46</f>
        <v>Volante</v>
      </c>
      <c r="C272" s="40" t="str">
        <f>$R$2</f>
        <v>16h</v>
      </c>
      <c r="D272" s="41" t="str">
        <f>$S$2</f>
        <v>17h</v>
      </c>
      <c r="E272" s="41" t="str">
        <f>$T$2</f>
        <v>18h</v>
      </c>
      <c r="F272" s="41" t="str">
        <f>$U$2</f>
        <v>19h</v>
      </c>
      <c r="G272" s="41" t="str">
        <f>$V$2</f>
        <v>20h</v>
      </c>
      <c r="H272" s="41" t="str">
        <f>$W$2</f>
        <v>21h</v>
      </c>
      <c r="I272" s="41" t="str">
        <f>$X$2</f>
        <v>22h</v>
      </c>
      <c r="J272" s="41" t="str">
        <f>$Y$2</f>
        <v>23h</v>
      </c>
      <c r="K272" s="41" t="str">
        <f>$Z$2</f>
        <v>00h</v>
      </c>
      <c r="L272" s="41" t="str">
        <f>$AA$2</f>
        <v>01h</v>
      </c>
      <c r="M272" s="41" t="str">
        <f>$AB$2</f>
        <v>02h</v>
      </c>
      <c r="N272" s="41" t="str">
        <f>$AC$2</f>
        <v>03h</v>
      </c>
      <c r="O272" s="38" t="str">
        <f>$AD$2</f>
        <v>04h</v>
      </c>
    </row>
    <row r="273" spans="1:15" ht="14.7" customHeight="1" outlineLevel="1" x14ac:dyDescent="0.55000000000000004">
      <c r="A273" s="17">
        <v>1</v>
      </c>
      <c r="B273" s="46" t="str">
        <f>$Q$3</f>
        <v>Jennifer</v>
      </c>
      <c r="C273" s="47">
        <v>0</v>
      </c>
      <c r="D273" s="48">
        <v>0</v>
      </c>
      <c r="E273" s="48">
        <v>0</v>
      </c>
      <c r="F273" s="48">
        <v>0</v>
      </c>
      <c r="G273" s="48">
        <v>0</v>
      </c>
      <c r="H273" s="48">
        <v>0</v>
      </c>
      <c r="I273" s="48">
        <v>0</v>
      </c>
      <c r="J273" s="48">
        <v>0</v>
      </c>
      <c r="K273" s="48">
        <v>0</v>
      </c>
      <c r="L273" s="48">
        <v>1</v>
      </c>
      <c r="M273" s="48">
        <v>0</v>
      </c>
      <c r="N273" s="48">
        <v>0</v>
      </c>
      <c r="O273" s="49">
        <v>0</v>
      </c>
    </row>
    <row r="274" spans="1:15" ht="14.7" customHeight="1" outlineLevel="1" x14ac:dyDescent="0.55000000000000004">
      <c r="A274" s="18">
        <v>2</v>
      </c>
      <c r="B274" s="52" t="str">
        <f>$Q$4</f>
        <v>Galileo</v>
      </c>
      <c r="C274" s="53">
        <v>0</v>
      </c>
      <c r="D274" s="54">
        <v>0</v>
      </c>
      <c r="E274" s="54">
        <v>0</v>
      </c>
      <c r="F274" s="54">
        <v>0</v>
      </c>
      <c r="G274" s="54">
        <v>0</v>
      </c>
      <c r="H274" s="54">
        <v>0</v>
      </c>
      <c r="I274" s="54">
        <v>0</v>
      </c>
      <c r="J274" s="54">
        <v>0</v>
      </c>
      <c r="K274" s="54">
        <v>0</v>
      </c>
      <c r="L274" s="54">
        <v>0</v>
      </c>
      <c r="M274" s="54">
        <v>0</v>
      </c>
      <c r="N274" s="54">
        <v>0</v>
      </c>
      <c r="O274" s="55">
        <v>0</v>
      </c>
    </row>
    <row r="275" spans="1:15" ht="14.7" customHeight="1" outlineLevel="1" x14ac:dyDescent="0.55000000000000004">
      <c r="A275" s="18">
        <v>3</v>
      </c>
      <c r="B275" s="52" t="str">
        <f>$Q$5</f>
        <v>Óscar</v>
      </c>
      <c r="C275" s="53">
        <v>0</v>
      </c>
      <c r="D275" s="54">
        <v>0</v>
      </c>
      <c r="E275" s="54">
        <v>0</v>
      </c>
      <c r="F275" s="54">
        <v>0</v>
      </c>
      <c r="G275" s="54">
        <v>0</v>
      </c>
      <c r="H275" s="54">
        <v>0</v>
      </c>
      <c r="I275" s="54">
        <v>0</v>
      </c>
      <c r="J275" s="54">
        <v>0</v>
      </c>
      <c r="K275" s="54">
        <v>0</v>
      </c>
      <c r="L275" s="54">
        <v>0</v>
      </c>
      <c r="M275" s="54">
        <v>0</v>
      </c>
      <c r="N275" s="54">
        <v>0</v>
      </c>
      <c r="O275" s="55">
        <v>0</v>
      </c>
    </row>
    <row r="276" spans="1:15" ht="14.7" customHeight="1" outlineLevel="1" x14ac:dyDescent="0.55000000000000004">
      <c r="A276" s="18">
        <v>4</v>
      </c>
      <c r="B276" s="52" t="str">
        <f>$Q$6</f>
        <v>Sebastián</v>
      </c>
      <c r="C276" s="53">
        <v>0</v>
      </c>
      <c r="D276" s="54">
        <v>0</v>
      </c>
      <c r="E276" s="54">
        <v>0</v>
      </c>
      <c r="F276" s="54">
        <v>0</v>
      </c>
      <c r="G276" s="54">
        <v>1</v>
      </c>
      <c r="H276" s="54">
        <v>0</v>
      </c>
      <c r="I276" s="54">
        <v>0</v>
      </c>
      <c r="J276" s="54">
        <v>0</v>
      </c>
      <c r="K276" s="54">
        <v>0</v>
      </c>
      <c r="L276" s="54">
        <v>0</v>
      </c>
      <c r="M276" s="54">
        <v>0</v>
      </c>
      <c r="N276" s="54">
        <v>0</v>
      </c>
      <c r="O276" s="55">
        <v>0</v>
      </c>
    </row>
    <row r="277" spans="1:15" ht="14.7" customHeight="1" outlineLevel="1" x14ac:dyDescent="0.55000000000000004">
      <c r="A277" s="18">
        <v>5</v>
      </c>
      <c r="B277" s="52" t="str">
        <f>$Q$7</f>
        <v>Marcos</v>
      </c>
      <c r="C277" s="53">
        <v>0</v>
      </c>
      <c r="D277" s="54">
        <v>0</v>
      </c>
      <c r="E277" s="54">
        <v>0</v>
      </c>
      <c r="F277" s="54">
        <v>0</v>
      </c>
      <c r="G277" s="54">
        <v>0</v>
      </c>
      <c r="H277" s="54">
        <v>0</v>
      </c>
      <c r="I277" s="54">
        <v>1</v>
      </c>
      <c r="J277" s="54">
        <v>0</v>
      </c>
      <c r="K277" s="54">
        <v>0</v>
      </c>
      <c r="L277" s="54">
        <v>0</v>
      </c>
      <c r="M277" s="54">
        <v>0</v>
      </c>
      <c r="N277" s="54">
        <v>0</v>
      </c>
      <c r="O277" s="55">
        <v>0</v>
      </c>
    </row>
    <row r="278" spans="1:15" ht="14.7" customHeight="1" outlineLevel="1" x14ac:dyDescent="0.55000000000000004">
      <c r="A278" s="18">
        <v>6</v>
      </c>
      <c r="B278" s="52" t="str">
        <f>$Q$8</f>
        <v>Weixin</v>
      </c>
      <c r="C278" s="53">
        <v>0</v>
      </c>
      <c r="D278" s="54">
        <v>0</v>
      </c>
      <c r="E278" s="54">
        <v>0</v>
      </c>
      <c r="F278" s="54">
        <v>0</v>
      </c>
      <c r="G278" s="54">
        <v>0</v>
      </c>
      <c r="H278" s="54">
        <v>0</v>
      </c>
      <c r="I278" s="54">
        <v>0</v>
      </c>
      <c r="J278" s="54">
        <v>0</v>
      </c>
      <c r="K278" s="54">
        <v>0</v>
      </c>
      <c r="L278" s="54">
        <v>0</v>
      </c>
      <c r="M278" s="54">
        <v>0</v>
      </c>
      <c r="N278" s="54">
        <v>0</v>
      </c>
      <c r="O278" s="55">
        <v>0</v>
      </c>
    </row>
    <row r="279" spans="1:15" ht="14.7" customHeight="1" outlineLevel="1" x14ac:dyDescent="0.55000000000000004">
      <c r="A279" s="18">
        <v>7</v>
      </c>
      <c r="B279" s="52" t="str">
        <f>$Q$9</f>
        <v>Benjamin</v>
      </c>
      <c r="C279" s="53">
        <v>0</v>
      </c>
      <c r="D279" s="54">
        <v>0</v>
      </c>
      <c r="E279" s="54">
        <v>0</v>
      </c>
      <c r="F279" s="54">
        <v>0</v>
      </c>
      <c r="G279" s="54">
        <v>0</v>
      </c>
      <c r="H279" s="54">
        <v>0</v>
      </c>
      <c r="I279" s="54">
        <v>0</v>
      </c>
      <c r="J279" s="54">
        <v>1</v>
      </c>
      <c r="K279" s="54">
        <v>0</v>
      </c>
      <c r="L279" s="54">
        <v>0</v>
      </c>
      <c r="M279" s="54">
        <v>0</v>
      </c>
      <c r="N279" s="54">
        <v>0</v>
      </c>
      <c r="O279" s="55">
        <v>0</v>
      </c>
    </row>
    <row r="280" spans="1:15" ht="14.7" customHeight="1" outlineLevel="1" x14ac:dyDescent="0.55000000000000004">
      <c r="A280" s="18">
        <v>8</v>
      </c>
      <c r="B280" s="52" t="str">
        <f>$Q$10</f>
        <v>Joelle</v>
      </c>
      <c r="C280" s="53">
        <v>0</v>
      </c>
      <c r="D280" s="54">
        <v>0</v>
      </c>
      <c r="E280" s="54">
        <v>0</v>
      </c>
      <c r="F280" s="54">
        <v>0</v>
      </c>
      <c r="G280" s="54">
        <v>0</v>
      </c>
      <c r="H280" s="54">
        <v>0</v>
      </c>
      <c r="I280" s="54">
        <v>0</v>
      </c>
      <c r="J280" s="54">
        <v>0</v>
      </c>
      <c r="K280" s="54">
        <v>0</v>
      </c>
      <c r="L280" s="54">
        <v>0</v>
      </c>
      <c r="M280" s="54">
        <v>0</v>
      </c>
      <c r="N280" s="54">
        <v>0</v>
      </c>
      <c r="O280" s="55">
        <v>0</v>
      </c>
    </row>
    <row r="281" spans="1:15" ht="14.7" customHeight="1" outlineLevel="1" x14ac:dyDescent="0.55000000000000004">
      <c r="A281" s="18">
        <v>9</v>
      </c>
      <c r="B281" s="52" t="str">
        <f>$Q$11</f>
        <v>Alexia</v>
      </c>
      <c r="C281" s="53">
        <v>0</v>
      </c>
      <c r="D281" s="54">
        <v>0</v>
      </c>
      <c r="E281" s="54">
        <v>0</v>
      </c>
      <c r="F281" s="54">
        <v>0</v>
      </c>
      <c r="G281" s="54">
        <v>0</v>
      </c>
      <c r="H281" s="54">
        <v>0</v>
      </c>
      <c r="I281" s="54">
        <v>0</v>
      </c>
      <c r="J281" s="54">
        <v>0</v>
      </c>
      <c r="K281" s="54">
        <v>0</v>
      </c>
      <c r="L281" s="54">
        <v>0</v>
      </c>
      <c r="M281" s="54">
        <v>0</v>
      </c>
      <c r="N281" s="54">
        <v>0</v>
      </c>
      <c r="O281" s="55">
        <v>0</v>
      </c>
    </row>
    <row r="282" spans="1:15" ht="14.7" customHeight="1" outlineLevel="1" x14ac:dyDescent="0.55000000000000004">
      <c r="A282" s="18">
        <v>10</v>
      </c>
      <c r="B282" s="52" t="str">
        <f>$Q$12</f>
        <v>Joao</v>
      </c>
      <c r="C282" s="53">
        <v>0</v>
      </c>
      <c r="D282" s="54">
        <v>0</v>
      </c>
      <c r="E282" s="54">
        <v>0</v>
      </c>
      <c r="F282" s="54">
        <v>0</v>
      </c>
      <c r="G282" s="54">
        <v>0</v>
      </c>
      <c r="H282" s="54">
        <v>0</v>
      </c>
      <c r="I282" s="54">
        <v>0</v>
      </c>
      <c r="J282" s="54">
        <v>0</v>
      </c>
      <c r="K282" s="54">
        <v>0</v>
      </c>
      <c r="L282" s="54">
        <v>0</v>
      </c>
      <c r="M282" s="54">
        <v>0</v>
      </c>
      <c r="N282" s="54">
        <v>0</v>
      </c>
      <c r="O282" s="55">
        <v>0</v>
      </c>
    </row>
    <row r="283" spans="1:15" ht="14.7" customHeight="1" outlineLevel="1" x14ac:dyDescent="0.55000000000000004">
      <c r="A283" s="18">
        <v>11</v>
      </c>
      <c r="B283" s="57" t="str">
        <f>$Q$13</f>
        <v>Maxime</v>
      </c>
      <c r="C283" s="53">
        <v>0</v>
      </c>
      <c r="D283" s="54">
        <v>0</v>
      </c>
      <c r="E283" s="54">
        <v>0</v>
      </c>
      <c r="F283" s="54">
        <v>1</v>
      </c>
      <c r="G283" s="54">
        <v>0</v>
      </c>
      <c r="H283" s="54">
        <v>0</v>
      </c>
      <c r="I283" s="54">
        <v>0</v>
      </c>
      <c r="J283" s="54">
        <v>0</v>
      </c>
      <c r="K283" s="54">
        <v>0</v>
      </c>
      <c r="L283" s="54">
        <v>0</v>
      </c>
      <c r="M283" s="54">
        <v>0</v>
      </c>
      <c r="N283" s="54">
        <v>0</v>
      </c>
      <c r="O283" s="55">
        <v>0</v>
      </c>
    </row>
    <row r="284" spans="1:15" ht="14.7" customHeight="1" outlineLevel="1" x14ac:dyDescent="0.55000000000000004">
      <c r="A284" s="18">
        <v>1</v>
      </c>
      <c r="B284" s="46" t="str">
        <f>$Q$14</f>
        <v>Alex</v>
      </c>
      <c r="C284" s="59">
        <v>0</v>
      </c>
      <c r="D284" s="60">
        <v>0</v>
      </c>
      <c r="E284" s="60">
        <v>0</v>
      </c>
      <c r="F284" s="60">
        <v>0</v>
      </c>
      <c r="G284" s="60">
        <v>0</v>
      </c>
      <c r="H284" s="60">
        <v>1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1">
        <v>0</v>
      </c>
    </row>
    <row r="285" spans="1:15" ht="14.7" customHeight="1" outlineLevel="1" x14ac:dyDescent="0.55000000000000004">
      <c r="A285" s="18">
        <v>2</v>
      </c>
      <c r="B285" s="52" t="str">
        <f>$Q$15</f>
        <v>Alyssa</v>
      </c>
      <c r="C285" s="53">
        <v>0</v>
      </c>
      <c r="D285" s="54">
        <v>0</v>
      </c>
      <c r="E285" s="54">
        <v>0</v>
      </c>
      <c r="F285" s="54">
        <v>0</v>
      </c>
      <c r="G285" s="54">
        <v>0</v>
      </c>
      <c r="H285" s="54">
        <v>0</v>
      </c>
      <c r="I285" s="54">
        <v>0</v>
      </c>
      <c r="J285" s="54">
        <v>0</v>
      </c>
      <c r="K285" s="54">
        <v>0</v>
      </c>
      <c r="L285" s="54">
        <v>0</v>
      </c>
      <c r="M285" s="54">
        <v>0</v>
      </c>
      <c r="N285" s="54">
        <v>0</v>
      </c>
      <c r="O285" s="55">
        <v>0</v>
      </c>
    </row>
    <row r="286" spans="1:15" ht="14.7" customHeight="1" outlineLevel="1" x14ac:dyDescent="0.55000000000000004">
      <c r="A286" s="18">
        <v>3</v>
      </c>
      <c r="B286" s="52" t="str">
        <f>$Q$16</f>
        <v>Amanda</v>
      </c>
      <c r="C286" s="53">
        <v>0</v>
      </c>
      <c r="D286" s="54">
        <v>0</v>
      </c>
      <c r="E286" s="54">
        <v>0</v>
      </c>
      <c r="F286" s="54">
        <v>0</v>
      </c>
      <c r="G286" s="54">
        <v>0</v>
      </c>
      <c r="H286" s="54">
        <v>0</v>
      </c>
      <c r="I286" s="54">
        <v>0</v>
      </c>
      <c r="J286" s="54">
        <v>0</v>
      </c>
      <c r="K286" s="54">
        <v>0</v>
      </c>
      <c r="L286" s="54">
        <v>0</v>
      </c>
      <c r="M286" s="54">
        <v>0</v>
      </c>
      <c r="N286" s="54">
        <v>0</v>
      </c>
      <c r="O286" s="55">
        <v>0</v>
      </c>
    </row>
    <row r="287" spans="1:15" ht="14.7" customHeight="1" outlineLevel="1" x14ac:dyDescent="0.55000000000000004">
      <c r="A287" s="18">
        <v>4</v>
      </c>
      <c r="B287" s="52" t="str">
        <f>$Q$17</f>
        <v>Antoine</v>
      </c>
      <c r="C287" s="53">
        <v>0</v>
      </c>
      <c r="D287" s="54">
        <v>0</v>
      </c>
      <c r="E287" s="54">
        <v>0</v>
      </c>
      <c r="F287" s="54">
        <v>0</v>
      </c>
      <c r="G287" s="54">
        <v>0</v>
      </c>
      <c r="H287" s="54">
        <v>0</v>
      </c>
      <c r="I287" s="54">
        <v>0</v>
      </c>
      <c r="J287" s="54">
        <v>0</v>
      </c>
      <c r="K287" s="54">
        <v>0</v>
      </c>
      <c r="L287" s="54">
        <v>0</v>
      </c>
      <c r="M287" s="54">
        <v>1</v>
      </c>
      <c r="N287" s="54">
        <v>0</v>
      </c>
      <c r="O287" s="55">
        <v>0</v>
      </c>
    </row>
    <row r="288" spans="1:15" ht="14.7" customHeight="1" outlineLevel="1" x14ac:dyDescent="0.55000000000000004">
      <c r="A288" s="18">
        <v>5</v>
      </c>
      <c r="B288" s="52" t="str">
        <f>$Q$18</f>
        <v>Beatriz</v>
      </c>
      <c r="C288" s="53">
        <v>0</v>
      </c>
      <c r="D288" s="54">
        <v>0</v>
      </c>
      <c r="E288" s="54">
        <v>0</v>
      </c>
      <c r="F288" s="54">
        <v>0</v>
      </c>
      <c r="G288" s="54">
        <v>0</v>
      </c>
      <c r="H288" s="54">
        <v>0</v>
      </c>
      <c r="I288" s="54">
        <v>0</v>
      </c>
      <c r="J288" s="54">
        <v>0</v>
      </c>
      <c r="K288" s="54">
        <v>0</v>
      </c>
      <c r="L288" s="54">
        <v>0</v>
      </c>
      <c r="M288" s="54">
        <v>0</v>
      </c>
      <c r="N288" s="54">
        <v>0</v>
      </c>
      <c r="O288" s="55">
        <v>0</v>
      </c>
    </row>
    <row r="289" spans="1:15" ht="14.7" customHeight="1" outlineLevel="1" x14ac:dyDescent="0.55000000000000004">
      <c r="A289" s="18">
        <v>6</v>
      </c>
      <c r="B289" s="52" t="str">
        <f>$Q$19</f>
        <v>Charelle</v>
      </c>
      <c r="C289" s="53">
        <v>0</v>
      </c>
      <c r="D289" s="54">
        <v>1</v>
      </c>
      <c r="E289" s="54">
        <v>0</v>
      </c>
      <c r="F289" s="54">
        <v>0</v>
      </c>
      <c r="G289" s="54">
        <v>0</v>
      </c>
      <c r="H289" s="54">
        <v>0</v>
      </c>
      <c r="I289" s="54">
        <v>0</v>
      </c>
      <c r="J289" s="54">
        <v>0</v>
      </c>
      <c r="K289" s="54">
        <v>0</v>
      </c>
      <c r="L289" s="54">
        <v>0</v>
      </c>
      <c r="M289" s="54">
        <v>0</v>
      </c>
      <c r="N289" s="54">
        <v>0</v>
      </c>
      <c r="O289" s="55">
        <v>0</v>
      </c>
    </row>
    <row r="290" spans="1:15" ht="14.7" customHeight="1" outlineLevel="1" x14ac:dyDescent="0.55000000000000004">
      <c r="A290" s="18">
        <v>7</v>
      </c>
      <c r="B290" s="52" t="str">
        <f>$Q$20</f>
        <v>Dimitri</v>
      </c>
      <c r="C290" s="53">
        <v>0</v>
      </c>
      <c r="D290" s="54">
        <v>0</v>
      </c>
      <c r="E290" s="54">
        <v>0</v>
      </c>
      <c r="F290" s="54">
        <v>0</v>
      </c>
      <c r="G290" s="54">
        <v>0</v>
      </c>
      <c r="H290" s="54">
        <v>0</v>
      </c>
      <c r="I290" s="54">
        <v>0</v>
      </c>
      <c r="J290" s="54">
        <v>0</v>
      </c>
      <c r="K290" s="54">
        <v>0</v>
      </c>
      <c r="L290" s="54">
        <v>0</v>
      </c>
      <c r="M290" s="54">
        <v>0</v>
      </c>
      <c r="N290" s="54">
        <v>0</v>
      </c>
      <c r="O290" s="55">
        <v>0</v>
      </c>
    </row>
    <row r="291" spans="1:15" ht="14.7" customHeight="1" outlineLevel="1" x14ac:dyDescent="0.55000000000000004">
      <c r="A291" s="18">
        <v>8</v>
      </c>
      <c r="B291" s="52" t="str">
        <f>$Q$21</f>
        <v>Marina</v>
      </c>
      <c r="C291" s="53">
        <v>0</v>
      </c>
      <c r="D291" s="54">
        <v>0</v>
      </c>
      <c r="E291" s="54">
        <v>1</v>
      </c>
      <c r="F291" s="54">
        <v>0</v>
      </c>
      <c r="G291" s="54">
        <v>0</v>
      </c>
      <c r="H291" s="54">
        <v>0</v>
      </c>
      <c r="I291" s="54">
        <v>0</v>
      </c>
      <c r="J291" s="54">
        <v>0</v>
      </c>
      <c r="K291" s="54">
        <v>0</v>
      </c>
      <c r="L291" s="54">
        <v>0</v>
      </c>
      <c r="M291" s="54">
        <v>0</v>
      </c>
      <c r="N291" s="54">
        <v>0</v>
      </c>
      <c r="O291" s="55">
        <v>0</v>
      </c>
    </row>
    <row r="292" spans="1:15" ht="14.7" customHeight="1" outlineLevel="1" x14ac:dyDescent="0.55000000000000004">
      <c r="A292" s="18">
        <v>9</v>
      </c>
      <c r="B292" s="52" t="str">
        <f>$Q$22</f>
        <v>Michel</v>
      </c>
      <c r="C292" s="53">
        <v>0</v>
      </c>
      <c r="D292" s="54">
        <v>0</v>
      </c>
      <c r="E292" s="54">
        <v>0</v>
      </c>
      <c r="F292" s="54">
        <v>0</v>
      </c>
      <c r="G292" s="54">
        <v>0</v>
      </c>
      <c r="H292" s="54">
        <v>0</v>
      </c>
      <c r="I292" s="54">
        <v>0</v>
      </c>
      <c r="J292" s="54">
        <v>0</v>
      </c>
      <c r="K292" s="54">
        <v>0</v>
      </c>
      <c r="L292" s="54">
        <v>0</v>
      </c>
      <c r="M292" s="54">
        <v>0</v>
      </c>
      <c r="N292" s="54">
        <v>0</v>
      </c>
      <c r="O292" s="55">
        <v>0</v>
      </c>
    </row>
    <row r="293" spans="1:15" ht="14.7" customHeight="1" outlineLevel="1" x14ac:dyDescent="0.55000000000000004">
      <c r="A293" s="18">
        <v>10</v>
      </c>
      <c r="B293" s="52" t="str">
        <f>$Q$23</f>
        <v>Nour</v>
      </c>
      <c r="C293" s="53">
        <v>0</v>
      </c>
      <c r="D293" s="54">
        <v>0</v>
      </c>
      <c r="E293" s="54">
        <v>0</v>
      </c>
      <c r="F293" s="54">
        <v>0</v>
      </c>
      <c r="G293" s="54">
        <v>0</v>
      </c>
      <c r="H293" s="54">
        <v>0</v>
      </c>
      <c r="I293" s="54">
        <v>0</v>
      </c>
      <c r="J293" s="54">
        <v>0</v>
      </c>
      <c r="K293" s="54">
        <v>0</v>
      </c>
      <c r="L293" s="54">
        <v>0</v>
      </c>
      <c r="M293" s="54">
        <v>0</v>
      </c>
      <c r="N293" s="54">
        <v>0</v>
      </c>
      <c r="O293" s="55">
        <v>0</v>
      </c>
    </row>
    <row r="294" spans="1:15" ht="14.7" customHeight="1" outlineLevel="1" x14ac:dyDescent="0.55000000000000004">
      <c r="A294" s="18">
        <v>11</v>
      </c>
      <c r="B294" s="52" t="str">
        <f>$Q$24</f>
        <v>Samuel</v>
      </c>
      <c r="C294" s="53">
        <v>0</v>
      </c>
      <c r="D294" s="54">
        <v>0</v>
      </c>
      <c r="E294" s="54">
        <v>0</v>
      </c>
      <c r="F294" s="54">
        <v>0</v>
      </c>
      <c r="G294" s="54">
        <v>0</v>
      </c>
      <c r="H294" s="54">
        <v>0</v>
      </c>
      <c r="I294" s="54">
        <v>0</v>
      </c>
      <c r="J294" s="54">
        <v>0</v>
      </c>
      <c r="K294" s="54">
        <v>0</v>
      </c>
      <c r="L294" s="54">
        <v>0</v>
      </c>
      <c r="M294" s="54">
        <v>0</v>
      </c>
      <c r="N294" s="54">
        <v>0</v>
      </c>
      <c r="O294" s="55">
        <v>0</v>
      </c>
    </row>
    <row r="295" spans="1:15" ht="14.7" customHeight="1" outlineLevel="1" x14ac:dyDescent="0.55000000000000004">
      <c r="A295" s="18">
        <v>12</v>
      </c>
      <c r="B295" s="52" t="str">
        <f>$Q$25</f>
        <v>Yassin</v>
      </c>
      <c r="C295" s="53">
        <v>0</v>
      </c>
      <c r="D295" s="54">
        <v>0</v>
      </c>
      <c r="E295" s="54">
        <v>0</v>
      </c>
      <c r="F295" s="54">
        <v>0</v>
      </c>
      <c r="G295" s="54">
        <v>0</v>
      </c>
      <c r="H295" s="54">
        <v>0</v>
      </c>
      <c r="I295" s="54">
        <v>0</v>
      </c>
      <c r="J295" s="54">
        <v>0</v>
      </c>
      <c r="K295" s="54">
        <v>0</v>
      </c>
      <c r="L295" s="54">
        <v>0</v>
      </c>
      <c r="M295" s="54">
        <v>0</v>
      </c>
      <c r="N295" s="54">
        <v>0</v>
      </c>
      <c r="O295" s="55">
        <v>0</v>
      </c>
    </row>
    <row r="296" spans="1:15" ht="14.7" customHeight="1" outlineLevel="1" thickBot="1" x14ac:dyDescent="0.6">
      <c r="A296" s="62">
        <v>13</v>
      </c>
      <c r="B296" s="52" t="str">
        <f>$Q$26</f>
        <v>Kamar</v>
      </c>
      <c r="C296" s="63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1</v>
      </c>
      <c r="L296" s="64">
        <v>0</v>
      </c>
      <c r="M296" s="64">
        <v>0</v>
      </c>
      <c r="N296" s="64">
        <v>0</v>
      </c>
      <c r="O296" s="65">
        <v>0</v>
      </c>
    </row>
    <row r="297" spans="1:15" ht="14.7" customHeight="1" outlineLevel="1" collapsed="1" x14ac:dyDescent="0.55000000000000004"/>
    <row r="298" spans="1:15" ht="14.7" customHeight="1" outlineLevel="1" x14ac:dyDescent="0.55000000000000004"/>
    <row r="299" spans="1:15" ht="14.7" customHeight="1" outlineLevel="1" thickBot="1" x14ac:dyDescent="0.6">
      <c r="B299" s="39" t="s">
        <v>115</v>
      </c>
      <c r="C299" s="40" t="str">
        <f>$R$2</f>
        <v>16h</v>
      </c>
      <c r="D299" s="41" t="str">
        <f>$S$2</f>
        <v>17h</v>
      </c>
      <c r="E299" s="41" t="str">
        <f>$T$2</f>
        <v>18h</v>
      </c>
      <c r="F299" s="41" t="str">
        <f>$U$2</f>
        <v>19h</v>
      </c>
      <c r="G299" s="41" t="str">
        <f>$V$2</f>
        <v>20h</v>
      </c>
      <c r="H299" s="41" t="str">
        <f>$W$2</f>
        <v>21h</v>
      </c>
      <c r="I299" s="41" t="str">
        <f>$X$2</f>
        <v>22h</v>
      </c>
      <c r="J299" s="41" t="str">
        <f>$Y$2</f>
        <v>23h</v>
      </c>
      <c r="K299" s="41" t="str">
        <f>$Z$2</f>
        <v>00h</v>
      </c>
      <c r="L299" s="41" t="str">
        <f>$AA$2</f>
        <v>01h</v>
      </c>
      <c r="M299" s="41" t="str">
        <f>$AB$2</f>
        <v>02h</v>
      </c>
      <c r="N299" s="41" t="str">
        <f>$AC$2</f>
        <v>03h</v>
      </c>
      <c r="O299" s="38" t="str">
        <f>$AD$2</f>
        <v>04h</v>
      </c>
    </row>
    <row r="300" spans="1:15" ht="14.7" customHeight="1" outlineLevel="1" x14ac:dyDescent="0.55000000000000004">
      <c r="A300" s="17">
        <v>1</v>
      </c>
      <c r="B300" s="46" t="str">
        <f>$Q$3</f>
        <v>Jennifer</v>
      </c>
      <c r="C300" s="47">
        <v>0</v>
      </c>
      <c r="D300" s="48">
        <v>1</v>
      </c>
      <c r="E300" s="48">
        <v>1</v>
      </c>
      <c r="F300" s="48">
        <v>1</v>
      </c>
      <c r="G300" s="48">
        <v>0</v>
      </c>
      <c r="H300" s="48">
        <v>0</v>
      </c>
      <c r="I300" s="48">
        <v>1</v>
      </c>
      <c r="J300" s="48">
        <v>1</v>
      </c>
      <c r="K300" s="48">
        <v>0</v>
      </c>
      <c r="L300" s="48">
        <v>0</v>
      </c>
      <c r="M300" s="48">
        <v>0</v>
      </c>
      <c r="N300" s="48">
        <v>0</v>
      </c>
      <c r="O300" s="49">
        <v>0</v>
      </c>
    </row>
    <row r="301" spans="1:15" ht="14.7" customHeight="1" outlineLevel="1" x14ac:dyDescent="0.55000000000000004">
      <c r="A301" s="18">
        <v>2</v>
      </c>
      <c r="B301" s="52" t="str">
        <f>$Q$4</f>
        <v>Galileo</v>
      </c>
      <c r="C301" s="53">
        <v>1</v>
      </c>
      <c r="D301" s="54">
        <v>1</v>
      </c>
      <c r="E301" s="54">
        <v>0</v>
      </c>
      <c r="F301" s="54">
        <v>0</v>
      </c>
      <c r="G301" s="54">
        <v>0</v>
      </c>
      <c r="H301" s="54">
        <v>1</v>
      </c>
      <c r="I301" s="54">
        <v>1</v>
      </c>
      <c r="J301" s="54">
        <v>0</v>
      </c>
      <c r="K301" s="54">
        <v>0</v>
      </c>
      <c r="L301" s="54">
        <v>0</v>
      </c>
      <c r="M301" s="54">
        <v>0</v>
      </c>
      <c r="N301" s="54">
        <v>1</v>
      </c>
      <c r="O301" s="55">
        <v>0</v>
      </c>
    </row>
    <row r="302" spans="1:15" ht="14.7" customHeight="1" outlineLevel="1" x14ac:dyDescent="0.55000000000000004">
      <c r="A302" s="18">
        <v>3</v>
      </c>
      <c r="B302" s="52" t="str">
        <f>$Q$5</f>
        <v>Óscar</v>
      </c>
      <c r="C302" s="53">
        <v>0</v>
      </c>
      <c r="D302" s="54">
        <v>1</v>
      </c>
      <c r="E302" s="54">
        <v>1</v>
      </c>
      <c r="F302" s="54">
        <v>1</v>
      </c>
      <c r="G302" s="54">
        <v>1</v>
      </c>
      <c r="H302" s="54">
        <v>0</v>
      </c>
      <c r="I302" s="54">
        <v>0</v>
      </c>
      <c r="J302" s="54">
        <v>0</v>
      </c>
      <c r="K302" s="54">
        <v>0</v>
      </c>
      <c r="L302" s="54">
        <v>0</v>
      </c>
      <c r="M302" s="54">
        <v>0</v>
      </c>
      <c r="N302" s="54">
        <v>1</v>
      </c>
      <c r="O302" s="55">
        <v>0</v>
      </c>
    </row>
    <row r="303" spans="1:15" ht="14.7" customHeight="1" outlineLevel="1" x14ac:dyDescent="0.55000000000000004">
      <c r="A303" s="18">
        <v>4</v>
      </c>
      <c r="B303" s="52" t="str">
        <f>$Q$6</f>
        <v>Sebastián</v>
      </c>
      <c r="C303" s="53">
        <v>1</v>
      </c>
      <c r="D303" s="54">
        <v>1</v>
      </c>
      <c r="E303" s="54">
        <v>1</v>
      </c>
      <c r="F303" s="54">
        <v>0</v>
      </c>
      <c r="G303" s="54">
        <v>0</v>
      </c>
      <c r="H303" s="54">
        <v>0</v>
      </c>
      <c r="I303" s="54">
        <v>0</v>
      </c>
      <c r="J303" s="54">
        <v>0</v>
      </c>
      <c r="K303" s="54">
        <v>0</v>
      </c>
      <c r="L303" s="54">
        <v>1</v>
      </c>
      <c r="M303" s="54">
        <v>0</v>
      </c>
      <c r="N303" s="54">
        <v>0</v>
      </c>
      <c r="O303" s="55">
        <v>1</v>
      </c>
    </row>
    <row r="304" spans="1:15" ht="14.7" customHeight="1" outlineLevel="1" x14ac:dyDescent="0.55000000000000004">
      <c r="A304" s="18">
        <v>5</v>
      </c>
      <c r="B304" s="52" t="str">
        <f>$Q$7</f>
        <v>Marcos</v>
      </c>
      <c r="C304" s="53">
        <v>0</v>
      </c>
      <c r="D304" s="54">
        <v>1</v>
      </c>
      <c r="E304" s="54">
        <v>0</v>
      </c>
      <c r="F304" s="54">
        <v>0</v>
      </c>
      <c r="G304" s="54">
        <v>0</v>
      </c>
      <c r="H304" s="54">
        <v>0</v>
      </c>
      <c r="I304" s="54">
        <v>0</v>
      </c>
      <c r="J304" s="54">
        <v>0</v>
      </c>
      <c r="K304" s="54">
        <v>1</v>
      </c>
      <c r="L304" s="54">
        <v>1</v>
      </c>
      <c r="M304" s="54">
        <v>0</v>
      </c>
      <c r="N304" s="54">
        <v>1</v>
      </c>
      <c r="O304" s="55">
        <v>1</v>
      </c>
    </row>
    <row r="305" spans="1:15" ht="14.7" customHeight="1" outlineLevel="1" x14ac:dyDescent="0.55000000000000004">
      <c r="A305" s="18">
        <v>6</v>
      </c>
      <c r="B305" s="52" t="str">
        <f>$Q$8</f>
        <v>Weixin</v>
      </c>
      <c r="C305" s="53">
        <v>1</v>
      </c>
      <c r="D305" s="54">
        <v>0</v>
      </c>
      <c r="E305" s="54">
        <v>0</v>
      </c>
      <c r="F305" s="54">
        <v>0</v>
      </c>
      <c r="G305" s="54">
        <v>1</v>
      </c>
      <c r="H305" s="54">
        <v>0</v>
      </c>
      <c r="I305" s="54">
        <v>1</v>
      </c>
      <c r="J305" s="54">
        <v>0</v>
      </c>
      <c r="K305" s="54">
        <v>1</v>
      </c>
      <c r="L305" s="54">
        <v>0</v>
      </c>
      <c r="M305" s="54">
        <v>0</v>
      </c>
      <c r="N305" s="54">
        <v>0</v>
      </c>
      <c r="O305" s="55">
        <v>1</v>
      </c>
    </row>
    <row r="306" spans="1:15" ht="14.7" customHeight="1" outlineLevel="1" x14ac:dyDescent="0.55000000000000004">
      <c r="A306" s="18">
        <v>7</v>
      </c>
      <c r="B306" s="52" t="str">
        <f>$Q$9</f>
        <v>Benjamin</v>
      </c>
      <c r="C306" s="53">
        <v>0</v>
      </c>
      <c r="D306" s="54">
        <v>0</v>
      </c>
      <c r="E306" s="54">
        <v>0</v>
      </c>
      <c r="F306" s="54">
        <v>1</v>
      </c>
      <c r="G306" s="54">
        <v>0</v>
      </c>
      <c r="H306" s="54">
        <v>0</v>
      </c>
      <c r="I306" s="54">
        <v>0</v>
      </c>
      <c r="J306" s="54">
        <v>0</v>
      </c>
      <c r="K306" s="54">
        <v>1</v>
      </c>
      <c r="L306" s="54">
        <v>0</v>
      </c>
      <c r="M306" s="54">
        <v>1</v>
      </c>
      <c r="N306" s="54">
        <v>1</v>
      </c>
      <c r="O306" s="55">
        <v>1</v>
      </c>
    </row>
    <row r="307" spans="1:15" ht="14.7" customHeight="1" outlineLevel="1" x14ac:dyDescent="0.55000000000000004">
      <c r="A307" s="18">
        <v>8</v>
      </c>
      <c r="B307" s="52" t="str">
        <f>$Q$10</f>
        <v>Joelle</v>
      </c>
      <c r="C307" s="53">
        <v>0</v>
      </c>
      <c r="D307" s="54">
        <v>0</v>
      </c>
      <c r="E307" s="54">
        <v>1</v>
      </c>
      <c r="F307" s="54">
        <v>0</v>
      </c>
      <c r="G307" s="54">
        <v>0</v>
      </c>
      <c r="H307" s="54">
        <v>0</v>
      </c>
      <c r="I307" s="54">
        <v>1</v>
      </c>
      <c r="J307" s="54">
        <v>0</v>
      </c>
      <c r="K307" s="54">
        <v>1</v>
      </c>
      <c r="L307" s="54">
        <v>0</v>
      </c>
      <c r="M307" s="54">
        <v>1</v>
      </c>
      <c r="N307" s="54">
        <v>1</v>
      </c>
      <c r="O307" s="55">
        <v>0</v>
      </c>
    </row>
    <row r="308" spans="1:15" ht="14.7" customHeight="1" outlineLevel="1" x14ac:dyDescent="0.55000000000000004">
      <c r="A308" s="18">
        <v>9</v>
      </c>
      <c r="B308" s="52" t="str">
        <f>$Q$11</f>
        <v>Alexia</v>
      </c>
      <c r="C308" s="53">
        <v>1</v>
      </c>
      <c r="D308" s="54">
        <v>0</v>
      </c>
      <c r="E308" s="54">
        <v>1</v>
      </c>
      <c r="F308" s="54">
        <v>0</v>
      </c>
      <c r="G308" s="54">
        <v>1</v>
      </c>
      <c r="H308" s="54">
        <v>0</v>
      </c>
      <c r="I308" s="54">
        <v>1</v>
      </c>
      <c r="J308" s="54">
        <v>0</v>
      </c>
      <c r="K308" s="54">
        <v>0</v>
      </c>
      <c r="L308" s="54">
        <v>0</v>
      </c>
      <c r="M308" s="54">
        <v>0</v>
      </c>
      <c r="N308" s="54">
        <v>1</v>
      </c>
      <c r="O308" s="55">
        <v>0</v>
      </c>
    </row>
    <row r="309" spans="1:15" ht="14.7" customHeight="1" outlineLevel="1" x14ac:dyDescent="0.55000000000000004">
      <c r="A309" s="18">
        <v>10</v>
      </c>
      <c r="B309" s="52" t="str">
        <f>$Q$12</f>
        <v>Joao</v>
      </c>
      <c r="C309" s="53">
        <v>1</v>
      </c>
      <c r="D309" s="54">
        <v>0</v>
      </c>
      <c r="E309" s="54">
        <v>1</v>
      </c>
      <c r="F309" s="54">
        <v>0</v>
      </c>
      <c r="G309" s="54">
        <v>0</v>
      </c>
      <c r="H309" s="54">
        <v>1</v>
      </c>
      <c r="I309" s="54">
        <v>0</v>
      </c>
      <c r="J309" s="54">
        <v>0</v>
      </c>
      <c r="K309" s="54">
        <v>0</v>
      </c>
      <c r="L309" s="54">
        <v>0</v>
      </c>
      <c r="M309" s="54">
        <v>1</v>
      </c>
      <c r="N309" s="54">
        <v>0</v>
      </c>
      <c r="O309" s="55">
        <v>1</v>
      </c>
    </row>
    <row r="310" spans="1:15" ht="14.7" customHeight="1" outlineLevel="1" x14ac:dyDescent="0.55000000000000004">
      <c r="A310" s="18">
        <v>11</v>
      </c>
      <c r="B310" s="57" t="str">
        <f>$Q$13</f>
        <v>Maxime</v>
      </c>
      <c r="C310" s="53">
        <v>0</v>
      </c>
      <c r="D310" s="54">
        <v>0</v>
      </c>
      <c r="E310" s="54">
        <v>0</v>
      </c>
      <c r="F310" s="54">
        <v>0</v>
      </c>
      <c r="G310" s="54">
        <v>1</v>
      </c>
      <c r="H310" s="54">
        <v>0</v>
      </c>
      <c r="I310" s="54">
        <v>0</v>
      </c>
      <c r="J310" s="54">
        <v>1</v>
      </c>
      <c r="K310" s="54">
        <v>0</v>
      </c>
      <c r="L310" s="54">
        <v>1</v>
      </c>
      <c r="M310" s="54">
        <v>0</v>
      </c>
      <c r="N310" s="54">
        <v>1</v>
      </c>
      <c r="O310" s="55">
        <v>1</v>
      </c>
    </row>
    <row r="311" spans="1:15" ht="14.7" customHeight="1" outlineLevel="1" x14ac:dyDescent="0.55000000000000004">
      <c r="A311" s="18">
        <v>1</v>
      </c>
      <c r="B311" s="46" t="str">
        <f>$Q$14</f>
        <v>Alex</v>
      </c>
      <c r="C311" s="59">
        <v>0</v>
      </c>
      <c r="D311" s="60">
        <v>0</v>
      </c>
      <c r="E311" s="60">
        <v>0</v>
      </c>
      <c r="F311" s="60">
        <v>0</v>
      </c>
      <c r="G311" s="60">
        <v>1</v>
      </c>
      <c r="H311" s="60">
        <v>0</v>
      </c>
      <c r="I311" s="60">
        <v>1</v>
      </c>
      <c r="J311" s="60">
        <v>1</v>
      </c>
      <c r="K311" s="60">
        <v>1</v>
      </c>
      <c r="L311" s="60">
        <v>0</v>
      </c>
      <c r="M311" s="60">
        <v>0</v>
      </c>
      <c r="N311" s="60">
        <v>1</v>
      </c>
      <c r="O311" s="61">
        <v>0</v>
      </c>
    </row>
    <row r="312" spans="1:15" ht="14.7" customHeight="1" outlineLevel="1" x14ac:dyDescent="0.55000000000000004">
      <c r="A312" s="18">
        <v>2</v>
      </c>
      <c r="B312" s="52" t="str">
        <f>$Q$15</f>
        <v>Alyssa</v>
      </c>
      <c r="C312" s="53">
        <v>1</v>
      </c>
      <c r="D312" s="54">
        <v>0</v>
      </c>
      <c r="E312" s="54">
        <v>0</v>
      </c>
      <c r="F312" s="54">
        <v>1</v>
      </c>
      <c r="G312" s="54">
        <v>0</v>
      </c>
      <c r="H312" s="54">
        <v>1</v>
      </c>
      <c r="I312" s="54">
        <v>0</v>
      </c>
      <c r="J312" s="54">
        <v>0</v>
      </c>
      <c r="K312" s="54">
        <v>1</v>
      </c>
      <c r="L312" s="54">
        <v>0</v>
      </c>
      <c r="M312" s="54">
        <v>1</v>
      </c>
      <c r="N312" s="54">
        <v>0</v>
      </c>
      <c r="O312" s="55">
        <v>0</v>
      </c>
    </row>
    <row r="313" spans="1:15" ht="14.7" customHeight="1" outlineLevel="1" x14ac:dyDescent="0.55000000000000004">
      <c r="A313" s="18">
        <v>3</v>
      </c>
      <c r="B313" s="52" t="str">
        <f>$Q$16</f>
        <v>Amanda</v>
      </c>
      <c r="C313" s="53">
        <v>1</v>
      </c>
      <c r="D313" s="54">
        <v>0</v>
      </c>
      <c r="E313" s="54">
        <v>0</v>
      </c>
      <c r="F313" s="54">
        <v>1</v>
      </c>
      <c r="G313" s="54">
        <v>0</v>
      </c>
      <c r="H313" s="54">
        <v>0</v>
      </c>
      <c r="I313" s="54">
        <v>0</v>
      </c>
      <c r="J313" s="54">
        <v>1</v>
      </c>
      <c r="K313" s="54">
        <v>0</v>
      </c>
      <c r="L313" s="54">
        <v>0</v>
      </c>
      <c r="M313" s="54">
        <v>1</v>
      </c>
      <c r="N313" s="54">
        <v>1</v>
      </c>
      <c r="O313" s="55">
        <v>0</v>
      </c>
    </row>
    <row r="314" spans="1:15" ht="14.7" customHeight="1" outlineLevel="1" x14ac:dyDescent="0.55000000000000004">
      <c r="A314" s="18">
        <v>4</v>
      </c>
      <c r="B314" s="52" t="str">
        <f>$Q$17</f>
        <v>Antoine</v>
      </c>
      <c r="C314" s="53">
        <v>0</v>
      </c>
      <c r="D314" s="54">
        <v>0</v>
      </c>
      <c r="E314" s="54">
        <v>1</v>
      </c>
      <c r="F314" s="54">
        <v>1</v>
      </c>
      <c r="G314" s="54">
        <v>0</v>
      </c>
      <c r="H314" s="54">
        <v>0</v>
      </c>
      <c r="I314" s="54">
        <v>1</v>
      </c>
      <c r="J314" s="54">
        <v>0</v>
      </c>
      <c r="K314" s="54">
        <v>0</v>
      </c>
      <c r="L314" s="54">
        <v>1</v>
      </c>
      <c r="M314" s="54">
        <v>0</v>
      </c>
      <c r="N314" s="54">
        <v>0</v>
      </c>
      <c r="O314" s="55">
        <v>1</v>
      </c>
    </row>
    <row r="315" spans="1:15" ht="14.7" customHeight="1" outlineLevel="1" x14ac:dyDescent="0.55000000000000004">
      <c r="A315" s="18">
        <v>5</v>
      </c>
      <c r="B315" s="52" t="str">
        <f>$Q$18</f>
        <v>Beatriz</v>
      </c>
      <c r="C315" s="53">
        <v>0</v>
      </c>
      <c r="D315" s="54">
        <v>0</v>
      </c>
      <c r="E315" s="54">
        <v>0</v>
      </c>
      <c r="F315" s="54">
        <v>0</v>
      </c>
      <c r="G315" s="54">
        <v>1</v>
      </c>
      <c r="H315" s="54">
        <v>1</v>
      </c>
      <c r="I315" s="54">
        <v>0</v>
      </c>
      <c r="J315" s="54">
        <v>1</v>
      </c>
      <c r="K315" s="54">
        <v>1</v>
      </c>
      <c r="L315" s="54">
        <v>0</v>
      </c>
      <c r="M315" s="54">
        <v>1</v>
      </c>
      <c r="N315" s="54">
        <v>0</v>
      </c>
      <c r="O315" s="55">
        <v>0</v>
      </c>
    </row>
    <row r="316" spans="1:15" ht="14.7" customHeight="1" outlineLevel="1" x14ac:dyDescent="0.55000000000000004">
      <c r="A316" s="18">
        <v>6</v>
      </c>
      <c r="B316" s="52" t="str">
        <f>$Q$19</f>
        <v>Charelle</v>
      </c>
      <c r="C316" s="53">
        <v>1</v>
      </c>
      <c r="D316" s="54">
        <v>0</v>
      </c>
      <c r="E316" s="54">
        <v>0</v>
      </c>
      <c r="F316" s="54">
        <v>1</v>
      </c>
      <c r="G316" s="54">
        <v>0</v>
      </c>
      <c r="H316" s="54">
        <v>0</v>
      </c>
      <c r="I316" s="54">
        <v>0</v>
      </c>
      <c r="J316" s="54">
        <v>0</v>
      </c>
      <c r="K316" s="54">
        <v>0</v>
      </c>
      <c r="L316" s="54">
        <v>1</v>
      </c>
      <c r="M316" s="54">
        <v>0</v>
      </c>
      <c r="N316" s="54">
        <v>1</v>
      </c>
      <c r="O316" s="55">
        <v>1</v>
      </c>
    </row>
    <row r="317" spans="1:15" ht="14.7" customHeight="1" outlineLevel="1" x14ac:dyDescent="0.55000000000000004">
      <c r="A317" s="18">
        <v>7</v>
      </c>
      <c r="B317" s="52" t="str">
        <f>$Q$20</f>
        <v>Dimitri</v>
      </c>
      <c r="C317" s="53">
        <v>0</v>
      </c>
      <c r="D317" s="54">
        <v>0</v>
      </c>
      <c r="E317" s="54">
        <v>1</v>
      </c>
      <c r="F317" s="54">
        <v>1</v>
      </c>
      <c r="G317" s="54">
        <v>1</v>
      </c>
      <c r="H317" s="54">
        <v>0</v>
      </c>
      <c r="I317" s="54">
        <v>1</v>
      </c>
      <c r="J317" s="54">
        <v>0</v>
      </c>
      <c r="K317" s="54">
        <v>0</v>
      </c>
      <c r="L317" s="54">
        <v>0</v>
      </c>
      <c r="M317" s="54">
        <v>0</v>
      </c>
      <c r="N317" s="54">
        <v>0</v>
      </c>
      <c r="O317" s="55">
        <v>1</v>
      </c>
    </row>
    <row r="318" spans="1:15" ht="14.7" customHeight="1" outlineLevel="1" x14ac:dyDescent="0.55000000000000004">
      <c r="A318" s="18">
        <v>8</v>
      </c>
      <c r="B318" s="52" t="str">
        <f>$Q$21</f>
        <v>Marina</v>
      </c>
      <c r="C318" s="53">
        <v>1</v>
      </c>
      <c r="D318" s="54">
        <v>1</v>
      </c>
      <c r="E318" s="54">
        <v>0</v>
      </c>
      <c r="F318" s="54">
        <v>0</v>
      </c>
      <c r="G318" s="54">
        <v>0</v>
      </c>
      <c r="H318" s="54">
        <v>0</v>
      </c>
      <c r="I318" s="54">
        <v>0</v>
      </c>
      <c r="J318" s="54">
        <v>0</v>
      </c>
      <c r="K318" s="54">
        <v>0</v>
      </c>
      <c r="L318" s="54">
        <v>1</v>
      </c>
      <c r="M318" s="54">
        <v>0</v>
      </c>
      <c r="N318" s="54">
        <v>1</v>
      </c>
      <c r="O318" s="55">
        <v>1</v>
      </c>
    </row>
    <row r="319" spans="1:15" ht="14.7" customHeight="1" outlineLevel="1" x14ac:dyDescent="0.55000000000000004">
      <c r="A319" s="18">
        <v>9</v>
      </c>
      <c r="B319" s="52" t="str">
        <f>$Q$22</f>
        <v>Michel</v>
      </c>
      <c r="C319" s="53">
        <v>1</v>
      </c>
      <c r="D319" s="54">
        <v>1</v>
      </c>
      <c r="E319" s="54">
        <v>0</v>
      </c>
      <c r="F319" s="54">
        <v>0</v>
      </c>
      <c r="G319" s="54">
        <v>1</v>
      </c>
      <c r="H319" s="54">
        <v>1</v>
      </c>
      <c r="I319" s="54">
        <v>0</v>
      </c>
      <c r="J319" s="54">
        <v>0</v>
      </c>
      <c r="K319" s="54">
        <v>1</v>
      </c>
      <c r="L319" s="54">
        <v>0</v>
      </c>
      <c r="M319" s="54">
        <v>0</v>
      </c>
      <c r="N319" s="54">
        <v>0</v>
      </c>
      <c r="O319" s="55">
        <v>0</v>
      </c>
    </row>
    <row r="320" spans="1:15" ht="14.7" customHeight="1" outlineLevel="1" x14ac:dyDescent="0.55000000000000004">
      <c r="A320" s="18">
        <v>10</v>
      </c>
      <c r="B320" s="52" t="str">
        <f>$Q$23</f>
        <v>Nour</v>
      </c>
      <c r="C320" s="53">
        <v>1</v>
      </c>
      <c r="D320" s="54">
        <v>0</v>
      </c>
      <c r="E320" s="54">
        <v>0</v>
      </c>
      <c r="F320" s="54">
        <v>0</v>
      </c>
      <c r="G320" s="54">
        <v>0</v>
      </c>
      <c r="H320" s="54">
        <v>0</v>
      </c>
      <c r="I320" s="54">
        <v>0</v>
      </c>
      <c r="J320" s="54">
        <v>0</v>
      </c>
      <c r="K320" s="54">
        <v>0</v>
      </c>
      <c r="L320" s="54">
        <v>0</v>
      </c>
      <c r="M320" s="54">
        <v>0</v>
      </c>
      <c r="N320" s="54">
        <v>0</v>
      </c>
      <c r="O320" s="55">
        <v>0</v>
      </c>
    </row>
    <row r="321" spans="1:30" ht="14.7" customHeight="1" outlineLevel="1" x14ac:dyDescent="0.55000000000000004">
      <c r="A321" s="18">
        <v>11</v>
      </c>
      <c r="B321" s="52" t="str">
        <f>$Q$24</f>
        <v>Samuel</v>
      </c>
      <c r="C321" s="53">
        <v>0</v>
      </c>
      <c r="D321" s="54">
        <v>0</v>
      </c>
      <c r="E321" s="54">
        <v>0</v>
      </c>
      <c r="F321" s="54">
        <v>0</v>
      </c>
      <c r="G321" s="54">
        <v>0</v>
      </c>
      <c r="H321" s="54">
        <v>1</v>
      </c>
      <c r="I321" s="54">
        <v>0</v>
      </c>
      <c r="J321" s="54">
        <v>1</v>
      </c>
      <c r="K321" s="54">
        <v>0</v>
      </c>
      <c r="L321" s="54">
        <v>1</v>
      </c>
      <c r="M321" s="54">
        <v>1</v>
      </c>
      <c r="N321" s="54">
        <v>1</v>
      </c>
      <c r="O321" s="55">
        <v>0</v>
      </c>
    </row>
    <row r="322" spans="1:30" ht="14.7" customHeight="1" outlineLevel="1" x14ac:dyDescent="0.55000000000000004">
      <c r="A322" s="18">
        <v>12</v>
      </c>
      <c r="B322" s="52" t="str">
        <f>$Q$25</f>
        <v>Yassin</v>
      </c>
      <c r="C322" s="53">
        <v>0</v>
      </c>
      <c r="D322" s="54">
        <v>1</v>
      </c>
      <c r="E322" s="54">
        <v>0</v>
      </c>
      <c r="F322" s="54">
        <v>0</v>
      </c>
      <c r="G322" s="54">
        <v>0</v>
      </c>
      <c r="H322" s="54">
        <v>1</v>
      </c>
      <c r="I322" s="54">
        <v>0</v>
      </c>
      <c r="J322" s="54">
        <v>1</v>
      </c>
      <c r="K322" s="54">
        <v>0</v>
      </c>
      <c r="L322" s="54">
        <v>1</v>
      </c>
      <c r="M322" s="54">
        <v>0</v>
      </c>
      <c r="N322" s="54">
        <v>0</v>
      </c>
      <c r="O322" s="55">
        <v>1</v>
      </c>
    </row>
    <row r="323" spans="1:30" ht="14.7" customHeight="1" outlineLevel="1" thickBot="1" x14ac:dyDescent="0.6">
      <c r="A323" s="62">
        <v>13</v>
      </c>
      <c r="B323" s="52" t="str">
        <f>$Q$26</f>
        <v>Kamar</v>
      </c>
      <c r="C323" s="63">
        <v>1</v>
      </c>
      <c r="D323" s="64">
        <v>0</v>
      </c>
      <c r="E323" s="64">
        <v>0</v>
      </c>
      <c r="F323" s="64">
        <v>0</v>
      </c>
      <c r="G323" s="64">
        <v>0</v>
      </c>
      <c r="H323" s="64">
        <v>1</v>
      </c>
      <c r="I323" s="64">
        <v>0</v>
      </c>
      <c r="J323" s="64">
        <v>1</v>
      </c>
      <c r="K323" s="64">
        <v>0</v>
      </c>
      <c r="L323" s="64">
        <v>0</v>
      </c>
      <c r="M323" s="64">
        <v>1</v>
      </c>
      <c r="N323" s="64">
        <v>0</v>
      </c>
      <c r="O323" s="65">
        <v>1</v>
      </c>
    </row>
    <row r="324" spans="1:30" ht="14.7" customHeight="1" x14ac:dyDescent="0.55000000000000004"/>
    <row r="325" spans="1:30" ht="14.7" customHeight="1" x14ac:dyDescent="0.55000000000000004"/>
    <row r="326" spans="1:30" ht="14.7" customHeight="1" x14ac:dyDescent="0.55000000000000004">
      <c r="B326" s="84" t="s">
        <v>28</v>
      </c>
      <c r="C326" s="7">
        <v>0.38461538000000001</v>
      </c>
    </row>
    <row r="328" spans="1:30" ht="26.4" x14ac:dyDescent="0.55000000000000004">
      <c r="B328" s="85" t="s">
        <v>108</v>
      </c>
      <c r="E328" s="86">
        <f>C326</f>
        <v>0.38461538000000001</v>
      </c>
    </row>
    <row r="330" spans="1:30" ht="23.7" x14ac:dyDescent="0.55000000000000004">
      <c r="B330" s="87" t="s">
        <v>114</v>
      </c>
    </row>
    <row r="331" spans="1:30" ht="15.6" x14ac:dyDescent="0.55000000000000004">
      <c r="C331" s="40" t="str">
        <f>$R$2</f>
        <v>16h</v>
      </c>
      <c r="D331" s="41" t="str">
        <f>$S$2</f>
        <v>17h</v>
      </c>
      <c r="E331" s="41" t="str">
        <f>$T$2</f>
        <v>18h</v>
      </c>
      <c r="F331" s="41" t="str">
        <f>$U$2</f>
        <v>19h</v>
      </c>
      <c r="G331" s="41" t="str">
        <f>$V$2</f>
        <v>20h</v>
      </c>
      <c r="H331" s="41" t="str">
        <f>$W$2</f>
        <v>21h</v>
      </c>
      <c r="I331" s="41" t="str">
        <f>$X$2</f>
        <v>22h</v>
      </c>
      <c r="J331" s="41" t="str">
        <f>$Y$2</f>
        <v>23h</v>
      </c>
      <c r="K331" s="41" t="str">
        <f>$Z$2</f>
        <v>00h</v>
      </c>
      <c r="L331" s="41" t="str">
        <f>$AA$2</f>
        <v>01h</v>
      </c>
      <c r="M331" s="41" t="str">
        <f>$AB$2</f>
        <v>02h</v>
      </c>
      <c r="N331" s="41" t="str">
        <f>$AC$2</f>
        <v>03h</v>
      </c>
      <c r="O331" s="38" t="str">
        <f>$AD$2</f>
        <v>04h</v>
      </c>
      <c r="Q331" s="16"/>
      <c r="R331" s="40" t="str">
        <f>$R$2</f>
        <v>16h</v>
      </c>
      <c r="S331" s="41" t="str">
        <f>$S$2</f>
        <v>17h</v>
      </c>
      <c r="T331" s="41" t="str">
        <f>$T$2</f>
        <v>18h</v>
      </c>
      <c r="U331" s="41" t="str">
        <f>$U$2</f>
        <v>19h</v>
      </c>
      <c r="V331" s="41" t="str">
        <f>$V$2</f>
        <v>20h</v>
      </c>
      <c r="W331" s="41" t="str">
        <f>$W$2</f>
        <v>21h</v>
      </c>
      <c r="X331" s="41" t="str">
        <f>$X$2</f>
        <v>22h</v>
      </c>
      <c r="Y331" s="41" t="str">
        <f>$Y$2</f>
        <v>23h</v>
      </c>
      <c r="Z331" s="41" t="str">
        <f>$Z$2</f>
        <v>00h</v>
      </c>
      <c r="AA331" s="41" t="str">
        <f>$AA$2</f>
        <v>01h</v>
      </c>
      <c r="AB331" s="41" t="str">
        <f>$AB$2</f>
        <v>02h</v>
      </c>
      <c r="AC331" s="41" t="str">
        <f>$AC$2</f>
        <v>03h</v>
      </c>
      <c r="AD331" s="38" t="str">
        <f>$AD$2</f>
        <v>04h</v>
      </c>
    </row>
    <row r="332" spans="1:30" ht="15.6" x14ac:dyDescent="0.55000000000000004">
      <c r="B332" s="46" t="str">
        <f>$Q$3</f>
        <v>Jennifer</v>
      </c>
      <c r="C332" s="51">
        <f>C3+C30+C57+C84+C111+C138+C165+C192+C219+C246+C273+C300</f>
        <v>1</v>
      </c>
      <c r="D332" s="51">
        <f t="shared" ref="D332:O332" si="6">D3+D30+D57+D84+D111+D138+D165+D192+D219+D246+D273+D300</f>
        <v>1</v>
      </c>
      <c r="E332" s="51">
        <f t="shared" si="6"/>
        <v>1</v>
      </c>
      <c r="F332" s="51">
        <f t="shared" si="6"/>
        <v>1</v>
      </c>
      <c r="G332" s="51">
        <f t="shared" si="6"/>
        <v>1</v>
      </c>
      <c r="H332" s="51">
        <f t="shared" si="6"/>
        <v>1</v>
      </c>
      <c r="I332" s="51">
        <f t="shared" si="6"/>
        <v>1</v>
      </c>
      <c r="J332" s="51">
        <f t="shared" si="6"/>
        <v>1</v>
      </c>
      <c r="K332" s="51">
        <f t="shared" si="6"/>
        <v>1</v>
      </c>
      <c r="L332" s="51">
        <f t="shared" si="6"/>
        <v>1</v>
      </c>
      <c r="M332" s="51">
        <f t="shared" si="6"/>
        <v>1</v>
      </c>
      <c r="N332" s="51">
        <f t="shared" si="6"/>
        <v>1</v>
      </c>
      <c r="O332" s="51">
        <f t="shared" si="6"/>
        <v>1</v>
      </c>
      <c r="P332" s="28" t="s">
        <v>20</v>
      </c>
      <c r="Q332" s="46" t="str">
        <f>$Q$3</f>
        <v>Jennifer</v>
      </c>
      <c r="R332" s="51">
        <f>R3</f>
        <v>1</v>
      </c>
      <c r="S332" s="51">
        <f t="shared" ref="S332:AD332" si="7">S3</f>
        <v>1</v>
      </c>
      <c r="T332" s="51">
        <f t="shared" si="7"/>
        <v>1</v>
      </c>
      <c r="U332" s="51">
        <f t="shared" si="7"/>
        <v>1</v>
      </c>
      <c r="V332" s="51">
        <f t="shared" si="7"/>
        <v>1</v>
      </c>
      <c r="W332" s="51">
        <f t="shared" si="7"/>
        <v>1</v>
      </c>
      <c r="X332" s="51">
        <f t="shared" si="7"/>
        <v>1</v>
      </c>
      <c r="Y332" s="51">
        <f t="shared" si="7"/>
        <v>1</v>
      </c>
      <c r="Z332" s="51">
        <f t="shared" si="7"/>
        <v>1</v>
      </c>
      <c r="AA332" s="51">
        <f t="shared" si="7"/>
        <v>1</v>
      </c>
      <c r="AB332" s="51">
        <f t="shared" si="7"/>
        <v>1</v>
      </c>
      <c r="AC332" s="51">
        <f t="shared" si="7"/>
        <v>1</v>
      </c>
      <c r="AD332" s="51">
        <f t="shared" si="7"/>
        <v>1</v>
      </c>
    </row>
    <row r="333" spans="1:30" ht="15.6" x14ac:dyDescent="0.55000000000000004">
      <c r="B333" s="52" t="str">
        <f>$Q$4</f>
        <v>Galileo</v>
      </c>
      <c r="C333" s="51">
        <f t="shared" ref="C333:O333" si="8">C4+C31+C58+C85+C112+C139+C166+C193+C220+C247+C274+C301</f>
        <v>1</v>
      </c>
      <c r="D333" s="51">
        <f t="shared" si="8"/>
        <v>1</v>
      </c>
      <c r="E333" s="51">
        <f t="shared" si="8"/>
        <v>1</v>
      </c>
      <c r="F333" s="51">
        <f t="shared" si="8"/>
        <v>1</v>
      </c>
      <c r="G333" s="51">
        <f t="shared" si="8"/>
        <v>1</v>
      </c>
      <c r="H333" s="51">
        <f t="shared" si="8"/>
        <v>1</v>
      </c>
      <c r="I333" s="51">
        <f t="shared" si="8"/>
        <v>1</v>
      </c>
      <c r="J333" s="51">
        <f t="shared" si="8"/>
        <v>1</v>
      </c>
      <c r="K333" s="51">
        <f t="shared" si="8"/>
        <v>1</v>
      </c>
      <c r="L333" s="51">
        <f t="shared" si="8"/>
        <v>1</v>
      </c>
      <c r="M333" s="51">
        <f t="shared" si="8"/>
        <v>1</v>
      </c>
      <c r="N333" s="51">
        <f t="shared" si="8"/>
        <v>1</v>
      </c>
      <c r="O333" s="51">
        <f t="shared" si="8"/>
        <v>1</v>
      </c>
      <c r="P333" s="28" t="s">
        <v>20</v>
      </c>
      <c r="Q333" s="52" t="str">
        <f>$Q$4</f>
        <v>Galileo</v>
      </c>
      <c r="R333" s="51">
        <f t="shared" ref="R333:AD333" si="9">R4</f>
        <v>1</v>
      </c>
      <c r="S333" s="51">
        <f t="shared" si="9"/>
        <v>1</v>
      </c>
      <c r="T333" s="51">
        <f t="shared" si="9"/>
        <v>1</v>
      </c>
      <c r="U333" s="51">
        <f t="shared" si="9"/>
        <v>1</v>
      </c>
      <c r="V333" s="51">
        <f t="shared" si="9"/>
        <v>1</v>
      </c>
      <c r="W333" s="51">
        <f t="shared" si="9"/>
        <v>1</v>
      </c>
      <c r="X333" s="51">
        <f t="shared" si="9"/>
        <v>1</v>
      </c>
      <c r="Y333" s="51">
        <f t="shared" si="9"/>
        <v>1</v>
      </c>
      <c r="Z333" s="51">
        <f t="shared" si="9"/>
        <v>1</v>
      </c>
      <c r="AA333" s="51">
        <f t="shared" si="9"/>
        <v>1</v>
      </c>
      <c r="AB333" s="51">
        <f t="shared" si="9"/>
        <v>1</v>
      </c>
      <c r="AC333" s="51">
        <f t="shared" si="9"/>
        <v>1</v>
      </c>
      <c r="AD333" s="51">
        <f t="shared" si="9"/>
        <v>1</v>
      </c>
    </row>
    <row r="334" spans="1:30" ht="15.6" x14ac:dyDescent="0.55000000000000004">
      <c r="B334" s="52" t="str">
        <f>$Q$5</f>
        <v>Óscar</v>
      </c>
      <c r="C334" s="51">
        <f t="shared" ref="C334:O334" si="10">C5+C32+C59+C86+C113+C140+C167+C194+C221+C248+C275+C302</f>
        <v>1</v>
      </c>
      <c r="D334" s="51">
        <f t="shared" si="10"/>
        <v>1</v>
      </c>
      <c r="E334" s="51">
        <f t="shared" si="10"/>
        <v>1</v>
      </c>
      <c r="F334" s="51">
        <f t="shared" si="10"/>
        <v>1</v>
      </c>
      <c r="G334" s="51">
        <f t="shared" si="10"/>
        <v>1</v>
      </c>
      <c r="H334" s="51">
        <f t="shared" si="10"/>
        <v>1</v>
      </c>
      <c r="I334" s="51">
        <f t="shared" si="10"/>
        <v>1</v>
      </c>
      <c r="J334" s="51">
        <f t="shared" si="10"/>
        <v>1</v>
      </c>
      <c r="K334" s="51">
        <f t="shared" si="10"/>
        <v>1</v>
      </c>
      <c r="L334" s="51">
        <f t="shared" si="10"/>
        <v>1</v>
      </c>
      <c r="M334" s="51">
        <f t="shared" si="10"/>
        <v>1</v>
      </c>
      <c r="N334" s="51">
        <f t="shared" si="10"/>
        <v>1</v>
      </c>
      <c r="O334" s="51">
        <f t="shared" si="10"/>
        <v>1</v>
      </c>
      <c r="P334" s="28" t="s">
        <v>20</v>
      </c>
      <c r="Q334" s="52" t="str">
        <f>$Q$5</f>
        <v>Óscar</v>
      </c>
      <c r="R334" s="51">
        <f t="shared" ref="R334:AD334" si="11">R5</f>
        <v>1</v>
      </c>
      <c r="S334" s="51">
        <f t="shared" si="11"/>
        <v>1</v>
      </c>
      <c r="T334" s="51">
        <f t="shared" si="11"/>
        <v>1</v>
      </c>
      <c r="U334" s="51">
        <f t="shared" si="11"/>
        <v>1</v>
      </c>
      <c r="V334" s="51">
        <f t="shared" si="11"/>
        <v>1</v>
      </c>
      <c r="W334" s="51">
        <f t="shared" si="11"/>
        <v>1</v>
      </c>
      <c r="X334" s="51">
        <f t="shared" si="11"/>
        <v>1</v>
      </c>
      <c r="Y334" s="51">
        <f t="shared" si="11"/>
        <v>1</v>
      </c>
      <c r="Z334" s="51">
        <f t="shared" si="11"/>
        <v>1</v>
      </c>
      <c r="AA334" s="51">
        <f t="shared" si="11"/>
        <v>1</v>
      </c>
      <c r="AB334" s="51">
        <f t="shared" si="11"/>
        <v>1</v>
      </c>
      <c r="AC334" s="51">
        <f t="shared" si="11"/>
        <v>1</v>
      </c>
      <c r="AD334" s="51">
        <f t="shared" si="11"/>
        <v>1</v>
      </c>
    </row>
    <row r="335" spans="1:30" ht="15.6" x14ac:dyDescent="0.55000000000000004">
      <c r="B335" s="52" t="str">
        <f>$Q$6</f>
        <v>Sebastián</v>
      </c>
      <c r="C335" s="51">
        <f t="shared" ref="C335:O335" si="12">C6+C33+C60+C87+C114+C141+C168+C195+C222+C249+C276+C303</f>
        <v>1</v>
      </c>
      <c r="D335" s="51">
        <f t="shared" si="12"/>
        <v>1</v>
      </c>
      <c r="E335" s="51">
        <f t="shared" si="12"/>
        <v>1</v>
      </c>
      <c r="F335" s="51">
        <f t="shared" si="12"/>
        <v>1</v>
      </c>
      <c r="G335" s="51">
        <f>G6+G33+G60+G87+G114+G141+G168+G195+G222+G249+G276+G303</f>
        <v>1</v>
      </c>
      <c r="H335" s="51">
        <f t="shared" si="12"/>
        <v>1</v>
      </c>
      <c r="I335" s="51">
        <f t="shared" si="12"/>
        <v>1</v>
      </c>
      <c r="J335" s="51">
        <f t="shared" si="12"/>
        <v>1</v>
      </c>
      <c r="K335" s="51">
        <f t="shared" si="12"/>
        <v>1</v>
      </c>
      <c r="L335" s="51">
        <f t="shared" si="12"/>
        <v>1</v>
      </c>
      <c r="M335" s="51">
        <f t="shared" si="12"/>
        <v>1</v>
      </c>
      <c r="N335" s="51">
        <f t="shared" si="12"/>
        <v>1</v>
      </c>
      <c r="O335" s="51">
        <f t="shared" si="12"/>
        <v>1</v>
      </c>
      <c r="P335" s="28" t="s">
        <v>20</v>
      </c>
      <c r="Q335" s="52" t="str">
        <f>$Q$6</f>
        <v>Sebastián</v>
      </c>
      <c r="R335" s="51">
        <f t="shared" ref="R335:AD335" si="13">R6</f>
        <v>1</v>
      </c>
      <c r="S335" s="51">
        <f t="shared" si="13"/>
        <v>1</v>
      </c>
      <c r="T335" s="51">
        <f t="shared" si="13"/>
        <v>1</v>
      </c>
      <c r="U335" s="51">
        <f t="shared" si="13"/>
        <v>1</v>
      </c>
      <c r="V335" s="51">
        <f t="shared" si="13"/>
        <v>1</v>
      </c>
      <c r="W335" s="51">
        <f t="shared" si="13"/>
        <v>1</v>
      </c>
      <c r="X335" s="51">
        <f t="shared" si="13"/>
        <v>1</v>
      </c>
      <c r="Y335" s="51">
        <f t="shared" si="13"/>
        <v>1</v>
      </c>
      <c r="Z335" s="51">
        <f t="shared" si="13"/>
        <v>1</v>
      </c>
      <c r="AA335" s="51">
        <f t="shared" si="13"/>
        <v>1</v>
      </c>
      <c r="AB335" s="51">
        <f t="shared" si="13"/>
        <v>1</v>
      </c>
      <c r="AC335" s="51">
        <f t="shared" si="13"/>
        <v>1</v>
      </c>
      <c r="AD335" s="51">
        <f t="shared" si="13"/>
        <v>1</v>
      </c>
    </row>
    <row r="336" spans="1:30" ht="15.6" x14ac:dyDescent="0.55000000000000004">
      <c r="B336" s="52" t="str">
        <f>$Q$7</f>
        <v>Marcos</v>
      </c>
      <c r="C336" s="51">
        <f t="shared" ref="C336:O336" si="14">C7+C34+C61+C88+C115+C142+C169+C196+C223+C250+C277+C304</f>
        <v>1</v>
      </c>
      <c r="D336" s="51">
        <f t="shared" si="14"/>
        <v>1</v>
      </c>
      <c r="E336" s="51">
        <f t="shared" si="14"/>
        <v>1</v>
      </c>
      <c r="F336" s="51">
        <f t="shared" si="14"/>
        <v>1</v>
      </c>
      <c r="G336" s="51">
        <f t="shared" si="14"/>
        <v>1</v>
      </c>
      <c r="H336" s="51">
        <f t="shared" si="14"/>
        <v>1</v>
      </c>
      <c r="I336" s="51">
        <f t="shared" si="14"/>
        <v>1</v>
      </c>
      <c r="J336" s="51">
        <f t="shared" si="14"/>
        <v>1</v>
      </c>
      <c r="K336" s="51">
        <f t="shared" si="14"/>
        <v>1</v>
      </c>
      <c r="L336" s="51">
        <f t="shared" si="14"/>
        <v>1</v>
      </c>
      <c r="M336" s="51">
        <f t="shared" si="14"/>
        <v>1</v>
      </c>
      <c r="N336" s="51">
        <f t="shared" si="14"/>
        <v>1</v>
      </c>
      <c r="O336" s="51">
        <f t="shared" si="14"/>
        <v>1</v>
      </c>
      <c r="P336" s="28" t="s">
        <v>20</v>
      </c>
      <c r="Q336" s="52" t="str">
        <f>$Q$7</f>
        <v>Marcos</v>
      </c>
      <c r="R336" s="51">
        <f t="shared" ref="R336:AD336" si="15">R7</f>
        <v>1</v>
      </c>
      <c r="S336" s="51">
        <f t="shared" si="15"/>
        <v>1</v>
      </c>
      <c r="T336" s="51">
        <f t="shared" si="15"/>
        <v>1</v>
      </c>
      <c r="U336" s="51">
        <f t="shared" si="15"/>
        <v>1</v>
      </c>
      <c r="V336" s="51">
        <f t="shared" si="15"/>
        <v>1</v>
      </c>
      <c r="W336" s="51">
        <f t="shared" si="15"/>
        <v>1</v>
      </c>
      <c r="X336" s="51">
        <f t="shared" si="15"/>
        <v>1</v>
      </c>
      <c r="Y336" s="51">
        <f t="shared" si="15"/>
        <v>1</v>
      </c>
      <c r="Z336" s="51">
        <f t="shared" si="15"/>
        <v>1</v>
      </c>
      <c r="AA336" s="51">
        <f t="shared" si="15"/>
        <v>1</v>
      </c>
      <c r="AB336" s="51">
        <f t="shared" si="15"/>
        <v>1</v>
      </c>
      <c r="AC336" s="51">
        <f t="shared" si="15"/>
        <v>1</v>
      </c>
      <c r="AD336" s="51">
        <f t="shared" si="15"/>
        <v>1</v>
      </c>
    </row>
    <row r="337" spans="2:30" ht="15.6" x14ac:dyDescent="0.55000000000000004">
      <c r="B337" s="52" t="str">
        <f>$Q$8</f>
        <v>Weixin</v>
      </c>
      <c r="C337" s="51">
        <f t="shared" ref="C337:O337" si="16">C8+C35+C62+C89+C116+C143+C170+C197+C224+C251+C278+C305</f>
        <v>1</v>
      </c>
      <c r="D337" s="51">
        <f t="shared" si="16"/>
        <v>1</v>
      </c>
      <c r="E337" s="51">
        <f t="shared" si="16"/>
        <v>1</v>
      </c>
      <c r="F337" s="51">
        <f t="shared" si="16"/>
        <v>1</v>
      </c>
      <c r="G337" s="51">
        <f t="shared" si="16"/>
        <v>1</v>
      </c>
      <c r="H337" s="51">
        <f t="shared" si="16"/>
        <v>1</v>
      </c>
      <c r="I337" s="51">
        <f t="shared" si="16"/>
        <v>1</v>
      </c>
      <c r="J337" s="51">
        <f t="shared" si="16"/>
        <v>1</v>
      </c>
      <c r="K337" s="51">
        <f t="shared" si="16"/>
        <v>1</v>
      </c>
      <c r="L337" s="51">
        <f t="shared" si="16"/>
        <v>1</v>
      </c>
      <c r="M337" s="51">
        <f t="shared" si="16"/>
        <v>1</v>
      </c>
      <c r="N337" s="51">
        <f t="shared" si="16"/>
        <v>1</v>
      </c>
      <c r="O337" s="51">
        <f t="shared" si="16"/>
        <v>1</v>
      </c>
      <c r="P337" s="28" t="s">
        <v>20</v>
      </c>
      <c r="Q337" s="52" t="str">
        <f>$Q$8</f>
        <v>Weixin</v>
      </c>
      <c r="R337" s="51">
        <f t="shared" ref="R337:AD337" si="17">R8</f>
        <v>1</v>
      </c>
      <c r="S337" s="51">
        <f t="shared" si="17"/>
        <v>1</v>
      </c>
      <c r="T337" s="51">
        <f t="shared" si="17"/>
        <v>1</v>
      </c>
      <c r="U337" s="51">
        <f t="shared" si="17"/>
        <v>1</v>
      </c>
      <c r="V337" s="51">
        <f t="shared" si="17"/>
        <v>1</v>
      </c>
      <c r="W337" s="51">
        <f t="shared" si="17"/>
        <v>1</v>
      </c>
      <c r="X337" s="51">
        <f t="shared" si="17"/>
        <v>1</v>
      </c>
      <c r="Y337" s="51">
        <f t="shared" si="17"/>
        <v>1</v>
      </c>
      <c r="Z337" s="51">
        <f t="shared" si="17"/>
        <v>1</v>
      </c>
      <c r="AA337" s="51">
        <f t="shared" si="17"/>
        <v>1</v>
      </c>
      <c r="AB337" s="51">
        <f t="shared" si="17"/>
        <v>1</v>
      </c>
      <c r="AC337" s="51">
        <f t="shared" si="17"/>
        <v>1</v>
      </c>
      <c r="AD337" s="51">
        <f t="shared" si="17"/>
        <v>1</v>
      </c>
    </row>
    <row r="338" spans="2:30" ht="15.6" x14ac:dyDescent="0.55000000000000004">
      <c r="B338" s="52" t="str">
        <f>$Q$9</f>
        <v>Benjamin</v>
      </c>
      <c r="C338" s="51">
        <f t="shared" ref="C338:O338" si="18">C9+C36+C63+C90+C117+C144+C171+C198+C225+C252+C279+C306</f>
        <v>1</v>
      </c>
      <c r="D338" s="51">
        <f t="shared" si="18"/>
        <v>1</v>
      </c>
      <c r="E338" s="51">
        <f t="shared" si="18"/>
        <v>1</v>
      </c>
      <c r="F338" s="51">
        <f t="shared" si="18"/>
        <v>1</v>
      </c>
      <c r="G338" s="51">
        <f t="shared" si="18"/>
        <v>1</v>
      </c>
      <c r="H338" s="51">
        <f t="shared" si="18"/>
        <v>1</v>
      </c>
      <c r="I338" s="51">
        <f t="shared" si="18"/>
        <v>1</v>
      </c>
      <c r="J338" s="51">
        <f t="shared" si="18"/>
        <v>1</v>
      </c>
      <c r="K338" s="51">
        <f t="shared" si="18"/>
        <v>1</v>
      </c>
      <c r="L338" s="51">
        <f t="shared" si="18"/>
        <v>1</v>
      </c>
      <c r="M338" s="51">
        <f t="shared" si="18"/>
        <v>1</v>
      </c>
      <c r="N338" s="51">
        <f t="shared" si="18"/>
        <v>1</v>
      </c>
      <c r="O338" s="51">
        <f t="shared" si="18"/>
        <v>1</v>
      </c>
      <c r="P338" s="28" t="s">
        <v>20</v>
      </c>
      <c r="Q338" s="52" t="str">
        <f>$Q$9</f>
        <v>Benjamin</v>
      </c>
      <c r="R338" s="51">
        <f t="shared" ref="R338:AD338" si="19">R9</f>
        <v>1</v>
      </c>
      <c r="S338" s="51">
        <f t="shared" si="19"/>
        <v>1</v>
      </c>
      <c r="T338" s="51">
        <f t="shared" si="19"/>
        <v>1</v>
      </c>
      <c r="U338" s="51">
        <f t="shared" si="19"/>
        <v>1</v>
      </c>
      <c r="V338" s="51">
        <f t="shared" si="19"/>
        <v>1</v>
      </c>
      <c r="W338" s="51">
        <f t="shared" si="19"/>
        <v>1</v>
      </c>
      <c r="X338" s="51">
        <f t="shared" si="19"/>
        <v>1</v>
      </c>
      <c r="Y338" s="51">
        <f t="shared" si="19"/>
        <v>1</v>
      </c>
      <c r="Z338" s="51">
        <f t="shared" si="19"/>
        <v>1</v>
      </c>
      <c r="AA338" s="51">
        <f t="shared" si="19"/>
        <v>1</v>
      </c>
      <c r="AB338" s="51">
        <f t="shared" si="19"/>
        <v>1</v>
      </c>
      <c r="AC338" s="51">
        <f t="shared" si="19"/>
        <v>1</v>
      </c>
      <c r="AD338" s="51">
        <f t="shared" si="19"/>
        <v>1</v>
      </c>
    </row>
    <row r="339" spans="2:30" ht="15.6" x14ac:dyDescent="0.55000000000000004">
      <c r="B339" s="52" t="str">
        <f>$Q$10</f>
        <v>Joelle</v>
      </c>
      <c r="C339" s="51">
        <f t="shared" ref="C339:O339" si="20">C10+C37+C64+C91+C118+C145+C172+C199+C226+C253+C280+C307</f>
        <v>1</v>
      </c>
      <c r="D339" s="51">
        <f t="shared" si="20"/>
        <v>1</v>
      </c>
      <c r="E339" s="51">
        <f t="shared" si="20"/>
        <v>1</v>
      </c>
      <c r="F339" s="51">
        <f t="shared" si="20"/>
        <v>1</v>
      </c>
      <c r="G339" s="51">
        <f t="shared" si="20"/>
        <v>1</v>
      </c>
      <c r="H339" s="51">
        <f t="shared" si="20"/>
        <v>1</v>
      </c>
      <c r="I339" s="51">
        <f t="shared" si="20"/>
        <v>1</v>
      </c>
      <c r="J339" s="51">
        <f t="shared" si="20"/>
        <v>1</v>
      </c>
      <c r="K339" s="51">
        <f t="shared" si="20"/>
        <v>1</v>
      </c>
      <c r="L339" s="51">
        <f t="shared" si="20"/>
        <v>1</v>
      </c>
      <c r="M339" s="51">
        <f t="shared" si="20"/>
        <v>1</v>
      </c>
      <c r="N339" s="51">
        <f t="shared" si="20"/>
        <v>1</v>
      </c>
      <c r="O339" s="51">
        <f t="shared" si="20"/>
        <v>1</v>
      </c>
      <c r="P339" s="28" t="s">
        <v>20</v>
      </c>
      <c r="Q339" s="52" t="str">
        <f>$Q$10</f>
        <v>Joelle</v>
      </c>
      <c r="R339" s="51">
        <f t="shared" ref="R339:AD339" si="21">R10</f>
        <v>1</v>
      </c>
      <c r="S339" s="51">
        <f t="shared" si="21"/>
        <v>1</v>
      </c>
      <c r="T339" s="51">
        <f t="shared" si="21"/>
        <v>1</v>
      </c>
      <c r="U339" s="51">
        <f t="shared" si="21"/>
        <v>1</v>
      </c>
      <c r="V339" s="51">
        <f t="shared" si="21"/>
        <v>1</v>
      </c>
      <c r="W339" s="51">
        <f t="shared" si="21"/>
        <v>1</v>
      </c>
      <c r="X339" s="51">
        <f t="shared" si="21"/>
        <v>1</v>
      </c>
      <c r="Y339" s="51">
        <f t="shared" si="21"/>
        <v>1</v>
      </c>
      <c r="Z339" s="51">
        <f t="shared" si="21"/>
        <v>1</v>
      </c>
      <c r="AA339" s="51">
        <f t="shared" si="21"/>
        <v>1</v>
      </c>
      <c r="AB339" s="51">
        <f t="shared" si="21"/>
        <v>1</v>
      </c>
      <c r="AC339" s="51">
        <f t="shared" si="21"/>
        <v>1</v>
      </c>
      <c r="AD339" s="51">
        <f t="shared" si="21"/>
        <v>1</v>
      </c>
    </row>
    <row r="340" spans="2:30" ht="15.6" x14ac:dyDescent="0.55000000000000004">
      <c r="B340" s="52" t="str">
        <f>$Q$11</f>
        <v>Alexia</v>
      </c>
      <c r="C340" s="51">
        <f t="shared" ref="C340:O340" si="22">C11+C38+C65+C92+C119+C146+C173+C200+C227+C254+C281+C308</f>
        <v>1</v>
      </c>
      <c r="D340" s="51">
        <f t="shared" si="22"/>
        <v>1</v>
      </c>
      <c r="E340" s="51">
        <f t="shared" si="22"/>
        <v>1</v>
      </c>
      <c r="F340" s="51">
        <f t="shared" si="22"/>
        <v>1</v>
      </c>
      <c r="G340" s="51">
        <f t="shared" si="22"/>
        <v>1</v>
      </c>
      <c r="H340" s="51">
        <f>H11+H38+H65+H92+H119+H146+H173+H200+H227+H254+H281+H308</f>
        <v>1</v>
      </c>
      <c r="I340" s="51">
        <f t="shared" si="22"/>
        <v>1</v>
      </c>
      <c r="J340" s="51">
        <f t="shared" si="22"/>
        <v>1</v>
      </c>
      <c r="K340" s="51">
        <f t="shared" si="22"/>
        <v>1</v>
      </c>
      <c r="L340" s="51">
        <f t="shared" si="22"/>
        <v>1</v>
      </c>
      <c r="M340" s="51">
        <f t="shared" si="22"/>
        <v>1</v>
      </c>
      <c r="N340" s="51">
        <f t="shared" si="22"/>
        <v>1</v>
      </c>
      <c r="O340" s="51">
        <f t="shared" si="22"/>
        <v>1</v>
      </c>
      <c r="P340" s="28" t="s">
        <v>20</v>
      </c>
      <c r="Q340" s="52" t="str">
        <f>$Q$11</f>
        <v>Alexia</v>
      </c>
      <c r="R340" s="51">
        <f t="shared" ref="R340:AD340" si="23">R11</f>
        <v>1</v>
      </c>
      <c r="S340" s="51">
        <f t="shared" si="23"/>
        <v>1</v>
      </c>
      <c r="T340" s="51">
        <f t="shared" si="23"/>
        <v>1</v>
      </c>
      <c r="U340" s="51">
        <f t="shared" si="23"/>
        <v>1</v>
      </c>
      <c r="V340" s="51">
        <f t="shared" si="23"/>
        <v>1</v>
      </c>
      <c r="W340" s="51">
        <f t="shared" si="23"/>
        <v>1</v>
      </c>
      <c r="X340" s="51">
        <f t="shared" si="23"/>
        <v>1</v>
      </c>
      <c r="Y340" s="51">
        <f t="shared" si="23"/>
        <v>1</v>
      </c>
      <c r="Z340" s="51">
        <f t="shared" si="23"/>
        <v>1</v>
      </c>
      <c r="AA340" s="51">
        <f t="shared" si="23"/>
        <v>1</v>
      </c>
      <c r="AB340" s="51">
        <f t="shared" si="23"/>
        <v>1</v>
      </c>
      <c r="AC340" s="51">
        <f t="shared" si="23"/>
        <v>1</v>
      </c>
      <c r="AD340" s="51">
        <f t="shared" si="23"/>
        <v>1</v>
      </c>
    </row>
    <row r="341" spans="2:30" ht="15.6" x14ac:dyDescent="0.55000000000000004">
      <c r="B341" s="52" t="str">
        <f>$Q$12</f>
        <v>Joao</v>
      </c>
      <c r="C341" s="51">
        <f t="shared" ref="C341:O341" si="24">C12+C39+C66+C93+C120+C147+C174+C201+C228+C255+C282+C309</f>
        <v>1</v>
      </c>
      <c r="D341" s="51">
        <f t="shared" si="24"/>
        <v>1</v>
      </c>
      <c r="E341" s="51">
        <f t="shared" si="24"/>
        <v>1</v>
      </c>
      <c r="F341" s="51">
        <f t="shared" si="24"/>
        <v>1</v>
      </c>
      <c r="G341" s="51">
        <f t="shared" si="24"/>
        <v>1</v>
      </c>
      <c r="H341" s="51">
        <f t="shared" si="24"/>
        <v>1</v>
      </c>
      <c r="I341" s="51">
        <f t="shared" si="24"/>
        <v>1</v>
      </c>
      <c r="J341" s="51">
        <f t="shared" si="24"/>
        <v>1</v>
      </c>
      <c r="K341" s="51">
        <f t="shared" si="24"/>
        <v>1</v>
      </c>
      <c r="L341" s="51">
        <f t="shared" si="24"/>
        <v>1</v>
      </c>
      <c r="M341" s="51">
        <f t="shared" si="24"/>
        <v>1</v>
      </c>
      <c r="N341" s="51">
        <f t="shared" si="24"/>
        <v>1</v>
      </c>
      <c r="O341" s="51">
        <f t="shared" si="24"/>
        <v>1</v>
      </c>
      <c r="P341" s="28" t="s">
        <v>20</v>
      </c>
      <c r="Q341" s="52" t="str">
        <f>$Q$12</f>
        <v>Joao</v>
      </c>
      <c r="R341" s="51">
        <f t="shared" ref="R341:AD341" si="25">R12</f>
        <v>1</v>
      </c>
      <c r="S341" s="51">
        <f t="shared" si="25"/>
        <v>1</v>
      </c>
      <c r="T341" s="51">
        <f t="shared" si="25"/>
        <v>1</v>
      </c>
      <c r="U341" s="51">
        <f t="shared" si="25"/>
        <v>1</v>
      </c>
      <c r="V341" s="51">
        <f t="shared" si="25"/>
        <v>1</v>
      </c>
      <c r="W341" s="51">
        <f t="shared" si="25"/>
        <v>1</v>
      </c>
      <c r="X341" s="51">
        <f t="shared" si="25"/>
        <v>1</v>
      </c>
      <c r="Y341" s="51">
        <f t="shared" si="25"/>
        <v>1</v>
      </c>
      <c r="Z341" s="51">
        <f t="shared" si="25"/>
        <v>1</v>
      </c>
      <c r="AA341" s="51">
        <f t="shared" si="25"/>
        <v>1</v>
      </c>
      <c r="AB341" s="51">
        <f t="shared" si="25"/>
        <v>1</v>
      </c>
      <c r="AC341" s="51">
        <f t="shared" si="25"/>
        <v>1</v>
      </c>
      <c r="AD341" s="51">
        <f t="shared" si="25"/>
        <v>1</v>
      </c>
    </row>
    <row r="342" spans="2:30" ht="15.6" x14ac:dyDescent="0.55000000000000004">
      <c r="B342" s="57" t="str">
        <f>$Q$13</f>
        <v>Maxime</v>
      </c>
      <c r="C342" s="51">
        <f t="shared" ref="C342:O342" si="26">C13+C40+C67+C94+C121+C148+C175+C202+C229+C256+C283+C310</f>
        <v>1</v>
      </c>
      <c r="D342" s="51">
        <f t="shared" si="26"/>
        <v>1</v>
      </c>
      <c r="E342" s="51">
        <f t="shared" si="26"/>
        <v>1</v>
      </c>
      <c r="F342" s="51">
        <f t="shared" si="26"/>
        <v>1</v>
      </c>
      <c r="G342" s="51">
        <f t="shared" si="26"/>
        <v>1</v>
      </c>
      <c r="H342" s="51">
        <f t="shared" si="26"/>
        <v>1</v>
      </c>
      <c r="I342" s="51">
        <f t="shared" si="26"/>
        <v>1</v>
      </c>
      <c r="J342" s="51">
        <f t="shared" si="26"/>
        <v>1</v>
      </c>
      <c r="K342" s="51">
        <f t="shared" si="26"/>
        <v>1</v>
      </c>
      <c r="L342" s="51">
        <f t="shared" si="26"/>
        <v>1</v>
      </c>
      <c r="M342" s="51">
        <f t="shared" si="26"/>
        <v>1</v>
      </c>
      <c r="N342" s="51">
        <f t="shared" si="26"/>
        <v>1</v>
      </c>
      <c r="O342" s="51">
        <f t="shared" si="26"/>
        <v>1</v>
      </c>
      <c r="P342" s="28" t="s">
        <v>20</v>
      </c>
      <c r="Q342" s="57" t="str">
        <f>$Q$13</f>
        <v>Maxime</v>
      </c>
      <c r="R342" s="51">
        <f t="shared" ref="R342:AD342" si="27">R13</f>
        <v>1</v>
      </c>
      <c r="S342" s="51">
        <f t="shared" si="27"/>
        <v>1</v>
      </c>
      <c r="T342" s="51">
        <f t="shared" si="27"/>
        <v>1</v>
      </c>
      <c r="U342" s="51">
        <f t="shared" si="27"/>
        <v>1</v>
      </c>
      <c r="V342" s="51">
        <f t="shared" si="27"/>
        <v>1</v>
      </c>
      <c r="W342" s="51">
        <f t="shared" si="27"/>
        <v>1</v>
      </c>
      <c r="X342" s="51">
        <f t="shared" si="27"/>
        <v>1</v>
      </c>
      <c r="Y342" s="51">
        <f t="shared" si="27"/>
        <v>1</v>
      </c>
      <c r="Z342" s="51">
        <f t="shared" si="27"/>
        <v>1</v>
      </c>
      <c r="AA342" s="51">
        <f t="shared" si="27"/>
        <v>1</v>
      </c>
      <c r="AB342" s="51">
        <f t="shared" si="27"/>
        <v>1</v>
      </c>
      <c r="AC342" s="51">
        <f t="shared" si="27"/>
        <v>1</v>
      </c>
      <c r="AD342" s="51">
        <f t="shared" si="27"/>
        <v>1</v>
      </c>
    </row>
    <row r="343" spans="2:30" ht="15.6" x14ac:dyDescent="0.55000000000000004">
      <c r="B343" s="46" t="str">
        <f>$Q$14</f>
        <v>Alex</v>
      </c>
      <c r="C343" s="51">
        <f t="shared" ref="C343:O343" si="28">C14+C41+C68+C95+C122+C149+C176+C203+C230+C257+C284+C311</f>
        <v>1</v>
      </c>
      <c r="D343" s="51">
        <f t="shared" si="28"/>
        <v>1</v>
      </c>
      <c r="E343" s="51">
        <f t="shared" si="28"/>
        <v>1</v>
      </c>
      <c r="F343" s="51">
        <f t="shared" si="28"/>
        <v>1</v>
      </c>
      <c r="G343" s="51">
        <f t="shared" si="28"/>
        <v>1</v>
      </c>
      <c r="H343" s="51">
        <f t="shared" si="28"/>
        <v>1</v>
      </c>
      <c r="I343" s="51">
        <f t="shared" si="28"/>
        <v>1</v>
      </c>
      <c r="J343" s="51">
        <f t="shared" si="28"/>
        <v>1</v>
      </c>
      <c r="K343" s="51">
        <f t="shared" si="28"/>
        <v>1</v>
      </c>
      <c r="L343" s="51">
        <f t="shared" si="28"/>
        <v>1</v>
      </c>
      <c r="M343" s="51">
        <f t="shared" si="28"/>
        <v>1</v>
      </c>
      <c r="N343" s="51">
        <f t="shared" si="28"/>
        <v>1</v>
      </c>
      <c r="O343" s="51">
        <f t="shared" si="28"/>
        <v>1</v>
      </c>
      <c r="P343" s="28" t="s">
        <v>20</v>
      </c>
      <c r="Q343" s="46" t="str">
        <f>$Q$14</f>
        <v>Alex</v>
      </c>
      <c r="R343" s="51">
        <f t="shared" ref="R343:AD343" si="29">R14</f>
        <v>1</v>
      </c>
      <c r="S343" s="51">
        <f t="shared" si="29"/>
        <v>1</v>
      </c>
      <c r="T343" s="51">
        <f t="shared" si="29"/>
        <v>1</v>
      </c>
      <c r="U343" s="51">
        <f t="shared" si="29"/>
        <v>1</v>
      </c>
      <c r="V343" s="51">
        <f t="shared" si="29"/>
        <v>1</v>
      </c>
      <c r="W343" s="51">
        <f t="shared" si="29"/>
        <v>1</v>
      </c>
      <c r="X343" s="51">
        <f t="shared" si="29"/>
        <v>1</v>
      </c>
      <c r="Y343" s="51">
        <f t="shared" si="29"/>
        <v>1</v>
      </c>
      <c r="Z343" s="51">
        <f t="shared" si="29"/>
        <v>1</v>
      </c>
      <c r="AA343" s="51">
        <f t="shared" si="29"/>
        <v>1</v>
      </c>
      <c r="AB343" s="51">
        <f t="shared" si="29"/>
        <v>1</v>
      </c>
      <c r="AC343" s="51">
        <f t="shared" si="29"/>
        <v>1</v>
      </c>
      <c r="AD343" s="51">
        <f t="shared" si="29"/>
        <v>1</v>
      </c>
    </row>
    <row r="344" spans="2:30" ht="15.6" x14ac:dyDescent="0.55000000000000004">
      <c r="B344" s="52" t="str">
        <f>$Q$15</f>
        <v>Alyssa</v>
      </c>
      <c r="C344" s="51">
        <f t="shared" ref="C344:O344" si="30">C15+C42+C69+C96+C123+C150+C177+C204+C231+C258+C285+C312</f>
        <v>1</v>
      </c>
      <c r="D344" s="51">
        <f t="shared" si="30"/>
        <v>1</v>
      </c>
      <c r="E344" s="51">
        <f t="shared" si="30"/>
        <v>1</v>
      </c>
      <c r="F344" s="51">
        <f t="shared" si="30"/>
        <v>1</v>
      </c>
      <c r="G344" s="51">
        <f t="shared" si="30"/>
        <v>1</v>
      </c>
      <c r="H344" s="51">
        <f t="shared" si="30"/>
        <v>1</v>
      </c>
      <c r="I344" s="51">
        <f t="shared" si="30"/>
        <v>1</v>
      </c>
      <c r="J344" s="51">
        <f t="shared" si="30"/>
        <v>1</v>
      </c>
      <c r="K344" s="51">
        <f t="shared" si="30"/>
        <v>1</v>
      </c>
      <c r="L344" s="51">
        <f t="shared" si="30"/>
        <v>1</v>
      </c>
      <c r="M344" s="51">
        <f t="shared" si="30"/>
        <v>1</v>
      </c>
      <c r="N344" s="51">
        <f t="shared" si="30"/>
        <v>1</v>
      </c>
      <c r="O344" s="51">
        <f t="shared" si="30"/>
        <v>1</v>
      </c>
      <c r="P344" s="28" t="s">
        <v>20</v>
      </c>
      <c r="Q344" s="52" t="str">
        <f>$Q$15</f>
        <v>Alyssa</v>
      </c>
      <c r="R344" s="51">
        <f t="shared" ref="R344:AD344" si="31">R15</f>
        <v>1</v>
      </c>
      <c r="S344" s="51">
        <f t="shared" si="31"/>
        <v>1</v>
      </c>
      <c r="T344" s="51">
        <f t="shared" si="31"/>
        <v>1</v>
      </c>
      <c r="U344" s="51">
        <f t="shared" si="31"/>
        <v>1</v>
      </c>
      <c r="V344" s="51">
        <f t="shared" si="31"/>
        <v>1</v>
      </c>
      <c r="W344" s="51">
        <f t="shared" si="31"/>
        <v>1</v>
      </c>
      <c r="X344" s="51">
        <f t="shared" si="31"/>
        <v>1</v>
      </c>
      <c r="Y344" s="51">
        <f t="shared" si="31"/>
        <v>1</v>
      </c>
      <c r="Z344" s="51">
        <f t="shared" si="31"/>
        <v>1</v>
      </c>
      <c r="AA344" s="51">
        <f t="shared" si="31"/>
        <v>1</v>
      </c>
      <c r="AB344" s="51">
        <f t="shared" si="31"/>
        <v>1</v>
      </c>
      <c r="AC344" s="51">
        <f t="shared" si="31"/>
        <v>1</v>
      </c>
      <c r="AD344" s="51">
        <f t="shared" si="31"/>
        <v>1</v>
      </c>
    </row>
    <row r="345" spans="2:30" ht="15.6" x14ac:dyDescent="0.55000000000000004">
      <c r="B345" s="52" t="str">
        <f>$Q$16</f>
        <v>Amanda</v>
      </c>
      <c r="C345" s="51">
        <f t="shared" ref="C345:O345" si="32">C16+C43+C70+C97+C124+C151+C178+C205+C232+C259+C286+C313</f>
        <v>1</v>
      </c>
      <c r="D345" s="51">
        <f t="shared" si="32"/>
        <v>1</v>
      </c>
      <c r="E345" s="51">
        <f t="shared" si="32"/>
        <v>1</v>
      </c>
      <c r="F345" s="51">
        <f t="shared" si="32"/>
        <v>1</v>
      </c>
      <c r="G345" s="51">
        <f t="shared" si="32"/>
        <v>1</v>
      </c>
      <c r="H345" s="51">
        <f t="shared" si="32"/>
        <v>1</v>
      </c>
      <c r="I345" s="51">
        <f t="shared" si="32"/>
        <v>1</v>
      </c>
      <c r="J345" s="51">
        <f t="shared" si="32"/>
        <v>1</v>
      </c>
      <c r="K345" s="51">
        <f t="shared" si="32"/>
        <v>1</v>
      </c>
      <c r="L345" s="51">
        <f t="shared" si="32"/>
        <v>1</v>
      </c>
      <c r="M345" s="51">
        <f t="shared" si="32"/>
        <v>1</v>
      </c>
      <c r="N345" s="51">
        <f t="shared" si="32"/>
        <v>1</v>
      </c>
      <c r="O345" s="51">
        <f t="shared" si="32"/>
        <v>1</v>
      </c>
      <c r="P345" s="28" t="s">
        <v>20</v>
      </c>
      <c r="Q345" s="52" t="str">
        <f>$Q$16</f>
        <v>Amanda</v>
      </c>
      <c r="R345" s="51">
        <f t="shared" ref="R345:AD345" si="33">R16</f>
        <v>1</v>
      </c>
      <c r="S345" s="51">
        <f t="shared" si="33"/>
        <v>1</v>
      </c>
      <c r="T345" s="51">
        <f t="shared" si="33"/>
        <v>1</v>
      </c>
      <c r="U345" s="51">
        <f t="shared" si="33"/>
        <v>1</v>
      </c>
      <c r="V345" s="51">
        <f t="shared" si="33"/>
        <v>1</v>
      </c>
      <c r="W345" s="51">
        <f t="shared" si="33"/>
        <v>1</v>
      </c>
      <c r="X345" s="51">
        <f t="shared" si="33"/>
        <v>1</v>
      </c>
      <c r="Y345" s="51">
        <f t="shared" si="33"/>
        <v>1</v>
      </c>
      <c r="Z345" s="51">
        <f t="shared" si="33"/>
        <v>1</v>
      </c>
      <c r="AA345" s="51">
        <f t="shared" si="33"/>
        <v>1</v>
      </c>
      <c r="AB345" s="51">
        <f t="shared" si="33"/>
        <v>1</v>
      </c>
      <c r="AC345" s="51">
        <f t="shared" si="33"/>
        <v>1</v>
      </c>
      <c r="AD345" s="51">
        <f t="shared" si="33"/>
        <v>1</v>
      </c>
    </row>
    <row r="346" spans="2:30" ht="15.6" x14ac:dyDescent="0.55000000000000004">
      <c r="B346" s="52" t="str">
        <f>$Q$17</f>
        <v>Antoine</v>
      </c>
      <c r="C346" s="51">
        <f t="shared" ref="C346:O346" si="34">C17+C44+C71+C98+C125+C152+C179+C206+C233+C260+C287+C314</f>
        <v>1</v>
      </c>
      <c r="D346" s="51">
        <f t="shared" si="34"/>
        <v>1</v>
      </c>
      <c r="E346" s="51">
        <f t="shared" si="34"/>
        <v>1</v>
      </c>
      <c r="F346" s="51">
        <f t="shared" si="34"/>
        <v>1</v>
      </c>
      <c r="G346" s="51">
        <f t="shared" si="34"/>
        <v>1</v>
      </c>
      <c r="H346" s="51">
        <f t="shared" si="34"/>
        <v>1</v>
      </c>
      <c r="I346" s="51">
        <f t="shared" si="34"/>
        <v>1</v>
      </c>
      <c r="J346" s="51">
        <f t="shared" si="34"/>
        <v>1</v>
      </c>
      <c r="K346" s="51">
        <f t="shared" si="34"/>
        <v>1</v>
      </c>
      <c r="L346" s="51">
        <f t="shared" si="34"/>
        <v>1</v>
      </c>
      <c r="M346" s="51">
        <f t="shared" si="34"/>
        <v>1</v>
      </c>
      <c r="N346" s="51">
        <f t="shared" si="34"/>
        <v>1</v>
      </c>
      <c r="O346" s="51">
        <f t="shared" si="34"/>
        <v>1</v>
      </c>
      <c r="P346" s="28" t="s">
        <v>20</v>
      </c>
      <c r="Q346" s="52" t="str">
        <f>$Q$17</f>
        <v>Antoine</v>
      </c>
      <c r="R346" s="51">
        <f t="shared" ref="R346:AD346" si="35">R17</f>
        <v>1</v>
      </c>
      <c r="S346" s="51">
        <f t="shared" si="35"/>
        <v>1</v>
      </c>
      <c r="T346" s="51">
        <f t="shared" si="35"/>
        <v>1</v>
      </c>
      <c r="U346" s="51">
        <f t="shared" si="35"/>
        <v>1</v>
      </c>
      <c r="V346" s="51">
        <f t="shared" si="35"/>
        <v>1</v>
      </c>
      <c r="W346" s="51">
        <f t="shared" si="35"/>
        <v>1</v>
      </c>
      <c r="X346" s="51">
        <f t="shared" si="35"/>
        <v>1</v>
      </c>
      <c r="Y346" s="51">
        <f t="shared" si="35"/>
        <v>1</v>
      </c>
      <c r="Z346" s="51">
        <f t="shared" si="35"/>
        <v>1</v>
      </c>
      <c r="AA346" s="51">
        <f t="shared" si="35"/>
        <v>1</v>
      </c>
      <c r="AB346" s="51">
        <f t="shared" si="35"/>
        <v>1</v>
      </c>
      <c r="AC346" s="51">
        <f t="shared" si="35"/>
        <v>1</v>
      </c>
      <c r="AD346" s="51">
        <f t="shared" si="35"/>
        <v>1</v>
      </c>
    </row>
    <row r="347" spans="2:30" ht="15.6" x14ac:dyDescent="0.55000000000000004">
      <c r="B347" s="52" t="str">
        <f>$Q$18</f>
        <v>Beatriz</v>
      </c>
      <c r="C347" s="51">
        <f t="shared" ref="C347:O347" si="36">C18+C45+C72+C99+C126+C153+C180+C207+C234+C261+C288+C315</f>
        <v>1</v>
      </c>
      <c r="D347" s="51">
        <f t="shared" si="36"/>
        <v>1</v>
      </c>
      <c r="E347" s="51">
        <f t="shared" si="36"/>
        <v>1</v>
      </c>
      <c r="F347" s="51">
        <f t="shared" si="36"/>
        <v>1</v>
      </c>
      <c r="G347" s="51">
        <f t="shared" si="36"/>
        <v>1</v>
      </c>
      <c r="H347" s="51">
        <f t="shared" si="36"/>
        <v>1</v>
      </c>
      <c r="I347" s="51">
        <f t="shared" si="36"/>
        <v>1</v>
      </c>
      <c r="J347" s="51">
        <f t="shared" si="36"/>
        <v>1</v>
      </c>
      <c r="K347" s="51">
        <f t="shared" si="36"/>
        <v>1</v>
      </c>
      <c r="L347" s="51">
        <f t="shared" si="36"/>
        <v>1</v>
      </c>
      <c r="M347" s="51">
        <f t="shared" si="36"/>
        <v>1</v>
      </c>
      <c r="N347" s="51">
        <f t="shared" si="36"/>
        <v>1</v>
      </c>
      <c r="O347" s="51">
        <f t="shared" si="36"/>
        <v>1</v>
      </c>
      <c r="P347" s="28" t="s">
        <v>20</v>
      </c>
      <c r="Q347" s="52" t="str">
        <f>$Q$18</f>
        <v>Beatriz</v>
      </c>
      <c r="R347" s="51">
        <f t="shared" ref="R347:AD347" si="37">R18</f>
        <v>1</v>
      </c>
      <c r="S347" s="51">
        <f t="shared" si="37"/>
        <v>1</v>
      </c>
      <c r="T347" s="51">
        <f t="shared" si="37"/>
        <v>1</v>
      </c>
      <c r="U347" s="51">
        <f t="shared" si="37"/>
        <v>1</v>
      </c>
      <c r="V347" s="51">
        <f>V18</f>
        <v>1</v>
      </c>
      <c r="W347" s="51">
        <f t="shared" si="37"/>
        <v>1</v>
      </c>
      <c r="X347" s="51">
        <f t="shared" si="37"/>
        <v>1</v>
      </c>
      <c r="Y347" s="51">
        <f t="shared" si="37"/>
        <v>1</v>
      </c>
      <c r="Z347" s="51">
        <f t="shared" si="37"/>
        <v>1</v>
      </c>
      <c r="AA347" s="51">
        <f t="shared" si="37"/>
        <v>1</v>
      </c>
      <c r="AB347" s="51">
        <f t="shared" si="37"/>
        <v>1</v>
      </c>
      <c r="AC347" s="51">
        <f t="shared" si="37"/>
        <v>1</v>
      </c>
      <c r="AD347" s="51">
        <f t="shared" si="37"/>
        <v>1</v>
      </c>
    </row>
    <row r="348" spans="2:30" ht="15.6" x14ac:dyDescent="0.55000000000000004">
      <c r="B348" s="52" t="str">
        <f>$Q$19</f>
        <v>Charelle</v>
      </c>
      <c r="C348" s="51">
        <f t="shared" ref="C348:O348" si="38">C19+C46+C73+C100+C127+C154+C181+C208+C235+C262+C289+C316</f>
        <v>1</v>
      </c>
      <c r="D348" s="51">
        <f t="shared" si="38"/>
        <v>1</v>
      </c>
      <c r="E348" s="51">
        <f t="shared" si="38"/>
        <v>1</v>
      </c>
      <c r="F348" s="51">
        <f t="shared" si="38"/>
        <v>1</v>
      </c>
      <c r="G348" s="51">
        <f t="shared" si="38"/>
        <v>1</v>
      </c>
      <c r="H348" s="51">
        <f t="shared" si="38"/>
        <v>1</v>
      </c>
      <c r="I348" s="51">
        <f t="shared" si="38"/>
        <v>1</v>
      </c>
      <c r="J348" s="51">
        <f t="shared" si="38"/>
        <v>1</v>
      </c>
      <c r="K348" s="51">
        <f t="shared" si="38"/>
        <v>1</v>
      </c>
      <c r="L348" s="51">
        <f t="shared" si="38"/>
        <v>1</v>
      </c>
      <c r="M348" s="51">
        <f t="shared" si="38"/>
        <v>1</v>
      </c>
      <c r="N348" s="51">
        <f t="shared" si="38"/>
        <v>1</v>
      </c>
      <c r="O348" s="51">
        <f t="shared" si="38"/>
        <v>1</v>
      </c>
      <c r="P348" s="28" t="s">
        <v>20</v>
      </c>
      <c r="Q348" s="52" t="str">
        <f>$Q$19</f>
        <v>Charelle</v>
      </c>
      <c r="R348" s="51">
        <f t="shared" ref="R348:AD348" si="39">R19</f>
        <v>1</v>
      </c>
      <c r="S348" s="51">
        <f t="shared" si="39"/>
        <v>1</v>
      </c>
      <c r="T348" s="51">
        <f t="shared" si="39"/>
        <v>1</v>
      </c>
      <c r="U348" s="51">
        <f t="shared" si="39"/>
        <v>1</v>
      </c>
      <c r="V348" s="51">
        <f t="shared" si="39"/>
        <v>1</v>
      </c>
      <c r="W348" s="51">
        <f t="shared" si="39"/>
        <v>1</v>
      </c>
      <c r="X348" s="51">
        <f t="shared" si="39"/>
        <v>1</v>
      </c>
      <c r="Y348" s="51">
        <f t="shared" si="39"/>
        <v>1</v>
      </c>
      <c r="Z348" s="51">
        <f t="shared" si="39"/>
        <v>1</v>
      </c>
      <c r="AA348" s="51">
        <f t="shared" si="39"/>
        <v>1</v>
      </c>
      <c r="AB348" s="51">
        <f t="shared" si="39"/>
        <v>1</v>
      </c>
      <c r="AC348" s="51">
        <f t="shared" si="39"/>
        <v>1</v>
      </c>
      <c r="AD348" s="51">
        <f t="shared" si="39"/>
        <v>1</v>
      </c>
    </row>
    <row r="349" spans="2:30" ht="15.6" x14ac:dyDescent="0.55000000000000004">
      <c r="B349" s="52" t="str">
        <f>$Q$20</f>
        <v>Dimitri</v>
      </c>
      <c r="C349" s="51">
        <f t="shared" ref="C349:O349" si="40">C20+C47+C74+C101+C128+C155+C182+C209+C236+C263+C290+C317</f>
        <v>1</v>
      </c>
      <c r="D349" s="51">
        <f t="shared" si="40"/>
        <v>1</v>
      </c>
      <c r="E349" s="51">
        <f t="shared" si="40"/>
        <v>1</v>
      </c>
      <c r="F349" s="51">
        <f t="shared" si="40"/>
        <v>1</v>
      </c>
      <c r="G349" s="51">
        <f t="shared" si="40"/>
        <v>1</v>
      </c>
      <c r="H349" s="51">
        <f t="shared" si="40"/>
        <v>1</v>
      </c>
      <c r="I349" s="51">
        <f t="shared" si="40"/>
        <v>1</v>
      </c>
      <c r="J349" s="51">
        <f t="shared" si="40"/>
        <v>1</v>
      </c>
      <c r="K349" s="51">
        <f t="shared" si="40"/>
        <v>1</v>
      </c>
      <c r="L349" s="51">
        <f t="shared" si="40"/>
        <v>1</v>
      </c>
      <c r="M349" s="51">
        <f t="shared" si="40"/>
        <v>1</v>
      </c>
      <c r="N349" s="51">
        <f t="shared" si="40"/>
        <v>1</v>
      </c>
      <c r="O349" s="51">
        <f t="shared" si="40"/>
        <v>1</v>
      </c>
      <c r="P349" s="28" t="s">
        <v>20</v>
      </c>
      <c r="Q349" s="52" t="str">
        <f>$Q$20</f>
        <v>Dimitri</v>
      </c>
      <c r="R349" s="51">
        <f t="shared" ref="R349:AD349" si="41">R20</f>
        <v>1</v>
      </c>
      <c r="S349" s="51">
        <f t="shared" si="41"/>
        <v>1</v>
      </c>
      <c r="T349" s="51">
        <f t="shared" si="41"/>
        <v>1</v>
      </c>
      <c r="U349" s="51">
        <f t="shared" si="41"/>
        <v>1</v>
      </c>
      <c r="V349" s="51">
        <f t="shared" si="41"/>
        <v>1</v>
      </c>
      <c r="W349" s="51">
        <f t="shared" si="41"/>
        <v>1</v>
      </c>
      <c r="X349" s="51">
        <f t="shared" si="41"/>
        <v>1</v>
      </c>
      <c r="Y349" s="51">
        <f t="shared" si="41"/>
        <v>1</v>
      </c>
      <c r="Z349" s="51">
        <f t="shared" si="41"/>
        <v>1</v>
      </c>
      <c r="AA349" s="51">
        <f t="shared" si="41"/>
        <v>1</v>
      </c>
      <c r="AB349" s="51">
        <f t="shared" si="41"/>
        <v>1</v>
      </c>
      <c r="AC349" s="51">
        <f t="shared" si="41"/>
        <v>1</v>
      </c>
      <c r="AD349" s="51">
        <f t="shared" si="41"/>
        <v>1</v>
      </c>
    </row>
    <row r="350" spans="2:30" ht="15.6" x14ac:dyDescent="0.55000000000000004">
      <c r="B350" s="52" t="str">
        <f>$Q$21</f>
        <v>Marina</v>
      </c>
      <c r="C350" s="51">
        <f t="shared" ref="C350:O350" si="42">C21+C48+C75+C102+C129+C156+C183+C210+C237+C264+C291+C318</f>
        <v>1</v>
      </c>
      <c r="D350" s="51">
        <f t="shared" si="42"/>
        <v>1</v>
      </c>
      <c r="E350" s="51">
        <f t="shared" si="42"/>
        <v>1</v>
      </c>
      <c r="F350" s="51">
        <f t="shared" si="42"/>
        <v>1</v>
      </c>
      <c r="G350" s="51">
        <f t="shared" si="42"/>
        <v>1</v>
      </c>
      <c r="H350" s="51">
        <f t="shared" si="42"/>
        <v>1</v>
      </c>
      <c r="I350" s="51">
        <f t="shared" si="42"/>
        <v>1</v>
      </c>
      <c r="J350" s="51">
        <f t="shared" si="42"/>
        <v>1</v>
      </c>
      <c r="K350" s="51">
        <f t="shared" si="42"/>
        <v>1</v>
      </c>
      <c r="L350" s="51">
        <f t="shared" si="42"/>
        <v>1</v>
      </c>
      <c r="M350" s="51">
        <f t="shared" si="42"/>
        <v>1</v>
      </c>
      <c r="N350" s="51">
        <f t="shared" si="42"/>
        <v>1</v>
      </c>
      <c r="O350" s="51">
        <f t="shared" si="42"/>
        <v>1</v>
      </c>
      <c r="P350" s="28" t="s">
        <v>20</v>
      </c>
      <c r="Q350" s="52" t="str">
        <f>$Q$21</f>
        <v>Marina</v>
      </c>
      <c r="R350" s="51">
        <f t="shared" ref="R350:AD350" si="43">R21</f>
        <v>1</v>
      </c>
      <c r="S350" s="51">
        <f t="shared" si="43"/>
        <v>1</v>
      </c>
      <c r="T350" s="51">
        <f t="shared" si="43"/>
        <v>1</v>
      </c>
      <c r="U350" s="51">
        <f t="shared" si="43"/>
        <v>1</v>
      </c>
      <c r="V350" s="51">
        <f t="shared" si="43"/>
        <v>1</v>
      </c>
      <c r="W350" s="51">
        <f t="shared" si="43"/>
        <v>1</v>
      </c>
      <c r="X350" s="51">
        <f t="shared" si="43"/>
        <v>1</v>
      </c>
      <c r="Y350" s="51">
        <f t="shared" si="43"/>
        <v>1</v>
      </c>
      <c r="Z350" s="51">
        <f t="shared" si="43"/>
        <v>1</v>
      </c>
      <c r="AA350" s="51">
        <f t="shared" si="43"/>
        <v>1</v>
      </c>
      <c r="AB350" s="51">
        <f t="shared" si="43"/>
        <v>1</v>
      </c>
      <c r="AC350" s="51">
        <f t="shared" si="43"/>
        <v>1</v>
      </c>
      <c r="AD350" s="51">
        <f t="shared" si="43"/>
        <v>1</v>
      </c>
    </row>
    <row r="351" spans="2:30" ht="15.6" x14ac:dyDescent="0.55000000000000004">
      <c r="B351" s="52" t="str">
        <f>$Q$22</f>
        <v>Michel</v>
      </c>
      <c r="C351" s="51">
        <f t="shared" ref="C351:O351" si="44">C22+C49+C76+C103+C130+C157+C184+C211+C238+C265+C292+C319</f>
        <v>1</v>
      </c>
      <c r="D351" s="51">
        <f t="shared" si="44"/>
        <v>1</v>
      </c>
      <c r="E351" s="51">
        <f t="shared" si="44"/>
        <v>1</v>
      </c>
      <c r="F351" s="51">
        <f t="shared" si="44"/>
        <v>1</v>
      </c>
      <c r="G351" s="51">
        <f t="shared" si="44"/>
        <v>1</v>
      </c>
      <c r="H351" s="51">
        <f t="shared" si="44"/>
        <v>1</v>
      </c>
      <c r="I351" s="51">
        <f t="shared" si="44"/>
        <v>1</v>
      </c>
      <c r="J351" s="51">
        <f t="shared" si="44"/>
        <v>1</v>
      </c>
      <c r="K351" s="51">
        <f t="shared" si="44"/>
        <v>1</v>
      </c>
      <c r="L351" s="51">
        <f t="shared" si="44"/>
        <v>1</v>
      </c>
      <c r="M351" s="51">
        <f t="shared" si="44"/>
        <v>1</v>
      </c>
      <c r="N351" s="51">
        <f t="shared" si="44"/>
        <v>1</v>
      </c>
      <c r="O351" s="51">
        <f t="shared" si="44"/>
        <v>1</v>
      </c>
      <c r="P351" s="28" t="s">
        <v>20</v>
      </c>
      <c r="Q351" s="52" t="str">
        <f>$Q$22</f>
        <v>Michel</v>
      </c>
      <c r="R351" s="51">
        <f t="shared" ref="R351:AD351" si="45">R22</f>
        <v>1</v>
      </c>
      <c r="S351" s="51">
        <f t="shared" si="45"/>
        <v>1</v>
      </c>
      <c r="T351" s="51">
        <f t="shared" si="45"/>
        <v>1</v>
      </c>
      <c r="U351" s="51">
        <f t="shared" si="45"/>
        <v>1</v>
      </c>
      <c r="V351" s="51">
        <f t="shared" si="45"/>
        <v>1</v>
      </c>
      <c r="W351" s="51">
        <f t="shared" si="45"/>
        <v>1</v>
      </c>
      <c r="X351" s="51">
        <f t="shared" si="45"/>
        <v>1</v>
      </c>
      <c r="Y351" s="51">
        <f t="shared" si="45"/>
        <v>1</v>
      </c>
      <c r="Z351" s="51">
        <f t="shared" si="45"/>
        <v>1</v>
      </c>
      <c r="AA351" s="51">
        <f t="shared" si="45"/>
        <v>1</v>
      </c>
      <c r="AB351" s="51">
        <f t="shared" si="45"/>
        <v>1</v>
      </c>
      <c r="AC351" s="51">
        <f t="shared" si="45"/>
        <v>1</v>
      </c>
      <c r="AD351" s="51">
        <f t="shared" si="45"/>
        <v>1</v>
      </c>
    </row>
    <row r="352" spans="2:30" ht="15.6" x14ac:dyDescent="0.55000000000000004">
      <c r="B352" s="52" t="str">
        <f>$Q$23</f>
        <v>Nour</v>
      </c>
      <c r="C352" s="51">
        <f t="shared" ref="C352:O352" si="46">C23+C50+C77+C104+C131+C158+C185+C212+C239+C266+C293+C320</f>
        <v>1</v>
      </c>
      <c r="D352" s="51">
        <f t="shared" si="46"/>
        <v>0</v>
      </c>
      <c r="E352" s="51">
        <f t="shared" si="46"/>
        <v>0</v>
      </c>
      <c r="F352" s="51">
        <f t="shared" si="46"/>
        <v>0</v>
      </c>
      <c r="G352" s="51">
        <f t="shared" si="46"/>
        <v>0</v>
      </c>
      <c r="H352" s="51">
        <f t="shared" si="46"/>
        <v>0</v>
      </c>
      <c r="I352" s="51">
        <f t="shared" si="46"/>
        <v>0</v>
      </c>
      <c r="J352" s="51">
        <f t="shared" si="46"/>
        <v>0</v>
      </c>
      <c r="K352" s="51">
        <f t="shared" si="46"/>
        <v>0</v>
      </c>
      <c r="L352" s="51">
        <f t="shared" si="46"/>
        <v>0</v>
      </c>
      <c r="M352" s="51">
        <f t="shared" si="46"/>
        <v>0</v>
      </c>
      <c r="N352" s="51">
        <f t="shared" si="46"/>
        <v>1</v>
      </c>
      <c r="O352" s="51">
        <f t="shared" si="46"/>
        <v>1</v>
      </c>
      <c r="P352" s="28" t="s">
        <v>20</v>
      </c>
      <c r="Q352" s="52" t="str">
        <f>$Q$23</f>
        <v>Nour</v>
      </c>
      <c r="R352" s="51">
        <f t="shared" ref="R352:AD352" si="47">R23</f>
        <v>1</v>
      </c>
      <c r="S352" s="51">
        <f t="shared" si="47"/>
        <v>0</v>
      </c>
      <c r="T352" s="51">
        <f t="shared" si="47"/>
        <v>0</v>
      </c>
      <c r="U352" s="51">
        <f t="shared" si="47"/>
        <v>0</v>
      </c>
      <c r="V352" s="51">
        <f t="shared" si="47"/>
        <v>0</v>
      </c>
      <c r="W352" s="51">
        <f t="shared" si="47"/>
        <v>0</v>
      </c>
      <c r="X352" s="51">
        <f t="shared" si="47"/>
        <v>0</v>
      </c>
      <c r="Y352" s="51">
        <f t="shared" si="47"/>
        <v>0</v>
      </c>
      <c r="Z352" s="51">
        <f t="shared" si="47"/>
        <v>0</v>
      </c>
      <c r="AA352" s="51">
        <f t="shared" si="47"/>
        <v>0</v>
      </c>
      <c r="AB352" s="51">
        <f t="shared" si="47"/>
        <v>0</v>
      </c>
      <c r="AC352" s="51">
        <f t="shared" si="47"/>
        <v>1</v>
      </c>
      <c r="AD352" s="51">
        <f t="shared" si="47"/>
        <v>1</v>
      </c>
    </row>
    <row r="353" spans="2:30" ht="15.6" x14ac:dyDescent="0.55000000000000004">
      <c r="B353" s="52" t="str">
        <f>$Q$24</f>
        <v>Samuel</v>
      </c>
      <c r="C353" s="51">
        <f t="shared" ref="C353:O353" si="48">C24+C51+C78+C105+C132+C159+C186+C213+C240+C267+C294+C321</f>
        <v>1</v>
      </c>
      <c r="D353" s="51">
        <f t="shared" si="48"/>
        <v>1</v>
      </c>
      <c r="E353" s="51">
        <f t="shared" si="48"/>
        <v>1</v>
      </c>
      <c r="F353" s="51">
        <f t="shared" si="48"/>
        <v>1</v>
      </c>
      <c r="G353" s="51">
        <f t="shared" si="48"/>
        <v>1</v>
      </c>
      <c r="H353" s="51">
        <f t="shared" si="48"/>
        <v>1</v>
      </c>
      <c r="I353" s="51">
        <f t="shared" si="48"/>
        <v>1</v>
      </c>
      <c r="J353" s="51">
        <f t="shared" si="48"/>
        <v>1</v>
      </c>
      <c r="K353" s="51">
        <f t="shared" si="48"/>
        <v>1</v>
      </c>
      <c r="L353" s="51">
        <f t="shared" si="48"/>
        <v>1</v>
      </c>
      <c r="M353" s="51">
        <f t="shared" si="48"/>
        <v>1</v>
      </c>
      <c r="N353" s="51">
        <f t="shared" si="48"/>
        <v>1</v>
      </c>
      <c r="O353" s="51">
        <f t="shared" si="48"/>
        <v>1</v>
      </c>
      <c r="P353" s="28" t="s">
        <v>20</v>
      </c>
      <c r="Q353" s="52" t="str">
        <f>$Q$24</f>
        <v>Samuel</v>
      </c>
      <c r="R353" s="51">
        <f t="shared" ref="R353:AD353" si="49">R24</f>
        <v>1</v>
      </c>
      <c r="S353" s="51">
        <f t="shared" si="49"/>
        <v>1</v>
      </c>
      <c r="T353" s="51">
        <f t="shared" si="49"/>
        <v>1</v>
      </c>
      <c r="U353" s="51">
        <f t="shared" si="49"/>
        <v>1</v>
      </c>
      <c r="V353" s="51">
        <f t="shared" si="49"/>
        <v>1</v>
      </c>
      <c r="W353" s="51">
        <f t="shared" si="49"/>
        <v>1</v>
      </c>
      <c r="X353" s="51">
        <f t="shared" si="49"/>
        <v>1</v>
      </c>
      <c r="Y353" s="51">
        <f t="shared" si="49"/>
        <v>1</v>
      </c>
      <c r="Z353" s="51">
        <f t="shared" si="49"/>
        <v>1</v>
      </c>
      <c r="AA353" s="51">
        <f t="shared" si="49"/>
        <v>1</v>
      </c>
      <c r="AB353" s="51">
        <f t="shared" si="49"/>
        <v>1</v>
      </c>
      <c r="AC353" s="51">
        <f t="shared" si="49"/>
        <v>1</v>
      </c>
      <c r="AD353" s="51">
        <f t="shared" si="49"/>
        <v>1</v>
      </c>
    </row>
    <row r="354" spans="2:30" ht="15.6" x14ac:dyDescent="0.55000000000000004">
      <c r="B354" s="52" t="str">
        <f>$Q$25</f>
        <v>Yassin</v>
      </c>
      <c r="C354" s="51">
        <f t="shared" ref="C354:O354" si="50">C25+C52+C79+C106+C133+C160+C187+C214+C241+C268+C295+C322</f>
        <v>1</v>
      </c>
      <c r="D354" s="51">
        <f t="shared" si="50"/>
        <v>1</v>
      </c>
      <c r="E354" s="51">
        <f t="shared" si="50"/>
        <v>1</v>
      </c>
      <c r="F354" s="51">
        <f t="shared" si="50"/>
        <v>1</v>
      </c>
      <c r="G354" s="51">
        <f t="shared" si="50"/>
        <v>1</v>
      </c>
      <c r="H354" s="51">
        <f t="shared" si="50"/>
        <v>1</v>
      </c>
      <c r="I354" s="51">
        <f t="shared" si="50"/>
        <v>1</v>
      </c>
      <c r="J354" s="51">
        <f t="shared" si="50"/>
        <v>1</v>
      </c>
      <c r="K354" s="51">
        <f t="shared" si="50"/>
        <v>1</v>
      </c>
      <c r="L354" s="51">
        <f t="shared" si="50"/>
        <v>1</v>
      </c>
      <c r="M354" s="51">
        <f t="shared" si="50"/>
        <v>1</v>
      </c>
      <c r="N354" s="51">
        <f t="shared" si="50"/>
        <v>1</v>
      </c>
      <c r="O354" s="51">
        <f t="shared" si="50"/>
        <v>1</v>
      </c>
      <c r="P354" s="28" t="s">
        <v>20</v>
      </c>
      <c r="Q354" s="52" t="str">
        <f>$Q$25</f>
        <v>Yassin</v>
      </c>
      <c r="R354" s="51">
        <f t="shared" ref="R354:AD354" si="51">R25</f>
        <v>1</v>
      </c>
      <c r="S354" s="51">
        <f t="shared" si="51"/>
        <v>1</v>
      </c>
      <c r="T354" s="51">
        <f t="shared" si="51"/>
        <v>1</v>
      </c>
      <c r="U354" s="51">
        <f t="shared" si="51"/>
        <v>1</v>
      </c>
      <c r="V354" s="51">
        <f t="shared" si="51"/>
        <v>1</v>
      </c>
      <c r="W354" s="51">
        <f t="shared" si="51"/>
        <v>1</v>
      </c>
      <c r="X354" s="51">
        <f t="shared" si="51"/>
        <v>1</v>
      </c>
      <c r="Y354" s="51">
        <f t="shared" si="51"/>
        <v>1</v>
      </c>
      <c r="Z354" s="51">
        <f t="shared" si="51"/>
        <v>1</v>
      </c>
      <c r="AA354" s="51">
        <f t="shared" si="51"/>
        <v>1</v>
      </c>
      <c r="AB354" s="51">
        <f t="shared" si="51"/>
        <v>1</v>
      </c>
      <c r="AC354" s="51">
        <f t="shared" si="51"/>
        <v>1</v>
      </c>
      <c r="AD354" s="51">
        <f t="shared" si="51"/>
        <v>1</v>
      </c>
    </row>
    <row r="355" spans="2:30" ht="15.6" x14ac:dyDescent="0.55000000000000004">
      <c r="B355" s="52" t="str">
        <f>$Q$26</f>
        <v>Kamar</v>
      </c>
      <c r="C355" s="51">
        <f t="shared" ref="C355:O355" si="52">C26+C53+C80+C107+C134+C161+C188+C215+C242+C269+C296+C323</f>
        <v>1</v>
      </c>
      <c r="D355" s="51">
        <f t="shared" si="52"/>
        <v>1</v>
      </c>
      <c r="E355" s="51">
        <f t="shared" si="52"/>
        <v>1</v>
      </c>
      <c r="F355" s="51">
        <f t="shared" si="52"/>
        <v>1</v>
      </c>
      <c r="G355" s="51">
        <f t="shared" si="52"/>
        <v>1</v>
      </c>
      <c r="H355" s="51">
        <f t="shared" si="52"/>
        <v>1</v>
      </c>
      <c r="I355" s="51">
        <f t="shared" si="52"/>
        <v>1</v>
      </c>
      <c r="J355" s="51">
        <f t="shared" si="52"/>
        <v>1</v>
      </c>
      <c r="K355" s="51">
        <f t="shared" si="52"/>
        <v>1</v>
      </c>
      <c r="L355" s="51">
        <f t="shared" si="52"/>
        <v>1</v>
      </c>
      <c r="M355" s="51">
        <f t="shared" si="52"/>
        <v>1</v>
      </c>
      <c r="N355" s="51">
        <f t="shared" si="52"/>
        <v>1</v>
      </c>
      <c r="O355" s="51">
        <f t="shared" si="52"/>
        <v>1</v>
      </c>
      <c r="P355" s="28" t="s">
        <v>20</v>
      </c>
      <c r="Q355" s="52" t="str">
        <f>$Q$26</f>
        <v>Kamar</v>
      </c>
      <c r="R355" s="51">
        <f t="shared" ref="R355:AD355" si="53">R26</f>
        <v>1</v>
      </c>
      <c r="S355" s="51">
        <f t="shared" si="53"/>
        <v>1</v>
      </c>
      <c r="T355" s="51">
        <f t="shared" si="53"/>
        <v>1</v>
      </c>
      <c r="U355" s="51">
        <f t="shared" si="53"/>
        <v>1</v>
      </c>
      <c r="V355" s="51">
        <f t="shared" si="53"/>
        <v>1</v>
      </c>
      <c r="W355" s="51">
        <f t="shared" si="53"/>
        <v>1</v>
      </c>
      <c r="X355" s="51">
        <f t="shared" si="53"/>
        <v>1</v>
      </c>
      <c r="Y355" s="51">
        <f t="shared" si="53"/>
        <v>1</v>
      </c>
      <c r="Z355" s="51">
        <f t="shared" si="53"/>
        <v>1</v>
      </c>
      <c r="AA355" s="51">
        <f t="shared" si="53"/>
        <v>1</v>
      </c>
      <c r="AB355" s="51">
        <f t="shared" si="53"/>
        <v>1</v>
      </c>
      <c r="AC355" s="51">
        <f t="shared" si="53"/>
        <v>1</v>
      </c>
      <c r="AD355" s="51">
        <f t="shared" si="53"/>
        <v>1</v>
      </c>
    </row>
    <row r="361" spans="2:30" ht="23.7" x14ac:dyDescent="0.55000000000000004">
      <c r="B361" s="87" t="s">
        <v>113</v>
      </c>
    </row>
    <row r="362" spans="2:30" ht="15.6" x14ac:dyDescent="0.55000000000000004">
      <c r="C362" s="40" t="str">
        <f>$R$2</f>
        <v>16h</v>
      </c>
      <c r="D362" s="41" t="str">
        <f>$S$2</f>
        <v>17h</v>
      </c>
      <c r="E362" s="41" t="str">
        <f>$T$2</f>
        <v>18h</v>
      </c>
      <c r="F362" s="41" t="str">
        <f>$U$2</f>
        <v>19h</v>
      </c>
      <c r="G362" s="41" t="str">
        <f>$V$2</f>
        <v>20h</v>
      </c>
      <c r="H362" s="41" t="str">
        <f>$W$2</f>
        <v>21h</v>
      </c>
      <c r="I362" s="41" t="str">
        <f>$X$2</f>
        <v>22h</v>
      </c>
      <c r="J362" s="41" t="str">
        <f>$Y$2</f>
        <v>23h</v>
      </c>
      <c r="K362" s="41" t="str">
        <f>$Z$2</f>
        <v>00h</v>
      </c>
      <c r="L362" s="41" t="str">
        <f>$AA$2</f>
        <v>01h</v>
      </c>
      <c r="M362" s="41" t="str">
        <f>$AB$2</f>
        <v>02h</v>
      </c>
      <c r="N362" s="41" t="str">
        <f>$AC$2</f>
        <v>03h</v>
      </c>
      <c r="O362" s="38" t="str">
        <f>$AD$2</f>
        <v>04h</v>
      </c>
      <c r="R362" s="40" t="str">
        <f>$R$2</f>
        <v>16h</v>
      </c>
      <c r="S362" s="41" t="str">
        <f>$S$2</f>
        <v>17h</v>
      </c>
      <c r="T362" s="41" t="str">
        <f>$T$2</f>
        <v>18h</v>
      </c>
      <c r="U362" s="41" t="str">
        <f>$U$2</f>
        <v>19h</v>
      </c>
      <c r="V362" s="41" t="str">
        <f>$V$2</f>
        <v>20h</v>
      </c>
      <c r="W362" s="41" t="str">
        <f>$W$2</f>
        <v>21h</v>
      </c>
      <c r="X362" s="41" t="str">
        <f>$X$2</f>
        <v>22h</v>
      </c>
      <c r="Y362" s="41" t="str">
        <f>$Y$2</f>
        <v>23h</v>
      </c>
      <c r="Z362" s="41" t="str">
        <f>$Z$2</f>
        <v>00h</v>
      </c>
      <c r="AA362" s="41" t="str">
        <f>$AA$2</f>
        <v>01h</v>
      </c>
      <c r="AB362" s="41" t="str">
        <f>$AB$2</f>
        <v>02h</v>
      </c>
      <c r="AC362" s="41" t="str">
        <f>$AC$2</f>
        <v>03h</v>
      </c>
      <c r="AD362" s="38" t="str">
        <f>$AD$2</f>
        <v>04h</v>
      </c>
    </row>
    <row r="363" spans="2:30" x14ac:dyDescent="0.55000000000000004">
      <c r="B363" s="67" t="str">
        <f>$Q$36</f>
        <v>Setup</v>
      </c>
      <c r="C363" s="88">
        <f t="shared" ref="C363:O363" si="54">SUM(C3:C26)</f>
        <v>12</v>
      </c>
      <c r="D363" s="88">
        <f t="shared" si="54"/>
        <v>0</v>
      </c>
      <c r="E363" s="88">
        <f t="shared" si="54"/>
        <v>0</v>
      </c>
      <c r="F363" s="88">
        <f t="shared" si="54"/>
        <v>0</v>
      </c>
      <c r="G363" s="88">
        <f t="shared" si="54"/>
        <v>0</v>
      </c>
      <c r="H363" s="88">
        <f t="shared" si="54"/>
        <v>0</v>
      </c>
      <c r="I363" s="88">
        <f t="shared" si="54"/>
        <v>0</v>
      </c>
      <c r="J363" s="88">
        <f t="shared" si="54"/>
        <v>0</v>
      </c>
      <c r="K363" s="88">
        <f t="shared" si="54"/>
        <v>0</v>
      </c>
      <c r="L363" s="88">
        <f t="shared" si="54"/>
        <v>0</v>
      </c>
      <c r="M363" s="88">
        <f t="shared" si="54"/>
        <v>0</v>
      </c>
      <c r="N363" s="88">
        <f t="shared" si="54"/>
        <v>0</v>
      </c>
      <c r="O363" s="88">
        <f t="shared" si="54"/>
        <v>0</v>
      </c>
      <c r="P363" s="28" t="s">
        <v>20</v>
      </c>
      <c r="Q363" s="67" t="str">
        <f>$Q$36</f>
        <v>Setup</v>
      </c>
      <c r="R363" s="88">
        <f t="shared" ref="R363:AD363" si="55">R36</f>
        <v>12</v>
      </c>
      <c r="S363" s="88">
        <f t="shared" si="55"/>
        <v>0</v>
      </c>
      <c r="T363" s="88">
        <f t="shared" si="55"/>
        <v>0</v>
      </c>
      <c r="U363" s="88">
        <f t="shared" si="55"/>
        <v>0</v>
      </c>
      <c r="V363" s="88">
        <f t="shared" si="55"/>
        <v>0</v>
      </c>
      <c r="W363" s="88">
        <f t="shared" si="55"/>
        <v>0</v>
      </c>
      <c r="X363" s="88">
        <f t="shared" si="55"/>
        <v>0</v>
      </c>
      <c r="Y363" s="88">
        <f t="shared" si="55"/>
        <v>0</v>
      </c>
      <c r="Z363" s="88">
        <f t="shared" si="55"/>
        <v>0</v>
      </c>
      <c r="AA363" s="88">
        <f t="shared" si="55"/>
        <v>0</v>
      </c>
      <c r="AB363" s="88">
        <f t="shared" si="55"/>
        <v>0</v>
      </c>
      <c r="AC363" s="88">
        <f t="shared" si="55"/>
        <v>0</v>
      </c>
      <c r="AD363" s="88">
        <f t="shared" si="55"/>
        <v>0</v>
      </c>
    </row>
    <row r="364" spans="2:30" x14ac:dyDescent="0.55000000000000004">
      <c r="B364" s="70" t="str">
        <f>$Q$37</f>
        <v>Entry</v>
      </c>
      <c r="C364" s="88">
        <f t="shared" ref="C364:O364" si="56">SUM(C30:C53)</f>
        <v>0</v>
      </c>
      <c r="D364" s="88">
        <f t="shared" si="56"/>
        <v>2</v>
      </c>
      <c r="E364" s="88">
        <f t="shared" si="56"/>
        <v>2</v>
      </c>
      <c r="F364" s="88">
        <f t="shared" si="56"/>
        <v>2</v>
      </c>
      <c r="G364" s="88">
        <f t="shared" si="56"/>
        <v>2</v>
      </c>
      <c r="H364" s="88">
        <f t="shared" si="56"/>
        <v>2</v>
      </c>
      <c r="I364" s="88">
        <f t="shared" si="56"/>
        <v>2</v>
      </c>
      <c r="J364" s="88">
        <f t="shared" si="56"/>
        <v>2</v>
      </c>
      <c r="K364" s="88">
        <f t="shared" si="56"/>
        <v>2</v>
      </c>
      <c r="L364" s="88">
        <f t="shared" si="56"/>
        <v>2</v>
      </c>
      <c r="M364" s="88">
        <f t="shared" si="56"/>
        <v>2</v>
      </c>
      <c r="N364" s="88">
        <f t="shared" si="56"/>
        <v>0</v>
      </c>
      <c r="O364" s="88">
        <f t="shared" si="56"/>
        <v>0</v>
      </c>
      <c r="P364" s="28" t="s">
        <v>20</v>
      </c>
      <c r="Q364" s="70" t="str">
        <f>$Q$37</f>
        <v>Entry</v>
      </c>
      <c r="R364" s="88">
        <f t="shared" ref="R364:AD364" si="57">R37</f>
        <v>0</v>
      </c>
      <c r="S364" s="88">
        <f t="shared" si="57"/>
        <v>2</v>
      </c>
      <c r="T364" s="88">
        <f t="shared" si="57"/>
        <v>2</v>
      </c>
      <c r="U364" s="88">
        <f t="shared" si="57"/>
        <v>2</v>
      </c>
      <c r="V364" s="88">
        <f t="shared" si="57"/>
        <v>2</v>
      </c>
      <c r="W364" s="88">
        <f t="shared" si="57"/>
        <v>2</v>
      </c>
      <c r="X364" s="88">
        <f t="shared" si="57"/>
        <v>2</v>
      </c>
      <c r="Y364" s="88">
        <f t="shared" si="57"/>
        <v>2</v>
      </c>
      <c r="Z364" s="88">
        <f t="shared" si="57"/>
        <v>2</v>
      </c>
      <c r="AA364" s="88">
        <f t="shared" si="57"/>
        <v>2</v>
      </c>
      <c r="AB364" s="88">
        <f t="shared" si="57"/>
        <v>2</v>
      </c>
      <c r="AC364" s="88">
        <f t="shared" si="57"/>
        <v>0</v>
      </c>
      <c r="AD364" s="88">
        <f t="shared" si="57"/>
        <v>0</v>
      </c>
    </row>
    <row r="365" spans="2:30" x14ac:dyDescent="0.55000000000000004">
      <c r="B365" s="73" t="str">
        <f>$Q$38</f>
        <v>Bar</v>
      </c>
      <c r="C365" s="88">
        <f t="shared" ref="C365:O365" si="58">SUM(C57:C80)</f>
        <v>0</v>
      </c>
      <c r="D365" s="88">
        <f t="shared" si="58"/>
        <v>3</v>
      </c>
      <c r="E365" s="88">
        <f t="shared" si="58"/>
        <v>3</v>
      </c>
      <c r="F365" s="88">
        <f t="shared" si="58"/>
        <v>3</v>
      </c>
      <c r="G365" s="88">
        <f t="shared" si="58"/>
        <v>3</v>
      </c>
      <c r="H365" s="88">
        <f t="shared" si="58"/>
        <v>3</v>
      </c>
      <c r="I365" s="88">
        <f t="shared" si="58"/>
        <v>3</v>
      </c>
      <c r="J365" s="88">
        <f t="shared" si="58"/>
        <v>3</v>
      </c>
      <c r="K365" s="88">
        <f t="shared" si="58"/>
        <v>3</v>
      </c>
      <c r="L365" s="88">
        <f t="shared" si="58"/>
        <v>3</v>
      </c>
      <c r="M365" s="88">
        <f t="shared" si="58"/>
        <v>3</v>
      </c>
      <c r="N365" s="88">
        <f t="shared" si="58"/>
        <v>0</v>
      </c>
      <c r="O365" s="88">
        <f t="shared" si="58"/>
        <v>0</v>
      </c>
      <c r="P365" s="28" t="s">
        <v>20</v>
      </c>
      <c r="Q365" s="73" t="str">
        <f>$Q$38</f>
        <v>Bar</v>
      </c>
      <c r="R365" s="88">
        <f t="shared" ref="R365:AD365" si="59">R38</f>
        <v>0</v>
      </c>
      <c r="S365" s="88">
        <f t="shared" si="59"/>
        <v>3</v>
      </c>
      <c r="T365" s="88">
        <f t="shared" si="59"/>
        <v>3</v>
      </c>
      <c r="U365" s="88">
        <f t="shared" si="59"/>
        <v>3</v>
      </c>
      <c r="V365" s="88">
        <f t="shared" si="59"/>
        <v>3</v>
      </c>
      <c r="W365" s="88">
        <f t="shared" si="59"/>
        <v>3</v>
      </c>
      <c r="X365" s="88">
        <f t="shared" si="59"/>
        <v>3</v>
      </c>
      <c r="Y365" s="88">
        <f t="shared" si="59"/>
        <v>3</v>
      </c>
      <c r="Z365" s="88">
        <f t="shared" si="59"/>
        <v>3</v>
      </c>
      <c r="AA365" s="88">
        <f t="shared" si="59"/>
        <v>3</v>
      </c>
      <c r="AB365" s="88">
        <f t="shared" si="59"/>
        <v>3</v>
      </c>
      <c r="AC365" s="88">
        <f t="shared" si="59"/>
        <v>0</v>
      </c>
      <c r="AD365" s="88">
        <f t="shared" si="59"/>
        <v>0</v>
      </c>
    </row>
    <row r="366" spans="2:30" x14ac:dyDescent="0.55000000000000004">
      <c r="B366" s="74" t="str">
        <f>$Q$39</f>
        <v>C-mix</v>
      </c>
      <c r="C366" s="88">
        <f t="shared" ref="C366:O366" si="60">SUM(C84:C107)</f>
        <v>0</v>
      </c>
      <c r="D366" s="88">
        <f t="shared" si="60"/>
        <v>1</v>
      </c>
      <c r="E366" s="88">
        <f t="shared" si="60"/>
        <v>1</v>
      </c>
      <c r="F366" s="88">
        <f t="shared" si="60"/>
        <v>1</v>
      </c>
      <c r="G366" s="88">
        <f t="shared" si="60"/>
        <v>1</v>
      </c>
      <c r="H366" s="88">
        <f t="shared" si="60"/>
        <v>1</v>
      </c>
      <c r="I366" s="88">
        <f t="shared" si="60"/>
        <v>1</v>
      </c>
      <c r="J366" s="88">
        <f t="shared" si="60"/>
        <v>1</v>
      </c>
      <c r="K366" s="88">
        <f t="shared" si="60"/>
        <v>1</v>
      </c>
      <c r="L366" s="88">
        <f t="shared" si="60"/>
        <v>1</v>
      </c>
      <c r="M366" s="88">
        <f t="shared" si="60"/>
        <v>1</v>
      </c>
      <c r="N366" s="88">
        <f t="shared" si="60"/>
        <v>0</v>
      </c>
      <c r="O366" s="88">
        <f t="shared" si="60"/>
        <v>0</v>
      </c>
      <c r="P366" s="28" t="s">
        <v>20</v>
      </c>
      <c r="Q366" s="74" t="str">
        <f>$Q$39</f>
        <v>C-mix</v>
      </c>
      <c r="R366" s="88">
        <f t="shared" ref="R366:AD366" si="61">R39</f>
        <v>0</v>
      </c>
      <c r="S366" s="88">
        <f t="shared" si="61"/>
        <v>1</v>
      </c>
      <c r="T366" s="88">
        <f t="shared" si="61"/>
        <v>1</v>
      </c>
      <c r="U366" s="88">
        <f t="shared" si="61"/>
        <v>1</v>
      </c>
      <c r="V366" s="88">
        <f t="shared" si="61"/>
        <v>1</v>
      </c>
      <c r="W366" s="88">
        <f t="shared" si="61"/>
        <v>1</v>
      </c>
      <c r="X366" s="88">
        <f t="shared" si="61"/>
        <v>1</v>
      </c>
      <c r="Y366" s="88">
        <f t="shared" si="61"/>
        <v>1</v>
      </c>
      <c r="Z366" s="88">
        <f t="shared" si="61"/>
        <v>1</v>
      </c>
      <c r="AA366" s="88">
        <f t="shared" si="61"/>
        <v>1</v>
      </c>
      <c r="AB366" s="88">
        <f t="shared" si="61"/>
        <v>1</v>
      </c>
      <c r="AC366" s="88">
        <f t="shared" si="61"/>
        <v>0</v>
      </c>
      <c r="AD366" s="88">
        <f t="shared" si="61"/>
        <v>0</v>
      </c>
    </row>
    <row r="367" spans="2:30" x14ac:dyDescent="0.55000000000000004">
      <c r="B367" s="75" t="str">
        <f>$Q$40</f>
        <v>Rez</v>
      </c>
      <c r="C367" s="88">
        <f t="shared" ref="C367:O367" si="62">SUM(C111:C134)</f>
        <v>0</v>
      </c>
      <c r="D367" s="88">
        <f t="shared" si="62"/>
        <v>1</v>
      </c>
      <c r="E367" s="88">
        <f t="shared" si="62"/>
        <v>1</v>
      </c>
      <c r="F367" s="88">
        <f t="shared" si="62"/>
        <v>1</v>
      </c>
      <c r="G367" s="88">
        <f t="shared" si="62"/>
        <v>1</v>
      </c>
      <c r="H367" s="88">
        <f t="shared" si="62"/>
        <v>1</v>
      </c>
      <c r="I367" s="88">
        <f t="shared" si="62"/>
        <v>1</v>
      </c>
      <c r="J367" s="88">
        <f t="shared" si="62"/>
        <v>1</v>
      </c>
      <c r="K367" s="88">
        <f t="shared" si="62"/>
        <v>1</v>
      </c>
      <c r="L367" s="88">
        <f t="shared" si="62"/>
        <v>1</v>
      </c>
      <c r="M367" s="88">
        <f t="shared" si="62"/>
        <v>1</v>
      </c>
      <c r="N367" s="88">
        <f t="shared" si="62"/>
        <v>0</v>
      </c>
      <c r="O367" s="88">
        <f t="shared" si="62"/>
        <v>0</v>
      </c>
      <c r="P367" s="28" t="s">
        <v>20</v>
      </c>
      <c r="Q367" s="75" t="str">
        <f>$Q$40</f>
        <v>Rez</v>
      </c>
      <c r="R367" s="88">
        <f t="shared" ref="R367:AD367" si="63">R40</f>
        <v>0</v>
      </c>
      <c r="S367" s="88">
        <f t="shared" si="63"/>
        <v>1</v>
      </c>
      <c r="T367" s="88">
        <f t="shared" si="63"/>
        <v>1</v>
      </c>
      <c r="U367" s="88">
        <f t="shared" si="63"/>
        <v>1</v>
      </c>
      <c r="V367" s="88">
        <f t="shared" si="63"/>
        <v>1</v>
      </c>
      <c r="W367" s="88">
        <f t="shared" si="63"/>
        <v>1</v>
      </c>
      <c r="X367" s="88">
        <f t="shared" si="63"/>
        <v>1</v>
      </c>
      <c r="Y367" s="88">
        <f t="shared" si="63"/>
        <v>1</v>
      </c>
      <c r="Z367" s="88">
        <f t="shared" si="63"/>
        <v>1</v>
      </c>
      <c r="AA367" s="88">
        <f t="shared" si="63"/>
        <v>1</v>
      </c>
      <c r="AB367" s="88">
        <f t="shared" si="63"/>
        <v>1</v>
      </c>
      <c r="AC367" s="88">
        <f t="shared" si="63"/>
        <v>0</v>
      </c>
      <c r="AD367" s="88">
        <f t="shared" si="63"/>
        <v>0</v>
      </c>
    </row>
    <row r="368" spans="2:30" x14ac:dyDescent="0.55000000000000004">
      <c r="B368" s="76" t="str">
        <f>$Q$41</f>
        <v>Homing</v>
      </c>
      <c r="C368" s="88">
        <f t="shared" ref="C368:O368" si="64">SUM(C138:C161)</f>
        <v>0</v>
      </c>
      <c r="D368" s="88">
        <f t="shared" si="64"/>
        <v>3</v>
      </c>
      <c r="E368" s="88">
        <f t="shared" si="64"/>
        <v>3</v>
      </c>
      <c r="F368" s="88">
        <f t="shared" si="64"/>
        <v>3</v>
      </c>
      <c r="G368" s="88">
        <f t="shared" si="64"/>
        <v>3</v>
      </c>
      <c r="H368" s="88">
        <f t="shared" si="64"/>
        <v>3</v>
      </c>
      <c r="I368" s="88">
        <f t="shared" si="64"/>
        <v>3</v>
      </c>
      <c r="J368" s="88">
        <f t="shared" si="64"/>
        <v>3</v>
      </c>
      <c r="K368" s="88">
        <f t="shared" si="64"/>
        <v>3</v>
      </c>
      <c r="L368" s="88">
        <f t="shared" si="64"/>
        <v>3</v>
      </c>
      <c r="M368" s="88">
        <f t="shared" si="64"/>
        <v>3</v>
      </c>
      <c r="N368" s="88">
        <f t="shared" si="64"/>
        <v>0</v>
      </c>
      <c r="O368" s="88">
        <f t="shared" si="64"/>
        <v>0</v>
      </c>
      <c r="P368" s="28" t="s">
        <v>20</v>
      </c>
      <c r="Q368" s="76" t="str">
        <f>$Q$41</f>
        <v>Homing</v>
      </c>
      <c r="R368" s="88">
        <f t="shared" ref="R368:AD368" si="65">R41</f>
        <v>0</v>
      </c>
      <c r="S368" s="88">
        <f t="shared" si="65"/>
        <v>3</v>
      </c>
      <c r="T368" s="88">
        <f t="shared" si="65"/>
        <v>3</v>
      </c>
      <c r="U368" s="88">
        <f t="shared" si="65"/>
        <v>3</v>
      </c>
      <c r="V368" s="88">
        <f t="shared" si="65"/>
        <v>3</v>
      </c>
      <c r="W368" s="88">
        <f t="shared" si="65"/>
        <v>3</v>
      </c>
      <c r="X368" s="88">
        <f t="shared" si="65"/>
        <v>3</v>
      </c>
      <c r="Y368" s="88">
        <f t="shared" si="65"/>
        <v>3</v>
      </c>
      <c r="Z368" s="88">
        <f t="shared" si="65"/>
        <v>3</v>
      </c>
      <c r="AA368" s="88">
        <f t="shared" si="65"/>
        <v>3</v>
      </c>
      <c r="AB368" s="88">
        <f t="shared" si="65"/>
        <v>3</v>
      </c>
      <c r="AC368" s="88">
        <f t="shared" si="65"/>
        <v>0</v>
      </c>
      <c r="AD368" s="88">
        <f t="shared" si="65"/>
        <v>0</v>
      </c>
    </row>
    <row r="369" spans="2:30" x14ac:dyDescent="0.55000000000000004">
      <c r="B369" s="77" t="str">
        <f>$Q$42</f>
        <v>Toilets</v>
      </c>
      <c r="C369" s="88">
        <f t="shared" ref="C369:O369" si="66">SUM(C165:C188)</f>
        <v>0</v>
      </c>
      <c r="D369" s="88">
        <f t="shared" si="66"/>
        <v>2</v>
      </c>
      <c r="E369" s="88">
        <f t="shared" si="66"/>
        <v>2</v>
      </c>
      <c r="F369" s="88">
        <f t="shared" si="66"/>
        <v>2</v>
      </c>
      <c r="G369" s="88">
        <f t="shared" si="66"/>
        <v>2</v>
      </c>
      <c r="H369" s="88">
        <f t="shared" si="66"/>
        <v>2</v>
      </c>
      <c r="I369" s="88">
        <f t="shared" si="66"/>
        <v>2</v>
      </c>
      <c r="J369" s="88">
        <f t="shared" si="66"/>
        <v>2</v>
      </c>
      <c r="K369" s="88">
        <f t="shared" si="66"/>
        <v>2</v>
      </c>
      <c r="L369" s="88">
        <f t="shared" si="66"/>
        <v>2</v>
      </c>
      <c r="M369" s="88">
        <f t="shared" si="66"/>
        <v>2</v>
      </c>
      <c r="N369" s="88">
        <f t="shared" si="66"/>
        <v>0</v>
      </c>
      <c r="O369" s="88">
        <f t="shared" si="66"/>
        <v>0</v>
      </c>
      <c r="P369" s="28" t="s">
        <v>20</v>
      </c>
      <c r="Q369" s="77" t="str">
        <f>$Q$42</f>
        <v>Toilets</v>
      </c>
      <c r="R369" s="88">
        <f t="shared" ref="R369:AD369" si="67">R42</f>
        <v>0</v>
      </c>
      <c r="S369" s="88">
        <f t="shared" si="67"/>
        <v>2</v>
      </c>
      <c r="T369" s="88">
        <f t="shared" si="67"/>
        <v>2</v>
      </c>
      <c r="U369" s="88">
        <f t="shared" si="67"/>
        <v>2</v>
      </c>
      <c r="V369" s="88">
        <f t="shared" si="67"/>
        <v>2</v>
      </c>
      <c r="W369" s="88">
        <f t="shared" si="67"/>
        <v>2</v>
      </c>
      <c r="X369" s="88">
        <f t="shared" si="67"/>
        <v>2</v>
      </c>
      <c r="Y369" s="88">
        <f t="shared" si="67"/>
        <v>2</v>
      </c>
      <c r="Z369" s="88">
        <f t="shared" si="67"/>
        <v>2</v>
      </c>
      <c r="AA369" s="88">
        <f t="shared" si="67"/>
        <v>2</v>
      </c>
      <c r="AB369" s="88">
        <f t="shared" si="67"/>
        <v>2</v>
      </c>
      <c r="AC369" s="88">
        <f t="shared" si="67"/>
        <v>0</v>
      </c>
      <c r="AD369" s="88">
        <f t="shared" si="67"/>
        <v>0</v>
      </c>
    </row>
    <row r="370" spans="2:30" x14ac:dyDescent="0.55000000000000004">
      <c r="B370" s="78" t="str">
        <f>$Q$43</f>
        <v>Level</v>
      </c>
      <c r="C370" s="88">
        <f t="shared" ref="C370:O370" si="68">SUM(C192:C215)</f>
        <v>0</v>
      </c>
      <c r="D370" s="88">
        <f t="shared" si="68"/>
        <v>1</v>
      </c>
      <c r="E370" s="88">
        <f t="shared" si="68"/>
        <v>1</v>
      </c>
      <c r="F370" s="88">
        <f t="shared" si="68"/>
        <v>1</v>
      </c>
      <c r="G370" s="88">
        <f t="shared" si="68"/>
        <v>1</v>
      </c>
      <c r="H370" s="88">
        <f t="shared" si="68"/>
        <v>1</v>
      </c>
      <c r="I370" s="88">
        <f t="shared" si="68"/>
        <v>1</v>
      </c>
      <c r="J370" s="88">
        <f t="shared" si="68"/>
        <v>1</v>
      </c>
      <c r="K370" s="88">
        <f t="shared" si="68"/>
        <v>1</v>
      </c>
      <c r="L370" s="88">
        <f t="shared" si="68"/>
        <v>1</v>
      </c>
      <c r="M370" s="88">
        <f t="shared" si="68"/>
        <v>1</v>
      </c>
      <c r="N370" s="88">
        <f t="shared" si="68"/>
        <v>0</v>
      </c>
      <c r="O370" s="88">
        <f t="shared" si="68"/>
        <v>0</v>
      </c>
      <c r="P370" s="28" t="s">
        <v>20</v>
      </c>
      <c r="Q370" s="78" t="str">
        <f>$Q$43</f>
        <v>Level</v>
      </c>
      <c r="R370" s="88">
        <f t="shared" ref="R370:AD370" si="69">R43</f>
        <v>0</v>
      </c>
      <c r="S370" s="88">
        <f t="shared" si="69"/>
        <v>1</v>
      </c>
      <c r="T370" s="88">
        <f t="shared" si="69"/>
        <v>1</v>
      </c>
      <c r="U370" s="88">
        <f t="shared" si="69"/>
        <v>1</v>
      </c>
      <c r="V370" s="88">
        <f t="shared" si="69"/>
        <v>1</v>
      </c>
      <c r="W370" s="88">
        <f t="shared" si="69"/>
        <v>1</v>
      </c>
      <c r="X370" s="88">
        <f t="shared" si="69"/>
        <v>1</v>
      </c>
      <c r="Y370" s="88">
        <f t="shared" si="69"/>
        <v>1</v>
      </c>
      <c r="Z370" s="88">
        <f t="shared" si="69"/>
        <v>1</v>
      </c>
      <c r="AA370" s="88">
        <f t="shared" si="69"/>
        <v>1</v>
      </c>
      <c r="AB370" s="88">
        <f t="shared" si="69"/>
        <v>1</v>
      </c>
      <c r="AC370" s="88">
        <f t="shared" si="69"/>
        <v>0</v>
      </c>
      <c r="AD370" s="88">
        <f t="shared" si="69"/>
        <v>0</v>
      </c>
    </row>
    <row r="371" spans="2:30" x14ac:dyDescent="0.55000000000000004">
      <c r="B371" s="79" t="str">
        <f>$Q$44</f>
        <v>Çapèse</v>
      </c>
      <c r="C371" s="88">
        <f t="shared" ref="C371:O371" si="70">SUM(C219:C242)</f>
        <v>0</v>
      </c>
      <c r="D371" s="88">
        <f t="shared" si="70"/>
        <v>1</v>
      </c>
      <c r="E371" s="88">
        <f t="shared" si="70"/>
        <v>1</v>
      </c>
      <c r="F371" s="88">
        <f t="shared" si="70"/>
        <v>1</v>
      </c>
      <c r="G371" s="88">
        <f t="shared" si="70"/>
        <v>1</v>
      </c>
      <c r="H371" s="88">
        <f t="shared" si="70"/>
        <v>1</v>
      </c>
      <c r="I371" s="88">
        <f t="shared" si="70"/>
        <v>1</v>
      </c>
      <c r="J371" s="88">
        <f t="shared" si="70"/>
        <v>1</v>
      </c>
      <c r="K371" s="88">
        <f t="shared" si="70"/>
        <v>1</v>
      </c>
      <c r="L371" s="88">
        <f t="shared" si="70"/>
        <v>1</v>
      </c>
      <c r="M371" s="88">
        <f t="shared" si="70"/>
        <v>1</v>
      </c>
      <c r="N371" s="88">
        <f t="shared" si="70"/>
        <v>0</v>
      </c>
      <c r="O371" s="88">
        <f t="shared" si="70"/>
        <v>0</v>
      </c>
      <c r="P371" s="28" t="s">
        <v>20</v>
      </c>
      <c r="Q371" s="79" t="str">
        <f>$Q$44</f>
        <v>Çapèse</v>
      </c>
      <c r="R371" s="88">
        <f t="shared" ref="R371:AD371" si="71">R44</f>
        <v>0</v>
      </c>
      <c r="S371" s="88">
        <f t="shared" si="71"/>
        <v>1</v>
      </c>
      <c r="T371" s="88">
        <f t="shared" si="71"/>
        <v>1</v>
      </c>
      <c r="U371" s="88">
        <f t="shared" si="71"/>
        <v>1</v>
      </c>
      <c r="V371" s="88">
        <f t="shared" si="71"/>
        <v>1</v>
      </c>
      <c r="W371" s="88">
        <f t="shared" si="71"/>
        <v>1</v>
      </c>
      <c r="X371" s="88">
        <f t="shared" si="71"/>
        <v>1</v>
      </c>
      <c r="Y371" s="88">
        <f t="shared" si="71"/>
        <v>1</v>
      </c>
      <c r="Z371" s="88">
        <f t="shared" si="71"/>
        <v>1</v>
      </c>
      <c r="AA371" s="88">
        <f t="shared" si="71"/>
        <v>1</v>
      </c>
      <c r="AB371" s="88">
        <f t="shared" si="71"/>
        <v>1</v>
      </c>
      <c r="AC371" s="88">
        <f t="shared" si="71"/>
        <v>0</v>
      </c>
      <c r="AD371" s="88">
        <f t="shared" si="71"/>
        <v>0</v>
      </c>
    </row>
    <row r="372" spans="2:30" x14ac:dyDescent="0.55000000000000004">
      <c r="B372" s="80" t="str">
        <f>$Q$45</f>
        <v>Tidying</v>
      </c>
      <c r="C372" s="88">
        <f t="shared" ref="C372:O372" si="72">SUM(C246:C269)</f>
        <v>0</v>
      </c>
      <c r="D372" s="88">
        <f t="shared" si="72"/>
        <v>0</v>
      </c>
      <c r="E372" s="88">
        <f t="shared" si="72"/>
        <v>0</v>
      </c>
      <c r="F372" s="88">
        <f t="shared" si="72"/>
        <v>0</v>
      </c>
      <c r="G372" s="88">
        <f t="shared" si="72"/>
        <v>0</v>
      </c>
      <c r="H372" s="88">
        <f t="shared" si="72"/>
        <v>0</v>
      </c>
      <c r="I372" s="88">
        <f t="shared" si="72"/>
        <v>0</v>
      </c>
      <c r="J372" s="88">
        <f t="shared" si="72"/>
        <v>0</v>
      </c>
      <c r="K372" s="88">
        <f t="shared" si="72"/>
        <v>0</v>
      </c>
      <c r="L372" s="88">
        <f t="shared" si="72"/>
        <v>0</v>
      </c>
      <c r="M372" s="88">
        <f t="shared" si="72"/>
        <v>0</v>
      </c>
      <c r="N372" s="88">
        <f t="shared" si="72"/>
        <v>12</v>
      </c>
      <c r="O372" s="88">
        <f t="shared" si="72"/>
        <v>12</v>
      </c>
      <c r="P372" s="28" t="s">
        <v>20</v>
      </c>
      <c r="Q372" s="80" t="str">
        <f>$Q$45</f>
        <v>Tidying</v>
      </c>
      <c r="R372" s="88">
        <f t="shared" ref="R372:AD372" si="73">R45</f>
        <v>0</v>
      </c>
      <c r="S372" s="88">
        <f t="shared" si="73"/>
        <v>0</v>
      </c>
      <c r="T372" s="88">
        <f t="shared" si="73"/>
        <v>0</v>
      </c>
      <c r="U372" s="88">
        <f t="shared" si="73"/>
        <v>0</v>
      </c>
      <c r="V372" s="88">
        <f t="shared" si="73"/>
        <v>0</v>
      </c>
      <c r="W372" s="88">
        <f t="shared" si="73"/>
        <v>0</v>
      </c>
      <c r="X372" s="88">
        <f t="shared" si="73"/>
        <v>0</v>
      </c>
      <c r="Y372" s="88">
        <f t="shared" si="73"/>
        <v>0</v>
      </c>
      <c r="Z372" s="88">
        <f t="shared" si="73"/>
        <v>0</v>
      </c>
      <c r="AA372" s="88">
        <f t="shared" si="73"/>
        <v>0</v>
      </c>
      <c r="AB372" s="88">
        <f t="shared" si="73"/>
        <v>0</v>
      </c>
      <c r="AC372" s="88">
        <f t="shared" si="73"/>
        <v>12</v>
      </c>
      <c r="AD372" s="88">
        <f t="shared" si="73"/>
        <v>12</v>
      </c>
    </row>
    <row r="373" spans="2:30" x14ac:dyDescent="0.55000000000000004">
      <c r="B373" s="81" t="str">
        <f>$Q$46</f>
        <v>Volante</v>
      </c>
      <c r="C373" s="88">
        <f t="shared" ref="C373:O373" si="74">SUM(C273:C296)</f>
        <v>0</v>
      </c>
      <c r="D373" s="88">
        <f t="shared" si="74"/>
        <v>1</v>
      </c>
      <c r="E373" s="88">
        <f t="shared" si="74"/>
        <v>1</v>
      </c>
      <c r="F373" s="88">
        <f t="shared" si="74"/>
        <v>1</v>
      </c>
      <c r="G373" s="88">
        <f t="shared" si="74"/>
        <v>1</v>
      </c>
      <c r="H373" s="88">
        <f t="shared" si="74"/>
        <v>1</v>
      </c>
      <c r="I373" s="88">
        <f t="shared" si="74"/>
        <v>1</v>
      </c>
      <c r="J373" s="88">
        <f t="shared" si="74"/>
        <v>1</v>
      </c>
      <c r="K373" s="88">
        <f t="shared" si="74"/>
        <v>1</v>
      </c>
      <c r="L373" s="88">
        <f t="shared" si="74"/>
        <v>1</v>
      </c>
      <c r="M373" s="88">
        <f t="shared" si="74"/>
        <v>1</v>
      </c>
      <c r="N373" s="88">
        <f t="shared" si="74"/>
        <v>0</v>
      </c>
      <c r="O373" s="88">
        <f t="shared" si="74"/>
        <v>0</v>
      </c>
      <c r="P373" s="28" t="s">
        <v>20</v>
      </c>
      <c r="Q373" s="81" t="str">
        <f>$Q$46</f>
        <v>Volante</v>
      </c>
      <c r="R373" s="88">
        <f t="shared" ref="R373:AD373" si="75">R46</f>
        <v>0</v>
      </c>
      <c r="S373" s="88">
        <f t="shared" si="75"/>
        <v>1</v>
      </c>
      <c r="T373" s="88">
        <f t="shared" si="75"/>
        <v>1</v>
      </c>
      <c r="U373" s="88">
        <f t="shared" si="75"/>
        <v>1</v>
      </c>
      <c r="V373" s="88">
        <f t="shared" si="75"/>
        <v>1</v>
      </c>
      <c r="W373" s="88">
        <f t="shared" si="75"/>
        <v>1</v>
      </c>
      <c r="X373" s="88">
        <f t="shared" si="75"/>
        <v>1</v>
      </c>
      <c r="Y373" s="88">
        <f t="shared" si="75"/>
        <v>1</v>
      </c>
      <c r="Z373" s="88">
        <f t="shared" si="75"/>
        <v>1</v>
      </c>
      <c r="AA373" s="88">
        <f t="shared" si="75"/>
        <v>1</v>
      </c>
      <c r="AB373" s="88">
        <f t="shared" si="75"/>
        <v>1</v>
      </c>
      <c r="AC373" s="88">
        <f t="shared" si="75"/>
        <v>0</v>
      </c>
      <c r="AD373" s="88">
        <f t="shared" si="75"/>
        <v>0</v>
      </c>
    </row>
    <row r="378" spans="2:30" ht="23.7" x14ac:dyDescent="0.55000000000000004">
      <c r="C378" s="87" t="s">
        <v>112</v>
      </c>
    </row>
    <row r="379" spans="2:30" ht="15.6" x14ac:dyDescent="0.55000000000000004">
      <c r="C379" s="16" t="s">
        <v>90</v>
      </c>
      <c r="D379" s="67" t="str">
        <f>$Q$36</f>
        <v>Setup</v>
      </c>
      <c r="E379" s="70" t="str">
        <f>$Q$37</f>
        <v>Entry</v>
      </c>
      <c r="F379" s="73" t="str">
        <f>$Q$38</f>
        <v>Bar</v>
      </c>
      <c r="G379" s="74" t="str">
        <f>$Q$39</f>
        <v>C-mix</v>
      </c>
      <c r="H379" s="75" t="str">
        <f>$Q$40</f>
        <v>Rez</v>
      </c>
      <c r="I379" s="76" t="str">
        <f>$Q$41</f>
        <v>Homing</v>
      </c>
      <c r="J379" s="77" t="str">
        <f>$Q$42</f>
        <v>Toilets</v>
      </c>
      <c r="K379" s="78" t="str">
        <f>$Q$43</f>
        <v>Level</v>
      </c>
      <c r="L379" s="79" t="str">
        <f>$Q$44</f>
        <v>Çapèse</v>
      </c>
      <c r="M379" s="80" t="str">
        <f>$Q$45</f>
        <v>Tidying</v>
      </c>
      <c r="N379" s="81" t="str">
        <f>$Q$46</f>
        <v>Volante</v>
      </c>
      <c r="O379" s="38" t="s">
        <v>115</v>
      </c>
      <c r="Q379" s="16" t="s">
        <v>90</v>
      </c>
      <c r="R379" s="67" t="str">
        <f>$Q$36</f>
        <v>Setup</v>
      </c>
      <c r="S379" s="70" t="str">
        <f>$Q$37</f>
        <v>Entry</v>
      </c>
      <c r="T379" s="73" t="str">
        <f>$Q$38</f>
        <v>Bar</v>
      </c>
      <c r="U379" s="74" t="str">
        <f>$Q$39</f>
        <v>C-mix</v>
      </c>
      <c r="V379" s="75" t="str">
        <f>$Q$40</f>
        <v>Rez</v>
      </c>
      <c r="W379" s="76" t="str">
        <f>$Q$41</f>
        <v>Homing</v>
      </c>
      <c r="X379" s="77" t="str">
        <f>$Q$42</f>
        <v>Toilets</v>
      </c>
      <c r="Y379" s="78" t="str">
        <f>$Q$43</f>
        <v>Level</v>
      </c>
      <c r="Z379" s="79" t="str">
        <f>$Q$44</f>
        <v>Çapèse</v>
      </c>
      <c r="AA379" s="80" t="str">
        <f>$Q$45</f>
        <v>Tidying</v>
      </c>
      <c r="AB379" s="81" t="str">
        <f>$Q$46</f>
        <v>Volante</v>
      </c>
      <c r="AC379" s="38" t="s">
        <v>115</v>
      </c>
    </row>
    <row r="380" spans="2:30" ht="15.6" x14ac:dyDescent="0.55000000000000004">
      <c r="C380" s="46" t="str">
        <f>$Q$3</f>
        <v>Jennifer</v>
      </c>
      <c r="D380" s="51">
        <f t="shared" ref="D380:D402" si="76">SUM(C3:O3)</f>
        <v>1</v>
      </c>
      <c r="E380" s="51">
        <f t="shared" ref="E380:E403" si="77">SUM(C30:O30)</f>
        <v>0</v>
      </c>
      <c r="F380" s="51">
        <f t="shared" ref="F380:F403" si="78">SUM(C57:O57)</f>
        <v>0</v>
      </c>
      <c r="G380" s="51">
        <f t="shared" ref="G380:G403" si="79">SUM(C84:O84)</f>
        <v>0</v>
      </c>
      <c r="H380" s="51">
        <f t="shared" ref="H380:H403" si="80">SUM(C111:O111)</f>
        <v>0</v>
      </c>
      <c r="I380" s="51">
        <f t="shared" ref="I380:I403" si="81">SUM(C138:O138)</f>
        <v>2</v>
      </c>
      <c r="J380" s="51">
        <f t="shared" ref="J380:J403" si="82">SUM(C165:O165)</f>
        <v>0</v>
      </c>
      <c r="K380" s="51">
        <f t="shared" ref="K380:K403" si="83">SUM(C192:O192)</f>
        <v>2</v>
      </c>
      <c r="L380" s="51">
        <f t="shared" ref="L380:L403" si="84">SUM(C219:O219)</f>
        <v>0</v>
      </c>
      <c r="M380" s="51">
        <f t="shared" ref="M380:M403" si="85">SUM(C246:O246)</f>
        <v>2</v>
      </c>
      <c r="N380" s="51">
        <f t="shared" ref="N380:N403" si="86">SUM(C273:O273)</f>
        <v>1</v>
      </c>
      <c r="O380" s="51">
        <f t="shared" ref="O380:O403" si="87">SUM(C300:O300)</f>
        <v>5</v>
      </c>
      <c r="P380" s="28" t="s">
        <v>18</v>
      </c>
      <c r="Q380" s="46" t="str">
        <f>$Q$3</f>
        <v>Jennifer</v>
      </c>
      <c r="R380" s="51">
        <f t="shared" ref="R380:AC380" si="88">$AE3*R57</f>
        <v>13</v>
      </c>
      <c r="S380" s="51">
        <f t="shared" si="88"/>
        <v>13</v>
      </c>
      <c r="T380" s="51">
        <f t="shared" si="88"/>
        <v>13</v>
      </c>
      <c r="U380" s="51">
        <f t="shared" si="88"/>
        <v>13</v>
      </c>
      <c r="V380" s="51">
        <f t="shared" si="88"/>
        <v>13</v>
      </c>
      <c r="W380" s="51">
        <f t="shared" si="88"/>
        <v>13</v>
      </c>
      <c r="X380" s="51">
        <f t="shared" si="88"/>
        <v>13</v>
      </c>
      <c r="Y380" s="51">
        <f t="shared" si="88"/>
        <v>13</v>
      </c>
      <c r="Z380" s="51">
        <f t="shared" si="88"/>
        <v>13</v>
      </c>
      <c r="AA380" s="51">
        <f t="shared" si="88"/>
        <v>13</v>
      </c>
      <c r="AB380" s="51">
        <f t="shared" si="88"/>
        <v>13</v>
      </c>
      <c r="AC380" s="51">
        <f t="shared" si="88"/>
        <v>13</v>
      </c>
    </row>
    <row r="381" spans="2:30" ht="15.6" x14ac:dyDescent="0.55000000000000004">
      <c r="C381" s="52" t="str">
        <f>$Q$4</f>
        <v>Galileo</v>
      </c>
      <c r="D381" s="51">
        <f t="shared" si="76"/>
        <v>0</v>
      </c>
      <c r="E381" s="51">
        <f t="shared" si="77"/>
        <v>1</v>
      </c>
      <c r="F381" s="51">
        <f t="shared" si="78"/>
        <v>1</v>
      </c>
      <c r="G381" s="51">
        <f t="shared" si="79"/>
        <v>0</v>
      </c>
      <c r="H381" s="51">
        <f t="shared" si="80"/>
        <v>1</v>
      </c>
      <c r="I381" s="51">
        <f t="shared" si="81"/>
        <v>1</v>
      </c>
      <c r="J381" s="51">
        <f t="shared" si="82"/>
        <v>2</v>
      </c>
      <c r="K381" s="51">
        <f t="shared" si="83"/>
        <v>0</v>
      </c>
      <c r="L381" s="51">
        <f t="shared" si="84"/>
        <v>1</v>
      </c>
      <c r="M381" s="51">
        <f t="shared" si="85"/>
        <v>1</v>
      </c>
      <c r="N381" s="51">
        <f t="shared" si="86"/>
        <v>0</v>
      </c>
      <c r="O381" s="51">
        <f t="shared" si="87"/>
        <v>5</v>
      </c>
      <c r="P381" s="28" t="s">
        <v>18</v>
      </c>
      <c r="Q381" s="52" t="str">
        <f>$Q$4</f>
        <v>Galileo</v>
      </c>
      <c r="R381" s="51">
        <f t="shared" ref="R381:AC381" si="89">$AE4*R58</f>
        <v>13</v>
      </c>
      <c r="S381" s="51">
        <f t="shared" si="89"/>
        <v>13</v>
      </c>
      <c r="T381" s="51">
        <f t="shared" si="89"/>
        <v>13</v>
      </c>
      <c r="U381" s="51">
        <f t="shared" si="89"/>
        <v>13</v>
      </c>
      <c r="V381" s="51">
        <f t="shared" si="89"/>
        <v>13</v>
      </c>
      <c r="W381" s="51">
        <f t="shared" si="89"/>
        <v>13</v>
      </c>
      <c r="X381" s="51">
        <f t="shared" si="89"/>
        <v>13</v>
      </c>
      <c r="Y381" s="51">
        <f t="shared" si="89"/>
        <v>13</v>
      </c>
      <c r="Z381" s="51">
        <f t="shared" si="89"/>
        <v>13</v>
      </c>
      <c r="AA381" s="51">
        <f t="shared" si="89"/>
        <v>13</v>
      </c>
      <c r="AB381" s="51">
        <f t="shared" si="89"/>
        <v>13</v>
      </c>
      <c r="AC381" s="51">
        <f t="shared" si="89"/>
        <v>13</v>
      </c>
    </row>
    <row r="382" spans="2:30" ht="15.6" x14ac:dyDescent="0.55000000000000004">
      <c r="C382" s="52" t="str">
        <f>$Q$5</f>
        <v>Óscar</v>
      </c>
      <c r="D382" s="51">
        <f t="shared" si="76"/>
        <v>1</v>
      </c>
      <c r="E382" s="51">
        <f t="shared" si="77"/>
        <v>1</v>
      </c>
      <c r="F382" s="51">
        <f t="shared" si="78"/>
        <v>2</v>
      </c>
      <c r="G382" s="51">
        <f t="shared" si="79"/>
        <v>0</v>
      </c>
      <c r="H382" s="51">
        <f t="shared" si="80"/>
        <v>0</v>
      </c>
      <c r="I382" s="51">
        <f t="shared" si="81"/>
        <v>2</v>
      </c>
      <c r="J382" s="51">
        <f t="shared" si="82"/>
        <v>1</v>
      </c>
      <c r="K382" s="51">
        <f t="shared" si="83"/>
        <v>0</v>
      </c>
      <c r="L382" s="51">
        <f t="shared" si="84"/>
        <v>0</v>
      </c>
      <c r="M382" s="51">
        <f t="shared" si="85"/>
        <v>1</v>
      </c>
      <c r="N382" s="51">
        <f t="shared" si="86"/>
        <v>0</v>
      </c>
      <c r="O382" s="51">
        <f t="shared" si="87"/>
        <v>5</v>
      </c>
      <c r="P382" s="28" t="s">
        <v>18</v>
      </c>
      <c r="Q382" s="52" t="str">
        <f>$Q$5</f>
        <v>Óscar</v>
      </c>
      <c r="R382" s="51">
        <f t="shared" ref="R382:AC382" si="90">$AE5*R59</f>
        <v>13</v>
      </c>
      <c r="S382" s="51">
        <f t="shared" si="90"/>
        <v>13</v>
      </c>
      <c r="T382" s="51">
        <f t="shared" si="90"/>
        <v>13</v>
      </c>
      <c r="U382" s="51">
        <f t="shared" si="90"/>
        <v>13</v>
      </c>
      <c r="V382" s="51">
        <f t="shared" si="90"/>
        <v>13</v>
      </c>
      <c r="W382" s="51">
        <f t="shared" si="90"/>
        <v>13</v>
      </c>
      <c r="X382" s="51">
        <f t="shared" si="90"/>
        <v>13</v>
      </c>
      <c r="Y382" s="51">
        <f t="shared" si="90"/>
        <v>13</v>
      </c>
      <c r="Z382" s="51">
        <f t="shared" si="90"/>
        <v>13</v>
      </c>
      <c r="AA382" s="51">
        <f t="shared" si="90"/>
        <v>13</v>
      </c>
      <c r="AB382" s="51">
        <f t="shared" si="90"/>
        <v>13</v>
      </c>
      <c r="AC382" s="51">
        <f t="shared" si="90"/>
        <v>13</v>
      </c>
    </row>
    <row r="383" spans="2:30" ht="15.6" x14ac:dyDescent="0.55000000000000004">
      <c r="C383" s="52" t="str">
        <f>$Q$6</f>
        <v>Sebastián</v>
      </c>
      <c r="D383" s="51">
        <f t="shared" si="76"/>
        <v>0</v>
      </c>
      <c r="E383" s="51">
        <f t="shared" si="77"/>
        <v>0</v>
      </c>
      <c r="F383" s="51">
        <f t="shared" si="78"/>
        <v>1</v>
      </c>
      <c r="G383" s="51">
        <f t="shared" si="79"/>
        <v>0</v>
      </c>
      <c r="H383" s="51">
        <f t="shared" si="80"/>
        <v>2</v>
      </c>
      <c r="I383" s="51">
        <f t="shared" si="81"/>
        <v>2</v>
      </c>
      <c r="J383" s="51">
        <f t="shared" si="82"/>
        <v>1</v>
      </c>
      <c r="K383" s="51">
        <f t="shared" si="83"/>
        <v>0</v>
      </c>
      <c r="L383" s="51">
        <f t="shared" si="84"/>
        <v>0</v>
      </c>
      <c r="M383" s="51">
        <f t="shared" si="85"/>
        <v>1</v>
      </c>
      <c r="N383" s="51">
        <f t="shared" si="86"/>
        <v>1</v>
      </c>
      <c r="O383" s="51">
        <f t="shared" si="87"/>
        <v>5</v>
      </c>
      <c r="P383" s="28" t="s">
        <v>18</v>
      </c>
      <c r="Q383" s="52" t="str">
        <f>$Q$6</f>
        <v>Sebastián</v>
      </c>
      <c r="R383" s="51">
        <f t="shared" ref="R383:AC383" si="91">$AE6*R60</f>
        <v>13</v>
      </c>
      <c r="S383" s="51">
        <f t="shared" si="91"/>
        <v>13</v>
      </c>
      <c r="T383" s="51">
        <f t="shared" si="91"/>
        <v>13</v>
      </c>
      <c r="U383" s="51">
        <f t="shared" si="91"/>
        <v>13</v>
      </c>
      <c r="V383" s="51">
        <f t="shared" si="91"/>
        <v>13</v>
      </c>
      <c r="W383" s="51">
        <f t="shared" si="91"/>
        <v>13</v>
      </c>
      <c r="X383" s="51">
        <f t="shared" si="91"/>
        <v>13</v>
      </c>
      <c r="Y383" s="51">
        <f t="shared" si="91"/>
        <v>13</v>
      </c>
      <c r="Z383" s="51">
        <f t="shared" si="91"/>
        <v>13</v>
      </c>
      <c r="AA383" s="51">
        <f t="shared" si="91"/>
        <v>13</v>
      </c>
      <c r="AB383" s="51">
        <f t="shared" si="91"/>
        <v>13</v>
      </c>
      <c r="AC383" s="51">
        <f t="shared" si="91"/>
        <v>13</v>
      </c>
    </row>
    <row r="384" spans="2:30" ht="15.6" x14ac:dyDescent="0.55000000000000004">
      <c r="C384" s="52" t="str">
        <f>$Q$7</f>
        <v>Marcos</v>
      </c>
      <c r="D384" s="51">
        <f t="shared" si="76"/>
        <v>1</v>
      </c>
      <c r="E384" s="51">
        <f t="shared" si="77"/>
        <v>1</v>
      </c>
      <c r="F384" s="51">
        <f t="shared" si="78"/>
        <v>1</v>
      </c>
      <c r="G384" s="51">
        <f t="shared" si="79"/>
        <v>1</v>
      </c>
      <c r="H384" s="51">
        <f t="shared" si="80"/>
        <v>0</v>
      </c>
      <c r="I384" s="51">
        <f>SUM(C142:O142)</f>
        <v>1</v>
      </c>
      <c r="J384" s="51">
        <f t="shared" si="82"/>
        <v>0</v>
      </c>
      <c r="K384" s="51">
        <f t="shared" si="83"/>
        <v>1</v>
      </c>
      <c r="L384" s="51">
        <f t="shared" si="84"/>
        <v>1</v>
      </c>
      <c r="M384" s="51">
        <f t="shared" si="85"/>
        <v>0</v>
      </c>
      <c r="N384" s="51">
        <f t="shared" si="86"/>
        <v>1</v>
      </c>
      <c r="O384" s="51">
        <f t="shared" si="87"/>
        <v>5</v>
      </c>
      <c r="P384" s="28" t="s">
        <v>18</v>
      </c>
      <c r="Q384" s="52" t="str">
        <f>$Q$7</f>
        <v>Marcos</v>
      </c>
      <c r="R384" s="51">
        <f t="shared" ref="R384:AC384" si="92">$AE7*R61</f>
        <v>13</v>
      </c>
      <c r="S384" s="51">
        <f t="shared" si="92"/>
        <v>13</v>
      </c>
      <c r="T384" s="51">
        <f t="shared" si="92"/>
        <v>13</v>
      </c>
      <c r="U384" s="51">
        <f t="shared" si="92"/>
        <v>13</v>
      </c>
      <c r="V384" s="51">
        <f t="shared" si="92"/>
        <v>13</v>
      </c>
      <c r="W384" s="51">
        <f t="shared" si="92"/>
        <v>13</v>
      </c>
      <c r="X384" s="51">
        <f t="shared" si="92"/>
        <v>13</v>
      </c>
      <c r="Y384" s="51">
        <f t="shared" si="92"/>
        <v>13</v>
      </c>
      <c r="Z384" s="51">
        <f t="shared" si="92"/>
        <v>13</v>
      </c>
      <c r="AA384" s="51">
        <f t="shared" si="92"/>
        <v>13</v>
      </c>
      <c r="AB384" s="51">
        <f t="shared" si="92"/>
        <v>13</v>
      </c>
      <c r="AC384" s="51">
        <f t="shared" si="92"/>
        <v>13</v>
      </c>
    </row>
    <row r="385" spans="3:29" ht="15.6" x14ac:dyDescent="0.55000000000000004">
      <c r="C385" s="52" t="str">
        <f>$Q$8</f>
        <v>Weixin</v>
      </c>
      <c r="D385" s="51">
        <f t="shared" si="76"/>
        <v>0</v>
      </c>
      <c r="E385" s="51">
        <f t="shared" si="77"/>
        <v>1</v>
      </c>
      <c r="F385" s="51">
        <f t="shared" si="78"/>
        <v>2</v>
      </c>
      <c r="G385" s="51">
        <f t="shared" si="79"/>
        <v>0</v>
      </c>
      <c r="H385" s="51">
        <f t="shared" si="80"/>
        <v>0</v>
      </c>
      <c r="I385" s="51">
        <f t="shared" si="81"/>
        <v>1</v>
      </c>
      <c r="J385" s="51">
        <f t="shared" si="82"/>
        <v>1</v>
      </c>
      <c r="K385" s="51">
        <f t="shared" si="83"/>
        <v>1</v>
      </c>
      <c r="L385" s="51">
        <f t="shared" si="84"/>
        <v>1</v>
      </c>
      <c r="M385" s="51">
        <f t="shared" si="85"/>
        <v>1</v>
      </c>
      <c r="N385" s="51">
        <f t="shared" si="86"/>
        <v>0</v>
      </c>
      <c r="O385" s="51">
        <f t="shared" si="87"/>
        <v>5</v>
      </c>
      <c r="P385" s="28" t="s">
        <v>18</v>
      </c>
      <c r="Q385" s="52" t="str">
        <f>$Q$8</f>
        <v>Weixin</v>
      </c>
      <c r="R385" s="51">
        <f t="shared" ref="R385:AC385" si="93">$AE8*R62</f>
        <v>13</v>
      </c>
      <c r="S385" s="51">
        <f t="shared" si="93"/>
        <v>13</v>
      </c>
      <c r="T385" s="51">
        <f t="shared" si="93"/>
        <v>13</v>
      </c>
      <c r="U385" s="51">
        <f t="shared" si="93"/>
        <v>13</v>
      </c>
      <c r="V385" s="51">
        <f t="shared" si="93"/>
        <v>13</v>
      </c>
      <c r="W385" s="51">
        <f t="shared" si="93"/>
        <v>13</v>
      </c>
      <c r="X385" s="51">
        <f t="shared" si="93"/>
        <v>13</v>
      </c>
      <c r="Y385" s="51">
        <f t="shared" si="93"/>
        <v>13</v>
      </c>
      <c r="Z385" s="51">
        <f t="shared" si="93"/>
        <v>13</v>
      </c>
      <c r="AA385" s="51">
        <f t="shared" si="93"/>
        <v>13</v>
      </c>
      <c r="AB385" s="51">
        <f t="shared" si="93"/>
        <v>13</v>
      </c>
      <c r="AC385" s="51">
        <f t="shared" si="93"/>
        <v>13</v>
      </c>
    </row>
    <row r="386" spans="3:29" ht="15.6" x14ac:dyDescent="0.55000000000000004">
      <c r="C386" s="52" t="str">
        <f>$Q$9</f>
        <v>Benjamin</v>
      </c>
      <c r="D386" s="51">
        <f t="shared" si="76"/>
        <v>1</v>
      </c>
      <c r="E386" s="51">
        <f t="shared" si="77"/>
        <v>1</v>
      </c>
      <c r="F386" s="51">
        <f t="shared" si="78"/>
        <v>2</v>
      </c>
      <c r="G386" s="51">
        <f t="shared" si="79"/>
        <v>1</v>
      </c>
      <c r="H386" s="51">
        <f t="shared" si="80"/>
        <v>0</v>
      </c>
      <c r="I386" s="51">
        <f t="shared" si="81"/>
        <v>0</v>
      </c>
      <c r="J386" s="51">
        <f t="shared" si="82"/>
        <v>1</v>
      </c>
      <c r="K386" s="51">
        <f t="shared" si="83"/>
        <v>1</v>
      </c>
      <c r="L386" s="51">
        <f t="shared" si="84"/>
        <v>0</v>
      </c>
      <c r="M386" s="51">
        <f t="shared" si="85"/>
        <v>0</v>
      </c>
      <c r="N386" s="51">
        <f t="shared" si="86"/>
        <v>1</v>
      </c>
      <c r="O386" s="51">
        <f t="shared" si="87"/>
        <v>5</v>
      </c>
      <c r="P386" s="28" t="s">
        <v>18</v>
      </c>
      <c r="Q386" s="52" t="str">
        <f>$Q$9</f>
        <v>Benjamin</v>
      </c>
      <c r="R386" s="51">
        <f t="shared" ref="R386:AC386" si="94">$AE9*R63</f>
        <v>13</v>
      </c>
      <c r="S386" s="51">
        <f t="shared" si="94"/>
        <v>13</v>
      </c>
      <c r="T386" s="51">
        <f t="shared" si="94"/>
        <v>13</v>
      </c>
      <c r="U386" s="51">
        <f t="shared" si="94"/>
        <v>13</v>
      </c>
      <c r="V386" s="51">
        <f t="shared" si="94"/>
        <v>13</v>
      </c>
      <c r="W386" s="51">
        <f t="shared" si="94"/>
        <v>13</v>
      </c>
      <c r="X386" s="51">
        <f t="shared" si="94"/>
        <v>13</v>
      </c>
      <c r="Y386" s="51">
        <f t="shared" si="94"/>
        <v>13</v>
      </c>
      <c r="Z386" s="51">
        <f t="shared" si="94"/>
        <v>13</v>
      </c>
      <c r="AA386" s="51">
        <f t="shared" si="94"/>
        <v>13</v>
      </c>
      <c r="AB386" s="51">
        <f t="shared" si="94"/>
        <v>13</v>
      </c>
      <c r="AC386" s="51">
        <f t="shared" si="94"/>
        <v>13</v>
      </c>
    </row>
    <row r="387" spans="3:29" ht="15.6" x14ac:dyDescent="0.55000000000000004">
      <c r="C387" s="52" t="str">
        <f>$Q$10</f>
        <v>Joelle</v>
      </c>
      <c r="D387" s="51">
        <f t="shared" si="76"/>
        <v>1</v>
      </c>
      <c r="E387" s="51">
        <f t="shared" si="77"/>
        <v>0</v>
      </c>
      <c r="F387" s="51">
        <f t="shared" si="78"/>
        <v>0</v>
      </c>
      <c r="G387" s="51">
        <f t="shared" si="79"/>
        <v>0</v>
      </c>
      <c r="H387" s="51">
        <f t="shared" si="80"/>
        <v>1</v>
      </c>
      <c r="I387" s="51">
        <f t="shared" si="81"/>
        <v>3</v>
      </c>
      <c r="J387" s="51">
        <f t="shared" si="82"/>
        <v>2</v>
      </c>
      <c r="K387" s="51">
        <f t="shared" si="83"/>
        <v>0</v>
      </c>
      <c r="L387" s="51">
        <f t="shared" si="84"/>
        <v>0</v>
      </c>
      <c r="M387" s="51">
        <f t="shared" si="85"/>
        <v>1</v>
      </c>
      <c r="N387" s="51">
        <f t="shared" si="86"/>
        <v>0</v>
      </c>
      <c r="O387" s="51">
        <f t="shared" si="87"/>
        <v>5</v>
      </c>
      <c r="P387" s="28" t="s">
        <v>18</v>
      </c>
      <c r="Q387" s="52" t="str">
        <f>$Q$10</f>
        <v>Joelle</v>
      </c>
      <c r="R387" s="51">
        <f t="shared" ref="R387:AC387" si="95">$AE10*R64</f>
        <v>13</v>
      </c>
      <c r="S387" s="51">
        <f t="shared" si="95"/>
        <v>13</v>
      </c>
      <c r="T387" s="51">
        <f t="shared" si="95"/>
        <v>13</v>
      </c>
      <c r="U387" s="51">
        <f t="shared" si="95"/>
        <v>13</v>
      </c>
      <c r="V387" s="51">
        <f t="shared" si="95"/>
        <v>13</v>
      </c>
      <c r="W387" s="51">
        <f t="shared" si="95"/>
        <v>13</v>
      </c>
      <c r="X387" s="51">
        <f t="shared" si="95"/>
        <v>13</v>
      </c>
      <c r="Y387" s="51">
        <f t="shared" si="95"/>
        <v>13</v>
      </c>
      <c r="Z387" s="51">
        <f t="shared" si="95"/>
        <v>13</v>
      </c>
      <c r="AA387" s="51">
        <f t="shared" si="95"/>
        <v>13</v>
      </c>
      <c r="AB387" s="51">
        <f t="shared" si="95"/>
        <v>13</v>
      </c>
      <c r="AC387" s="51">
        <f t="shared" si="95"/>
        <v>13</v>
      </c>
    </row>
    <row r="388" spans="3:29" ht="15.6" x14ac:dyDescent="0.55000000000000004">
      <c r="C388" s="52" t="str">
        <f>$Q$11</f>
        <v>Alexia</v>
      </c>
      <c r="D388" s="51">
        <f t="shared" si="76"/>
        <v>0</v>
      </c>
      <c r="E388" s="51">
        <f t="shared" si="77"/>
        <v>1</v>
      </c>
      <c r="F388" s="51">
        <f t="shared" si="78"/>
        <v>2</v>
      </c>
      <c r="G388" s="51">
        <f t="shared" si="79"/>
        <v>1</v>
      </c>
      <c r="H388" s="51">
        <f t="shared" si="80"/>
        <v>0</v>
      </c>
      <c r="I388" s="51">
        <f t="shared" si="81"/>
        <v>1</v>
      </c>
      <c r="J388" s="51">
        <f t="shared" si="82"/>
        <v>2</v>
      </c>
      <c r="K388" s="51">
        <f t="shared" si="83"/>
        <v>0</v>
      </c>
      <c r="L388" s="51">
        <f t="shared" si="84"/>
        <v>0</v>
      </c>
      <c r="M388" s="51">
        <f t="shared" si="85"/>
        <v>1</v>
      </c>
      <c r="N388" s="51">
        <f t="shared" si="86"/>
        <v>0</v>
      </c>
      <c r="O388" s="51">
        <f t="shared" si="87"/>
        <v>5</v>
      </c>
      <c r="P388" s="28" t="s">
        <v>18</v>
      </c>
      <c r="Q388" s="52" t="str">
        <f>$Q$11</f>
        <v>Alexia</v>
      </c>
      <c r="R388" s="51">
        <f t="shared" ref="R388:AC388" si="96">$AE11*R65</f>
        <v>13</v>
      </c>
      <c r="S388" s="51">
        <f t="shared" si="96"/>
        <v>13</v>
      </c>
      <c r="T388" s="51">
        <f t="shared" si="96"/>
        <v>13</v>
      </c>
      <c r="U388" s="51">
        <f t="shared" si="96"/>
        <v>13</v>
      </c>
      <c r="V388" s="51">
        <f t="shared" si="96"/>
        <v>13</v>
      </c>
      <c r="W388" s="51">
        <f t="shared" si="96"/>
        <v>13</v>
      </c>
      <c r="X388" s="51">
        <f t="shared" si="96"/>
        <v>13</v>
      </c>
      <c r="Y388" s="51">
        <f t="shared" si="96"/>
        <v>13</v>
      </c>
      <c r="Z388" s="51">
        <f t="shared" si="96"/>
        <v>13</v>
      </c>
      <c r="AA388" s="51">
        <f t="shared" si="96"/>
        <v>13</v>
      </c>
      <c r="AB388" s="51">
        <f t="shared" si="96"/>
        <v>13</v>
      </c>
      <c r="AC388" s="51">
        <f t="shared" si="96"/>
        <v>13</v>
      </c>
    </row>
    <row r="389" spans="3:29" ht="15.6" x14ac:dyDescent="0.55000000000000004">
      <c r="C389" s="52" t="str">
        <f>$Q$12</f>
        <v>Joao</v>
      </c>
      <c r="D389" s="51">
        <f t="shared" si="76"/>
        <v>0</v>
      </c>
      <c r="E389" s="51">
        <f t="shared" si="77"/>
        <v>0</v>
      </c>
      <c r="F389" s="51">
        <f t="shared" si="78"/>
        <v>1</v>
      </c>
      <c r="G389" s="51">
        <f t="shared" si="79"/>
        <v>0</v>
      </c>
      <c r="H389" s="51">
        <f t="shared" si="80"/>
        <v>1</v>
      </c>
      <c r="I389" s="51">
        <f t="shared" si="81"/>
        <v>1</v>
      </c>
      <c r="J389" s="51">
        <f t="shared" si="82"/>
        <v>1</v>
      </c>
      <c r="K389" s="51">
        <f t="shared" si="83"/>
        <v>2</v>
      </c>
      <c r="L389" s="51">
        <f t="shared" si="84"/>
        <v>1</v>
      </c>
      <c r="M389" s="51">
        <f t="shared" si="85"/>
        <v>1</v>
      </c>
      <c r="N389" s="51">
        <f t="shared" si="86"/>
        <v>0</v>
      </c>
      <c r="O389" s="51">
        <f t="shared" si="87"/>
        <v>5</v>
      </c>
      <c r="P389" s="28" t="s">
        <v>18</v>
      </c>
      <c r="Q389" s="52" t="str">
        <f>$Q$12</f>
        <v>Joao</v>
      </c>
      <c r="R389" s="51">
        <f t="shared" ref="R389:AC389" si="97">$AE12*R66</f>
        <v>13</v>
      </c>
      <c r="S389" s="51">
        <f t="shared" si="97"/>
        <v>13</v>
      </c>
      <c r="T389" s="51">
        <f t="shared" si="97"/>
        <v>13</v>
      </c>
      <c r="U389" s="51">
        <f t="shared" si="97"/>
        <v>13</v>
      </c>
      <c r="V389" s="51">
        <f t="shared" si="97"/>
        <v>13</v>
      </c>
      <c r="W389" s="51">
        <f t="shared" si="97"/>
        <v>13</v>
      </c>
      <c r="X389" s="51">
        <f t="shared" si="97"/>
        <v>13</v>
      </c>
      <c r="Y389" s="51">
        <f t="shared" si="97"/>
        <v>13</v>
      </c>
      <c r="Z389" s="51">
        <f t="shared" si="97"/>
        <v>13</v>
      </c>
      <c r="AA389" s="51">
        <f t="shared" si="97"/>
        <v>13</v>
      </c>
      <c r="AB389" s="51">
        <f t="shared" si="97"/>
        <v>13</v>
      </c>
      <c r="AC389" s="51">
        <f t="shared" si="97"/>
        <v>13</v>
      </c>
    </row>
    <row r="390" spans="3:29" ht="15.6" x14ac:dyDescent="0.55000000000000004">
      <c r="C390" s="57" t="str">
        <f>$Q$13</f>
        <v>Maxime</v>
      </c>
      <c r="D390" s="51">
        <f t="shared" si="76"/>
        <v>1</v>
      </c>
      <c r="E390" s="51">
        <f t="shared" si="77"/>
        <v>0</v>
      </c>
      <c r="F390" s="51">
        <f t="shared" si="78"/>
        <v>2</v>
      </c>
      <c r="G390" s="51">
        <f t="shared" si="79"/>
        <v>1</v>
      </c>
      <c r="H390" s="51">
        <f t="shared" si="80"/>
        <v>1</v>
      </c>
      <c r="I390" s="51">
        <f t="shared" si="81"/>
        <v>1</v>
      </c>
      <c r="J390" s="51">
        <f t="shared" si="82"/>
        <v>0</v>
      </c>
      <c r="K390" s="51">
        <f t="shared" si="83"/>
        <v>1</v>
      </c>
      <c r="L390" s="51">
        <f t="shared" si="84"/>
        <v>0</v>
      </c>
      <c r="M390" s="51">
        <f t="shared" si="85"/>
        <v>0</v>
      </c>
      <c r="N390" s="51">
        <f t="shared" si="86"/>
        <v>1</v>
      </c>
      <c r="O390" s="51">
        <f t="shared" si="87"/>
        <v>5</v>
      </c>
      <c r="P390" s="28" t="s">
        <v>18</v>
      </c>
      <c r="Q390" s="57" t="str">
        <f>$Q$13</f>
        <v>Maxime</v>
      </c>
      <c r="R390" s="51">
        <f t="shared" ref="R390:AC390" si="98">$AE13*R67</f>
        <v>13</v>
      </c>
      <c r="S390" s="51">
        <f t="shared" si="98"/>
        <v>13</v>
      </c>
      <c r="T390" s="51">
        <f t="shared" si="98"/>
        <v>13</v>
      </c>
      <c r="U390" s="51">
        <f t="shared" si="98"/>
        <v>13</v>
      </c>
      <c r="V390" s="51">
        <f t="shared" si="98"/>
        <v>13</v>
      </c>
      <c r="W390" s="51">
        <f t="shared" si="98"/>
        <v>13</v>
      </c>
      <c r="X390" s="51">
        <f t="shared" si="98"/>
        <v>13</v>
      </c>
      <c r="Y390" s="51">
        <f t="shared" si="98"/>
        <v>13</v>
      </c>
      <c r="Z390" s="51">
        <f t="shared" si="98"/>
        <v>13</v>
      </c>
      <c r="AA390" s="51">
        <f t="shared" si="98"/>
        <v>13</v>
      </c>
      <c r="AB390" s="51">
        <f t="shared" si="98"/>
        <v>13</v>
      </c>
      <c r="AC390" s="51">
        <f t="shared" si="98"/>
        <v>13</v>
      </c>
    </row>
    <row r="391" spans="3:29" ht="15.6" x14ac:dyDescent="0.55000000000000004">
      <c r="C391" s="46" t="str">
        <f>$Q$14</f>
        <v>Alex</v>
      </c>
      <c r="D391" s="51">
        <f t="shared" si="76"/>
        <v>1</v>
      </c>
      <c r="E391" s="51">
        <f t="shared" si="77"/>
        <v>0</v>
      </c>
      <c r="F391" s="51">
        <f t="shared" si="78"/>
        <v>1</v>
      </c>
      <c r="G391" s="51">
        <f t="shared" si="79"/>
        <v>1</v>
      </c>
      <c r="H391" s="51">
        <f t="shared" si="80"/>
        <v>0</v>
      </c>
      <c r="I391" s="51">
        <f t="shared" si="81"/>
        <v>2</v>
      </c>
      <c r="J391" s="51">
        <f t="shared" si="82"/>
        <v>0</v>
      </c>
      <c r="K391" s="51">
        <f t="shared" si="83"/>
        <v>0</v>
      </c>
      <c r="L391" s="51">
        <f t="shared" si="84"/>
        <v>1</v>
      </c>
      <c r="M391" s="51">
        <f t="shared" si="85"/>
        <v>1</v>
      </c>
      <c r="N391" s="51">
        <f t="shared" si="86"/>
        <v>1</v>
      </c>
      <c r="O391" s="51">
        <f t="shared" si="87"/>
        <v>5</v>
      </c>
      <c r="P391" s="28" t="s">
        <v>18</v>
      </c>
      <c r="Q391" s="46" t="str">
        <f>$Q$14</f>
        <v>Alex</v>
      </c>
      <c r="R391" s="51">
        <f t="shared" ref="R391:AC391" si="99">$AE14*R68</f>
        <v>13</v>
      </c>
      <c r="S391" s="51">
        <f t="shared" si="99"/>
        <v>13</v>
      </c>
      <c r="T391" s="51">
        <f t="shared" si="99"/>
        <v>13</v>
      </c>
      <c r="U391" s="51">
        <f t="shared" si="99"/>
        <v>13</v>
      </c>
      <c r="V391" s="51">
        <f t="shared" si="99"/>
        <v>13</v>
      </c>
      <c r="W391" s="51">
        <f t="shared" si="99"/>
        <v>13</v>
      </c>
      <c r="X391" s="51">
        <f t="shared" si="99"/>
        <v>13</v>
      </c>
      <c r="Y391" s="51">
        <f t="shared" si="99"/>
        <v>13</v>
      </c>
      <c r="Z391" s="51">
        <f t="shared" si="99"/>
        <v>13</v>
      </c>
      <c r="AA391" s="51">
        <f t="shared" si="99"/>
        <v>13</v>
      </c>
      <c r="AB391" s="51">
        <f t="shared" si="99"/>
        <v>13</v>
      </c>
      <c r="AC391" s="51">
        <f t="shared" si="99"/>
        <v>13</v>
      </c>
    </row>
    <row r="392" spans="3:29" ht="15.6" x14ac:dyDescent="0.55000000000000004">
      <c r="C392" s="52" t="str">
        <f>$Q$15</f>
        <v>Alyssa</v>
      </c>
      <c r="D392" s="51">
        <f t="shared" si="76"/>
        <v>0</v>
      </c>
      <c r="E392" s="51">
        <f t="shared" si="77"/>
        <v>2</v>
      </c>
      <c r="F392" s="51">
        <f t="shared" si="78"/>
        <v>2</v>
      </c>
      <c r="G392" s="51">
        <f t="shared" si="79"/>
        <v>1</v>
      </c>
      <c r="H392" s="51">
        <f t="shared" si="80"/>
        <v>0</v>
      </c>
      <c r="I392" s="51">
        <f t="shared" si="81"/>
        <v>0</v>
      </c>
      <c r="J392" s="51">
        <f t="shared" si="82"/>
        <v>1</v>
      </c>
      <c r="K392" s="51">
        <f t="shared" si="83"/>
        <v>0</v>
      </c>
      <c r="L392" s="51">
        <f t="shared" si="84"/>
        <v>0</v>
      </c>
      <c r="M392" s="51">
        <f t="shared" si="85"/>
        <v>2</v>
      </c>
      <c r="N392" s="51">
        <f t="shared" si="86"/>
        <v>0</v>
      </c>
      <c r="O392" s="51">
        <f t="shared" si="87"/>
        <v>5</v>
      </c>
      <c r="P392" s="28" t="s">
        <v>18</v>
      </c>
      <c r="Q392" s="52" t="str">
        <f>$Q$15</f>
        <v>Alyssa</v>
      </c>
      <c r="R392" s="51">
        <f t="shared" ref="R392:AC392" si="100">$AE15*R69</f>
        <v>13</v>
      </c>
      <c r="S392" s="51">
        <f t="shared" si="100"/>
        <v>13</v>
      </c>
      <c r="T392" s="51">
        <f t="shared" si="100"/>
        <v>13</v>
      </c>
      <c r="U392" s="51">
        <f t="shared" si="100"/>
        <v>13</v>
      </c>
      <c r="V392" s="51">
        <f t="shared" si="100"/>
        <v>13</v>
      </c>
      <c r="W392" s="51">
        <f t="shared" si="100"/>
        <v>13</v>
      </c>
      <c r="X392" s="51">
        <f t="shared" si="100"/>
        <v>13</v>
      </c>
      <c r="Y392" s="51">
        <f t="shared" si="100"/>
        <v>13</v>
      </c>
      <c r="Z392" s="51">
        <f t="shared" si="100"/>
        <v>13</v>
      </c>
      <c r="AA392" s="51">
        <f t="shared" si="100"/>
        <v>13</v>
      </c>
      <c r="AB392" s="51">
        <f t="shared" si="100"/>
        <v>13</v>
      </c>
      <c r="AC392" s="51">
        <f t="shared" si="100"/>
        <v>13</v>
      </c>
    </row>
    <row r="393" spans="3:29" ht="15.6" x14ac:dyDescent="0.55000000000000004">
      <c r="C393" s="52" t="str">
        <f>$Q$16</f>
        <v>Amanda</v>
      </c>
      <c r="D393" s="51">
        <f t="shared" si="76"/>
        <v>0</v>
      </c>
      <c r="E393" s="51">
        <f t="shared" si="77"/>
        <v>0</v>
      </c>
      <c r="F393" s="51">
        <f t="shared" si="78"/>
        <v>2</v>
      </c>
      <c r="G393" s="51">
        <f t="shared" si="79"/>
        <v>0</v>
      </c>
      <c r="H393" s="51">
        <f t="shared" si="80"/>
        <v>0</v>
      </c>
      <c r="I393" s="51">
        <f t="shared" si="81"/>
        <v>3</v>
      </c>
      <c r="J393" s="51">
        <f t="shared" si="82"/>
        <v>2</v>
      </c>
      <c r="K393" s="51">
        <f t="shared" si="83"/>
        <v>0</v>
      </c>
      <c r="L393" s="51">
        <f t="shared" si="84"/>
        <v>0</v>
      </c>
      <c r="M393" s="51">
        <f t="shared" si="85"/>
        <v>1</v>
      </c>
      <c r="N393" s="51">
        <f t="shared" si="86"/>
        <v>0</v>
      </c>
      <c r="O393" s="51">
        <f t="shared" si="87"/>
        <v>5</v>
      </c>
      <c r="P393" s="28" t="s">
        <v>18</v>
      </c>
      <c r="Q393" s="52" t="str">
        <f>$Q$16</f>
        <v>Amanda</v>
      </c>
      <c r="R393" s="51">
        <f t="shared" ref="R393:AC393" si="101">$AE16*R70</f>
        <v>13</v>
      </c>
      <c r="S393" s="51">
        <f t="shared" si="101"/>
        <v>13</v>
      </c>
      <c r="T393" s="51">
        <f t="shared" si="101"/>
        <v>13</v>
      </c>
      <c r="U393" s="51">
        <f t="shared" si="101"/>
        <v>13</v>
      </c>
      <c r="V393" s="51">
        <f t="shared" si="101"/>
        <v>13</v>
      </c>
      <c r="W393" s="51">
        <f t="shared" si="101"/>
        <v>13</v>
      </c>
      <c r="X393" s="51">
        <f t="shared" si="101"/>
        <v>13</v>
      </c>
      <c r="Y393" s="51">
        <f t="shared" si="101"/>
        <v>13</v>
      </c>
      <c r="Z393" s="51">
        <f t="shared" si="101"/>
        <v>13</v>
      </c>
      <c r="AA393" s="51">
        <f t="shared" si="101"/>
        <v>13</v>
      </c>
      <c r="AB393" s="51">
        <f t="shared" si="101"/>
        <v>13</v>
      </c>
      <c r="AC393" s="51">
        <f t="shared" si="101"/>
        <v>13</v>
      </c>
    </row>
    <row r="394" spans="3:29" ht="15.6" x14ac:dyDescent="0.55000000000000004">
      <c r="C394" s="52" t="str">
        <f>$Q$17</f>
        <v>Antoine</v>
      </c>
      <c r="D394" s="51">
        <f t="shared" si="76"/>
        <v>1</v>
      </c>
      <c r="E394" s="51">
        <f t="shared" si="77"/>
        <v>1</v>
      </c>
      <c r="F394" s="51">
        <f t="shared" si="78"/>
        <v>0</v>
      </c>
      <c r="G394" s="51">
        <f t="shared" si="79"/>
        <v>0</v>
      </c>
      <c r="H394" s="51">
        <f t="shared" si="80"/>
        <v>1</v>
      </c>
      <c r="I394" s="51">
        <f t="shared" si="81"/>
        <v>0</v>
      </c>
      <c r="J394" s="51">
        <f t="shared" si="82"/>
        <v>0</v>
      </c>
      <c r="K394" s="51">
        <f t="shared" si="83"/>
        <v>2</v>
      </c>
      <c r="L394" s="51">
        <f t="shared" si="84"/>
        <v>1</v>
      </c>
      <c r="M394" s="51">
        <f t="shared" si="85"/>
        <v>1</v>
      </c>
      <c r="N394" s="51">
        <f t="shared" si="86"/>
        <v>1</v>
      </c>
      <c r="O394" s="51">
        <f t="shared" si="87"/>
        <v>5</v>
      </c>
      <c r="P394" s="28" t="s">
        <v>18</v>
      </c>
      <c r="Q394" s="52" t="str">
        <f>$Q$17</f>
        <v>Antoine</v>
      </c>
      <c r="R394" s="51">
        <f t="shared" ref="R394:AC394" si="102">$AE17*R71</f>
        <v>13</v>
      </c>
      <c r="S394" s="51">
        <f t="shared" si="102"/>
        <v>13</v>
      </c>
      <c r="T394" s="51">
        <f t="shared" si="102"/>
        <v>13</v>
      </c>
      <c r="U394" s="51">
        <f t="shared" si="102"/>
        <v>13</v>
      </c>
      <c r="V394" s="51">
        <f t="shared" si="102"/>
        <v>13</v>
      </c>
      <c r="W394" s="51">
        <f t="shared" si="102"/>
        <v>13</v>
      </c>
      <c r="X394" s="51">
        <f t="shared" si="102"/>
        <v>13</v>
      </c>
      <c r="Y394" s="51">
        <f t="shared" si="102"/>
        <v>13</v>
      </c>
      <c r="Z394" s="51">
        <f t="shared" si="102"/>
        <v>13</v>
      </c>
      <c r="AA394" s="51">
        <f t="shared" si="102"/>
        <v>13</v>
      </c>
      <c r="AB394" s="51">
        <f t="shared" si="102"/>
        <v>13</v>
      </c>
      <c r="AC394" s="51">
        <f t="shared" si="102"/>
        <v>13</v>
      </c>
    </row>
    <row r="395" spans="3:29" ht="15.6" x14ac:dyDescent="0.55000000000000004">
      <c r="C395" s="52" t="str">
        <f>$Q$18</f>
        <v>Beatriz</v>
      </c>
      <c r="D395" s="51">
        <f t="shared" si="76"/>
        <v>1</v>
      </c>
      <c r="E395" s="51">
        <f t="shared" si="77"/>
        <v>1</v>
      </c>
      <c r="F395" s="51">
        <f t="shared" si="78"/>
        <v>1</v>
      </c>
      <c r="G395" s="51">
        <f t="shared" si="79"/>
        <v>0</v>
      </c>
      <c r="H395" s="51">
        <f t="shared" si="80"/>
        <v>0</v>
      </c>
      <c r="I395" s="51">
        <f t="shared" si="81"/>
        <v>3</v>
      </c>
      <c r="J395" s="51">
        <f t="shared" si="82"/>
        <v>0</v>
      </c>
      <c r="K395" s="51">
        <f t="shared" si="83"/>
        <v>0</v>
      </c>
      <c r="L395" s="51">
        <f t="shared" si="84"/>
        <v>0</v>
      </c>
      <c r="M395" s="51">
        <f t="shared" si="85"/>
        <v>2</v>
      </c>
      <c r="N395" s="51">
        <f t="shared" si="86"/>
        <v>0</v>
      </c>
      <c r="O395" s="51">
        <f t="shared" si="87"/>
        <v>5</v>
      </c>
      <c r="P395" s="28" t="s">
        <v>18</v>
      </c>
      <c r="Q395" s="52" t="str">
        <f>$Q$18</f>
        <v>Beatriz</v>
      </c>
      <c r="R395" s="51">
        <f t="shared" ref="R395:AC395" si="103">$AE18*R72</f>
        <v>13</v>
      </c>
      <c r="S395" s="51">
        <f t="shared" si="103"/>
        <v>13</v>
      </c>
      <c r="T395" s="51">
        <f t="shared" si="103"/>
        <v>13</v>
      </c>
      <c r="U395" s="51">
        <f t="shared" si="103"/>
        <v>13</v>
      </c>
      <c r="V395" s="51">
        <f t="shared" si="103"/>
        <v>13</v>
      </c>
      <c r="W395" s="51">
        <f t="shared" si="103"/>
        <v>13</v>
      </c>
      <c r="X395" s="51">
        <f t="shared" si="103"/>
        <v>13</v>
      </c>
      <c r="Y395" s="51">
        <f t="shared" si="103"/>
        <v>13</v>
      </c>
      <c r="Z395" s="51">
        <f t="shared" si="103"/>
        <v>13</v>
      </c>
      <c r="AA395" s="51">
        <f t="shared" si="103"/>
        <v>13</v>
      </c>
      <c r="AB395" s="51">
        <f t="shared" si="103"/>
        <v>13</v>
      </c>
      <c r="AC395" s="51">
        <f t="shared" si="103"/>
        <v>13</v>
      </c>
    </row>
    <row r="396" spans="3:29" ht="15.6" x14ac:dyDescent="0.55000000000000004">
      <c r="C396" s="52" t="str">
        <f>$Q$19</f>
        <v>Charelle</v>
      </c>
      <c r="D396" s="51">
        <f t="shared" si="76"/>
        <v>0</v>
      </c>
      <c r="E396" s="51">
        <f t="shared" si="77"/>
        <v>0</v>
      </c>
      <c r="F396" s="51">
        <f t="shared" si="78"/>
        <v>4</v>
      </c>
      <c r="G396" s="51">
        <f t="shared" si="79"/>
        <v>0</v>
      </c>
      <c r="H396" s="51">
        <f t="shared" si="80"/>
        <v>0</v>
      </c>
      <c r="I396" s="51">
        <f t="shared" si="81"/>
        <v>1</v>
      </c>
      <c r="J396" s="51">
        <f t="shared" si="82"/>
        <v>1</v>
      </c>
      <c r="K396" s="51">
        <f t="shared" si="83"/>
        <v>0</v>
      </c>
      <c r="L396" s="51">
        <f t="shared" si="84"/>
        <v>1</v>
      </c>
      <c r="M396" s="51">
        <f t="shared" si="85"/>
        <v>0</v>
      </c>
      <c r="N396" s="51">
        <f t="shared" si="86"/>
        <v>1</v>
      </c>
      <c r="O396" s="51">
        <f t="shared" si="87"/>
        <v>5</v>
      </c>
      <c r="P396" s="28" t="s">
        <v>18</v>
      </c>
      <c r="Q396" s="52" t="str">
        <f>$Q$19</f>
        <v>Charelle</v>
      </c>
      <c r="R396" s="51">
        <f t="shared" ref="R396:AC396" si="104">$AE19*R73</f>
        <v>13</v>
      </c>
      <c r="S396" s="51">
        <f t="shared" si="104"/>
        <v>13</v>
      </c>
      <c r="T396" s="51">
        <f t="shared" si="104"/>
        <v>13</v>
      </c>
      <c r="U396" s="51">
        <f t="shared" si="104"/>
        <v>13</v>
      </c>
      <c r="V396" s="51">
        <f t="shared" si="104"/>
        <v>13</v>
      </c>
      <c r="W396" s="51">
        <f t="shared" si="104"/>
        <v>13</v>
      </c>
      <c r="X396" s="51">
        <f t="shared" si="104"/>
        <v>13</v>
      </c>
      <c r="Y396" s="51">
        <f t="shared" si="104"/>
        <v>13</v>
      </c>
      <c r="Z396" s="51">
        <f t="shared" si="104"/>
        <v>13</v>
      </c>
      <c r="AA396" s="51">
        <f t="shared" si="104"/>
        <v>13</v>
      </c>
      <c r="AB396" s="51">
        <f t="shared" si="104"/>
        <v>13</v>
      </c>
      <c r="AC396" s="51">
        <f t="shared" si="104"/>
        <v>13</v>
      </c>
    </row>
    <row r="397" spans="3:29" ht="15.6" x14ac:dyDescent="0.55000000000000004">
      <c r="C397" s="52" t="str">
        <f>$Q$20</f>
        <v>Dimitri</v>
      </c>
      <c r="D397" s="51">
        <f t="shared" si="76"/>
        <v>1</v>
      </c>
      <c r="E397" s="51">
        <f t="shared" si="77"/>
        <v>2</v>
      </c>
      <c r="F397" s="51">
        <f t="shared" si="78"/>
        <v>1</v>
      </c>
      <c r="G397" s="51">
        <f t="shared" si="79"/>
        <v>0</v>
      </c>
      <c r="H397" s="51">
        <f t="shared" si="80"/>
        <v>1</v>
      </c>
      <c r="I397" s="51">
        <f t="shared" si="81"/>
        <v>1</v>
      </c>
      <c r="J397" s="51">
        <f t="shared" si="82"/>
        <v>0</v>
      </c>
      <c r="K397" s="51">
        <f t="shared" si="83"/>
        <v>0</v>
      </c>
      <c r="L397" s="51">
        <f t="shared" si="84"/>
        <v>1</v>
      </c>
      <c r="M397" s="51">
        <f t="shared" si="85"/>
        <v>1</v>
      </c>
      <c r="N397" s="51">
        <f t="shared" si="86"/>
        <v>0</v>
      </c>
      <c r="O397" s="51">
        <f t="shared" si="87"/>
        <v>5</v>
      </c>
      <c r="P397" s="28" t="s">
        <v>18</v>
      </c>
      <c r="Q397" s="52" t="str">
        <f>$Q$20</f>
        <v>Dimitri</v>
      </c>
      <c r="R397" s="51">
        <f t="shared" ref="R397:AC397" si="105">$AE20*R74</f>
        <v>13</v>
      </c>
      <c r="S397" s="51">
        <f t="shared" si="105"/>
        <v>13</v>
      </c>
      <c r="T397" s="51">
        <f t="shared" si="105"/>
        <v>13</v>
      </c>
      <c r="U397" s="51">
        <f t="shared" si="105"/>
        <v>13</v>
      </c>
      <c r="V397" s="51">
        <f t="shared" si="105"/>
        <v>13</v>
      </c>
      <c r="W397" s="51">
        <f t="shared" si="105"/>
        <v>13</v>
      </c>
      <c r="X397" s="51">
        <f t="shared" si="105"/>
        <v>13</v>
      </c>
      <c r="Y397" s="51">
        <f t="shared" si="105"/>
        <v>13</v>
      </c>
      <c r="Z397" s="51">
        <f t="shared" si="105"/>
        <v>13</v>
      </c>
      <c r="AA397" s="51">
        <f t="shared" si="105"/>
        <v>13</v>
      </c>
      <c r="AB397" s="51">
        <f t="shared" si="105"/>
        <v>13</v>
      </c>
      <c r="AC397" s="51">
        <f t="shared" si="105"/>
        <v>13</v>
      </c>
    </row>
    <row r="398" spans="3:29" ht="15.6" x14ac:dyDescent="0.55000000000000004">
      <c r="C398" s="52" t="str">
        <f>$Q$21</f>
        <v>Marina</v>
      </c>
      <c r="D398" s="51">
        <f t="shared" si="76"/>
        <v>0</v>
      </c>
      <c r="E398" s="51">
        <f t="shared" si="77"/>
        <v>1</v>
      </c>
      <c r="F398" s="51">
        <f t="shared" si="78"/>
        <v>1</v>
      </c>
      <c r="G398" s="51">
        <f t="shared" si="79"/>
        <v>1</v>
      </c>
      <c r="H398" s="51">
        <f t="shared" si="80"/>
        <v>0</v>
      </c>
      <c r="I398" s="51">
        <f t="shared" si="81"/>
        <v>2</v>
      </c>
      <c r="J398" s="51">
        <f t="shared" si="82"/>
        <v>2</v>
      </c>
      <c r="K398" s="51">
        <f t="shared" si="83"/>
        <v>0</v>
      </c>
      <c r="L398" s="51">
        <f t="shared" si="84"/>
        <v>0</v>
      </c>
      <c r="M398" s="51">
        <f t="shared" si="85"/>
        <v>0</v>
      </c>
      <c r="N398" s="51">
        <f t="shared" si="86"/>
        <v>1</v>
      </c>
      <c r="O398" s="51">
        <f t="shared" si="87"/>
        <v>5</v>
      </c>
      <c r="P398" s="28" t="s">
        <v>18</v>
      </c>
      <c r="Q398" s="52" t="str">
        <f>$Q$21</f>
        <v>Marina</v>
      </c>
      <c r="R398" s="51">
        <f t="shared" ref="R398:AC398" si="106">$AE21*R75</f>
        <v>13</v>
      </c>
      <c r="S398" s="51">
        <f t="shared" si="106"/>
        <v>13</v>
      </c>
      <c r="T398" s="51">
        <f t="shared" si="106"/>
        <v>13</v>
      </c>
      <c r="U398" s="51">
        <f t="shared" si="106"/>
        <v>13</v>
      </c>
      <c r="V398" s="51">
        <f t="shared" si="106"/>
        <v>13</v>
      </c>
      <c r="W398" s="51">
        <f t="shared" si="106"/>
        <v>13</v>
      </c>
      <c r="X398" s="51">
        <f t="shared" si="106"/>
        <v>13</v>
      </c>
      <c r="Y398" s="51">
        <f t="shared" si="106"/>
        <v>13</v>
      </c>
      <c r="Z398" s="51">
        <f t="shared" si="106"/>
        <v>13</v>
      </c>
      <c r="AA398" s="51">
        <f t="shared" si="106"/>
        <v>13</v>
      </c>
      <c r="AB398" s="51">
        <f t="shared" si="106"/>
        <v>13</v>
      </c>
      <c r="AC398" s="51">
        <f t="shared" si="106"/>
        <v>13</v>
      </c>
    </row>
    <row r="399" spans="3:29" ht="15.6" x14ac:dyDescent="0.55000000000000004">
      <c r="C399" s="52" t="str">
        <f>$Q$22</f>
        <v>Michel</v>
      </c>
      <c r="D399" s="51">
        <f t="shared" si="76"/>
        <v>0</v>
      </c>
      <c r="E399" s="51">
        <f t="shared" si="77"/>
        <v>1</v>
      </c>
      <c r="F399" s="51">
        <f t="shared" si="78"/>
        <v>1</v>
      </c>
      <c r="G399" s="51">
        <f t="shared" si="79"/>
        <v>1</v>
      </c>
      <c r="H399" s="51">
        <f t="shared" si="80"/>
        <v>0</v>
      </c>
      <c r="I399" s="51">
        <f t="shared" si="81"/>
        <v>2</v>
      </c>
      <c r="J399" s="51">
        <f t="shared" si="82"/>
        <v>1</v>
      </c>
      <c r="K399" s="51">
        <f t="shared" si="83"/>
        <v>0</v>
      </c>
      <c r="L399" s="51">
        <f t="shared" si="84"/>
        <v>0</v>
      </c>
      <c r="M399" s="51">
        <f t="shared" si="85"/>
        <v>2</v>
      </c>
      <c r="N399" s="51">
        <f t="shared" si="86"/>
        <v>0</v>
      </c>
      <c r="O399" s="51">
        <f t="shared" si="87"/>
        <v>5</v>
      </c>
      <c r="P399" s="28" t="s">
        <v>18</v>
      </c>
      <c r="Q399" s="52" t="str">
        <f>$Q$22</f>
        <v>Michel</v>
      </c>
      <c r="R399" s="51">
        <f t="shared" ref="R399:AC399" si="107">$AE22*R76</f>
        <v>13</v>
      </c>
      <c r="S399" s="51">
        <f t="shared" si="107"/>
        <v>13</v>
      </c>
      <c r="T399" s="51">
        <f t="shared" si="107"/>
        <v>13</v>
      </c>
      <c r="U399" s="51">
        <f t="shared" si="107"/>
        <v>13</v>
      </c>
      <c r="V399" s="51">
        <f t="shared" si="107"/>
        <v>13</v>
      </c>
      <c r="W399" s="51">
        <f t="shared" si="107"/>
        <v>13</v>
      </c>
      <c r="X399" s="51">
        <f t="shared" si="107"/>
        <v>13</v>
      </c>
      <c r="Y399" s="51">
        <f t="shared" si="107"/>
        <v>13</v>
      </c>
      <c r="Z399" s="51">
        <f t="shared" si="107"/>
        <v>13</v>
      </c>
      <c r="AA399" s="51">
        <f t="shared" si="107"/>
        <v>13</v>
      </c>
      <c r="AB399" s="51">
        <f t="shared" si="107"/>
        <v>13</v>
      </c>
      <c r="AC399" s="51">
        <f t="shared" si="107"/>
        <v>13</v>
      </c>
    </row>
    <row r="400" spans="3:29" ht="15.6" x14ac:dyDescent="0.55000000000000004">
      <c r="C400" s="52" t="str">
        <f>$Q$23</f>
        <v>Nour</v>
      </c>
      <c r="D400" s="51">
        <f t="shared" si="76"/>
        <v>0</v>
      </c>
      <c r="E400" s="51">
        <f t="shared" si="77"/>
        <v>0</v>
      </c>
      <c r="F400" s="51">
        <f t="shared" si="78"/>
        <v>0</v>
      </c>
      <c r="G400" s="51">
        <f t="shared" si="79"/>
        <v>0</v>
      </c>
      <c r="H400" s="51">
        <f t="shared" si="80"/>
        <v>0</v>
      </c>
      <c r="I400" s="51">
        <f t="shared" si="81"/>
        <v>0</v>
      </c>
      <c r="J400" s="51">
        <f t="shared" si="82"/>
        <v>0</v>
      </c>
      <c r="K400" s="51">
        <f t="shared" si="83"/>
        <v>0</v>
      </c>
      <c r="L400" s="51">
        <f t="shared" si="84"/>
        <v>0</v>
      </c>
      <c r="M400" s="51">
        <f t="shared" si="85"/>
        <v>2</v>
      </c>
      <c r="N400" s="51">
        <f t="shared" si="86"/>
        <v>0</v>
      </c>
      <c r="O400" s="51">
        <f t="shared" si="87"/>
        <v>1</v>
      </c>
      <c r="P400" s="28" t="s">
        <v>18</v>
      </c>
      <c r="Q400" s="52" t="str">
        <f>$Q$23</f>
        <v>Nour</v>
      </c>
      <c r="R400" s="51">
        <f t="shared" ref="R400:AC400" si="108">$AE23*R77</f>
        <v>3</v>
      </c>
      <c r="S400" s="51">
        <f t="shared" si="108"/>
        <v>3</v>
      </c>
      <c r="T400" s="51">
        <f t="shared" si="108"/>
        <v>3</v>
      </c>
      <c r="U400" s="51">
        <f t="shared" si="108"/>
        <v>3</v>
      </c>
      <c r="V400" s="51">
        <f>$AE23*V77</f>
        <v>3</v>
      </c>
      <c r="W400" s="51">
        <f t="shared" si="108"/>
        <v>3</v>
      </c>
      <c r="X400" s="51">
        <f t="shared" si="108"/>
        <v>3</v>
      </c>
      <c r="Y400" s="51">
        <f t="shared" si="108"/>
        <v>3</v>
      </c>
      <c r="Z400" s="51">
        <f t="shared" si="108"/>
        <v>3</v>
      </c>
      <c r="AA400" s="51">
        <f t="shared" si="108"/>
        <v>3</v>
      </c>
      <c r="AB400" s="51">
        <f t="shared" si="108"/>
        <v>3</v>
      </c>
      <c r="AC400" s="51">
        <f t="shared" si="108"/>
        <v>3</v>
      </c>
    </row>
    <row r="401" spans="3:29" ht="15.6" x14ac:dyDescent="0.55000000000000004">
      <c r="C401" s="52" t="str">
        <f>$Q$24</f>
        <v>Samuel</v>
      </c>
      <c r="D401" s="51">
        <f t="shared" si="76"/>
        <v>1</v>
      </c>
      <c r="E401" s="51">
        <f t="shared" si="77"/>
        <v>2</v>
      </c>
      <c r="F401" s="51">
        <f t="shared" si="78"/>
        <v>1</v>
      </c>
      <c r="G401" s="51">
        <f t="shared" si="79"/>
        <v>0</v>
      </c>
      <c r="H401" s="51">
        <f t="shared" si="80"/>
        <v>2</v>
      </c>
      <c r="I401" s="51">
        <f t="shared" si="81"/>
        <v>1</v>
      </c>
      <c r="J401" s="51">
        <f t="shared" si="82"/>
        <v>0</v>
      </c>
      <c r="K401" s="51">
        <f t="shared" si="83"/>
        <v>0</v>
      </c>
      <c r="L401" s="51">
        <f t="shared" si="84"/>
        <v>0</v>
      </c>
      <c r="M401" s="51">
        <f t="shared" si="85"/>
        <v>1</v>
      </c>
      <c r="N401" s="51">
        <f t="shared" si="86"/>
        <v>0</v>
      </c>
      <c r="O401" s="51">
        <f t="shared" si="87"/>
        <v>5</v>
      </c>
      <c r="P401" s="28" t="s">
        <v>18</v>
      </c>
      <c r="Q401" s="52" t="str">
        <f>$Q$24</f>
        <v>Samuel</v>
      </c>
      <c r="R401" s="51">
        <f t="shared" ref="R401:AC401" si="109">$AE24*R78</f>
        <v>13</v>
      </c>
      <c r="S401" s="51">
        <f t="shared" si="109"/>
        <v>13</v>
      </c>
      <c r="T401" s="51">
        <f t="shared" si="109"/>
        <v>13</v>
      </c>
      <c r="U401" s="51">
        <f t="shared" si="109"/>
        <v>13</v>
      </c>
      <c r="V401" s="51">
        <f t="shared" si="109"/>
        <v>13</v>
      </c>
      <c r="W401" s="51">
        <f t="shared" si="109"/>
        <v>13</v>
      </c>
      <c r="X401" s="51">
        <f t="shared" si="109"/>
        <v>13</v>
      </c>
      <c r="Y401" s="51">
        <f t="shared" si="109"/>
        <v>13</v>
      </c>
      <c r="Z401" s="51">
        <f t="shared" si="109"/>
        <v>13</v>
      </c>
      <c r="AA401" s="51">
        <f t="shared" si="109"/>
        <v>13</v>
      </c>
      <c r="AB401" s="51">
        <f t="shared" si="109"/>
        <v>13</v>
      </c>
      <c r="AC401" s="51">
        <f t="shared" si="109"/>
        <v>13</v>
      </c>
    </row>
    <row r="402" spans="3:29" ht="15.6" x14ac:dyDescent="0.55000000000000004">
      <c r="C402" s="52" t="str">
        <f>$Q$25</f>
        <v>Yassin</v>
      </c>
      <c r="D402" s="51">
        <f t="shared" si="76"/>
        <v>1</v>
      </c>
      <c r="E402" s="51">
        <f t="shared" si="77"/>
        <v>2</v>
      </c>
      <c r="F402" s="51">
        <f t="shared" si="78"/>
        <v>0</v>
      </c>
      <c r="G402" s="51">
        <f t="shared" si="79"/>
        <v>1</v>
      </c>
      <c r="H402" s="51">
        <f t="shared" si="80"/>
        <v>0</v>
      </c>
      <c r="I402" s="51">
        <f t="shared" si="81"/>
        <v>0</v>
      </c>
      <c r="J402" s="51">
        <f t="shared" si="82"/>
        <v>2</v>
      </c>
      <c r="K402" s="51">
        <f t="shared" si="83"/>
        <v>0</v>
      </c>
      <c r="L402" s="51">
        <f t="shared" si="84"/>
        <v>1</v>
      </c>
      <c r="M402" s="51">
        <f t="shared" si="85"/>
        <v>1</v>
      </c>
      <c r="N402" s="51">
        <f t="shared" si="86"/>
        <v>0</v>
      </c>
      <c r="O402" s="51">
        <f t="shared" si="87"/>
        <v>5</v>
      </c>
      <c r="P402" s="28" t="s">
        <v>18</v>
      </c>
      <c r="Q402" s="52" t="str">
        <f>$Q$25</f>
        <v>Yassin</v>
      </c>
      <c r="R402" s="51">
        <f t="shared" ref="R402:AC402" si="110">$AE25*R79</f>
        <v>13</v>
      </c>
      <c r="S402" s="51">
        <f t="shared" si="110"/>
        <v>13</v>
      </c>
      <c r="T402" s="51">
        <f t="shared" si="110"/>
        <v>13</v>
      </c>
      <c r="U402" s="51">
        <f t="shared" si="110"/>
        <v>13</v>
      </c>
      <c r="V402" s="51">
        <f t="shared" si="110"/>
        <v>13</v>
      </c>
      <c r="W402" s="51">
        <f t="shared" si="110"/>
        <v>13</v>
      </c>
      <c r="X402" s="51">
        <f t="shared" si="110"/>
        <v>13</v>
      </c>
      <c r="Y402" s="51">
        <f t="shared" si="110"/>
        <v>13</v>
      </c>
      <c r="Z402" s="51">
        <f t="shared" si="110"/>
        <v>13</v>
      </c>
      <c r="AA402" s="51">
        <f t="shared" si="110"/>
        <v>13</v>
      </c>
      <c r="AB402" s="51">
        <f t="shared" si="110"/>
        <v>13</v>
      </c>
      <c r="AC402" s="51">
        <f t="shared" si="110"/>
        <v>13</v>
      </c>
    </row>
    <row r="403" spans="3:29" ht="15.6" x14ac:dyDescent="0.55000000000000004">
      <c r="C403" s="52" t="str">
        <f>$Q$26</f>
        <v>Kamar</v>
      </c>
      <c r="D403" s="51">
        <f>SUM(C26:O26)</f>
        <v>0</v>
      </c>
      <c r="E403" s="51">
        <f t="shared" si="77"/>
        <v>2</v>
      </c>
      <c r="F403" s="51">
        <f t="shared" si="78"/>
        <v>2</v>
      </c>
      <c r="G403" s="51">
        <f t="shared" si="79"/>
        <v>1</v>
      </c>
      <c r="H403" s="51">
        <f t="shared" si="80"/>
        <v>0</v>
      </c>
      <c r="I403" s="51">
        <f t="shared" si="81"/>
        <v>0</v>
      </c>
      <c r="J403" s="51">
        <f t="shared" si="82"/>
        <v>0</v>
      </c>
      <c r="K403" s="51">
        <f t="shared" si="83"/>
        <v>0</v>
      </c>
      <c r="L403" s="51">
        <f t="shared" si="84"/>
        <v>1</v>
      </c>
      <c r="M403" s="51">
        <f t="shared" si="85"/>
        <v>1</v>
      </c>
      <c r="N403" s="51">
        <f t="shared" si="86"/>
        <v>1</v>
      </c>
      <c r="O403" s="51">
        <f t="shared" si="87"/>
        <v>5</v>
      </c>
      <c r="P403" s="28" t="s">
        <v>18</v>
      </c>
      <c r="Q403" s="52" t="str">
        <f>$Q$26</f>
        <v>Kamar</v>
      </c>
      <c r="R403" s="51">
        <f t="shared" ref="R403:AC403" si="111">$AE26*R80</f>
        <v>13</v>
      </c>
      <c r="S403" s="51">
        <f t="shared" si="111"/>
        <v>13</v>
      </c>
      <c r="T403" s="51">
        <f t="shared" si="111"/>
        <v>13</v>
      </c>
      <c r="U403" s="51">
        <f t="shared" si="111"/>
        <v>13</v>
      </c>
      <c r="V403" s="51">
        <f t="shared" si="111"/>
        <v>13</v>
      </c>
      <c r="W403" s="51">
        <f t="shared" si="111"/>
        <v>13</v>
      </c>
      <c r="X403" s="51">
        <f t="shared" si="111"/>
        <v>13</v>
      </c>
      <c r="Y403" s="51">
        <f t="shared" si="111"/>
        <v>13</v>
      </c>
      <c r="Z403" s="51">
        <f t="shared" si="111"/>
        <v>13</v>
      </c>
      <c r="AA403" s="51">
        <f t="shared" si="111"/>
        <v>13</v>
      </c>
      <c r="AB403" s="51">
        <f t="shared" si="111"/>
        <v>13</v>
      </c>
      <c r="AC403" s="51">
        <f t="shared" si="111"/>
        <v>13</v>
      </c>
    </row>
    <row r="404" spans="3:29" x14ac:dyDescent="0.55000000000000004">
      <c r="C404" s="16"/>
    </row>
    <row r="405" spans="3:29" x14ac:dyDescent="0.55000000000000004">
      <c r="C405" s="16"/>
    </row>
    <row r="407" spans="3:29" ht="23.7" x14ac:dyDescent="0.55000000000000004">
      <c r="C407" s="87" t="s">
        <v>110</v>
      </c>
    </row>
    <row r="408" spans="3:29" ht="18.3" x14ac:dyDescent="0.55000000000000004">
      <c r="C408" s="16"/>
      <c r="D408" s="67" t="str">
        <f>$Q$36</f>
        <v>Setup</v>
      </c>
      <c r="E408" s="70" t="str">
        <f>$Q$37</f>
        <v>Entry</v>
      </c>
      <c r="F408" s="73" t="str">
        <f>$Q$38</f>
        <v>Bar</v>
      </c>
      <c r="G408" s="74" t="str">
        <f>$Q$39</f>
        <v>C-mix</v>
      </c>
      <c r="H408" s="75" t="str">
        <f>$Q$40</f>
        <v>Rez</v>
      </c>
      <c r="I408" s="76" t="str">
        <f>$Q$41</f>
        <v>Homing</v>
      </c>
      <c r="J408" s="77" t="str">
        <f>$Q$42</f>
        <v>Toilets</v>
      </c>
      <c r="K408" s="78" t="str">
        <f>$Q$43</f>
        <v>Level</v>
      </c>
      <c r="L408" s="79" t="str">
        <f>$Q$44</f>
        <v>Çapèse</v>
      </c>
      <c r="M408" s="80" t="str">
        <f>$Q$45</f>
        <v>Tidying</v>
      </c>
      <c r="N408" s="81" t="str">
        <f>$Q$46</f>
        <v>Volante</v>
      </c>
      <c r="O408" s="89" t="s">
        <v>124</v>
      </c>
      <c r="Q408" s="89" t="s">
        <v>120</v>
      </c>
    </row>
    <row r="409" spans="3:29" ht="15.6" x14ac:dyDescent="0.55000000000000004">
      <c r="C409" s="46" t="str">
        <f>$Q$3</f>
        <v>Jennifer</v>
      </c>
      <c r="D409" s="51">
        <f t="shared" ref="D409:D432" si="112">SUM(C3:O3)</f>
        <v>1</v>
      </c>
      <c r="E409" s="51">
        <f t="shared" ref="E409:E432" si="113">SUM(C30:O30)</f>
        <v>0</v>
      </c>
      <c r="F409" s="51">
        <f t="shared" ref="F409:F432" si="114">SUM(C57:O57)</f>
        <v>0</v>
      </c>
      <c r="G409" s="51">
        <f t="shared" ref="G409:G432" si="115">SUM(C84:O84)</f>
        <v>0</v>
      </c>
      <c r="H409" s="51">
        <f t="shared" ref="H409:H432" si="116">SUM(C111:O111)</f>
        <v>0</v>
      </c>
      <c r="I409" s="51">
        <f t="shared" ref="I409:I432" si="117">SUM(C138:O138)</f>
        <v>2</v>
      </c>
      <c r="J409" s="51">
        <f t="shared" ref="J409:J432" si="118">SUM(C165:O165)</f>
        <v>0</v>
      </c>
      <c r="K409" s="51">
        <f t="shared" ref="K409:K432" si="119">SUM(C192:O192)</f>
        <v>2</v>
      </c>
      <c r="L409" s="51">
        <f t="shared" ref="L409:L432" si="120">SUM(C219:O219)</f>
        <v>0</v>
      </c>
      <c r="M409" s="51">
        <f t="shared" ref="M409:M432" si="121">SUM(C246:O246)</f>
        <v>2</v>
      </c>
      <c r="N409" s="51">
        <f t="shared" ref="N409:N432" si="122">SUM(C273:O273)</f>
        <v>1</v>
      </c>
      <c r="O409" s="51">
        <f>SUM(D409:N409)</f>
        <v>8</v>
      </c>
      <c r="P409" s="28" t="s">
        <v>26</v>
      </c>
      <c r="Q409" s="51">
        <f t="shared" ref="Q409:Q432" si="123">AF3</f>
        <v>0</v>
      </c>
    </row>
    <row r="410" spans="3:29" ht="15.6" x14ac:dyDescent="0.55000000000000004">
      <c r="C410" s="52" t="str">
        <f>$Q$4</f>
        <v>Galileo</v>
      </c>
      <c r="D410" s="51">
        <f t="shared" si="112"/>
        <v>0</v>
      </c>
      <c r="E410" s="51">
        <f t="shared" si="113"/>
        <v>1</v>
      </c>
      <c r="F410" s="51">
        <f t="shared" si="114"/>
        <v>1</v>
      </c>
      <c r="G410" s="51">
        <f t="shared" si="115"/>
        <v>0</v>
      </c>
      <c r="H410" s="51">
        <f t="shared" si="116"/>
        <v>1</v>
      </c>
      <c r="I410" s="51">
        <f t="shared" si="117"/>
        <v>1</v>
      </c>
      <c r="J410" s="51">
        <f t="shared" si="118"/>
        <v>2</v>
      </c>
      <c r="K410" s="51">
        <f t="shared" si="119"/>
        <v>0</v>
      </c>
      <c r="L410" s="51">
        <f t="shared" si="120"/>
        <v>1</v>
      </c>
      <c r="M410" s="51">
        <f t="shared" si="121"/>
        <v>1</v>
      </c>
      <c r="N410" s="51">
        <f t="shared" si="122"/>
        <v>0</v>
      </c>
      <c r="O410" s="51">
        <f t="shared" ref="O410:O432" si="124">SUM(D410:N410)</f>
        <v>8</v>
      </c>
      <c r="P410" s="28" t="s">
        <v>26</v>
      </c>
      <c r="Q410" s="51">
        <f t="shared" si="123"/>
        <v>0</v>
      </c>
    </row>
    <row r="411" spans="3:29" ht="15.6" x14ac:dyDescent="0.55000000000000004">
      <c r="C411" s="52" t="str">
        <f>$Q$5</f>
        <v>Óscar</v>
      </c>
      <c r="D411" s="51">
        <f t="shared" si="112"/>
        <v>1</v>
      </c>
      <c r="E411" s="51">
        <f t="shared" si="113"/>
        <v>1</v>
      </c>
      <c r="F411" s="51">
        <f t="shared" si="114"/>
        <v>2</v>
      </c>
      <c r="G411" s="51">
        <f t="shared" si="115"/>
        <v>0</v>
      </c>
      <c r="H411" s="51">
        <f t="shared" si="116"/>
        <v>0</v>
      </c>
      <c r="I411" s="51">
        <f t="shared" si="117"/>
        <v>2</v>
      </c>
      <c r="J411" s="51">
        <f t="shared" si="118"/>
        <v>1</v>
      </c>
      <c r="K411" s="51">
        <f t="shared" si="119"/>
        <v>0</v>
      </c>
      <c r="L411" s="51">
        <f t="shared" si="120"/>
        <v>0</v>
      </c>
      <c r="M411" s="51">
        <f t="shared" si="121"/>
        <v>1</v>
      </c>
      <c r="N411" s="51">
        <f t="shared" si="122"/>
        <v>0</v>
      </c>
      <c r="O411" s="51">
        <f t="shared" si="124"/>
        <v>8</v>
      </c>
      <c r="P411" s="28" t="s">
        <v>26</v>
      </c>
      <c r="Q411" s="51">
        <f t="shared" si="123"/>
        <v>0</v>
      </c>
    </row>
    <row r="412" spans="3:29" ht="15.6" x14ac:dyDescent="0.55000000000000004">
      <c r="C412" s="52" t="str">
        <f>$Q$6</f>
        <v>Sebastián</v>
      </c>
      <c r="D412" s="51">
        <f t="shared" si="112"/>
        <v>0</v>
      </c>
      <c r="E412" s="51">
        <f t="shared" si="113"/>
        <v>0</v>
      </c>
      <c r="F412" s="51">
        <f t="shared" si="114"/>
        <v>1</v>
      </c>
      <c r="G412" s="51">
        <f t="shared" si="115"/>
        <v>0</v>
      </c>
      <c r="H412" s="51">
        <f t="shared" si="116"/>
        <v>2</v>
      </c>
      <c r="I412" s="51">
        <f t="shared" si="117"/>
        <v>2</v>
      </c>
      <c r="J412" s="51">
        <f t="shared" si="118"/>
        <v>1</v>
      </c>
      <c r="K412" s="51">
        <f t="shared" si="119"/>
        <v>0</v>
      </c>
      <c r="L412" s="51">
        <f t="shared" si="120"/>
        <v>0</v>
      </c>
      <c r="M412" s="51">
        <f t="shared" si="121"/>
        <v>1</v>
      </c>
      <c r="N412" s="51">
        <f t="shared" si="122"/>
        <v>1</v>
      </c>
      <c r="O412" s="51">
        <f t="shared" si="124"/>
        <v>8</v>
      </c>
      <c r="P412" s="28" t="s">
        <v>26</v>
      </c>
      <c r="Q412" s="51">
        <f t="shared" si="123"/>
        <v>0</v>
      </c>
    </row>
    <row r="413" spans="3:29" ht="15.6" x14ac:dyDescent="0.55000000000000004">
      <c r="C413" s="52" t="str">
        <f>$Q$7</f>
        <v>Marcos</v>
      </c>
      <c r="D413" s="51">
        <f t="shared" si="112"/>
        <v>1</v>
      </c>
      <c r="E413" s="51">
        <f t="shared" si="113"/>
        <v>1</v>
      </c>
      <c r="F413" s="51">
        <f t="shared" si="114"/>
        <v>1</v>
      </c>
      <c r="G413" s="51">
        <f t="shared" si="115"/>
        <v>1</v>
      </c>
      <c r="H413" s="51">
        <f t="shared" si="116"/>
        <v>0</v>
      </c>
      <c r="I413" s="51">
        <f t="shared" si="117"/>
        <v>1</v>
      </c>
      <c r="J413" s="51">
        <f t="shared" si="118"/>
        <v>0</v>
      </c>
      <c r="K413" s="51">
        <f t="shared" si="119"/>
        <v>1</v>
      </c>
      <c r="L413" s="51">
        <f t="shared" si="120"/>
        <v>1</v>
      </c>
      <c r="M413" s="51">
        <f t="shared" si="121"/>
        <v>0</v>
      </c>
      <c r="N413" s="51">
        <f t="shared" si="122"/>
        <v>1</v>
      </c>
      <c r="O413" s="51">
        <f t="shared" si="124"/>
        <v>8</v>
      </c>
      <c r="P413" s="28" t="s">
        <v>26</v>
      </c>
      <c r="Q413" s="51">
        <f t="shared" si="123"/>
        <v>0</v>
      </c>
    </row>
    <row r="414" spans="3:29" ht="15.6" x14ac:dyDescent="0.55000000000000004">
      <c r="C414" s="52" t="str">
        <f>$Q$8</f>
        <v>Weixin</v>
      </c>
      <c r="D414" s="51">
        <f t="shared" si="112"/>
        <v>0</v>
      </c>
      <c r="E414" s="51">
        <f t="shared" si="113"/>
        <v>1</v>
      </c>
      <c r="F414" s="51">
        <f t="shared" si="114"/>
        <v>2</v>
      </c>
      <c r="G414" s="51">
        <f t="shared" si="115"/>
        <v>0</v>
      </c>
      <c r="H414" s="51">
        <f t="shared" si="116"/>
        <v>0</v>
      </c>
      <c r="I414" s="51">
        <f t="shared" si="117"/>
        <v>1</v>
      </c>
      <c r="J414" s="51">
        <f t="shared" si="118"/>
        <v>1</v>
      </c>
      <c r="K414" s="51">
        <f t="shared" si="119"/>
        <v>1</v>
      </c>
      <c r="L414" s="51">
        <f t="shared" si="120"/>
        <v>1</v>
      </c>
      <c r="M414" s="51">
        <f t="shared" si="121"/>
        <v>1</v>
      </c>
      <c r="N414" s="51">
        <f t="shared" si="122"/>
        <v>0</v>
      </c>
      <c r="O414" s="51">
        <f t="shared" si="124"/>
        <v>8</v>
      </c>
      <c r="P414" s="28" t="s">
        <v>26</v>
      </c>
      <c r="Q414" s="51">
        <f t="shared" si="123"/>
        <v>0</v>
      </c>
    </row>
    <row r="415" spans="3:29" ht="15.6" x14ac:dyDescent="0.55000000000000004">
      <c r="C415" s="52" t="str">
        <f>$Q$9</f>
        <v>Benjamin</v>
      </c>
      <c r="D415" s="51">
        <f t="shared" si="112"/>
        <v>1</v>
      </c>
      <c r="E415" s="51">
        <f t="shared" si="113"/>
        <v>1</v>
      </c>
      <c r="F415" s="51">
        <f t="shared" si="114"/>
        <v>2</v>
      </c>
      <c r="G415" s="51">
        <f t="shared" si="115"/>
        <v>1</v>
      </c>
      <c r="H415" s="51">
        <f t="shared" si="116"/>
        <v>0</v>
      </c>
      <c r="I415" s="51">
        <f t="shared" si="117"/>
        <v>0</v>
      </c>
      <c r="J415" s="51">
        <f t="shared" si="118"/>
        <v>1</v>
      </c>
      <c r="K415" s="51">
        <f t="shared" si="119"/>
        <v>1</v>
      </c>
      <c r="L415" s="51">
        <f t="shared" si="120"/>
        <v>0</v>
      </c>
      <c r="M415" s="51">
        <f t="shared" si="121"/>
        <v>0</v>
      </c>
      <c r="N415" s="51">
        <f t="shared" si="122"/>
        <v>1</v>
      </c>
      <c r="O415" s="51">
        <f t="shared" si="124"/>
        <v>8</v>
      </c>
      <c r="P415" s="28" t="s">
        <v>26</v>
      </c>
      <c r="Q415" s="51">
        <f t="shared" si="123"/>
        <v>0</v>
      </c>
    </row>
    <row r="416" spans="3:29" ht="15.6" x14ac:dyDescent="0.55000000000000004">
      <c r="C416" s="52" t="str">
        <f>$Q$10</f>
        <v>Joelle</v>
      </c>
      <c r="D416" s="51">
        <f t="shared" si="112"/>
        <v>1</v>
      </c>
      <c r="E416" s="51">
        <f t="shared" si="113"/>
        <v>0</v>
      </c>
      <c r="F416" s="51">
        <f t="shared" si="114"/>
        <v>0</v>
      </c>
      <c r="G416" s="51">
        <f t="shared" si="115"/>
        <v>0</v>
      </c>
      <c r="H416" s="51">
        <f t="shared" si="116"/>
        <v>1</v>
      </c>
      <c r="I416" s="51">
        <f t="shared" si="117"/>
        <v>3</v>
      </c>
      <c r="J416" s="51">
        <f t="shared" si="118"/>
        <v>2</v>
      </c>
      <c r="K416" s="51">
        <f t="shared" si="119"/>
        <v>0</v>
      </c>
      <c r="L416" s="51">
        <f t="shared" si="120"/>
        <v>0</v>
      </c>
      <c r="M416" s="51">
        <f t="shared" si="121"/>
        <v>1</v>
      </c>
      <c r="N416" s="51">
        <f t="shared" si="122"/>
        <v>0</v>
      </c>
      <c r="O416" s="51">
        <f t="shared" si="124"/>
        <v>8</v>
      </c>
      <c r="P416" s="28" t="s">
        <v>26</v>
      </c>
      <c r="Q416" s="51">
        <f t="shared" si="123"/>
        <v>0</v>
      </c>
    </row>
    <row r="417" spans="3:17" ht="15.6" x14ac:dyDescent="0.55000000000000004">
      <c r="C417" s="52" t="str">
        <f>$Q$11</f>
        <v>Alexia</v>
      </c>
      <c r="D417" s="51">
        <f t="shared" si="112"/>
        <v>0</v>
      </c>
      <c r="E417" s="51">
        <f t="shared" si="113"/>
        <v>1</v>
      </c>
      <c r="F417" s="51">
        <f t="shared" si="114"/>
        <v>2</v>
      </c>
      <c r="G417" s="51">
        <f t="shared" si="115"/>
        <v>1</v>
      </c>
      <c r="H417" s="51">
        <f t="shared" si="116"/>
        <v>0</v>
      </c>
      <c r="I417" s="51">
        <f t="shared" si="117"/>
        <v>1</v>
      </c>
      <c r="J417" s="51">
        <f t="shared" si="118"/>
        <v>2</v>
      </c>
      <c r="K417" s="51">
        <f t="shared" si="119"/>
        <v>0</v>
      </c>
      <c r="L417" s="51">
        <f t="shared" si="120"/>
        <v>0</v>
      </c>
      <c r="M417" s="51">
        <f t="shared" si="121"/>
        <v>1</v>
      </c>
      <c r="N417" s="51">
        <f t="shared" si="122"/>
        <v>0</v>
      </c>
      <c r="O417" s="51">
        <f t="shared" si="124"/>
        <v>8</v>
      </c>
      <c r="P417" s="28" t="s">
        <v>26</v>
      </c>
      <c r="Q417" s="51">
        <f t="shared" si="123"/>
        <v>0</v>
      </c>
    </row>
    <row r="418" spans="3:17" ht="15.6" x14ac:dyDescent="0.55000000000000004">
      <c r="C418" s="52" t="str">
        <f>$Q$12</f>
        <v>Joao</v>
      </c>
      <c r="D418" s="51">
        <f t="shared" si="112"/>
        <v>0</v>
      </c>
      <c r="E418" s="51">
        <f t="shared" si="113"/>
        <v>0</v>
      </c>
      <c r="F418" s="51">
        <f t="shared" si="114"/>
        <v>1</v>
      </c>
      <c r="G418" s="51">
        <f t="shared" si="115"/>
        <v>0</v>
      </c>
      <c r="H418" s="51">
        <f t="shared" si="116"/>
        <v>1</v>
      </c>
      <c r="I418" s="51">
        <f t="shared" si="117"/>
        <v>1</v>
      </c>
      <c r="J418" s="51">
        <f t="shared" si="118"/>
        <v>1</v>
      </c>
      <c r="K418" s="51">
        <f t="shared" si="119"/>
        <v>2</v>
      </c>
      <c r="L418" s="51">
        <f t="shared" si="120"/>
        <v>1</v>
      </c>
      <c r="M418" s="51">
        <f t="shared" si="121"/>
        <v>1</v>
      </c>
      <c r="N418" s="51">
        <f t="shared" si="122"/>
        <v>0</v>
      </c>
      <c r="O418" s="51">
        <f t="shared" si="124"/>
        <v>8</v>
      </c>
      <c r="P418" s="28" t="s">
        <v>26</v>
      </c>
      <c r="Q418" s="51">
        <f t="shared" si="123"/>
        <v>0</v>
      </c>
    </row>
    <row r="419" spans="3:17" ht="15.6" x14ac:dyDescent="0.55000000000000004">
      <c r="C419" s="57" t="str">
        <f>$Q$13</f>
        <v>Maxime</v>
      </c>
      <c r="D419" s="51">
        <f t="shared" si="112"/>
        <v>1</v>
      </c>
      <c r="E419" s="51">
        <f t="shared" si="113"/>
        <v>0</v>
      </c>
      <c r="F419" s="51">
        <f t="shared" si="114"/>
        <v>2</v>
      </c>
      <c r="G419" s="51">
        <f t="shared" si="115"/>
        <v>1</v>
      </c>
      <c r="H419" s="51">
        <f t="shared" si="116"/>
        <v>1</v>
      </c>
      <c r="I419" s="51">
        <f t="shared" si="117"/>
        <v>1</v>
      </c>
      <c r="J419" s="51">
        <f t="shared" si="118"/>
        <v>0</v>
      </c>
      <c r="K419" s="51">
        <f t="shared" si="119"/>
        <v>1</v>
      </c>
      <c r="L419" s="51">
        <f t="shared" si="120"/>
        <v>0</v>
      </c>
      <c r="M419" s="51">
        <f t="shared" si="121"/>
        <v>0</v>
      </c>
      <c r="N419" s="51">
        <f t="shared" si="122"/>
        <v>1</v>
      </c>
      <c r="O419" s="51">
        <f t="shared" si="124"/>
        <v>8</v>
      </c>
      <c r="P419" s="28" t="s">
        <v>26</v>
      </c>
      <c r="Q419" s="51">
        <f t="shared" si="123"/>
        <v>0</v>
      </c>
    </row>
    <row r="420" spans="3:17" ht="15.6" x14ac:dyDescent="0.55000000000000004">
      <c r="C420" s="46" t="str">
        <f>$Q$14</f>
        <v>Alex</v>
      </c>
      <c r="D420" s="51">
        <f t="shared" si="112"/>
        <v>1</v>
      </c>
      <c r="E420" s="51">
        <f t="shared" si="113"/>
        <v>0</v>
      </c>
      <c r="F420" s="51">
        <f t="shared" si="114"/>
        <v>1</v>
      </c>
      <c r="G420" s="51">
        <f t="shared" si="115"/>
        <v>1</v>
      </c>
      <c r="H420" s="51">
        <f t="shared" si="116"/>
        <v>0</v>
      </c>
      <c r="I420" s="51">
        <f t="shared" si="117"/>
        <v>2</v>
      </c>
      <c r="J420" s="51">
        <f t="shared" si="118"/>
        <v>0</v>
      </c>
      <c r="K420" s="51">
        <f t="shared" si="119"/>
        <v>0</v>
      </c>
      <c r="L420" s="51">
        <f t="shared" si="120"/>
        <v>1</v>
      </c>
      <c r="M420" s="51">
        <f t="shared" si="121"/>
        <v>1</v>
      </c>
      <c r="N420" s="51">
        <f t="shared" si="122"/>
        <v>1</v>
      </c>
      <c r="O420" s="51">
        <f t="shared" si="124"/>
        <v>8</v>
      </c>
      <c r="P420" s="28" t="s">
        <v>26</v>
      </c>
      <c r="Q420" s="51">
        <f t="shared" si="123"/>
        <v>0</v>
      </c>
    </row>
    <row r="421" spans="3:17" ht="15.6" x14ac:dyDescent="0.55000000000000004">
      <c r="C421" s="52" t="str">
        <f>$Q$15</f>
        <v>Alyssa</v>
      </c>
      <c r="D421" s="51">
        <f t="shared" si="112"/>
        <v>0</v>
      </c>
      <c r="E421" s="51">
        <f t="shared" si="113"/>
        <v>2</v>
      </c>
      <c r="F421" s="51">
        <f t="shared" si="114"/>
        <v>2</v>
      </c>
      <c r="G421" s="51">
        <f t="shared" si="115"/>
        <v>1</v>
      </c>
      <c r="H421" s="51">
        <f t="shared" si="116"/>
        <v>0</v>
      </c>
      <c r="I421" s="51">
        <f t="shared" si="117"/>
        <v>0</v>
      </c>
      <c r="J421" s="51">
        <f t="shared" si="118"/>
        <v>1</v>
      </c>
      <c r="K421" s="51">
        <f t="shared" si="119"/>
        <v>0</v>
      </c>
      <c r="L421" s="51">
        <f t="shared" si="120"/>
        <v>0</v>
      </c>
      <c r="M421" s="51">
        <f t="shared" si="121"/>
        <v>2</v>
      </c>
      <c r="N421" s="51">
        <f t="shared" si="122"/>
        <v>0</v>
      </c>
      <c r="O421" s="51">
        <f t="shared" si="124"/>
        <v>8</v>
      </c>
      <c r="P421" s="28" t="s">
        <v>26</v>
      </c>
      <c r="Q421" s="51">
        <f t="shared" si="123"/>
        <v>0</v>
      </c>
    </row>
    <row r="422" spans="3:17" ht="15.6" x14ac:dyDescent="0.55000000000000004">
      <c r="C422" s="52" t="str">
        <f>$Q$16</f>
        <v>Amanda</v>
      </c>
      <c r="D422" s="51">
        <f t="shared" si="112"/>
        <v>0</v>
      </c>
      <c r="E422" s="51">
        <f t="shared" si="113"/>
        <v>0</v>
      </c>
      <c r="F422" s="51">
        <f t="shared" si="114"/>
        <v>2</v>
      </c>
      <c r="G422" s="51">
        <f t="shared" si="115"/>
        <v>0</v>
      </c>
      <c r="H422" s="51">
        <f t="shared" si="116"/>
        <v>0</v>
      </c>
      <c r="I422" s="51">
        <f t="shared" si="117"/>
        <v>3</v>
      </c>
      <c r="J422" s="51">
        <f t="shared" si="118"/>
        <v>2</v>
      </c>
      <c r="K422" s="51">
        <f t="shared" si="119"/>
        <v>0</v>
      </c>
      <c r="L422" s="51">
        <f t="shared" si="120"/>
        <v>0</v>
      </c>
      <c r="M422" s="51">
        <f t="shared" si="121"/>
        <v>1</v>
      </c>
      <c r="N422" s="51">
        <f t="shared" si="122"/>
        <v>0</v>
      </c>
      <c r="O422" s="51">
        <f t="shared" si="124"/>
        <v>8</v>
      </c>
      <c r="P422" s="28" t="s">
        <v>26</v>
      </c>
      <c r="Q422" s="51">
        <f t="shared" si="123"/>
        <v>0</v>
      </c>
    </row>
    <row r="423" spans="3:17" ht="15.6" x14ac:dyDescent="0.55000000000000004">
      <c r="C423" s="52" t="str">
        <f>$Q$17</f>
        <v>Antoine</v>
      </c>
      <c r="D423" s="51">
        <f t="shared" si="112"/>
        <v>1</v>
      </c>
      <c r="E423" s="51">
        <f t="shared" si="113"/>
        <v>1</v>
      </c>
      <c r="F423" s="51">
        <f t="shared" si="114"/>
        <v>0</v>
      </c>
      <c r="G423" s="51">
        <f t="shared" si="115"/>
        <v>0</v>
      </c>
      <c r="H423" s="51">
        <f t="shared" si="116"/>
        <v>1</v>
      </c>
      <c r="I423" s="51">
        <f t="shared" si="117"/>
        <v>0</v>
      </c>
      <c r="J423" s="51">
        <f t="shared" si="118"/>
        <v>0</v>
      </c>
      <c r="K423" s="51">
        <f t="shared" si="119"/>
        <v>2</v>
      </c>
      <c r="L423" s="51">
        <f t="shared" si="120"/>
        <v>1</v>
      </c>
      <c r="M423" s="51">
        <f t="shared" si="121"/>
        <v>1</v>
      </c>
      <c r="N423" s="51">
        <f t="shared" si="122"/>
        <v>1</v>
      </c>
      <c r="O423" s="51">
        <f t="shared" si="124"/>
        <v>8</v>
      </c>
      <c r="P423" s="28" t="s">
        <v>26</v>
      </c>
      <c r="Q423" s="51">
        <f t="shared" si="123"/>
        <v>0</v>
      </c>
    </row>
    <row r="424" spans="3:17" ht="15.6" x14ac:dyDescent="0.55000000000000004">
      <c r="C424" s="52" t="str">
        <f>$Q$18</f>
        <v>Beatriz</v>
      </c>
      <c r="D424" s="51">
        <f t="shared" si="112"/>
        <v>1</v>
      </c>
      <c r="E424" s="51">
        <f t="shared" si="113"/>
        <v>1</v>
      </c>
      <c r="F424" s="51">
        <f t="shared" si="114"/>
        <v>1</v>
      </c>
      <c r="G424" s="51">
        <f t="shared" si="115"/>
        <v>0</v>
      </c>
      <c r="H424" s="51">
        <f t="shared" si="116"/>
        <v>0</v>
      </c>
      <c r="I424" s="51">
        <f t="shared" si="117"/>
        <v>3</v>
      </c>
      <c r="J424" s="51">
        <f t="shared" si="118"/>
        <v>0</v>
      </c>
      <c r="K424" s="51">
        <f t="shared" si="119"/>
        <v>0</v>
      </c>
      <c r="L424" s="51">
        <f t="shared" si="120"/>
        <v>0</v>
      </c>
      <c r="M424" s="51">
        <f t="shared" si="121"/>
        <v>2</v>
      </c>
      <c r="N424" s="51">
        <f t="shared" si="122"/>
        <v>0</v>
      </c>
      <c r="O424" s="51">
        <f t="shared" si="124"/>
        <v>8</v>
      </c>
      <c r="P424" s="28" t="s">
        <v>26</v>
      </c>
      <c r="Q424" s="51">
        <f t="shared" si="123"/>
        <v>0</v>
      </c>
    </row>
    <row r="425" spans="3:17" ht="15.6" x14ac:dyDescent="0.55000000000000004">
      <c r="C425" s="52" t="str">
        <f>$Q$19</f>
        <v>Charelle</v>
      </c>
      <c r="D425" s="51">
        <f t="shared" si="112"/>
        <v>0</v>
      </c>
      <c r="E425" s="51">
        <f t="shared" si="113"/>
        <v>0</v>
      </c>
      <c r="F425" s="51">
        <f t="shared" si="114"/>
        <v>4</v>
      </c>
      <c r="G425" s="51">
        <f t="shared" si="115"/>
        <v>0</v>
      </c>
      <c r="H425" s="51">
        <f t="shared" si="116"/>
        <v>0</v>
      </c>
      <c r="I425" s="51">
        <f t="shared" si="117"/>
        <v>1</v>
      </c>
      <c r="J425" s="51">
        <f t="shared" si="118"/>
        <v>1</v>
      </c>
      <c r="K425" s="51">
        <f t="shared" si="119"/>
        <v>0</v>
      </c>
      <c r="L425" s="51">
        <f t="shared" si="120"/>
        <v>1</v>
      </c>
      <c r="M425" s="51">
        <f t="shared" si="121"/>
        <v>0</v>
      </c>
      <c r="N425" s="51">
        <f t="shared" si="122"/>
        <v>1</v>
      </c>
      <c r="O425" s="51">
        <f t="shared" si="124"/>
        <v>8</v>
      </c>
      <c r="P425" s="28" t="s">
        <v>26</v>
      </c>
      <c r="Q425" s="51">
        <f t="shared" si="123"/>
        <v>0</v>
      </c>
    </row>
    <row r="426" spans="3:17" ht="15.6" x14ac:dyDescent="0.55000000000000004">
      <c r="C426" s="52" t="str">
        <f>$Q$20</f>
        <v>Dimitri</v>
      </c>
      <c r="D426" s="51">
        <f t="shared" si="112"/>
        <v>1</v>
      </c>
      <c r="E426" s="51">
        <f t="shared" si="113"/>
        <v>2</v>
      </c>
      <c r="F426" s="51">
        <f t="shared" si="114"/>
        <v>1</v>
      </c>
      <c r="G426" s="51">
        <f t="shared" si="115"/>
        <v>0</v>
      </c>
      <c r="H426" s="51">
        <f t="shared" si="116"/>
        <v>1</v>
      </c>
      <c r="I426" s="51">
        <f t="shared" si="117"/>
        <v>1</v>
      </c>
      <c r="J426" s="51">
        <f t="shared" si="118"/>
        <v>0</v>
      </c>
      <c r="K426" s="51">
        <f t="shared" si="119"/>
        <v>0</v>
      </c>
      <c r="L426" s="51">
        <f t="shared" si="120"/>
        <v>1</v>
      </c>
      <c r="M426" s="51">
        <f t="shared" si="121"/>
        <v>1</v>
      </c>
      <c r="N426" s="51">
        <f t="shared" si="122"/>
        <v>0</v>
      </c>
      <c r="O426" s="51">
        <f t="shared" si="124"/>
        <v>8</v>
      </c>
      <c r="P426" s="28" t="s">
        <v>26</v>
      </c>
      <c r="Q426" s="51">
        <f t="shared" si="123"/>
        <v>0</v>
      </c>
    </row>
    <row r="427" spans="3:17" ht="15.6" x14ac:dyDescent="0.55000000000000004">
      <c r="C427" s="52" t="str">
        <f>$Q$21</f>
        <v>Marina</v>
      </c>
      <c r="D427" s="51">
        <f t="shared" si="112"/>
        <v>0</v>
      </c>
      <c r="E427" s="51">
        <f t="shared" si="113"/>
        <v>1</v>
      </c>
      <c r="F427" s="51">
        <f t="shared" si="114"/>
        <v>1</v>
      </c>
      <c r="G427" s="51">
        <f t="shared" si="115"/>
        <v>1</v>
      </c>
      <c r="H427" s="51">
        <f t="shared" si="116"/>
        <v>0</v>
      </c>
      <c r="I427" s="51">
        <f t="shared" si="117"/>
        <v>2</v>
      </c>
      <c r="J427" s="51">
        <f t="shared" si="118"/>
        <v>2</v>
      </c>
      <c r="K427" s="51">
        <f t="shared" si="119"/>
        <v>0</v>
      </c>
      <c r="L427" s="51">
        <f t="shared" si="120"/>
        <v>0</v>
      </c>
      <c r="M427" s="51">
        <f t="shared" si="121"/>
        <v>0</v>
      </c>
      <c r="N427" s="51">
        <f t="shared" si="122"/>
        <v>1</v>
      </c>
      <c r="O427" s="51">
        <f t="shared" si="124"/>
        <v>8</v>
      </c>
      <c r="P427" s="28" t="s">
        <v>26</v>
      </c>
      <c r="Q427" s="51">
        <f t="shared" si="123"/>
        <v>0</v>
      </c>
    </row>
    <row r="428" spans="3:17" ht="15.6" x14ac:dyDescent="0.55000000000000004">
      <c r="C428" s="52" t="str">
        <f>$Q$22</f>
        <v>Michel</v>
      </c>
      <c r="D428" s="51">
        <f t="shared" si="112"/>
        <v>0</v>
      </c>
      <c r="E428" s="51">
        <f t="shared" si="113"/>
        <v>1</v>
      </c>
      <c r="F428" s="51">
        <f t="shared" si="114"/>
        <v>1</v>
      </c>
      <c r="G428" s="51">
        <f t="shared" si="115"/>
        <v>1</v>
      </c>
      <c r="H428" s="51">
        <f t="shared" si="116"/>
        <v>0</v>
      </c>
      <c r="I428" s="51">
        <f t="shared" si="117"/>
        <v>2</v>
      </c>
      <c r="J428" s="51">
        <f t="shared" si="118"/>
        <v>1</v>
      </c>
      <c r="K428" s="51">
        <f t="shared" si="119"/>
        <v>0</v>
      </c>
      <c r="L428" s="51">
        <f t="shared" si="120"/>
        <v>0</v>
      </c>
      <c r="M428" s="51">
        <f t="shared" si="121"/>
        <v>2</v>
      </c>
      <c r="N428" s="51">
        <f t="shared" si="122"/>
        <v>0</v>
      </c>
      <c r="O428" s="51">
        <f t="shared" si="124"/>
        <v>8</v>
      </c>
      <c r="P428" s="28" t="s">
        <v>26</v>
      </c>
      <c r="Q428" s="51">
        <f t="shared" si="123"/>
        <v>0</v>
      </c>
    </row>
    <row r="429" spans="3:17" ht="15.6" x14ac:dyDescent="0.55000000000000004">
      <c r="C429" s="52" t="str">
        <f>$Q$23</f>
        <v>Nour</v>
      </c>
      <c r="D429" s="51">
        <f t="shared" si="112"/>
        <v>0</v>
      </c>
      <c r="E429" s="51">
        <f t="shared" si="113"/>
        <v>0</v>
      </c>
      <c r="F429" s="51">
        <f t="shared" si="114"/>
        <v>0</v>
      </c>
      <c r="G429" s="51">
        <f t="shared" si="115"/>
        <v>0</v>
      </c>
      <c r="H429" s="51">
        <f t="shared" si="116"/>
        <v>0</v>
      </c>
      <c r="I429" s="51">
        <f t="shared" si="117"/>
        <v>0</v>
      </c>
      <c r="J429" s="51">
        <f t="shared" si="118"/>
        <v>0</v>
      </c>
      <c r="K429" s="51">
        <f t="shared" si="119"/>
        <v>0</v>
      </c>
      <c r="L429" s="51">
        <f t="shared" si="120"/>
        <v>0</v>
      </c>
      <c r="M429" s="51">
        <f t="shared" si="121"/>
        <v>2</v>
      </c>
      <c r="N429" s="51">
        <f t="shared" si="122"/>
        <v>0</v>
      </c>
      <c r="O429" s="51">
        <f t="shared" si="124"/>
        <v>2</v>
      </c>
      <c r="P429" s="28" t="s">
        <v>26</v>
      </c>
      <c r="Q429" s="51">
        <f t="shared" si="123"/>
        <v>0</v>
      </c>
    </row>
    <row r="430" spans="3:17" ht="15.6" x14ac:dyDescent="0.55000000000000004">
      <c r="C430" s="52" t="str">
        <f>$Q$24</f>
        <v>Samuel</v>
      </c>
      <c r="D430" s="51">
        <f t="shared" si="112"/>
        <v>1</v>
      </c>
      <c r="E430" s="51">
        <f t="shared" si="113"/>
        <v>2</v>
      </c>
      <c r="F430" s="51">
        <f t="shared" si="114"/>
        <v>1</v>
      </c>
      <c r="G430" s="51">
        <f t="shared" si="115"/>
        <v>0</v>
      </c>
      <c r="H430" s="51">
        <f t="shared" si="116"/>
        <v>2</v>
      </c>
      <c r="I430" s="51">
        <f t="shared" si="117"/>
        <v>1</v>
      </c>
      <c r="J430" s="51">
        <f t="shared" si="118"/>
        <v>0</v>
      </c>
      <c r="K430" s="51">
        <f t="shared" si="119"/>
        <v>0</v>
      </c>
      <c r="L430" s="51">
        <f t="shared" si="120"/>
        <v>0</v>
      </c>
      <c r="M430" s="51">
        <f t="shared" si="121"/>
        <v>1</v>
      </c>
      <c r="N430" s="51">
        <f t="shared" si="122"/>
        <v>0</v>
      </c>
      <c r="O430" s="51">
        <f t="shared" si="124"/>
        <v>8</v>
      </c>
      <c r="P430" s="28" t="s">
        <v>26</v>
      </c>
      <c r="Q430" s="51">
        <f t="shared" si="123"/>
        <v>0</v>
      </c>
    </row>
    <row r="431" spans="3:17" ht="15.6" x14ac:dyDescent="0.55000000000000004">
      <c r="C431" s="52" t="str">
        <f>$Q$25</f>
        <v>Yassin</v>
      </c>
      <c r="D431" s="51">
        <f t="shared" si="112"/>
        <v>1</v>
      </c>
      <c r="E431" s="51">
        <f t="shared" si="113"/>
        <v>2</v>
      </c>
      <c r="F431" s="51">
        <f t="shared" si="114"/>
        <v>0</v>
      </c>
      <c r="G431" s="51">
        <f t="shared" si="115"/>
        <v>1</v>
      </c>
      <c r="H431" s="51">
        <f t="shared" si="116"/>
        <v>0</v>
      </c>
      <c r="I431" s="51">
        <f t="shared" si="117"/>
        <v>0</v>
      </c>
      <c r="J431" s="51">
        <f t="shared" si="118"/>
        <v>2</v>
      </c>
      <c r="K431" s="51">
        <f t="shared" si="119"/>
        <v>0</v>
      </c>
      <c r="L431" s="51">
        <f t="shared" si="120"/>
        <v>1</v>
      </c>
      <c r="M431" s="51">
        <f t="shared" si="121"/>
        <v>1</v>
      </c>
      <c r="N431" s="51">
        <f t="shared" si="122"/>
        <v>0</v>
      </c>
      <c r="O431" s="51">
        <f t="shared" si="124"/>
        <v>8</v>
      </c>
      <c r="P431" s="28" t="s">
        <v>26</v>
      </c>
      <c r="Q431" s="51">
        <f t="shared" si="123"/>
        <v>0</v>
      </c>
    </row>
    <row r="432" spans="3:17" ht="15.6" x14ac:dyDescent="0.55000000000000004">
      <c r="C432" s="52" t="str">
        <f>$Q$26</f>
        <v>Kamar</v>
      </c>
      <c r="D432" s="51">
        <f t="shared" si="112"/>
        <v>0</v>
      </c>
      <c r="E432" s="51">
        <f t="shared" si="113"/>
        <v>2</v>
      </c>
      <c r="F432" s="51">
        <f t="shared" si="114"/>
        <v>2</v>
      </c>
      <c r="G432" s="51">
        <f t="shared" si="115"/>
        <v>1</v>
      </c>
      <c r="H432" s="51">
        <f t="shared" si="116"/>
        <v>0</v>
      </c>
      <c r="I432" s="51">
        <f t="shared" si="117"/>
        <v>0</v>
      </c>
      <c r="J432" s="51">
        <f t="shared" si="118"/>
        <v>0</v>
      </c>
      <c r="K432" s="51">
        <f t="shared" si="119"/>
        <v>0</v>
      </c>
      <c r="L432" s="51">
        <f t="shared" si="120"/>
        <v>1</v>
      </c>
      <c r="M432" s="51">
        <f t="shared" si="121"/>
        <v>1</v>
      </c>
      <c r="N432" s="51">
        <f t="shared" si="122"/>
        <v>1</v>
      </c>
      <c r="O432" s="51">
        <f t="shared" si="124"/>
        <v>8</v>
      </c>
      <c r="P432" s="28" t="s">
        <v>26</v>
      </c>
      <c r="Q432" s="51">
        <f t="shared" si="123"/>
        <v>0</v>
      </c>
    </row>
    <row r="436" spans="14:17" ht="23.7" x14ac:dyDescent="0.55000000000000004">
      <c r="N436" s="87" t="s">
        <v>111</v>
      </c>
    </row>
    <row r="437" spans="14:17" ht="15.6" x14ac:dyDescent="0.55000000000000004">
      <c r="N437" s="46" t="str">
        <f>$Q$3</f>
        <v>Jennifer</v>
      </c>
      <c r="O437" s="51">
        <f>SUM(C300:O300)/AE3</f>
        <v>0.38461538461538464</v>
      </c>
      <c r="P437" s="28" t="s">
        <v>18</v>
      </c>
      <c r="Q437" s="51">
        <f>$C$326</f>
        <v>0.38461538000000001</v>
      </c>
    </row>
    <row r="438" spans="14:17" ht="15.6" x14ac:dyDescent="0.55000000000000004">
      <c r="N438" s="52" t="str">
        <f>$Q$4</f>
        <v>Galileo</v>
      </c>
      <c r="O438" s="51">
        <f t="shared" ref="O438:O460" si="125">SUM(C301:O301)/AE4</f>
        <v>0.38461538461538464</v>
      </c>
      <c r="P438" s="28" t="s">
        <v>18</v>
      </c>
      <c r="Q438" s="51">
        <f t="shared" ref="Q438:Q460" si="126">$C$326</f>
        <v>0.38461538000000001</v>
      </c>
    </row>
    <row r="439" spans="14:17" ht="15.6" x14ac:dyDescent="0.55000000000000004">
      <c r="N439" s="52" t="str">
        <f>$Q$5</f>
        <v>Óscar</v>
      </c>
      <c r="O439" s="51">
        <f t="shared" si="125"/>
        <v>0.38461538461538464</v>
      </c>
      <c r="P439" s="28" t="s">
        <v>18</v>
      </c>
      <c r="Q439" s="51">
        <f t="shared" si="126"/>
        <v>0.38461538000000001</v>
      </c>
    </row>
    <row r="440" spans="14:17" ht="15.6" x14ac:dyDescent="0.55000000000000004">
      <c r="N440" s="52" t="str">
        <f>$Q$6</f>
        <v>Sebastián</v>
      </c>
      <c r="O440" s="51">
        <f t="shared" si="125"/>
        <v>0.38461538461538464</v>
      </c>
      <c r="P440" s="28" t="s">
        <v>18</v>
      </c>
      <c r="Q440" s="51">
        <f t="shared" si="126"/>
        <v>0.38461538000000001</v>
      </c>
    </row>
    <row r="441" spans="14:17" ht="15.6" x14ac:dyDescent="0.55000000000000004">
      <c r="N441" s="52" t="str">
        <f>$Q$7</f>
        <v>Marcos</v>
      </c>
      <c r="O441" s="51">
        <f t="shared" si="125"/>
        <v>0.38461538461538464</v>
      </c>
      <c r="P441" s="28" t="s">
        <v>18</v>
      </c>
      <c r="Q441" s="51">
        <f t="shared" si="126"/>
        <v>0.38461538000000001</v>
      </c>
    </row>
    <row r="442" spans="14:17" ht="15.6" x14ac:dyDescent="0.55000000000000004">
      <c r="N442" s="52" t="str">
        <f>$Q$8</f>
        <v>Weixin</v>
      </c>
      <c r="O442" s="51">
        <f t="shared" si="125"/>
        <v>0.38461538461538464</v>
      </c>
      <c r="P442" s="28" t="s">
        <v>18</v>
      </c>
      <c r="Q442" s="51">
        <f t="shared" si="126"/>
        <v>0.38461538000000001</v>
      </c>
    </row>
    <row r="443" spans="14:17" ht="15.6" x14ac:dyDescent="0.55000000000000004">
      <c r="N443" s="52" t="str">
        <f>$Q$9</f>
        <v>Benjamin</v>
      </c>
      <c r="O443" s="51">
        <f t="shared" si="125"/>
        <v>0.38461538461538464</v>
      </c>
      <c r="P443" s="28" t="s">
        <v>18</v>
      </c>
      <c r="Q443" s="51">
        <f t="shared" si="126"/>
        <v>0.38461538000000001</v>
      </c>
    </row>
    <row r="444" spans="14:17" ht="15.6" x14ac:dyDescent="0.55000000000000004">
      <c r="N444" s="52" t="str">
        <f>$Q$10</f>
        <v>Joelle</v>
      </c>
      <c r="O444" s="51">
        <f t="shared" si="125"/>
        <v>0.38461538461538464</v>
      </c>
      <c r="P444" s="28" t="s">
        <v>18</v>
      </c>
      <c r="Q444" s="51">
        <f t="shared" si="126"/>
        <v>0.38461538000000001</v>
      </c>
    </row>
    <row r="445" spans="14:17" ht="15.6" x14ac:dyDescent="0.55000000000000004">
      <c r="N445" s="52" t="str">
        <f>$Q$11</f>
        <v>Alexia</v>
      </c>
      <c r="O445" s="51">
        <f t="shared" si="125"/>
        <v>0.38461538461538464</v>
      </c>
      <c r="P445" s="28" t="s">
        <v>18</v>
      </c>
      <c r="Q445" s="51">
        <f t="shared" si="126"/>
        <v>0.38461538000000001</v>
      </c>
    </row>
    <row r="446" spans="14:17" ht="15.6" x14ac:dyDescent="0.55000000000000004">
      <c r="N446" s="52" t="str">
        <f>$Q$12</f>
        <v>Joao</v>
      </c>
      <c r="O446" s="51">
        <f t="shared" si="125"/>
        <v>0.38461538461538464</v>
      </c>
      <c r="P446" s="28" t="s">
        <v>18</v>
      </c>
      <c r="Q446" s="51">
        <f t="shared" si="126"/>
        <v>0.38461538000000001</v>
      </c>
    </row>
    <row r="447" spans="14:17" ht="15.6" x14ac:dyDescent="0.55000000000000004">
      <c r="N447" s="57" t="str">
        <f>$Q$13</f>
        <v>Maxime</v>
      </c>
      <c r="O447" s="51">
        <f t="shared" si="125"/>
        <v>0.38461538461538464</v>
      </c>
      <c r="P447" s="28" t="s">
        <v>18</v>
      </c>
      <c r="Q447" s="51">
        <f t="shared" si="126"/>
        <v>0.38461538000000001</v>
      </c>
    </row>
    <row r="448" spans="14:17" ht="15.6" x14ac:dyDescent="0.55000000000000004">
      <c r="N448" s="46" t="str">
        <f>$Q$14</f>
        <v>Alex</v>
      </c>
      <c r="O448" s="51">
        <f t="shared" si="125"/>
        <v>0.38461538461538464</v>
      </c>
      <c r="P448" s="28" t="s">
        <v>18</v>
      </c>
      <c r="Q448" s="51">
        <f t="shared" si="126"/>
        <v>0.38461538000000001</v>
      </c>
    </row>
    <row r="449" spans="2:17" ht="15.6" x14ac:dyDescent="0.55000000000000004">
      <c r="N449" s="52" t="str">
        <f>$Q$15</f>
        <v>Alyssa</v>
      </c>
      <c r="O449" s="51">
        <f t="shared" si="125"/>
        <v>0.38461538461538464</v>
      </c>
      <c r="P449" s="28" t="s">
        <v>18</v>
      </c>
      <c r="Q449" s="51">
        <f t="shared" si="126"/>
        <v>0.38461538000000001</v>
      </c>
    </row>
    <row r="450" spans="2:17" ht="15.6" x14ac:dyDescent="0.55000000000000004">
      <c r="N450" s="52" t="str">
        <f>$Q$16</f>
        <v>Amanda</v>
      </c>
      <c r="O450" s="51">
        <f t="shared" si="125"/>
        <v>0.38461538461538464</v>
      </c>
      <c r="P450" s="28" t="s">
        <v>18</v>
      </c>
      <c r="Q450" s="51">
        <f t="shared" si="126"/>
        <v>0.38461538000000001</v>
      </c>
    </row>
    <row r="451" spans="2:17" ht="15.6" x14ac:dyDescent="0.55000000000000004">
      <c r="N451" s="52" t="str">
        <f>$Q$17</f>
        <v>Antoine</v>
      </c>
      <c r="O451" s="51">
        <f t="shared" si="125"/>
        <v>0.38461538461538464</v>
      </c>
      <c r="P451" s="28" t="s">
        <v>18</v>
      </c>
      <c r="Q451" s="51">
        <f t="shared" si="126"/>
        <v>0.38461538000000001</v>
      </c>
    </row>
    <row r="452" spans="2:17" ht="15.6" x14ac:dyDescent="0.55000000000000004">
      <c r="N452" s="52" t="str">
        <f>$Q$18</f>
        <v>Beatriz</v>
      </c>
      <c r="O452" s="51">
        <f t="shared" si="125"/>
        <v>0.38461538461538464</v>
      </c>
      <c r="P452" s="28" t="s">
        <v>18</v>
      </c>
      <c r="Q452" s="51">
        <f t="shared" si="126"/>
        <v>0.38461538000000001</v>
      </c>
    </row>
    <row r="453" spans="2:17" ht="15.6" x14ac:dyDescent="0.55000000000000004">
      <c r="N453" s="52" t="str">
        <f>$Q$19</f>
        <v>Charelle</v>
      </c>
      <c r="O453" s="51">
        <f t="shared" si="125"/>
        <v>0.38461538461538464</v>
      </c>
      <c r="P453" s="28" t="s">
        <v>18</v>
      </c>
      <c r="Q453" s="51">
        <f t="shared" si="126"/>
        <v>0.38461538000000001</v>
      </c>
    </row>
    <row r="454" spans="2:17" ht="15.6" x14ac:dyDescent="0.55000000000000004">
      <c r="N454" s="52" t="str">
        <f>$Q$20</f>
        <v>Dimitri</v>
      </c>
      <c r="O454" s="51">
        <f t="shared" si="125"/>
        <v>0.38461538461538464</v>
      </c>
      <c r="P454" s="28" t="s">
        <v>18</v>
      </c>
      <c r="Q454" s="51">
        <f t="shared" si="126"/>
        <v>0.38461538000000001</v>
      </c>
    </row>
    <row r="455" spans="2:17" ht="15.6" x14ac:dyDescent="0.55000000000000004">
      <c r="N455" s="52" t="str">
        <f>$Q$21</f>
        <v>Marina</v>
      </c>
      <c r="O455" s="51">
        <f t="shared" si="125"/>
        <v>0.38461538461538464</v>
      </c>
      <c r="P455" s="28" t="s">
        <v>18</v>
      </c>
      <c r="Q455" s="51">
        <f t="shared" si="126"/>
        <v>0.38461538000000001</v>
      </c>
    </row>
    <row r="456" spans="2:17" ht="15.6" x14ac:dyDescent="0.55000000000000004">
      <c r="N456" s="52" t="str">
        <f>$Q$22</f>
        <v>Michel</v>
      </c>
      <c r="O456" s="51">
        <f t="shared" si="125"/>
        <v>0.38461538461538464</v>
      </c>
      <c r="P456" s="28" t="s">
        <v>18</v>
      </c>
      <c r="Q456" s="51">
        <f t="shared" si="126"/>
        <v>0.38461538000000001</v>
      </c>
    </row>
    <row r="457" spans="2:17" ht="15.6" x14ac:dyDescent="0.55000000000000004">
      <c r="N457" s="52" t="str">
        <f>$Q$23</f>
        <v>Nour</v>
      </c>
      <c r="O457" s="51">
        <f t="shared" si="125"/>
        <v>0.33333333333333331</v>
      </c>
      <c r="P457" s="28" t="s">
        <v>18</v>
      </c>
      <c r="Q457" s="51">
        <f t="shared" si="126"/>
        <v>0.38461538000000001</v>
      </c>
    </row>
    <row r="458" spans="2:17" ht="15.6" x14ac:dyDescent="0.55000000000000004">
      <c r="N458" s="52" t="str">
        <f>$Q$24</f>
        <v>Samuel</v>
      </c>
      <c r="O458" s="51">
        <f t="shared" si="125"/>
        <v>0.38461538461538464</v>
      </c>
      <c r="P458" s="28" t="s">
        <v>18</v>
      </c>
      <c r="Q458" s="51">
        <f t="shared" si="126"/>
        <v>0.38461538000000001</v>
      </c>
    </row>
    <row r="459" spans="2:17" ht="15.6" x14ac:dyDescent="0.55000000000000004">
      <c r="N459" s="52" t="str">
        <f>$Q$25</f>
        <v>Yassin</v>
      </c>
      <c r="O459" s="51">
        <f t="shared" si="125"/>
        <v>0.38461538461538464</v>
      </c>
      <c r="P459" s="28" t="s">
        <v>18</v>
      </c>
      <c r="Q459" s="51">
        <f t="shared" si="126"/>
        <v>0.38461538000000001</v>
      </c>
    </row>
    <row r="460" spans="2:17" ht="15.6" x14ac:dyDescent="0.55000000000000004">
      <c r="N460" s="52" t="str">
        <f>$Q$26</f>
        <v>Kamar</v>
      </c>
      <c r="O460" s="51">
        <f t="shared" si="125"/>
        <v>0.38461538461538464</v>
      </c>
      <c r="P460" s="28" t="s">
        <v>18</v>
      </c>
      <c r="Q460" s="51">
        <f t="shared" si="126"/>
        <v>0.38461538000000001</v>
      </c>
    </row>
    <row r="464" spans="2:17" ht="23.7" x14ac:dyDescent="0.55000000000000004">
      <c r="B464" s="1"/>
      <c r="C464" s="87" t="s">
        <v>107</v>
      </c>
    </row>
    <row r="465" spans="2:29" ht="15.6" x14ac:dyDescent="0.55000000000000004">
      <c r="B465" s="1"/>
      <c r="C465" s="16" t="s">
        <v>45</v>
      </c>
      <c r="D465" s="40" t="str">
        <f>CONCATENATE($R$2," - ",$S$2)</f>
        <v>16h - 17h</v>
      </c>
      <c r="E465" s="41" t="str">
        <f>CONCATENATE($S$2," - ",$T$2)</f>
        <v>17h - 18h</v>
      </c>
      <c r="F465" s="41" t="str">
        <f>CONCATENATE($T$2," - ",$U$2)</f>
        <v>18h - 19h</v>
      </c>
      <c r="G465" s="41" t="str">
        <f>CONCATENATE($U$2," - ",$V$2)</f>
        <v>19h - 20h</v>
      </c>
      <c r="H465" s="41" t="str">
        <f>CONCATENATE($V$2," - ",$W$2)</f>
        <v>20h - 21h</v>
      </c>
      <c r="I465" s="41" t="str">
        <f>CONCATENATE($W$2," - ",$X$2)</f>
        <v>21h - 22h</v>
      </c>
      <c r="J465" s="41" t="str">
        <f>CONCATENATE($X$2," - ",$Y$2)</f>
        <v>22h - 23h</v>
      </c>
      <c r="K465" s="41" t="str">
        <f>CONCATENATE($Y$2," - ",$Z$2)</f>
        <v>23h - 00h</v>
      </c>
      <c r="L465" s="41" t="str">
        <f>CONCATENATE($Z$2," - ",$AA$2)</f>
        <v>00h - 01h</v>
      </c>
      <c r="M465" s="41" t="str">
        <f>CONCATENATE($AA$2," - ",$AB$2)</f>
        <v>01h - 02h</v>
      </c>
      <c r="N465" s="41" t="str">
        <f>CONCATENATE($AB$2," - ",$AC$2)</f>
        <v>02h - 03h</v>
      </c>
      <c r="O465" s="41" t="str">
        <f>CONCATENATE($AC$2," - ",$AD$2)</f>
        <v>03h - 04h</v>
      </c>
      <c r="Q465" s="16" t="s">
        <v>45</v>
      </c>
      <c r="R465" s="40" t="str">
        <f>CONCATENATE($R$2," - ",$S$2)</f>
        <v>16h - 17h</v>
      </c>
      <c r="S465" s="41" t="str">
        <f>CONCATENATE($S$2," - ",$T$2)</f>
        <v>17h - 18h</v>
      </c>
      <c r="T465" s="41" t="str">
        <f>CONCATENATE($T$2," - ",$U$2)</f>
        <v>18h - 19h</v>
      </c>
      <c r="U465" s="41" t="str">
        <f>CONCATENATE($U$2," - ",$V$2)</f>
        <v>19h - 20h</v>
      </c>
      <c r="V465" s="41" t="str">
        <f>CONCATENATE($V$2," - ",$W$2)</f>
        <v>20h - 21h</v>
      </c>
      <c r="W465" s="41" t="str">
        <f>CONCATENATE($W$2," - ",$X$2)</f>
        <v>21h - 22h</v>
      </c>
      <c r="X465" s="41" t="str">
        <f>CONCATENATE($X$2," - ",$Y$2)</f>
        <v>22h - 23h</v>
      </c>
      <c r="Y465" s="41" t="str">
        <f>CONCATENATE($Y$2," - ",$Z$2)</f>
        <v>23h - 00h</v>
      </c>
      <c r="Z465" s="41" t="str">
        <f>CONCATENATE($Z$2," - ",$AA$2)</f>
        <v>00h - 01h</v>
      </c>
      <c r="AA465" s="41" t="str">
        <f>CONCATENATE($AA$2," - ",$AB$2)</f>
        <v>01h - 02h</v>
      </c>
      <c r="AB465" s="41" t="str">
        <f>CONCATENATE($AB$2," - ",$AC$2)</f>
        <v>02h - 03h</v>
      </c>
      <c r="AC465" s="41" t="str">
        <f>CONCATENATE($AC$2," - ",$AD$2)</f>
        <v>03h - 04h</v>
      </c>
    </row>
    <row r="466" spans="2:29" ht="15.6" x14ac:dyDescent="0.55000000000000004">
      <c r="B466" s="1"/>
      <c r="C466" s="46" t="str">
        <f>$Q$3</f>
        <v>Jennifer</v>
      </c>
      <c r="D466" s="51">
        <f t="shared" ref="D466:O466" si="127">C3+D3</f>
        <v>1</v>
      </c>
      <c r="E466" s="51">
        <f t="shared" si="127"/>
        <v>0</v>
      </c>
      <c r="F466" s="51">
        <f t="shared" si="127"/>
        <v>0</v>
      </c>
      <c r="G466" s="51">
        <f t="shared" si="127"/>
        <v>0</v>
      </c>
      <c r="H466" s="51">
        <f t="shared" si="127"/>
        <v>0</v>
      </c>
      <c r="I466" s="51">
        <f t="shared" si="127"/>
        <v>0</v>
      </c>
      <c r="J466" s="51">
        <f t="shared" si="127"/>
        <v>0</v>
      </c>
      <c r="K466" s="51">
        <f t="shared" si="127"/>
        <v>0</v>
      </c>
      <c r="L466" s="51">
        <f t="shared" si="127"/>
        <v>0</v>
      </c>
      <c r="M466" s="51">
        <f t="shared" si="127"/>
        <v>0</v>
      </c>
      <c r="N466" s="51">
        <f t="shared" si="127"/>
        <v>0</v>
      </c>
      <c r="O466" s="51">
        <f t="shared" si="127"/>
        <v>0</v>
      </c>
      <c r="P466" s="28" t="s">
        <v>18</v>
      </c>
      <c r="Q466" s="46" t="str">
        <f>$Q$3</f>
        <v>Jennifer</v>
      </c>
      <c r="R466" s="51">
        <v>1</v>
      </c>
      <c r="S466" s="51">
        <v>1</v>
      </c>
      <c r="T466" s="51">
        <v>1</v>
      </c>
      <c r="U466" s="51">
        <v>1</v>
      </c>
      <c r="V466" s="51">
        <v>1</v>
      </c>
      <c r="W466" s="51">
        <v>1</v>
      </c>
      <c r="X466" s="51">
        <v>1</v>
      </c>
      <c r="Y466" s="51">
        <v>1</v>
      </c>
      <c r="Z466" s="51">
        <v>1</v>
      </c>
      <c r="AA466" s="51">
        <v>1</v>
      </c>
      <c r="AB466" s="51">
        <v>1</v>
      </c>
      <c r="AC466" s="51">
        <v>1</v>
      </c>
    </row>
    <row r="467" spans="2:29" ht="15.6" x14ac:dyDescent="0.55000000000000004">
      <c r="B467" s="1"/>
      <c r="C467" s="52" t="str">
        <f>$Q$4</f>
        <v>Galileo</v>
      </c>
      <c r="D467" s="51">
        <f t="shared" ref="D467:O467" si="128">C4+D4</f>
        <v>0</v>
      </c>
      <c r="E467" s="51">
        <f t="shared" si="128"/>
        <v>0</v>
      </c>
      <c r="F467" s="51">
        <f t="shared" si="128"/>
        <v>0</v>
      </c>
      <c r="G467" s="51">
        <f t="shared" si="128"/>
        <v>0</v>
      </c>
      <c r="H467" s="51">
        <f t="shared" si="128"/>
        <v>0</v>
      </c>
      <c r="I467" s="51">
        <f t="shared" si="128"/>
        <v>0</v>
      </c>
      <c r="J467" s="51">
        <f t="shared" si="128"/>
        <v>0</v>
      </c>
      <c r="K467" s="51">
        <f t="shared" si="128"/>
        <v>0</v>
      </c>
      <c r="L467" s="51">
        <f t="shared" si="128"/>
        <v>0</v>
      </c>
      <c r="M467" s="51">
        <f t="shared" si="128"/>
        <v>0</v>
      </c>
      <c r="N467" s="51">
        <f t="shared" si="128"/>
        <v>0</v>
      </c>
      <c r="O467" s="51">
        <f t="shared" si="128"/>
        <v>0</v>
      </c>
      <c r="P467" s="28" t="s">
        <v>18</v>
      </c>
      <c r="Q467" s="52" t="str">
        <f>$Q$4</f>
        <v>Galileo</v>
      </c>
      <c r="R467" s="51">
        <v>1</v>
      </c>
      <c r="S467" s="51">
        <v>1</v>
      </c>
      <c r="T467" s="51">
        <v>1</v>
      </c>
      <c r="U467" s="51">
        <v>1</v>
      </c>
      <c r="V467" s="51">
        <v>1</v>
      </c>
      <c r="W467" s="51">
        <v>1</v>
      </c>
      <c r="X467" s="51">
        <v>1</v>
      </c>
      <c r="Y467" s="51">
        <v>1</v>
      </c>
      <c r="Z467" s="51">
        <v>1</v>
      </c>
      <c r="AA467" s="51">
        <v>1</v>
      </c>
      <c r="AB467" s="51">
        <v>1</v>
      </c>
      <c r="AC467" s="51">
        <v>1</v>
      </c>
    </row>
    <row r="468" spans="2:29" ht="15.6" x14ac:dyDescent="0.55000000000000004">
      <c r="B468" s="1"/>
      <c r="C468" s="52" t="str">
        <f>$Q$5</f>
        <v>Óscar</v>
      </c>
      <c r="D468" s="51">
        <f t="shared" ref="D468:O468" si="129">C5+D5</f>
        <v>1</v>
      </c>
      <c r="E468" s="51">
        <f t="shared" si="129"/>
        <v>0</v>
      </c>
      <c r="F468" s="51">
        <f t="shared" si="129"/>
        <v>0</v>
      </c>
      <c r="G468" s="51">
        <f t="shared" si="129"/>
        <v>0</v>
      </c>
      <c r="H468" s="51">
        <f t="shared" si="129"/>
        <v>0</v>
      </c>
      <c r="I468" s="51">
        <f t="shared" si="129"/>
        <v>0</v>
      </c>
      <c r="J468" s="51">
        <f t="shared" si="129"/>
        <v>0</v>
      </c>
      <c r="K468" s="51">
        <f t="shared" si="129"/>
        <v>0</v>
      </c>
      <c r="L468" s="51">
        <f t="shared" si="129"/>
        <v>0</v>
      </c>
      <c r="M468" s="51">
        <f t="shared" si="129"/>
        <v>0</v>
      </c>
      <c r="N468" s="51">
        <f t="shared" si="129"/>
        <v>0</v>
      </c>
      <c r="O468" s="51">
        <f t="shared" si="129"/>
        <v>0</v>
      </c>
      <c r="P468" s="28" t="s">
        <v>18</v>
      </c>
      <c r="Q468" s="52" t="str">
        <f>$Q$5</f>
        <v>Óscar</v>
      </c>
      <c r="R468" s="51">
        <v>1</v>
      </c>
      <c r="S468" s="51">
        <v>1</v>
      </c>
      <c r="T468" s="51">
        <v>1</v>
      </c>
      <c r="U468" s="51">
        <v>1</v>
      </c>
      <c r="V468" s="51">
        <v>1</v>
      </c>
      <c r="W468" s="51">
        <v>1</v>
      </c>
      <c r="X468" s="51">
        <v>1</v>
      </c>
      <c r="Y468" s="51">
        <v>1</v>
      </c>
      <c r="Z468" s="51">
        <v>1</v>
      </c>
      <c r="AA468" s="51">
        <v>1</v>
      </c>
      <c r="AB468" s="51">
        <v>1</v>
      </c>
      <c r="AC468" s="51">
        <v>1</v>
      </c>
    </row>
    <row r="469" spans="2:29" ht="15.6" x14ac:dyDescent="0.55000000000000004">
      <c r="B469" s="1"/>
      <c r="C469" s="52" t="str">
        <f>$Q$6</f>
        <v>Sebastián</v>
      </c>
      <c r="D469" s="51">
        <f t="shared" ref="D469:O469" si="130">C6+D6</f>
        <v>0</v>
      </c>
      <c r="E469" s="51">
        <f t="shared" si="130"/>
        <v>0</v>
      </c>
      <c r="F469" s="51">
        <f t="shared" si="130"/>
        <v>0</v>
      </c>
      <c r="G469" s="51">
        <f t="shared" si="130"/>
        <v>0</v>
      </c>
      <c r="H469" s="51">
        <f t="shared" si="130"/>
        <v>0</v>
      </c>
      <c r="I469" s="51">
        <f t="shared" si="130"/>
        <v>0</v>
      </c>
      <c r="J469" s="51">
        <f t="shared" si="130"/>
        <v>0</v>
      </c>
      <c r="K469" s="51">
        <f t="shared" si="130"/>
        <v>0</v>
      </c>
      <c r="L469" s="51">
        <f t="shared" si="130"/>
        <v>0</v>
      </c>
      <c r="M469" s="51">
        <f t="shared" si="130"/>
        <v>0</v>
      </c>
      <c r="N469" s="51">
        <f t="shared" si="130"/>
        <v>0</v>
      </c>
      <c r="O469" s="51">
        <f t="shared" si="130"/>
        <v>0</v>
      </c>
      <c r="P469" s="28" t="s">
        <v>18</v>
      </c>
      <c r="Q469" s="52" t="str">
        <f>$Q$6</f>
        <v>Sebastián</v>
      </c>
      <c r="R469" s="51">
        <v>1</v>
      </c>
      <c r="S469" s="51">
        <v>1</v>
      </c>
      <c r="T469" s="51">
        <v>1</v>
      </c>
      <c r="U469" s="51">
        <v>1</v>
      </c>
      <c r="V469" s="51">
        <v>1</v>
      </c>
      <c r="W469" s="51">
        <v>1</v>
      </c>
      <c r="X469" s="51">
        <v>1</v>
      </c>
      <c r="Y469" s="51">
        <v>1</v>
      </c>
      <c r="Z469" s="51">
        <v>1</v>
      </c>
      <c r="AA469" s="51">
        <v>1</v>
      </c>
      <c r="AB469" s="51">
        <v>1</v>
      </c>
      <c r="AC469" s="51">
        <v>1</v>
      </c>
    </row>
    <row r="470" spans="2:29" ht="15.6" x14ac:dyDescent="0.55000000000000004">
      <c r="B470" s="1"/>
      <c r="C470" s="52" t="str">
        <f>$Q$7</f>
        <v>Marcos</v>
      </c>
      <c r="D470" s="51">
        <f t="shared" ref="D470:O470" si="131">C7+D7</f>
        <v>1</v>
      </c>
      <c r="E470" s="51">
        <f t="shared" si="131"/>
        <v>0</v>
      </c>
      <c r="F470" s="51">
        <f t="shared" si="131"/>
        <v>0</v>
      </c>
      <c r="G470" s="51">
        <f t="shared" si="131"/>
        <v>0</v>
      </c>
      <c r="H470" s="51">
        <f t="shared" si="131"/>
        <v>0</v>
      </c>
      <c r="I470" s="51">
        <f t="shared" si="131"/>
        <v>0</v>
      </c>
      <c r="J470" s="51">
        <f t="shared" si="131"/>
        <v>0</v>
      </c>
      <c r="K470" s="51">
        <f t="shared" si="131"/>
        <v>0</v>
      </c>
      <c r="L470" s="51">
        <f t="shared" si="131"/>
        <v>0</v>
      </c>
      <c r="M470" s="51">
        <f t="shared" si="131"/>
        <v>0</v>
      </c>
      <c r="N470" s="51">
        <f t="shared" si="131"/>
        <v>0</v>
      </c>
      <c r="O470" s="51">
        <f t="shared" si="131"/>
        <v>0</v>
      </c>
      <c r="P470" s="28" t="s">
        <v>18</v>
      </c>
      <c r="Q470" s="52" t="str">
        <f>$Q$7</f>
        <v>Marcos</v>
      </c>
      <c r="R470" s="51">
        <v>1</v>
      </c>
      <c r="S470" s="51">
        <v>1</v>
      </c>
      <c r="T470" s="51">
        <v>1</v>
      </c>
      <c r="U470" s="51">
        <v>1</v>
      </c>
      <c r="V470" s="51">
        <v>1</v>
      </c>
      <c r="W470" s="51">
        <v>1</v>
      </c>
      <c r="X470" s="51">
        <v>1</v>
      </c>
      <c r="Y470" s="51">
        <v>1</v>
      </c>
      <c r="Z470" s="51">
        <v>1</v>
      </c>
      <c r="AA470" s="51">
        <v>1</v>
      </c>
      <c r="AB470" s="51">
        <v>1</v>
      </c>
      <c r="AC470" s="51">
        <v>1</v>
      </c>
    </row>
    <row r="471" spans="2:29" ht="15.6" x14ac:dyDescent="0.55000000000000004">
      <c r="B471" s="1"/>
      <c r="C471" s="52" t="str">
        <f>$Q$8</f>
        <v>Weixin</v>
      </c>
      <c r="D471" s="51">
        <f t="shared" ref="D471:O471" si="132">C8+D8</f>
        <v>0</v>
      </c>
      <c r="E471" s="51">
        <f t="shared" si="132"/>
        <v>0</v>
      </c>
      <c r="F471" s="51">
        <f t="shared" si="132"/>
        <v>0</v>
      </c>
      <c r="G471" s="51">
        <f t="shared" si="132"/>
        <v>0</v>
      </c>
      <c r="H471" s="51">
        <f t="shared" si="132"/>
        <v>0</v>
      </c>
      <c r="I471" s="51">
        <f t="shared" si="132"/>
        <v>0</v>
      </c>
      <c r="J471" s="51">
        <f t="shared" si="132"/>
        <v>0</v>
      </c>
      <c r="K471" s="51">
        <f t="shared" si="132"/>
        <v>0</v>
      </c>
      <c r="L471" s="51">
        <f t="shared" si="132"/>
        <v>0</v>
      </c>
      <c r="M471" s="51">
        <f t="shared" si="132"/>
        <v>0</v>
      </c>
      <c r="N471" s="51">
        <f t="shared" si="132"/>
        <v>0</v>
      </c>
      <c r="O471" s="51">
        <f t="shared" si="132"/>
        <v>0</v>
      </c>
      <c r="P471" s="28" t="s">
        <v>18</v>
      </c>
      <c r="Q471" s="52" t="str">
        <f>$Q$8</f>
        <v>Weixin</v>
      </c>
      <c r="R471" s="51">
        <v>1</v>
      </c>
      <c r="S471" s="51">
        <v>1</v>
      </c>
      <c r="T471" s="51">
        <v>1</v>
      </c>
      <c r="U471" s="51">
        <v>1</v>
      </c>
      <c r="V471" s="51">
        <v>1</v>
      </c>
      <c r="W471" s="51">
        <v>1</v>
      </c>
      <c r="X471" s="51">
        <v>1</v>
      </c>
      <c r="Y471" s="51">
        <v>1</v>
      </c>
      <c r="Z471" s="51">
        <v>1</v>
      </c>
      <c r="AA471" s="51">
        <v>1</v>
      </c>
      <c r="AB471" s="51">
        <v>1</v>
      </c>
      <c r="AC471" s="51">
        <v>1</v>
      </c>
    </row>
    <row r="472" spans="2:29" ht="15.6" x14ac:dyDescent="0.55000000000000004">
      <c r="B472" s="1"/>
      <c r="C472" s="52" t="str">
        <f>$Q$9</f>
        <v>Benjamin</v>
      </c>
      <c r="D472" s="51">
        <f t="shared" ref="D472:O472" si="133">C9+D9</f>
        <v>1</v>
      </c>
      <c r="E472" s="51">
        <f t="shared" si="133"/>
        <v>0</v>
      </c>
      <c r="F472" s="51">
        <f t="shared" si="133"/>
        <v>0</v>
      </c>
      <c r="G472" s="51">
        <f t="shared" si="133"/>
        <v>0</v>
      </c>
      <c r="H472" s="51">
        <f t="shared" si="133"/>
        <v>0</v>
      </c>
      <c r="I472" s="51">
        <f t="shared" si="133"/>
        <v>0</v>
      </c>
      <c r="J472" s="51">
        <f t="shared" si="133"/>
        <v>0</v>
      </c>
      <c r="K472" s="51">
        <f t="shared" si="133"/>
        <v>0</v>
      </c>
      <c r="L472" s="51">
        <f t="shared" si="133"/>
        <v>0</v>
      </c>
      <c r="M472" s="51">
        <f t="shared" si="133"/>
        <v>0</v>
      </c>
      <c r="N472" s="51">
        <f t="shared" si="133"/>
        <v>0</v>
      </c>
      <c r="O472" s="51">
        <f t="shared" si="133"/>
        <v>0</v>
      </c>
      <c r="P472" s="28" t="s">
        <v>18</v>
      </c>
      <c r="Q472" s="52" t="str">
        <f>$Q$9</f>
        <v>Benjamin</v>
      </c>
      <c r="R472" s="51">
        <v>1</v>
      </c>
      <c r="S472" s="51">
        <v>1</v>
      </c>
      <c r="T472" s="51">
        <v>1</v>
      </c>
      <c r="U472" s="51">
        <v>1</v>
      </c>
      <c r="V472" s="51">
        <v>1</v>
      </c>
      <c r="W472" s="51">
        <v>1</v>
      </c>
      <c r="X472" s="51">
        <v>1</v>
      </c>
      <c r="Y472" s="51">
        <v>1</v>
      </c>
      <c r="Z472" s="51">
        <v>1</v>
      </c>
      <c r="AA472" s="51">
        <v>1</v>
      </c>
      <c r="AB472" s="51">
        <v>1</v>
      </c>
      <c r="AC472" s="51">
        <v>1</v>
      </c>
    </row>
    <row r="473" spans="2:29" ht="15.6" x14ac:dyDescent="0.55000000000000004">
      <c r="B473" s="1"/>
      <c r="C473" s="52" t="str">
        <f>$Q$10</f>
        <v>Joelle</v>
      </c>
      <c r="D473" s="51">
        <f t="shared" ref="D473:O473" si="134">C10+D10</f>
        <v>1</v>
      </c>
      <c r="E473" s="51">
        <f t="shared" si="134"/>
        <v>0</v>
      </c>
      <c r="F473" s="51">
        <f t="shared" si="134"/>
        <v>0</v>
      </c>
      <c r="G473" s="51">
        <f t="shared" si="134"/>
        <v>0</v>
      </c>
      <c r="H473" s="51">
        <f t="shared" si="134"/>
        <v>0</v>
      </c>
      <c r="I473" s="51">
        <f t="shared" si="134"/>
        <v>0</v>
      </c>
      <c r="J473" s="51">
        <f t="shared" si="134"/>
        <v>0</v>
      </c>
      <c r="K473" s="51">
        <f t="shared" si="134"/>
        <v>0</v>
      </c>
      <c r="L473" s="51">
        <f t="shared" si="134"/>
        <v>0</v>
      </c>
      <c r="M473" s="51">
        <f t="shared" si="134"/>
        <v>0</v>
      </c>
      <c r="N473" s="51">
        <f t="shared" si="134"/>
        <v>0</v>
      </c>
      <c r="O473" s="51">
        <f t="shared" si="134"/>
        <v>0</v>
      </c>
      <c r="P473" s="28" t="s">
        <v>18</v>
      </c>
      <c r="Q473" s="52" t="str">
        <f>$Q$10</f>
        <v>Joelle</v>
      </c>
      <c r="R473" s="51">
        <v>1</v>
      </c>
      <c r="S473" s="51">
        <v>1</v>
      </c>
      <c r="T473" s="51">
        <v>1</v>
      </c>
      <c r="U473" s="51">
        <v>1</v>
      </c>
      <c r="V473" s="51">
        <v>1</v>
      </c>
      <c r="W473" s="51">
        <v>1</v>
      </c>
      <c r="X473" s="51">
        <v>1</v>
      </c>
      <c r="Y473" s="51">
        <v>1</v>
      </c>
      <c r="Z473" s="51">
        <v>1</v>
      </c>
      <c r="AA473" s="51">
        <v>1</v>
      </c>
      <c r="AB473" s="51">
        <v>1</v>
      </c>
      <c r="AC473" s="51">
        <v>1</v>
      </c>
    </row>
    <row r="474" spans="2:29" ht="15.6" x14ac:dyDescent="0.55000000000000004">
      <c r="B474" s="1"/>
      <c r="C474" s="52" t="str">
        <f>$Q$11</f>
        <v>Alexia</v>
      </c>
      <c r="D474" s="51">
        <f t="shared" ref="D474:O474" si="135">C11+D11</f>
        <v>0</v>
      </c>
      <c r="E474" s="51">
        <f t="shared" si="135"/>
        <v>0</v>
      </c>
      <c r="F474" s="51">
        <f t="shared" si="135"/>
        <v>0</v>
      </c>
      <c r="G474" s="51">
        <f t="shared" si="135"/>
        <v>0</v>
      </c>
      <c r="H474" s="51">
        <f t="shared" si="135"/>
        <v>0</v>
      </c>
      <c r="I474" s="51">
        <f t="shared" si="135"/>
        <v>0</v>
      </c>
      <c r="J474" s="51">
        <f t="shared" si="135"/>
        <v>0</v>
      </c>
      <c r="K474" s="51">
        <f t="shared" si="135"/>
        <v>0</v>
      </c>
      <c r="L474" s="51">
        <f t="shared" si="135"/>
        <v>0</v>
      </c>
      <c r="M474" s="51">
        <f t="shared" si="135"/>
        <v>0</v>
      </c>
      <c r="N474" s="51">
        <f t="shared" si="135"/>
        <v>0</v>
      </c>
      <c r="O474" s="51">
        <f t="shared" si="135"/>
        <v>0</v>
      </c>
      <c r="P474" s="28" t="s">
        <v>18</v>
      </c>
      <c r="Q474" s="52" t="str">
        <f>$Q$11</f>
        <v>Alexia</v>
      </c>
      <c r="R474" s="51">
        <v>1</v>
      </c>
      <c r="S474" s="51">
        <v>1</v>
      </c>
      <c r="T474" s="51">
        <v>1</v>
      </c>
      <c r="U474" s="51">
        <v>1</v>
      </c>
      <c r="V474" s="51">
        <v>1</v>
      </c>
      <c r="W474" s="51">
        <v>1</v>
      </c>
      <c r="X474" s="51">
        <v>1</v>
      </c>
      <c r="Y474" s="51">
        <v>1</v>
      </c>
      <c r="Z474" s="51">
        <v>1</v>
      </c>
      <c r="AA474" s="51">
        <v>1</v>
      </c>
      <c r="AB474" s="51">
        <v>1</v>
      </c>
      <c r="AC474" s="51">
        <v>1</v>
      </c>
    </row>
    <row r="475" spans="2:29" ht="15.6" x14ac:dyDescent="0.55000000000000004">
      <c r="B475" s="1"/>
      <c r="C475" s="52" t="str">
        <f>$Q$12</f>
        <v>Joao</v>
      </c>
      <c r="D475" s="51">
        <f t="shared" ref="D475:O475" si="136">C12+D12</f>
        <v>0</v>
      </c>
      <c r="E475" s="51">
        <f t="shared" si="136"/>
        <v>0</v>
      </c>
      <c r="F475" s="51">
        <f t="shared" si="136"/>
        <v>0</v>
      </c>
      <c r="G475" s="51">
        <f t="shared" si="136"/>
        <v>0</v>
      </c>
      <c r="H475" s="51">
        <f t="shared" si="136"/>
        <v>0</v>
      </c>
      <c r="I475" s="51">
        <f t="shared" si="136"/>
        <v>0</v>
      </c>
      <c r="J475" s="51">
        <f t="shared" si="136"/>
        <v>0</v>
      </c>
      <c r="K475" s="51">
        <f t="shared" si="136"/>
        <v>0</v>
      </c>
      <c r="L475" s="51">
        <f t="shared" si="136"/>
        <v>0</v>
      </c>
      <c r="M475" s="51">
        <f t="shared" si="136"/>
        <v>0</v>
      </c>
      <c r="N475" s="51">
        <f t="shared" si="136"/>
        <v>0</v>
      </c>
      <c r="O475" s="51">
        <f t="shared" si="136"/>
        <v>0</v>
      </c>
      <c r="P475" s="28" t="s">
        <v>18</v>
      </c>
      <c r="Q475" s="52" t="str">
        <f>$Q$12</f>
        <v>Joao</v>
      </c>
      <c r="R475" s="51">
        <v>1</v>
      </c>
      <c r="S475" s="51">
        <v>1</v>
      </c>
      <c r="T475" s="51">
        <v>1</v>
      </c>
      <c r="U475" s="51">
        <v>1</v>
      </c>
      <c r="V475" s="51">
        <v>1</v>
      </c>
      <c r="W475" s="51">
        <v>1</v>
      </c>
      <c r="X475" s="51">
        <v>1</v>
      </c>
      <c r="Y475" s="51">
        <v>1</v>
      </c>
      <c r="Z475" s="51">
        <v>1</v>
      </c>
      <c r="AA475" s="51">
        <v>1</v>
      </c>
      <c r="AB475" s="51">
        <v>1</v>
      </c>
      <c r="AC475" s="51">
        <v>1</v>
      </c>
    </row>
    <row r="476" spans="2:29" ht="15.6" x14ac:dyDescent="0.55000000000000004">
      <c r="B476" s="1"/>
      <c r="C476" s="57" t="str">
        <f>$Q$13</f>
        <v>Maxime</v>
      </c>
      <c r="D476" s="51">
        <f t="shared" ref="D476:O476" si="137">C13+D13</f>
        <v>1</v>
      </c>
      <c r="E476" s="51">
        <f t="shared" si="137"/>
        <v>0</v>
      </c>
      <c r="F476" s="51">
        <f t="shared" si="137"/>
        <v>0</v>
      </c>
      <c r="G476" s="51">
        <f t="shared" si="137"/>
        <v>0</v>
      </c>
      <c r="H476" s="51">
        <f t="shared" si="137"/>
        <v>0</v>
      </c>
      <c r="I476" s="51">
        <f t="shared" si="137"/>
        <v>0</v>
      </c>
      <c r="J476" s="51">
        <f t="shared" si="137"/>
        <v>0</v>
      </c>
      <c r="K476" s="51">
        <f t="shared" si="137"/>
        <v>0</v>
      </c>
      <c r="L476" s="51">
        <f t="shared" si="137"/>
        <v>0</v>
      </c>
      <c r="M476" s="51">
        <f t="shared" si="137"/>
        <v>0</v>
      </c>
      <c r="N476" s="51">
        <f t="shared" si="137"/>
        <v>0</v>
      </c>
      <c r="O476" s="51">
        <f t="shared" si="137"/>
        <v>0</v>
      </c>
      <c r="P476" s="28" t="s">
        <v>18</v>
      </c>
      <c r="Q476" s="57" t="str">
        <f>$Q$13</f>
        <v>Maxime</v>
      </c>
      <c r="R476" s="51">
        <v>1</v>
      </c>
      <c r="S476" s="51">
        <v>1</v>
      </c>
      <c r="T476" s="51">
        <v>1</v>
      </c>
      <c r="U476" s="51">
        <v>1</v>
      </c>
      <c r="V476" s="51">
        <v>1</v>
      </c>
      <c r="W476" s="51">
        <v>1</v>
      </c>
      <c r="X476" s="51">
        <v>1</v>
      </c>
      <c r="Y476" s="51">
        <v>1</v>
      </c>
      <c r="Z476" s="51">
        <v>1</v>
      </c>
      <c r="AA476" s="51">
        <v>1</v>
      </c>
      <c r="AB476" s="51">
        <v>1</v>
      </c>
      <c r="AC476" s="51">
        <v>1</v>
      </c>
    </row>
    <row r="477" spans="2:29" ht="15.6" x14ac:dyDescent="0.55000000000000004">
      <c r="B477" s="1"/>
      <c r="C477" s="46" t="str">
        <f>$Q$14</f>
        <v>Alex</v>
      </c>
      <c r="D477" s="51">
        <f t="shared" ref="D477:O477" si="138">C14+D14</f>
        <v>1</v>
      </c>
      <c r="E477" s="51">
        <f t="shared" si="138"/>
        <v>0</v>
      </c>
      <c r="F477" s="51">
        <f t="shared" si="138"/>
        <v>0</v>
      </c>
      <c r="G477" s="51">
        <f t="shared" si="138"/>
        <v>0</v>
      </c>
      <c r="H477" s="51">
        <f t="shared" si="138"/>
        <v>0</v>
      </c>
      <c r="I477" s="51">
        <f t="shared" si="138"/>
        <v>0</v>
      </c>
      <c r="J477" s="51">
        <f t="shared" si="138"/>
        <v>0</v>
      </c>
      <c r="K477" s="51">
        <f t="shared" si="138"/>
        <v>0</v>
      </c>
      <c r="L477" s="51">
        <f t="shared" si="138"/>
        <v>0</v>
      </c>
      <c r="M477" s="51">
        <f t="shared" si="138"/>
        <v>0</v>
      </c>
      <c r="N477" s="51">
        <f t="shared" si="138"/>
        <v>0</v>
      </c>
      <c r="O477" s="51">
        <f t="shared" si="138"/>
        <v>0</v>
      </c>
      <c r="P477" s="28" t="s">
        <v>18</v>
      </c>
      <c r="Q477" s="46" t="str">
        <f>$Q$14</f>
        <v>Alex</v>
      </c>
      <c r="R477" s="51">
        <v>1</v>
      </c>
      <c r="S477" s="51">
        <v>1</v>
      </c>
      <c r="T477" s="51">
        <v>1</v>
      </c>
      <c r="U477" s="51">
        <v>1</v>
      </c>
      <c r="V477" s="51">
        <v>1</v>
      </c>
      <c r="W477" s="51">
        <v>1</v>
      </c>
      <c r="X477" s="51">
        <v>1</v>
      </c>
      <c r="Y477" s="51">
        <v>1</v>
      </c>
      <c r="Z477" s="51">
        <v>1</v>
      </c>
      <c r="AA477" s="51">
        <v>1</v>
      </c>
      <c r="AB477" s="51">
        <v>1</v>
      </c>
      <c r="AC477" s="51">
        <v>1</v>
      </c>
    </row>
    <row r="478" spans="2:29" ht="15.6" x14ac:dyDescent="0.55000000000000004">
      <c r="B478" s="1"/>
      <c r="C478" s="52" t="str">
        <f>$Q$15</f>
        <v>Alyssa</v>
      </c>
      <c r="D478" s="51">
        <f t="shared" ref="D478:O478" si="139">C15+D15</f>
        <v>0</v>
      </c>
      <c r="E478" s="51">
        <f t="shared" si="139"/>
        <v>0</v>
      </c>
      <c r="F478" s="51">
        <f t="shared" si="139"/>
        <v>0</v>
      </c>
      <c r="G478" s="51">
        <f t="shared" si="139"/>
        <v>0</v>
      </c>
      <c r="H478" s="51">
        <f t="shared" si="139"/>
        <v>0</v>
      </c>
      <c r="I478" s="51">
        <f t="shared" si="139"/>
        <v>0</v>
      </c>
      <c r="J478" s="51">
        <f t="shared" si="139"/>
        <v>0</v>
      </c>
      <c r="K478" s="51">
        <f t="shared" si="139"/>
        <v>0</v>
      </c>
      <c r="L478" s="51">
        <f t="shared" si="139"/>
        <v>0</v>
      </c>
      <c r="M478" s="51">
        <f t="shared" si="139"/>
        <v>0</v>
      </c>
      <c r="N478" s="51">
        <f t="shared" si="139"/>
        <v>0</v>
      </c>
      <c r="O478" s="51">
        <f t="shared" si="139"/>
        <v>0</v>
      </c>
      <c r="P478" s="28" t="s">
        <v>18</v>
      </c>
      <c r="Q478" s="52" t="str">
        <f>$Q$15</f>
        <v>Alyssa</v>
      </c>
      <c r="R478" s="51">
        <v>1</v>
      </c>
      <c r="S478" s="51">
        <v>1</v>
      </c>
      <c r="T478" s="51">
        <v>1</v>
      </c>
      <c r="U478" s="51">
        <v>1</v>
      </c>
      <c r="V478" s="51">
        <v>1</v>
      </c>
      <c r="W478" s="51">
        <v>1</v>
      </c>
      <c r="X478" s="51">
        <v>1</v>
      </c>
      <c r="Y478" s="51">
        <v>1</v>
      </c>
      <c r="Z478" s="51">
        <v>1</v>
      </c>
      <c r="AA478" s="51">
        <v>1</v>
      </c>
      <c r="AB478" s="51">
        <v>1</v>
      </c>
      <c r="AC478" s="51">
        <v>1</v>
      </c>
    </row>
    <row r="479" spans="2:29" ht="15.6" x14ac:dyDescent="0.55000000000000004">
      <c r="B479" s="1"/>
      <c r="C479" s="52" t="str">
        <f>$Q$16</f>
        <v>Amanda</v>
      </c>
      <c r="D479" s="51">
        <f t="shared" ref="D479:O479" si="140">C16+D16</f>
        <v>0</v>
      </c>
      <c r="E479" s="51">
        <f t="shared" si="140"/>
        <v>0</v>
      </c>
      <c r="F479" s="51">
        <f t="shared" si="140"/>
        <v>0</v>
      </c>
      <c r="G479" s="51">
        <f t="shared" si="140"/>
        <v>0</v>
      </c>
      <c r="H479" s="51">
        <f t="shared" si="140"/>
        <v>0</v>
      </c>
      <c r="I479" s="51">
        <f t="shared" si="140"/>
        <v>0</v>
      </c>
      <c r="J479" s="51">
        <f t="shared" si="140"/>
        <v>0</v>
      </c>
      <c r="K479" s="51">
        <f t="shared" si="140"/>
        <v>0</v>
      </c>
      <c r="L479" s="51">
        <f t="shared" si="140"/>
        <v>0</v>
      </c>
      <c r="M479" s="51">
        <f t="shared" si="140"/>
        <v>0</v>
      </c>
      <c r="N479" s="51">
        <f t="shared" si="140"/>
        <v>0</v>
      </c>
      <c r="O479" s="51">
        <f t="shared" si="140"/>
        <v>0</v>
      </c>
      <c r="P479" s="28" t="s">
        <v>18</v>
      </c>
      <c r="Q479" s="52" t="str">
        <f>$Q$16</f>
        <v>Amanda</v>
      </c>
      <c r="R479" s="51">
        <v>1</v>
      </c>
      <c r="S479" s="51">
        <v>1</v>
      </c>
      <c r="T479" s="51">
        <v>1</v>
      </c>
      <c r="U479" s="51">
        <v>1</v>
      </c>
      <c r="V479" s="51">
        <v>1</v>
      </c>
      <c r="W479" s="51">
        <v>1</v>
      </c>
      <c r="X479" s="51">
        <v>1</v>
      </c>
      <c r="Y479" s="51">
        <v>1</v>
      </c>
      <c r="Z479" s="51">
        <v>1</v>
      </c>
      <c r="AA479" s="51">
        <v>1</v>
      </c>
      <c r="AB479" s="51">
        <v>1</v>
      </c>
      <c r="AC479" s="51">
        <v>1</v>
      </c>
    </row>
    <row r="480" spans="2:29" ht="15.6" x14ac:dyDescent="0.55000000000000004">
      <c r="B480" s="1"/>
      <c r="C480" s="52" t="str">
        <f>$Q$17</f>
        <v>Antoine</v>
      </c>
      <c r="D480" s="51">
        <f t="shared" ref="D480:O480" si="141">C17+D17</f>
        <v>1</v>
      </c>
      <c r="E480" s="51">
        <f t="shared" si="141"/>
        <v>0</v>
      </c>
      <c r="F480" s="51">
        <f t="shared" si="141"/>
        <v>0</v>
      </c>
      <c r="G480" s="51">
        <f t="shared" si="141"/>
        <v>0</v>
      </c>
      <c r="H480" s="51">
        <f t="shared" si="141"/>
        <v>0</v>
      </c>
      <c r="I480" s="51">
        <f t="shared" si="141"/>
        <v>0</v>
      </c>
      <c r="J480" s="51">
        <f t="shared" si="141"/>
        <v>0</v>
      </c>
      <c r="K480" s="51">
        <f t="shared" si="141"/>
        <v>0</v>
      </c>
      <c r="L480" s="51">
        <f t="shared" si="141"/>
        <v>0</v>
      </c>
      <c r="M480" s="51">
        <f t="shared" si="141"/>
        <v>0</v>
      </c>
      <c r="N480" s="51">
        <f t="shared" si="141"/>
        <v>0</v>
      </c>
      <c r="O480" s="51">
        <f t="shared" si="141"/>
        <v>0</v>
      </c>
      <c r="P480" s="28" t="s">
        <v>18</v>
      </c>
      <c r="Q480" s="52" t="str">
        <f>$Q$17</f>
        <v>Antoine</v>
      </c>
      <c r="R480" s="51">
        <v>1</v>
      </c>
      <c r="S480" s="51">
        <v>1</v>
      </c>
      <c r="T480" s="51">
        <v>1</v>
      </c>
      <c r="U480" s="51">
        <v>1</v>
      </c>
      <c r="V480" s="51">
        <v>1</v>
      </c>
      <c r="W480" s="51">
        <v>1</v>
      </c>
      <c r="X480" s="51">
        <v>1</v>
      </c>
      <c r="Y480" s="51">
        <v>1</v>
      </c>
      <c r="Z480" s="51">
        <v>1</v>
      </c>
      <c r="AA480" s="51">
        <v>1</v>
      </c>
      <c r="AB480" s="51">
        <v>1</v>
      </c>
      <c r="AC480" s="51">
        <v>1</v>
      </c>
    </row>
    <row r="481" spans="2:29" ht="15.6" x14ac:dyDescent="0.55000000000000004">
      <c r="B481" s="1"/>
      <c r="C481" s="52" t="str">
        <f>$Q$18</f>
        <v>Beatriz</v>
      </c>
      <c r="D481" s="51">
        <f t="shared" ref="D481:O481" si="142">C18+D18</f>
        <v>1</v>
      </c>
      <c r="E481" s="51">
        <f t="shared" si="142"/>
        <v>0</v>
      </c>
      <c r="F481" s="51">
        <f t="shared" si="142"/>
        <v>0</v>
      </c>
      <c r="G481" s="51">
        <f t="shared" si="142"/>
        <v>0</v>
      </c>
      <c r="H481" s="51">
        <f t="shared" si="142"/>
        <v>0</v>
      </c>
      <c r="I481" s="51">
        <f t="shared" si="142"/>
        <v>0</v>
      </c>
      <c r="J481" s="51">
        <f t="shared" si="142"/>
        <v>0</v>
      </c>
      <c r="K481" s="51">
        <f t="shared" si="142"/>
        <v>0</v>
      </c>
      <c r="L481" s="51">
        <f t="shared" si="142"/>
        <v>0</v>
      </c>
      <c r="M481" s="51">
        <f t="shared" si="142"/>
        <v>0</v>
      </c>
      <c r="N481" s="51">
        <f t="shared" si="142"/>
        <v>0</v>
      </c>
      <c r="O481" s="51">
        <f t="shared" si="142"/>
        <v>0</v>
      </c>
      <c r="P481" s="28" t="s">
        <v>18</v>
      </c>
      <c r="Q481" s="52" t="str">
        <f>$Q$18</f>
        <v>Beatriz</v>
      </c>
      <c r="R481" s="51">
        <v>1</v>
      </c>
      <c r="S481" s="51">
        <v>1</v>
      </c>
      <c r="T481" s="51">
        <v>1</v>
      </c>
      <c r="U481" s="51">
        <v>1</v>
      </c>
      <c r="V481" s="51">
        <v>1</v>
      </c>
      <c r="W481" s="51">
        <v>1</v>
      </c>
      <c r="X481" s="51">
        <v>1</v>
      </c>
      <c r="Y481" s="51">
        <v>1</v>
      </c>
      <c r="Z481" s="51">
        <v>1</v>
      </c>
      <c r="AA481" s="51">
        <v>1</v>
      </c>
      <c r="AB481" s="51">
        <v>1</v>
      </c>
      <c r="AC481" s="51">
        <v>1</v>
      </c>
    </row>
    <row r="482" spans="2:29" ht="15.6" x14ac:dyDescent="0.55000000000000004">
      <c r="B482" s="1"/>
      <c r="C482" s="52" t="str">
        <f>$Q$19</f>
        <v>Charelle</v>
      </c>
      <c r="D482" s="51">
        <f t="shared" ref="D482:O482" si="143">C19+D19</f>
        <v>0</v>
      </c>
      <c r="E482" s="51">
        <f t="shared" si="143"/>
        <v>0</v>
      </c>
      <c r="F482" s="51">
        <f t="shared" si="143"/>
        <v>0</v>
      </c>
      <c r="G482" s="51">
        <f t="shared" si="143"/>
        <v>0</v>
      </c>
      <c r="H482" s="51">
        <f t="shared" si="143"/>
        <v>0</v>
      </c>
      <c r="I482" s="51">
        <f t="shared" si="143"/>
        <v>0</v>
      </c>
      <c r="J482" s="51">
        <f t="shared" si="143"/>
        <v>0</v>
      </c>
      <c r="K482" s="51">
        <f t="shared" si="143"/>
        <v>0</v>
      </c>
      <c r="L482" s="51">
        <f t="shared" si="143"/>
        <v>0</v>
      </c>
      <c r="M482" s="51">
        <f t="shared" si="143"/>
        <v>0</v>
      </c>
      <c r="N482" s="51">
        <f t="shared" si="143"/>
        <v>0</v>
      </c>
      <c r="O482" s="51">
        <f t="shared" si="143"/>
        <v>0</v>
      </c>
      <c r="P482" s="28" t="s">
        <v>18</v>
      </c>
      <c r="Q482" s="52" t="str">
        <f>$Q$19</f>
        <v>Charelle</v>
      </c>
      <c r="R482" s="51">
        <v>1</v>
      </c>
      <c r="S482" s="51">
        <v>1</v>
      </c>
      <c r="T482" s="51">
        <v>1</v>
      </c>
      <c r="U482" s="51">
        <v>1</v>
      </c>
      <c r="V482" s="51">
        <v>1</v>
      </c>
      <c r="W482" s="51">
        <v>1</v>
      </c>
      <c r="X482" s="51">
        <v>1</v>
      </c>
      <c r="Y482" s="51">
        <v>1</v>
      </c>
      <c r="Z482" s="51">
        <v>1</v>
      </c>
      <c r="AA482" s="51">
        <v>1</v>
      </c>
      <c r="AB482" s="51">
        <v>1</v>
      </c>
      <c r="AC482" s="51">
        <v>1</v>
      </c>
    </row>
    <row r="483" spans="2:29" ht="15.6" x14ac:dyDescent="0.55000000000000004">
      <c r="B483" s="1"/>
      <c r="C483" s="52" t="str">
        <f>$Q$20</f>
        <v>Dimitri</v>
      </c>
      <c r="D483" s="51">
        <f t="shared" ref="D483:O483" si="144">C20+D20</f>
        <v>1</v>
      </c>
      <c r="E483" s="51">
        <f t="shared" si="144"/>
        <v>0</v>
      </c>
      <c r="F483" s="51">
        <f t="shared" si="144"/>
        <v>0</v>
      </c>
      <c r="G483" s="51">
        <f t="shared" si="144"/>
        <v>0</v>
      </c>
      <c r="H483" s="51">
        <f t="shared" si="144"/>
        <v>0</v>
      </c>
      <c r="I483" s="51">
        <f t="shared" si="144"/>
        <v>0</v>
      </c>
      <c r="J483" s="51">
        <f t="shared" si="144"/>
        <v>0</v>
      </c>
      <c r="K483" s="51">
        <f t="shared" si="144"/>
        <v>0</v>
      </c>
      <c r="L483" s="51">
        <f t="shared" si="144"/>
        <v>0</v>
      </c>
      <c r="M483" s="51">
        <f t="shared" si="144"/>
        <v>0</v>
      </c>
      <c r="N483" s="51">
        <f t="shared" si="144"/>
        <v>0</v>
      </c>
      <c r="O483" s="51">
        <f t="shared" si="144"/>
        <v>0</v>
      </c>
      <c r="P483" s="28" t="s">
        <v>18</v>
      </c>
      <c r="Q483" s="52" t="str">
        <f>$Q$20</f>
        <v>Dimitri</v>
      </c>
      <c r="R483" s="51">
        <v>1</v>
      </c>
      <c r="S483" s="51">
        <v>1</v>
      </c>
      <c r="T483" s="51">
        <v>1</v>
      </c>
      <c r="U483" s="51">
        <v>1</v>
      </c>
      <c r="V483" s="51">
        <v>1</v>
      </c>
      <c r="W483" s="51">
        <v>1</v>
      </c>
      <c r="X483" s="51">
        <v>1</v>
      </c>
      <c r="Y483" s="51">
        <v>1</v>
      </c>
      <c r="Z483" s="51">
        <v>1</v>
      </c>
      <c r="AA483" s="51">
        <v>1</v>
      </c>
      <c r="AB483" s="51">
        <v>1</v>
      </c>
      <c r="AC483" s="51">
        <v>1</v>
      </c>
    </row>
    <row r="484" spans="2:29" ht="15.6" x14ac:dyDescent="0.55000000000000004">
      <c r="B484" s="1"/>
      <c r="C484" s="52" t="str">
        <f>$Q$21</f>
        <v>Marina</v>
      </c>
      <c r="D484" s="51">
        <f t="shared" ref="D484:O484" si="145">C21+D21</f>
        <v>0</v>
      </c>
      <c r="E484" s="51">
        <f t="shared" si="145"/>
        <v>0</v>
      </c>
      <c r="F484" s="51">
        <f t="shared" si="145"/>
        <v>0</v>
      </c>
      <c r="G484" s="51">
        <f t="shared" si="145"/>
        <v>0</v>
      </c>
      <c r="H484" s="51">
        <f t="shared" si="145"/>
        <v>0</v>
      </c>
      <c r="I484" s="51">
        <f t="shared" si="145"/>
        <v>0</v>
      </c>
      <c r="J484" s="51">
        <f t="shared" si="145"/>
        <v>0</v>
      </c>
      <c r="K484" s="51">
        <f t="shared" si="145"/>
        <v>0</v>
      </c>
      <c r="L484" s="51">
        <f t="shared" si="145"/>
        <v>0</v>
      </c>
      <c r="M484" s="51">
        <f t="shared" si="145"/>
        <v>0</v>
      </c>
      <c r="N484" s="51">
        <f t="shared" si="145"/>
        <v>0</v>
      </c>
      <c r="O484" s="51">
        <f t="shared" si="145"/>
        <v>0</v>
      </c>
      <c r="P484" s="28" t="s">
        <v>18</v>
      </c>
      <c r="Q484" s="52" t="str">
        <f>$Q$21</f>
        <v>Marina</v>
      </c>
      <c r="R484" s="51">
        <v>1</v>
      </c>
      <c r="S484" s="51">
        <v>1</v>
      </c>
      <c r="T484" s="51">
        <v>1</v>
      </c>
      <c r="U484" s="51">
        <v>1</v>
      </c>
      <c r="V484" s="51">
        <v>1</v>
      </c>
      <c r="W484" s="51">
        <v>1</v>
      </c>
      <c r="X484" s="51">
        <v>1</v>
      </c>
      <c r="Y484" s="51">
        <v>1</v>
      </c>
      <c r="Z484" s="51">
        <v>1</v>
      </c>
      <c r="AA484" s="51">
        <v>1</v>
      </c>
      <c r="AB484" s="51">
        <v>1</v>
      </c>
      <c r="AC484" s="51">
        <v>1</v>
      </c>
    </row>
    <row r="485" spans="2:29" ht="15.6" x14ac:dyDescent="0.55000000000000004">
      <c r="B485" s="1"/>
      <c r="C485" s="52" t="str">
        <f>$Q$22</f>
        <v>Michel</v>
      </c>
      <c r="D485" s="51">
        <f t="shared" ref="D485:O485" si="146">C22+D22</f>
        <v>0</v>
      </c>
      <c r="E485" s="51">
        <f t="shared" si="146"/>
        <v>0</v>
      </c>
      <c r="F485" s="51">
        <f t="shared" si="146"/>
        <v>0</v>
      </c>
      <c r="G485" s="51">
        <f t="shared" si="146"/>
        <v>0</v>
      </c>
      <c r="H485" s="51">
        <f t="shared" si="146"/>
        <v>0</v>
      </c>
      <c r="I485" s="51">
        <f t="shared" si="146"/>
        <v>0</v>
      </c>
      <c r="J485" s="51">
        <f t="shared" si="146"/>
        <v>0</v>
      </c>
      <c r="K485" s="51">
        <f t="shared" si="146"/>
        <v>0</v>
      </c>
      <c r="L485" s="51">
        <f t="shared" si="146"/>
        <v>0</v>
      </c>
      <c r="M485" s="51">
        <f t="shared" si="146"/>
        <v>0</v>
      </c>
      <c r="N485" s="51">
        <f t="shared" si="146"/>
        <v>0</v>
      </c>
      <c r="O485" s="51">
        <f t="shared" si="146"/>
        <v>0</v>
      </c>
      <c r="P485" s="28" t="s">
        <v>18</v>
      </c>
      <c r="Q485" s="52" t="str">
        <f>$Q$22</f>
        <v>Michel</v>
      </c>
      <c r="R485" s="51">
        <v>1</v>
      </c>
      <c r="S485" s="51">
        <v>1</v>
      </c>
      <c r="T485" s="51">
        <v>1</v>
      </c>
      <c r="U485" s="51">
        <v>1</v>
      </c>
      <c r="V485" s="51">
        <v>1</v>
      </c>
      <c r="W485" s="51">
        <v>1</v>
      </c>
      <c r="X485" s="51">
        <v>1</v>
      </c>
      <c r="Y485" s="51">
        <v>1</v>
      </c>
      <c r="Z485" s="51">
        <v>1</v>
      </c>
      <c r="AA485" s="51">
        <v>1</v>
      </c>
      <c r="AB485" s="51">
        <v>1</v>
      </c>
      <c r="AC485" s="51">
        <v>1</v>
      </c>
    </row>
    <row r="486" spans="2:29" ht="15.6" x14ac:dyDescent="0.55000000000000004">
      <c r="B486" s="1"/>
      <c r="C486" s="52" t="str">
        <f>$Q$23</f>
        <v>Nour</v>
      </c>
      <c r="D486" s="51">
        <f t="shared" ref="D486:O486" si="147">C23+D23</f>
        <v>0</v>
      </c>
      <c r="E486" s="51">
        <f t="shared" si="147"/>
        <v>0</v>
      </c>
      <c r="F486" s="51">
        <f t="shared" si="147"/>
        <v>0</v>
      </c>
      <c r="G486" s="51">
        <f t="shared" si="147"/>
        <v>0</v>
      </c>
      <c r="H486" s="51">
        <f t="shared" si="147"/>
        <v>0</v>
      </c>
      <c r="I486" s="51">
        <f t="shared" si="147"/>
        <v>0</v>
      </c>
      <c r="J486" s="51">
        <f t="shared" si="147"/>
        <v>0</v>
      </c>
      <c r="K486" s="51">
        <f t="shared" si="147"/>
        <v>0</v>
      </c>
      <c r="L486" s="51">
        <f t="shared" si="147"/>
        <v>0</v>
      </c>
      <c r="M486" s="51">
        <f t="shared" si="147"/>
        <v>0</v>
      </c>
      <c r="N486" s="51">
        <f t="shared" si="147"/>
        <v>0</v>
      </c>
      <c r="O486" s="51">
        <f t="shared" si="147"/>
        <v>0</v>
      </c>
      <c r="P486" s="28" t="s">
        <v>18</v>
      </c>
      <c r="Q486" s="52" t="str">
        <f>$Q$23</f>
        <v>Nour</v>
      </c>
      <c r="R486" s="51">
        <v>1</v>
      </c>
      <c r="S486" s="51">
        <v>1</v>
      </c>
      <c r="T486" s="51">
        <v>1</v>
      </c>
      <c r="U486" s="51">
        <v>1</v>
      </c>
      <c r="V486" s="51">
        <v>1</v>
      </c>
      <c r="W486" s="51">
        <v>1</v>
      </c>
      <c r="X486" s="51">
        <v>1</v>
      </c>
      <c r="Y486" s="51">
        <v>1</v>
      </c>
      <c r="Z486" s="51">
        <v>1</v>
      </c>
      <c r="AA486" s="51">
        <v>1</v>
      </c>
      <c r="AB486" s="51">
        <v>1</v>
      </c>
      <c r="AC486" s="51">
        <v>1</v>
      </c>
    </row>
    <row r="487" spans="2:29" ht="15.6" x14ac:dyDescent="0.55000000000000004">
      <c r="B487" s="1"/>
      <c r="C487" s="52" t="str">
        <f>$Q$24</f>
        <v>Samuel</v>
      </c>
      <c r="D487" s="51">
        <f t="shared" ref="D487:O487" si="148">C24+D24</f>
        <v>1</v>
      </c>
      <c r="E487" s="51">
        <f t="shared" si="148"/>
        <v>0</v>
      </c>
      <c r="F487" s="51">
        <f t="shared" si="148"/>
        <v>0</v>
      </c>
      <c r="G487" s="51">
        <f t="shared" si="148"/>
        <v>0</v>
      </c>
      <c r="H487" s="51">
        <f t="shared" si="148"/>
        <v>0</v>
      </c>
      <c r="I487" s="51">
        <f t="shared" si="148"/>
        <v>0</v>
      </c>
      <c r="J487" s="51">
        <f t="shared" si="148"/>
        <v>0</v>
      </c>
      <c r="K487" s="51">
        <f t="shared" si="148"/>
        <v>0</v>
      </c>
      <c r="L487" s="51">
        <f t="shared" si="148"/>
        <v>0</v>
      </c>
      <c r="M487" s="51">
        <f t="shared" si="148"/>
        <v>0</v>
      </c>
      <c r="N487" s="51">
        <f t="shared" si="148"/>
        <v>0</v>
      </c>
      <c r="O487" s="51">
        <f t="shared" si="148"/>
        <v>0</v>
      </c>
      <c r="P487" s="28" t="s">
        <v>18</v>
      </c>
      <c r="Q487" s="52" t="str">
        <f>$Q$24</f>
        <v>Samuel</v>
      </c>
      <c r="R487" s="51">
        <v>1</v>
      </c>
      <c r="S487" s="51">
        <v>1</v>
      </c>
      <c r="T487" s="51">
        <v>1</v>
      </c>
      <c r="U487" s="51">
        <v>1</v>
      </c>
      <c r="V487" s="51">
        <v>1</v>
      </c>
      <c r="W487" s="51">
        <v>1</v>
      </c>
      <c r="X487" s="51">
        <v>1</v>
      </c>
      <c r="Y487" s="51">
        <v>1</v>
      </c>
      <c r="Z487" s="51">
        <v>1</v>
      </c>
      <c r="AA487" s="51">
        <v>1</v>
      </c>
      <c r="AB487" s="51">
        <v>1</v>
      </c>
      <c r="AC487" s="51">
        <v>1</v>
      </c>
    </row>
    <row r="488" spans="2:29" ht="15.6" x14ac:dyDescent="0.55000000000000004">
      <c r="B488" s="1"/>
      <c r="C488" s="52" t="str">
        <f>$Q$25</f>
        <v>Yassin</v>
      </c>
      <c r="D488" s="51">
        <f t="shared" ref="D488:O488" si="149">C25+D25</f>
        <v>1</v>
      </c>
      <c r="E488" s="51">
        <f t="shared" si="149"/>
        <v>0</v>
      </c>
      <c r="F488" s="51">
        <f t="shared" si="149"/>
        <v>0</v>
      </c>
      <c r="G488" s="51">
        <f t="shared" si="149"/>
        <v>0</v>
      </c>
      <c r="H488" s="51">
        <f t="shared" si="149"/>
        <v>0</v>
      </c>
      <c r="I488" s="51">
        <f t="shared" si="149"/>
        <v>0</v>
      </c>
      <c r="J488" s="51">
        <f t="shared" si="149"/>
        <v>0</v>
      </c>
      <c r="K488" s="51">
        <f t="shared" si="149"/>
        <v>0</v>
      </c>
      <c r="L488" s="51">
        <f t="shared" si="149"/>
        <v>0</v>
      </c>
      <c r="M488" s="51">
        <f t="shared" si="149"/>
        <v>0</v>
      </c>
      <c r="N488" s="51">
        <f t="shared" si="149"/>
        <v>0</v>
      </c>
      <c r="O488" s="51">
        <f t="shared" si="149"/>
        <v>0</v>
      </c>
      <c r="P488" s="28" t="s">
        <v>18</v>
      </c>
      <c r="Q488" s="52" t="str">
        <f>$Q$25</f>
        <v>Yassin</v>
      </c>
      <c r="R488" s="51">
        <v>1</v>
      </c>
      <c r="S488" s="51">
        <v>1</v>
      </c>
      <c r="T488" s="51">
        <v>1</v>
      </c>
      <c r="U488" s="51">
        <v>1</v>
      </c>
      <c r="V488" s="51">
        <v>1</v>
      </c>
      <c r="W488" s="51">
        <v>1</v>
      </c>
      <c r="X488" s="51">
        <v>1</v>
      </c>
      <c r="Y488" s="51">
        <v>1</v>
      </c>
      <c r="Z488" s="51">
        <v>1</v>
      </c>
      <c r="AA488" s="51">
        <v>1</v>
      </c>
      <c r="AB488" s="51">
        <v>1</v>
      </c>
      <c r="AC488" s="51">
        <v>1</v>
      </c>
    </row>
    <row r="489" spans="2:29" ht="15.6" x14ac:dyDescent="0.55000000000000004">
      <c r="B489" s="1"/>
      <c r="C489" s="52" t="str">
        <f>$Q$26</f>
        <v>Kamar</v>
      </c>
      <c r="D489" s="51">
        <f t="shared" ref="D489:O489" si="150">C26+D26</f>
        <v>0</v>
      </c>
      <c r="E489" s="51">
        <f t="shared" si="150"/>
        <v>0</v>
      </c>
      <c r="F489" s="51">
        <f t="shared" si="150"/>
        <v>0</v>
      </c>
      <c r="G489" s="51">
        <f t="shared" si="150"/>
        <v>0</v>
      </c>
      <c r="H489" s="51">
        <f t="shared" si="150"/>
        <v>0</v>
      </c>
      <c r="I489" s="51">
        <f t="shared" si="150"/>
        <v>0</v>
      </c>
      <c r="J489" s="51">
        <f t="shared" si="150"/>
        <v>0</v>
      </c>
      <c r="K489" s="51">
        <f t="shared" si="150"/>
        <v>0</v>
      </c>
      <c r="L489" s="51">
        <f t="shared" si="150"/>
        <v>0</v>
      </c>
      <c r="M489" s="51">
        <f t="shared" si="150"/>
        <v>0</v>
      </c>
      <c r="N489" s="51">
        <f t="shared" si="150"/>
        <v>0</v>
      </c>
      <c r="O489" s="51">
        <f t="shared" si="150"/>
        <v>0</v>
      </c>
      <c r="P489" s="28" t="s">
        <v>18</v>
      </c>
      <c r="Q489" s="52" t="str">
        <f>$Q$26</f>
        <v>Kamar</v>
      </c>
      <c r="R489" s="51">
        <v>1</v>
      </c>
      <c r="S489" s="51">
        <v>1</v>
      </c>
      <c r="T489" s="51">
        <v>1</v>
      </c>
      <c r="U489" s="51">
        <v>1</v>
      </c>
      <c r="V489" s="51">
        <v>1</v>
      </c>
      <c r="W489" s="51">
        <v>1</v>
      </c>
      <c r="X489" s="51">
        <v>1</v>
      </c>
      <c r="Y489" s="51">
        <v>1</v>
      </c>
      <c r="Z489" s="51">
        <v>1</v>
      </c>
      <c r="AA489" s="51">
        <v>1</v>
      </c>
      <c r="AB489" s="51">
        <v>1</v>
      </c>
      <c r="AC489" s="51">
        <v>1</v>
      </c>
    </row>
    <row r="490" spans="2:29" x14ac:dyDescent="0.55000000000000004">
      <c r="B490" s="1"/>
      <c r="C490" s="16"/>
    </row>
    <row r="491" spans="2:29" x14ac:dyDescent="0.55000000000000004">
      <c r="B491" s="1"/>
      <c r="C491" s="16"/>
    </row>
    <row r="492" spans="2:29" ht="15.6" x14ac:dyDescent="0.55000000000000004">
      <c r="B492" s="1"/>
      <c r="C492" s="16" t="s">
        <v>82</v>
      </c>
      <c r="D492" s="40" t="str">
        <f>CONCATENATE($R$2," - ",$S$2)</f>
        <v>16h - 17h</v>
      </c>
      <c r="E492" s="41" t="str">
        <f>CONCATENATE($S$2," - ",$T$2)</f>
        <v>17h - 18h</v>
      </c>
      <c r="F492" s="41" t="str">
        <f>CONCATENATE($T$2," - ",$U$2)</f>
        <v>18h - 19h</v>
      </c>
      <c r="G492" s="41" t="str">
        <f>CONCATENATE($U$2," - ",$V$2)</f>
        <v>19h - 20h</v>
      </c>
      <c r="H492" s="41" t="str">
        <f>CONCATENATE($V$2," - ",$W$2)</f>
        <v>20h - 21h</v>
      </c>
      <c r="I492" s="41" t="str">
        <f>CONCATENATE($W$2," - ",$X$2)</f>
        <v>21h - 22h</v>
      </c>
      <c r="J492" s="41" t="str">
        <f>CONCATENATE($X$2," - ",$Y$2)</f>
        <v>22h - 23h</v>
      </c>
      <c r="K492" s="41" t="str">
        <f>CONCATENATE($Y$2," - ",$Z$2)</f>
        <v>23h - 00h</v>
      </c>
      <c r="L492" s="41" t="str">
        <f>CONCATENATE($Z$2," - ",$AA$2)</f>
        <v>00h - 01h</v>
      </c>
      <c r="M492" s="41" t="str">
        <f>CONCATENATE($AA$2," - ",$AB$2)</f>
        <v>01h - 02h</v>
      </c>
      <c r="N492" s="41" t="str">
        <f>CONCATENATE($AB$2," - ",$AC$2)</f>
        <v>02h - 03h</v>
      </c>
      <c r="O492" s="41" t="str">
        <f>CONCATENATE($AC$2," - ",$AD$2)</f>
        <v>03h - 04h</v>
      </c>
      <c r="Q492" s="16" t="s">
        <v>82</v>
      </c>
      <c r="R492" s="40" t="str">
        <f>CONCATENATE($R$2," - ",$S$2)</f>
        <v>16h - 17h</v>
      </c>
      <c r="S492" s="41" t="str">
        <f>CONCATENATE($S$2," - ",$T$2)</f>
        <v>17h - 18h</v>
      </c>
      <c r="T492" s="41" t="str">
        <f>CONCATENATE($T$2," - ",$U$2)</f>
        <v>18h - 19h</v>
      </c>
      <c r="U492" s="41" t="str">
        <f>CONCATENATE($U$2," - ",$V$2)</f>
        <v>19h - 20h</v>
      </c>
      <c r="V492" s="41" t="str">
        <f>CONCATENATE($V$2," - ",$W$2)</f>
        <v>20h - 21h</v>
      </c>
      <c r="W492" s="41" t="str">
        <f>CONCATENATE($W$2," - ",$X$2)</f>
        <v>21h - 22h</v>
      </c>
      <c r="X492" s="41" t="str">
        <f>CONCATENATE($X$2," - ",$Y$2)</f>
        <v>22h - 23h</v>
      </c>
      <c r="Y492" s="41" t="str">
        <f>CONCATENATE($Y$2," - ",$Z$2)</f>
        <v>23h - 00h</v>
      </c>
      <c r="Z492" s="41" t="str">
        <f>CONCATENATE($Z$2," - ",$AA$2)</f>
        <v>00h - 01h</v>
      </c>
      <c r="AA492" s="41" t="str">
        <f>CONCATENATE($AA$2," - ",$AB$2)</f>
        <v>01h - 02h</v>
      </c>
      <c r="AB492" s="41" t="str">
        <f>CONCATENATE($AB$2," - ",$AC$2)</f>
        <v>02h - 03h</v>
      </c>
      <c r="AC492" s="41" t="str">
        <f>CONCATENATE($AC$2," - ",$AD$2)</f>
        <v>03h - 04h</v>
      </c>
    </row>
    <row r="493" spans="2:29" ht="15.6" x14ac:dyDescent="0.55000000000000004">
      <c r="B493" s="1"/>
      <c r="C493" s="46" t="str">
        <f>$Q$3</f>
        <v>Jennifer</v>
      </c>
      <c r="D493" s="51">
        <f t="shared" ref="D493:O493" si="151">C30+D30</f>
        <v>0</v>
      </c>
      <c r="E493" s="51">
        <f t="shared" si="151"/>
        <v>0</v>
      </c>
      <c r="F493" s="51">
        <f t="shared" si="151"/>
        <v>0</v>
      </c>
      <c r="G493" s="51">
        <f t="shared" si="151"/>
        <v>0</v>
      </c>
      <c r="H493" s="51">
        <f t="shared" si="151"/>
        <v>0</v>
      </c>
      <c r="I493" s="51">
        <f t="shared" si="151"/>
        <v>0</v>
      </c>
      <c r="J493" s="51">
        <f t="shared" si="151"/>
        <v>0</v>
      </c>
      <c r="K493" s="51">
        <f t="shared" si="151"/>
        <v>0</v>
      </c>
      <c r="L493" s="51">
        <f t="shared" si="151"/>
        <v>0</v>
      </c>
      <c r="M493" s="51">
        <f t="shared" si="151"/>
        <v>0</v>
      </c>
      <c r="N493" s="51">
        <f t="shared" si="151"/>
        <v>0</v>
      </c>
      <c r="O493" s="51">
        <f t="shared" si="151"/>
        <v>0</v>
      </c>
      <c r="P493" s="28" t="s">
        <v>18</v>
      </c>
      <c r="Q493" s="46" t="str">
        <f>$Q$3</f>
        <v>Jennifer</v>
      </c>
      <c r="R493" s="51">
        <v>1</v>
      </c>
      <c r="S493" s="51">
        <v>1</v>
      </c>
      <c r="T493" s="51">
        <v>1</v>
      </c>
      <c r="U493" s="51">
        <v>1</v>
      </c>
      <c r="V493" s="51">
        <v>1</v>
      </c>
      <c r="W493" s="51">
        <v>1</v>
      </c>
      <c r="X493" s="51">
        <v>1</v>
      </c>
      <c r="Y493" s="51">
        <v>1</v>
      </c>
      <c r="Z493" s="51">
        <v>1</v>
      </c>
      <c r="AA493" s="51">
        <v>1</v>
      </c>
      <c r="AB493" s="51">
        <v>1</v>
      </c>
      <c r="AC493" s="51">
        <v>1</v>
      </c>
    </row>
    <row r="494" spans="2:29" ht="15.6" x14ac:dyDescent="0.55000000000000004">
      <c r="B494" s="1"/>
      <c r="C494" s="52" t="str">
        <f>$Q$4</f>
        <v>Galileo</v>
      </c>
      <c r="D494" s="51">
        <f t="shared" ref="D494:O494" si="152">C31+D31</f>
        <v>0</v>
      </c>
      <c r="E494" s="51">
        <f t="shared" si="152"/>
        <v>0</v>
      </c>
      <c r="F494" s="51">
        <f t="shared" si="152"/>
        <v>0</v>
      </c>
      <c r="G494" s="51">
        <f t="shared" si="152"/>
        <v>0</v>
      </c>
      <c r="H494" s="51">
        <f t="shared" si="152"/>
        <v>0</v>
      </c>
      <c r="I494" s="51">
        <f t="shared" si="152"/>
        <v>0</v>
      </c>
      <c r="J494" s="51">
        <f t="shared" si="152"/>
        <v>0</v>
      </c>
      <c r="K494" s="51">
        <f t="shared" si="152"/>
        <v>0</v>
      </c>
      <c r="L494" s="51">
        <f t="shared" si="152"/>
        <v>0</v>
      </c>
      <c r="M494" s="51">
        <f t="shared" si="152"/>
        <v>1</v>
      </c>
      <c r="N494" s="51">
        <f t="shared" si="152"/>
        <v>1</v>
      </c>
      <c r="O494" s="51">
        <f t="shared" si="152"/>
        <v>0</v>
      </c>
      <c r="P494" s="28" t="s">
        <v>18</v>
      </c>
      <c r="Q494" s="52" t="str">
        <f>$Q$4</f>
        <v>Galileo</v>
      </c>
      <c r="R494" s="51">
        <v>1</v>
      </c>
      <c r="S494" s="51">
        <v>1</v>
      </c>
      <c r="T494" s="51">
        <v>1</v>
      </c>
      <c r="U494" s="51">
        <v>1</v>
      </c>
      <c r="V494" s="51">
        <v>1</v>
      </c>
      <c r="W494" s="51">
        <v>1</v>
      </c>
      <c r="X494" s="51">
        <v>1</v>
      </c>
      <c r="Y494" s="51">
        <v>1</v>
      </c>
      <c r="Z494" s="51">
        <v>1</v>
      </c>
      <c r="AA494" s="51">
        <v>1</v>
      </c>
      <c r="AB494" s="51">
        <v>1</v>
      </c>
      <c r="AC494" s="51">
        <v>1</v>
      </c>
    </row>
    <row r="495" spans="2:29" ht="15.6" x14ac:dyDescent="0.55000000000000004">
      <c r="B495" s="1"/>
      <c r="C495" s="52" t="str">
        <f>$Q$5</f>
        <v>Óscar</v>
      </c>
      <c r="D495" s="51">
        <f t="shared" ref="D495:O495" si="153">C32+D32</f>
        <v>0</v>
      </c>
      <c r="E495" s="51">
        <f t="shared" si="153"/>
        <v>0</v>
      </c>
      <c r="F495" s="51">
        <f t="shared" si="153"/>
        <v>0</v>
      </c>
      <c r="G495" s="51">
        <f t="shared" si="153"/>
        <v>0</v>
      </c>
      <c r="H495" s="51">
        <f t="shared" si="153"/>
        <v>0</v>
      </c>
      <c r="I495" s="51">
        <f t="shared" si="153"/>
        <v>0</v>
      </c>
      <c r="J495" s="51">
        <f t="shared" si="153"/>
        <v>0</v>
      </c>
      <c r="K495" s="51">
        <f t="shared" si="153"/>
        <v>0</v>
      </c>
      <c r="L495" s="51">
        <f t="shared" si="153"/>
        <v>1</v>
      </c>
      <c r="M495" s="51">
        <f t="shared" si="153"/>
        <v>1</v>
      </c>
      <c r="N495" s="51">
        <f t="shared" si="153"/>
        <v>0</v>
      </c>
      <c r="O495" s="51">
        <f t="shared" si="153"/>
        <v>0</v>
      </c>
      <c r="P495" s="28" t="s">
        <v>18</v>
      </c>
      <c r="Q495" s="52" t="str">
        <f>$Q$5</f>
        <v>Óscar</v>
      </c>
      <c r="R495" s="51">
        <v>1</v>
      </c>
      <c r="S495" s="51">
        <v>1</v>
      </c>
      <c r="T495" s="51">
        <v>1</v>
      </c>
      <c r="U495" s="51">
        <v>1</v>
      </c>
      <c r="V495" s="51">
        <v>1</v>
      </c>
      <c r="W495" s="51">
        <v>1</v>
      </c>
      <c r="X495" s="51">
        <v>1</v>
      </c>
      <c r="Y495" s="51">
        <v>1</v>
      </c>
      <c r="Z495" s="51">
        <v>1</v>
      </c>
      <c r="AA495" s="51">
        <v>1</v>
      </c>
      <c r="AB495" s="51">
        <v>1</v>
      </c>
      <c r="AC495" s="51">
        <v>1</v>
      </c>
    </row>
    <row r="496" spans="2:29" ht="15.6" x14ac:dyDescent="0.55000000000000004">
      <c r="B496" s="1"/>
      <c r="C496" s="52" t="str">
        <f>$Q$6</f>
        <v>Sebastián</v>
      </c>
      <c r="D496" s="51">
        <f t="shared" ref="D496:O496" si="154">C33+D33</f>
        <v>0</v>
      </c>
      <c r="E496" s="51">
        <f t="shared" si="154"/>
        <v>0</v>
      </c>
      <c r="F496" s="51">
        <f t="shared" si="154"/>
        <v>0</v>
      </c>
      <c r="G496" s="51">
        <f t="shared" si="154"/>
        <v>0</v>
      </c>
      <c r="H496" s="51">
        <f t="shared" si="154"/>
        <v>0</v>
      </c>
      <c r="I496" s="51">
        <f t="shared" si="154"/>
        <v>0</v>
      </c>
      <c r="J496" s="51">
        <f t="shared" si="154"/>
        <v>0</v>
      </c>
      <c r="K496" s="51">
        <f t="shared" si="154"/>
        <v>0</v>
      </c>
      <c r="L496" s="51">
        <f t="shared" si="154"/>
        <v>0</v>
      </c>
      <c r="M496" s="51">
        <f t="shared" si="154"/>
        <v>0</v>
      </c>
      <c r="N496" s="51">
        <f t="shared" si="154"/>
        <v>0</v>
      </c>
      <c r="O496" s="51">
        <f t="shared" si="154"/>
        <v>0</v>
      </c>
      <c r="P496" s="28" t="s">
        <v>18</v>
      </c>
      <c r="Q496" s="52" t="str">
        <f>$Q$6</f>
        <v>Sebastián</v>
      </c>
      <c r="R496" s="51">
        <v>1</v>
      </c>
      <c r="S496" s="51">
        <v>1</v>
      </c>
      <c r="T496" s="51">
        <v>1</v>
      </c>
      <c r="U496" s="51">
        <v>1</v>
      </c>
      <c r="V496" s="51">
        <v>1</v>
      </c>
      <c r="W496" s="51">
        <v>1</v>
      </c>
      <c r="X496" s="51">
        <v>1</v>
      </c>
      <c r="Y496" s="51">
        <v>1</v>
      </c>
      <c r="Z496" s="51">
        <v>1</v>
      </c>
      <c r="AA496" s="51">
        <v>1</v>
      </c>
      <c r="AB496" s="51">
        <v>1</v>
      </c>
      <c r="AC496" s="51">
        <v>1</v>
      </c>
    </row>
    <row r="497" spans="2:29" ht="15.6" x14ac:dyDescent="0.55000000000000004">
      <c r="B497" s="1"/>
      <c r="C497" s="52" t="str">
        <f>$Q$7</f>
        <v>Marcos</v>
      </c>
      <c r="D497" s="51">
        <f t="shared" ref="D497:O497" si="155">C34+D34</f>
        <v>0</v>
      </c>
      <c r="E497" s="51">
        <f t="shared" si="155"/>
        <v>0</v>
      </c>
      <c r="F497" s="51">
        <f t="shared" si="155"/>
        <v>1</v>
      </c>
      <c r="G497" s="51">
        <f t="shared" si="155"/>
        <v>1</v>
      </c>
      <c r="H497" s="51">
        <f t="shared" si="155"/>
        <v>0</v>
      </c>
      <c r="I497" s="51">
        <f t="shared" si="155"/>
        <v>0</v>
      </c>
      <c r="J497" s="51">
        <f t="shared" si="155"/>
        <v>0</v>
      </c>
      <c r="K497" s="51">
        <f t="shared" si="155"/>
        <v>0</v>
      </c>
      <c r="L497" s="51">
        <f t="shared" si="155"/>
        <v>0</v>
      </c>
      <c r="M497" s="51">
        <f t="shared" si="155"/>
        <v>0</v>
      </c>
      <c r="N497" s="51">
        <f t="shared" si="155"/>
        <v>0</v>
      </c>
      <c r="O497" s="51">
        <f t="shared" si="155"/>
        <v>0</v>
      </c>
      <c r="P497" s="28" t="s">
        <v>18</v>
      </c>
      <c r="Q497" s="52" t="str">
        <f>$Q$7</f>
        <v>Marcos</v>
      </c>
      <c r="R497" s="51">
        <v>1</v>
      </c>
      <c r="S497" s="51">
        <v>1</v>
      </c>
      <c r="T497" s="51">
        <v>1</v>
      </c>
      <c r="U497" s="51">
        <v>1</v>
      </c>
      <c r="V497" s="51">
        <v>1</v>
      </c>
      <c r="W497" s="51">
        <v>1</v>
      </c>
      <c r="X497" s="51">
        <v>1</v>
      </c>
      <c r="Y497" s="51">
        <v>1</v>
      </c>
      <c r="Z497" s="51">
        <v>1</v>
      </c>
      <c r="AA497" s="51">
        <v>1</v>
      </c>
      <c r="AB497" s="51">
        <v>1</v>
      </c>
      <c r="AC497" s="51">
        <v>1</v>
      </c>
    </row>
    <row r="498" spans="2:29" ht="15.6" x14ac:dyDescent="0.55000000000000004">
      <c r="B498" s="1"/>
      <c r="C498" s="52" t="str">
        <f>$Q$8</f>
        <v>Weixin</v>
      </c>
      <c r="D498" s="51">
        <f t="shared" ref="D498:O498" si="156">C35+D35</f>
        <v>0</v>
      </c>
      <c r="E498" s="51">
        <f t="shared" si="156"/>
        <v>1</v>
      </c>
      <c r="F498" s="51">
        <f t="shared" si="156"/>
        <v>1</v>
      </c>
      <c r="G498" s="51">
        <f t="shared" si="156"/>
        <v>0</v>
      </c>
      <c r="H498" s="51">
        <f t="shared" si="156"/>
        <v>0</v>
      </c>
      <c r="I498" s="51">
        <f t="shared" si="156"/>
        <v>0</v>
      </c>
      <c r="J498" s="51">
        <f t="shared" si="156"/>
        <v>0</v>
      </c>
      <c r="K498" s="51">
        <f t="shared" si="156"/>
        <v>0</v>
      </c>
      <c r="L498" s="51">
        <f t="shared" si="156"/>
        <v>0</v>
      </c>
      <c r="M498" s="51">
        <f t="shared" si="156"/>
        <v>0</v>
      </c>
      <c r="N498" s="51">
        <f t="shared" si="156"/>
        <v>0</v>
      </c>
      <c r="O498" s="51">
        <f t="shared" si="156"/>
        <v>0</v>
      </c>
      <c r="P498" s="28" t="s">
        <v>18</v>
      </c>
      <c r="Q498" s="52" t="str">
        <f>$Q$8</f>
        <v>Weixin</v>
      </c>
      <c r="R498" s="51">
        <v>1</v>
      </c>
      <c r="S498" s="51">
        <v>1</v>
      </c>
      <c r="T498" s="51">
        <v>1</v>
      </c>
      <c r="U498" s="51">
        <v>1</v>
      </c>
      <c r="V498" s="51">
        <v>1</v>
      </c>
      <c r="W498" s="51">
        <v>1</v>
      </c>
      <c r="X498" s="51">
        <v>1</v>
      </c>
      <c r="Y498" s="51">
        <v>1</v>
      </c>
      <c r="Z498" s="51">
        <v>1</v>
      </c>
      <c r="AA498" s="51">
        <v>1</v>
      </c>
      <c r="AB498" s="51">
        <v>1</v>
      </c>
      <c r="AC498" s="51">
        <v>1</v>
      </c>
    </row>
    <row r="499" spans="2:29" ht="15.6" x14ac:dyDescent="0.55000000000000004">
      <c r="B499" s="1"/>
      <c r="C499" s="52" t="str">
        <f>$Q$9</f>
        <v>Benjamin</v>
      </c>
      <c r="D499" s="51">
        <f t="shared" ref="D499:O499" si="157">C36+D36</f>
        <v>0</v>
      </c>
      <c r="E499" s="51">
        <f t="shared" si="157"/>
        <v>0</v>
      </c>
      <c r="F499" s="51">
        <f t="shared" si="157"/>
        <v>0</v>
      </c>
      <c r="G499" s="51">
        <f t="shared" si="157"/>
        <v>0</v>
      </c>
      <c r="H499" s="51">
        <f t="shared" si="157"/>
        <v>1</v>
      </c>
      <c r="I499" s="51">
        <f t="shared" si="157"/>
        <v>1</v>
      </c>
      <c r="J499" s="51">
        <f t="shared" si="157"/>
        <v>0</v>
      </c>
      <c r="K499" s="51">
        <f t="shared" si="157"/>
        <v>0</v>
      </c>
      <c r="L499" s="51">
        <f t="shared" si="157"/>
        <v>0</v>
      </c>
      <c r="M499" s="51">
        <f t="shared" si="157"/>
        <v>0</v>
      </c>
      <c r="N499" s="51">
        <f t="shared" si="157"/>
        <v>0</v>
      </c>
      <c r="O499" s="51">
        <f t="shared" si="157"/>
        <v>0</v>
      </c>
      <c r="P499" s="28" t="s">
        <v>18</v>
      </c>
      <c r="Q499" s="52" t="str">
        <f>$Q$9</f>
        <v>Benjamin</v>
      </c>
      <c r="R499" s="51">
        <v>1</v>
      </c>
      <c r="S499" s="51">
        <v>1</v>
      </c>
      <c r="T499" s="51">
        <v>1</v>
      </c>
      <c r="U499" s="51">
        <v>1</v>
      </c>
      <c r="V499" s="51">
        <v>1</v>
      </c>
      <c r="W499" s="51">
        <v>1</v>
      </c>
      <c r="X499" s="51">
        <v>1</v>
      </c>
      <c r="Y499" s="51">
        <v>1</v>
      </c>
      <c r="Z499" s="51">
        <v>1</v>
      </c>
      <c r="AA499" s="51">
        <v>1</v>
      </c>
      <c r="AB499" s="51">
        <v>1</v>
      </c>
      <c r="AC499" s="51">
        <v>1</v>
      </c>
    </row>
    <row r="500" spans="2:29" ht="15.6" x14ac:dyDescent="0.55000000000000004">
      <c r="B500" s="1"/>
      <c r="C500" s="52" t="str">
        <f>$Q$10</f>
        <v>Joelle</v>
      </c>
      <c r="D500" s="51">
        <f t="shared" ref="D500:O500" si="158">C37+D37</f>
        <v>0</v>
      </c>
      <c r="E500" s="51">
        <f t="shared" si="158"/>
        <v>0</v>
      </c>
      <c r="F500" s="51">
        <f t="shared" si="158"/>
        <v>0</v>
      </c>
      <c r="G500" s="51">
        <f t="shared" si="158"/>
        <v>0</v>
      </c>
      <c r="H500" s="51">
        <f t="shared" si="158"/>
        <v>0</v>
      </c>
      <c r="I500" s="51">
        <f t="shared" si="158"/>
        <v>0</v>
      </c>
      <c r="J500" s="51">
        <f t="shared" si="158"/>
        <v>0</v>
      </c>
      <c r="K500" s="51">
        <f t="shared" si="158"/>
        <v>0</v>
      </c>
      <c r="L500" s="51">
        <f t="shared" si="158"/>
        <v>0</v>
      </c>
      <c r="M500" s="51">
        <f t="shared" si="158"/>
        <v>0</v>
      </c>
      <c r="N500" s="51">
        <f t="shared" si="158"/>
        <v>0</v>
      </c>
      <c r="O500" s="51">
        <f t="shared" si="158"/>
        <v>0</v>
      </c>
      <c r="P500" s="28" t="s">
        <v>18</v>
      </c>
      <c r="Q500" s="52" t="str">
        <f>$Q$10</f>
        <v>Joelle</v>
      </c>
      <c r="R500" s="51">
        <v>1</v>
      </c>
      <c r="S500" s="51">
        <v>1</v>
      </c>
      <c r="T500" s="51">
        <v>1</v>
      </c>
      <c r="U500" s="51">
        <v>1</v>
      </c>
      <c r="V500" s="51">
        <v>1</v>
      </c>
      <c r="W500" s="51">
        <v>1</v>
      </c>
      <c r="X500" s="51">
        <v>1</v>
      </c>
      <c r="Y500" s="51">
        <v>1</v>
      </c>
      <c r="Z500" s="51">
        <v>1</v>
      </c>
      <c r="AA500" s="51">
        <v>1</v>
      </c>
      <c r="AB500" s="51">
        <v>1</v>
      </c>
      <c r="AC500" s="51">
        <v>1</v>
      </c>
    </row>
    <row r="501" spans="2:29" ht="15.6" x14ac:dyDescent="0.55000000000000004">
      <c r="B501" s="1"/>
      <c r="C501" s="52" t="str">
        <f>$Q$11</f>
        <v>Alexia</v>
      </c>
      <c r="D501" s="51">
        <f t="shared" ref="D501:O501" si="159">C38+D38</f>
        <v>0</v>
      </c>
      <c r="E501" s="51">
        <f t="shared" si="159"/>
        <v>0</v>
      </c>
      <c r="F501" s="51">
        <f t="shared" si="159"/>
        <v>0</v>
      </c>
      <c r="G501" s="51">
        <f t="shared" si="159"/>
        <v>0</v>
      </c>
      <c r="H501" s="51">
        <f t="shared" si="159"/>
        <v>0</v>
      </c>
      <c r="I501" s="51">
        <f t="shared" si="159"/>
        <v>0</v>
      </c>
      <c r="J501" s="51">
        <f t="shared" si="159"/>
        <v>0</v>
      </c>
      <c r="K501" s="51">
        <f t="shared" si="159"/>
        <v>1</v>
      </c>
      <c r="L501" s="51">
        <f t="shared" si="159"/>
        <v>1</v>
      </c>
      <c r="M501" s="51">
        <f t="shared" si="159"/>
        <v>0</v>
      </c>
      <c r="N501" s="51">
        <f t="shared" si="159"/>
        <v>0</v>
      </c>
      <c r="O501" s="51">
        <f t="shared" si="159"/>
        <v>0</v>
      </c>
      <c r="P501" s="28" t="s">
        <v>18</v>
      </c>
      <c r="Q501" s="52" t="str">
        <f>$Q$11</f>
        <v>Alexia</v>
      </c>
      <c r="R501" s="51">
        <v>1</v>
      </c>
      <c r="S501" s="51">
        <v>1</v>
      </c>
      <c r="T501" s="51">
        <v>1</v>
      </c>
      <c r="U501" s="51">
        <v>1</v>
      </c>
      <c r="V501" s="51">
        <v>1</v>
      </c>
      <c r="W501" s="51">
        <v>1</v>
      </c>
      <c r="X501" s="51">
        <v>1</v>
      </c>
      <c r="Y501" s="51">
        <v>1</v>
      </c>
      <c r="Z501" s="51">
        <v>1</v>
      </c>
      <c r="AA501" s="51">
        <v>1</v>
      </c>
      <c r="AB501" s="51">
        <v>1</v>
      </c>
      <c r="AC501" s="51">
        <v>1</v>
      </c>
    </row>
    <row r="502" spans="2:29" ht="15.6" x14ac:dyDescent="0.55000000000000004">
      <c r="B502" s="1"/>
      <c r="C502" s="52" t="str">
        <f>$Q$12</f>
        <v>Joao</v>
      </c>
      <c r="D502" s="51">
        <f t="shared" ref="D502:O502" si="160">C39+D39</f>
        <v>0</v>
      </c>
      <c r="E502" s="51">
        <f t="shared" si="160"/>
        <v>0</v>
      </c>
      <c r="F502" s="51">
        <f t="shared" si="160"/>
        <v>0</v>
      </c>
      <c r="G502" s="51">
        <f t="shared" si="160"/>
        <v>0</v>
      </c>
      <c r="H502" s="51">
        <f t="shared" si="160"/>
        <v>0</v>
      </c>
      <c r="I502" s="51">
        <f t="shared" si="160"/>
        <v>0</v>
      </c>
      <c r="J502" s="51">
        <f t="shared" si="160"/>
        <v>0</v>
      </c>
      <c r="K502" s="51">
        <f t="shared" si="160"/>
        <v>0</v>
      </c>
      <c r="L502" s="51">
        <f t="shared" si="160"/>
        <v>0</v>
      </c>
      <c r="M502" s="51">
        <f t="shared" si="160"/>
        <v>0</v>
      </c>
      <c r="N502" s="51">
        <f t="shared" si="160"/>
        <v>0</v>
      </c>
      <c r="O502" s="51">
        <f t="shared" si="160"/>
        <v>0</v>
      </c>
      <c r="P502" s="28" t="s">
        <v>18</v>
      </c>
      <c r="Q502" s="52" t="str">
        <f>$Q$12</f>
        <v>Joao</v>
      </c>
      <c r="R502" s="51">
        <v>1</v>
      </c>
      <c r="S502" s="51">
        <v>1</v>
      </c>
      <c r="T502" s="51">
        <v>1</v>
      </c>
      <c r="U502" s="51">
        <v>1</v>
      </c>
      <c r="V502" s="51">
        <v>1</v>
      </c>
      <c r="W502" s="51">
        <v>1</v>
      </c>
      <c r="X502" s="51">
        <v>1</v>
      </c>
      <c r="Y502" s="51">
        <v>1</v>
      </c>
      <c r="Z502" s="51">
        <v>1</v>
      </c>
      <c r="AA502" s="51">
        <v>1</v>
      </c>
      <c r="AB502" s="51">
        <v>1</v>
      </c>
      <c r="AC502" s="51">
        <v>1</v>
      </c>
    </row>
    <row r="503" spans="2:29" ht="15.6" x14ac:dyDescent="0.55000000000000004">
      <c r="B503" s="1"/>
      <c r="C503" s="57" t="str">
        <f>$Q$13</f>
        <v>Maxime</v>
      </c>
      <c r="D503" s="51">
        <f t="shared" ref="D503:O503" si="161">C40+D40</f>
        <v>0</v>
      </c>
      <c r="E503" s="51">
        <f t="shared" si="161"/>
        <v>0</v>
      </c>
      <c r="F503" s="51">
        <f t="shared" si="161"/>
        <v>0</v>
      </c>
      <c r="G503" s="51">
        <f t="shared" si="161"/>
        <v>0</v>
      </c>
      <c r="H503" s="51">
        <f t="shared" si="161"/>
        <v>0</v>
      </c>
      <c r="I503" s="51">
        <f t="shared" si="161"/>
        <v>0</v>
      </c>
      <c r="J503" s="51">
        <f t="shared" si="161"/>
        <v>0</v>
      </c>
      <c r="K503" s="51">
        <f t="shared" si="161"/>
        <v>0</v>
      </c>
      <c r="L503" s="51">
        <f t="shared" si="161"/>
        <v>0</v>
      </c>
      <c r="M503" s="51">
        <f t="shared" si="161"/>
        <v>0</v>
      </c>
      <c r="N503" s="51">
        <f t="shared" si="161"/>
        <v>0</v>
      </c>
      <c r="O503" s="51">
        <f t="shared" si="161"/>
        <v>0</v>
      </c>
      <c r="P503" s="28" t="s">
        <v>18</v>
      </c>
      <c r="Q503" s="57" t="str">
        <f>$Q$13</f>
        <v>Maxime</v>
      </c>
      <c r="R503" s="51">
        <v>1</v>
      </c>
      <c r="S503" s="51">
        <v>1</v>
      </c>
      <c r="T503" s="51">
        <v>1</v>
      </c>
      <c r="U503" s="51">
        <v>1</v>
      </c>
      <c r="V503" s="51">
        <v>1</v>
      </c>
      <c r="W503" s="51">
        <v>1</v>
      </c>
      <c r="X503" s="51">
        <v>1</v>
      </c>
      <c r="Y503" s="51">
        <v>1</v>
      </c>
      <c r="Z503" s="51">
        <v>1</v>
      </c>
      <c r="AA503" s="51">
        <v>1</v>
      </c>
      <c r="AB503" s="51">
        <v>1</v>
      </c>
      <c r="AC503" s="51">
        <v>1</v>
      </c>
    </row>
    <row r="504" spans="2:29" ht="15.6" x14ac:dyDescent="0.55000000000000004">
      <c r="B504" s="1"/>
      <c r="C504" s="46" t="str">
        <f>$Q$14</f>
        <v>Alex</v>
      </c>
      <c r="D504" s="51">
        <f t="shared" ref="D504:O504" si="162">C41+D41</f>
        <v>0</v>
      </c>
      <c r="E504" s="51">
        <f t="shared" si="162"/>
        <v>0</v>
      </c>
      <c r="F504" s="51">
        <f t="shared" si="162"/>
        <v>0</v>
      </c>
      <c r="G504" s="51">
        <f t="shared" si="162"/>
        <v>0</v>
      </c>
      <c r="H504" s="51">
        <f t="shared" si="162"/>
        <v>0</v>
      </c>
      <c r="I504" s="51">
        <f t="shared" si="162"/>
        <v>0</v>
      </c>
      <c r="J504" s="51">
        <f t="shared" si="162"/>
        <v>0</v>
      </c>
      <c r="K504" s="51">
        <f t="shared" si="162"/>
        <v>0</v>
      </c>
      <c r="L504" s="51">
        <f t="shared" si="162"/>
        <v>0</v>
      </c>
      <c r="M504" s="51">
        <f t="shared" si="162"/>
        <v>0</v>
      </c>
      <c r="N504" s="51">
        <f t="shared" si="162"/>
        <v>0</v>
      </c>
      <c r="O504" s="51">
        <f t="shared" si="162"/>
        <v>0</v>
      </c>
      <c r="P504" s="28" t="s">
        <v>18</v>
      </c>
      <c r="Q504" s="46" t="str">
        <f>$Q$14</f>
        <v>Alex</v>
      </c>
      <c r="R504" s="51">
        <v>1</v>
      </c>
      <c r="S504" s="51">
        <v>1</v>
      </c>
      <c r="T504" s="51">
        <v>1</v>
      </c>
      <c r="U504" s="51">
        <v>1</v>
      </c>
      <c r="V504" s="51">
        <v>1</v>
      </c>
      <c r="W504" s="51">
        <v>1</v>
      </c>
      <c r="X504" s="51">
        <v>1</v>
      </c>
      <c r="Y504" s="51">
        <v>1</v>
      </c>
      <c r="Z504" s="51">
        <v>1</v>
      </c>
      <c r="AA504" s="51">
        <v>1</v>
      </c>
      <c r="AB504" s="51">
        <v>1</v>
      </c>
      <c r="AC504" s="51">
        <v>1</v>
      </c>
    </row>
    <row r="505" spans="2:29" ht="15.6" x14ac:dyDescent="0.55000000000000004">
      <c r="B505" s="1"/>
      <c r="C505" s="52" t="str">
        <f>$Q$15</f>
        <v>Alyssa</v>
      </c>
      <c r="D505" s="51">
        <f t="shared" ref="D505:O505" si="163">C42+D42</f>
        <v>0</v>
      </c>
      <c r="E505" s="51">
        <f t="shared" si="163"/>
        <v>0</v>
      </c>
      <c r="F505" s="51">
        <f t="shared" si="163"/>
        <v>0</v>
      </c>
      <c r="G505" s="51">
        <f t="shared" si="163"/>
        <v>0</v>
      </c>
      <c r="H505" s="51">
        <f t="shared" si="163"/>
        <v>0</v>
      </c>
      <c r="I505" s="51">
        <f t="shared" si="163"/>
        <v>1</v>
      </c>
      <c r="J505" s="51">
        <f t="shared" si="163"/>
        <v>1</v>
      </c>
      <c r="K505" s="51">
        <f t="shared" si="163"/>
        <v>0</v>
      </c>
      <c r="L505" s="51">
        <f t="shared" si="163"/>
        <v>1</v>
      </c>
      <c r="M505" s="51">
        <f t="shared" si="163"/>
        <v>1</v>
      </c>
      <c r="N505" s="51">
        <f t="shared" si="163"/>
        <v>0</v>
      </c>
      <c r="O505" s="51">
        <f t="shared" si="163"/>
        <v>0</v>
      </c>
      <c r="P505" s="28" t="s">
        <v>18</v>
      </c>
      <c r="Q505" s="52" t="str">
        <f>$Q$15</f>
        <v>Alyssa</v>
      </c>
      <c r="R505" s="51">
        <v>1</v>
      </c>
      <c r="S505" s="51">
        <v>1</v>
      </c>
      <c r="T505" s="51">
        <v>1</v>
      </c>
      <c r="U505" s="51">
        <v>1</v>
      </c>
      <c r="V505" s="51">
        <v>1</v>
      </c>
      <c r="W505" s="51">
        <v>1</v>
      </c>
      <c r="X505" s="51">
        <v>1</v>
      </c>
      <c r="Y505" s="51">
        <v>1</v>
      </c>
      <c r="Z505" s="51">
        <v>1</v>
      </c>
      <c r="AA505" s="51">
        <v>1</v>
      </c>
      <c r="AB505" s="51">
        <v>1</v>
      </c>
      <c r="AC505" s="51">
        <v>1</v>
      </c>
    </row>
    <row r="506" spans="2:29" ht="15.6" x14ac:dyDescent="0.55000000000000004">
      <c r="B506" s="1"/>
      <c r="C506" s="52" t="str">
        <f>$Q$16</f>
        <v>Amanda</v>
      </c>
      <c r="D506" s="51">
        <f t="shared" ref="D506:O506" si="164">C43+D43</f>
        <v>0</v>
      </c>
      <c r="E506" s="51">
        <f t="shared" si="164"/>
        <v>0</v>
      </c>
      <c r="F506" s="51">
        <f t="shared" si="164"/>
        <v>0</v>
      </c>
      <c r="G506" s="51">
        <f t="shared" si="164"/>
        <v>0</v>
      </c>
      <c r="H506" s="51">
        <f t="shared" si="164"/>
        <v>0</v>
      </c>
      <c r="I506" s="51">
        <f t="shared" si="164"/>
        <v>0</v>
      </c>
      <c r="J506" s="51">
        <f t="shared" si="164"/>
        <v>0</v>
      </c>
      <c r="K506" s="51">
        <f t="shared" si="164"/>
        <v>0</v>
      </c>
      <c r="L506" s="51">
        <f t="shared" si="164"/>
        <v>0</v>
      </c>
      <c r="M506" s="51">
        <f t="shared" si="164"/>
        <v>0</v>
      </c>
      <c r="N506" s="51">
        <f t="shared" si="164"/>
        <v>0</v>
      </c>
      <c r="O506" s="51">
        <f t="shared" si="164"/>
        <v>0</v>
      </c>
      <c r="P506" s="28" t="s">
        <v>18</v>
      </c>
      <c r="Q506" s="52" t="str">
        <f>$Q$16</f>
        <v>Amanda</v>
      </c>
      <c r="R506" s="51">
        <v>1</v>
      </c>
      <c r="S506" s="51">
        <v>1</v>
      </c>
      <c r="T506" s="51">
        <v>1</v>
      </c>
      <c r="U506" s="51">
        <v>1</v>
      </c>
      <c r="V506" s="51">
        <v>1</v>
      </c>
      <c r="W506" s="51">
        <v>1</v>
      </c>
      <c r="X506" s="51">
        <v>1</v>
      </c>
      <c r="Y506" s="51">
        <v>1</v>
      </c>
      <c r="Z506" s="51">
        <v>1</v>
      </c>
      <c r="AA506" s="51">
        <v>1</v>
      </c>
      <c r="AB506" s="51">
        <v>1</v>
      </c>
      <c r="AC506" s="51">
        <v>1</v>
      </c>
    </row>
    <row r="507" spans="2:29" ht="15.6" x14ac:dyDescent="0.55000000000000004">
      <c r="B507" s="1"/>
      <c r="C507" s="52" t="str">
        <f>$Q$17</f>
        <v>Antoine</v>
      </c>
      <c r="D507" s="51">
        <f t="shared" ref="D507:O507" si="165">C44+D44</f>
        <v>0</v>
      </c>
      <c r="E507" s="51">
        <f t="shared" si="165"/>
        <v>0</v>
      </c>
      <c r="F507" s="51">
        <f t="shared" si="165"/>
        <v>0</v>
      </c>
      <c r="G507" s="51">
        <f t="shared" si="165"/>
        <v>0</v>
      </c>
      <c r="H507" s="51">
        <f t="shared" si="165"/>
        <v>1</v>
      </c>
      <c r="I507" s="51">
        <f t="shared" si="165"/>
        <v>1</v>
      </c>
      <c r="J507" s="51">
        <f t="shared" si="165"/>
        <v>0</v>
      </c>
      <c r="K507" s="51">
        <f t="shared" si="165"/>
        <v>0</v>
      </c>
      <c r="L507" s="51">
        <f t="shared" si="165"/>
        <v>0</v>
      </c>
      <c r="M507" s="51">
        <f t="shared" si="165"/>
        <v>0</v>
      </c>
      <c r="N507" s="51">
        <f t="shared" si="165"/>
        <v>0</v>
      </c>
      <c r="O507" s="51">
        <f t="shared" si="165"/>
        <v>0</v>
      </c>
      <c r="P507" s="28" t="s">
        <v>18</v>
      </c>
      <c r="Q507" s="52" t="str">
        <f>$Q$17</f>
        <v>Antoine</v>
      </c>
      <c r="R507" s="51">
        <v>1</v>
      </c>
      <c r="S507" s="51">
        <v>1</v>
      </c>
      <c r="T507" s="51">
        <v>1</v>
      </c>
      <c r="U507" s="51">
        <v>1</v>
      </c>
      <c r="V507" s="51">
        <v>1</v>
      </c>
      <c r="W507" s="51">
        <v>1</v>
      </c>
      <c r="X507" s="51">
        <v>1</v>
      </c>
      <c r="Y507" s="51">
        <v>1</v>
      </c>
      <c r="Z507" s="51">
        <v>1</v>
      </c>
      <c r="AA507" s="51">
        <v>1</v>
      </c>
      <c r="AB507" s="51">
        <v>1</v>
      </c>
      <c r="AC507" s="51">
        <v>1</v>
      </c>
    </row>
    <row r="508" spans="2:29" ht="15.6" x14ac:dyDescent="0.55000000000000004">
      <c r="B508" s="1"/>
      <c r="C508" s="52" t="str">
        <f>$Q$18</f>
        <v>Beatriz</v>
      </c>
      <c r="D508" s="51">
        <f t="shared" ref="D508:O508" si="166">C45+D45</f>
        <v>1</v>
      </c>
      <c r="E508" s="51">
        <f t="shared" si="166"/>
        <v>1</v>
      </c>
      <c r="F508" s="51">
        <f t="shared" si="166"/>
        <v>0</v>
      </c>
      <c r="G508" s="51">
        <f t="shared" si="166"/>
        <v>0</v>
      </c>
      <c r="H508" s="51">
        <f t="shared" si="166"/>
        <v>0</v>
      </c>
      <c r="I508" s="51">
        <f t="shared" si="166"/>
        <v>0</v>
      </c>
      <c r="J508" s="51">
        <f t="shared" si="166"/>
        <v>0</v>
      </c>
      <c r="K508" s="51">
        <f t="shared" si="166"/>
        <v>0</v>
      </c>
      <c r="L508" s="51">
        <f t="shared" si="166"/>
        <v>0</v>
      </c>
      <c r="M508" s="51">
        <f t="shared" si="166"/>
        <v>0</v>
      </c>
      <c r="N508" s="51">
        <f t="shared" si="166"/>
        <v>0</v>
      </c>
      <c r="O508" s="51">
        <f t="shared" si="166"/>
        <v>0</v>
      </c>
      <c r="P508" s="28" t="s">
        <v>18</v>
      </c>
      <c r="Q508" s="52" t="str">
        <f>$Q$18</f>
        <v>Beatriz</v>
      </c>
      <c r="R508" s="51">
        <v>1</v>
      </c>
      <c r="S508" s="51">
        <v>1</v>
      </c>
      <c r="T508" s="51">
        <v>1</v>
      </c>
      <c r="U508" s="51">
        <v>1</v>
      </c>
      <c r="V508" s="51">
        <v>1</v>
      </c>
      <c r="W508" s="51">
        <v>1</v>
      </c>
      <c r="X508" s="51">
        <v>1</v>
      </c>
      <c r="Y508" s="51">
        <v>1</v>
      </c>
      <c r="Z508" s="51">
        <v>1</v>
      </c>
      <c r="AA508" s="51">
        <v>1</v>
      </c>
      <c r="AB508" s="51">
        <v>1</v>
      </c>
      <c r="AC508" s="51">
        <v>1</v>
      </c>
    </row>
    <row r="509" spans="2:29" ht="15.6" x14ac:dyDescent="0.55000000000000004">
      <c r="B509" s="1"/>
      <c r="C509" s="52" t="str">
        <f>$Q$19</f>
        <v>Charelle</v>
      </c>
      <c r="D509" s="51">
        <f t="shared" ref="D509:O509" si="167">C46+D46</f>
        <v>0</v>
      </c>
      <c r="E509" s="51">
        <f t="shared" si="167"/>
        <v>0</v>
      </c>
      <c r="F509" s="51">
        <f t="shared" si="167"/>
        <v>0</v>
      </c>
      <c r="G509" s="51">
        <f t="shared" si="167"/>
        <v>0</v>
      </c>
      <c r="H509" s="51">
        <f t="shared" si="167"/>
        <v>0</v>
      </c>
      <c r="I509" s="51">
        <f t="shared" si="167"/>
        <v>0</v>
      </c>
      <c r="J509" s="51">
        <f t="shared" si="167"/>
        <v>0</v>
      </c>
      <c r="K509" s="51">
        <f t="shared" si="167"/>
        <v>0</v>
      </c>
      <c r="L509" s="51">
        <f t="shared" si="167"/>
        <v>0</v>
      </c>
      <c r="M509" s="51">
        <f t="shared" si="167"/>
        <v>0</v>
      </c>
      <c r="N509" s="51">
        <f t="shared" si="167"/>
        <v>0</v>
      </c>
      <c r="O509" s="51">
        <f t="shared" si="167"/>
        <v>0</v>
      </c>
      <c r="P509" s="28" t="s">
        <v>18</v>
      </c>
      <c r="Q509" s="52" t="str">
        <f>$Q$19</f>
        <v>Charelle</v>
      </c>
      <c r="R509" s="51">
        <v>1</v>
      </c>
      <c r="S509" s="51">
        <v>1</v>
      </c>
      <c r="T509" s="51">
        <v>1</v>
      </c>
      <c r="U509" s="51">
        <v>1</v>
      </c>
      <c r="V509" s="51">
        <v>1</v>
      </c>
      <c r="W509" s="51">
        <v>1</v>
      </c>
      <c r="X509" s="51">
        <v>1</v>
      </c>
      <c r="Y509" s="51">
        <v>1</v>
      </c>
      <c r="Z509" s="51">
        <v>1</v>
      </c>
      <c r="AA509" s="51">
        <v>1</v>
      </c>
      <c r="AB509" s="51">
        <v>1</v>
      </c>
      <c r="AC509" s="51">
        <v>1</v>
      </c>
    </row>
    <row r="510" spans="2:29" ht="15.6" x14ac:dyDescent="0.55000000000000004">
      <c r="B510" s="1"/>
      <c r="C510" s="52" t="str">
        <f>$Q$20</f>
        <v>Dimitri</v>
      </c>
      <c r="D510" s="51">
        <f t="shared" ref="D510:O510" si="168">C47+D47</f>
        <v>0</v>
      </c>
      <c r="E510" s="51">
        <f t="shared" si="168"/>
        <v>0</v>
      </c>
      <c r="F510" s="51">
        <f t="shared" si="168"/>
        <v>0</v>
      </c>
      <c r="G510" s="51">
        <f t="shared" si="168"/>
        <v>0</v>
      </c>
      <c r="H510" s="51">
        <f t="shared" si="168"/>
        <v>0</v>
      </c>
      <c r="I510" s="51">
        <f t="shared" si="168"/>
        <v>0</v>
      </c>
      <c r="J510" s="51">
        <f t="shared" si="168"/>
        <v>0</v>
      </c>
      <c r="K510" s="51">
        <f t="shared" si="168"/>
        <v>1</v>
      </c>
      <c r="L510" s="51">
        <f t="shared" si="168"/>
        <v>1</v>
      </c>
      <c r="M510" s="51">
        <f t="shared" si="168"/>
        <v>1</v>
      </c>
      <c r="N510" s="51">
        <f t="shared" si="168"/>
        <v>1</v>
      </c>
      <c r="O510" s="51">
        <f t="shared" si="168"/>
        <v>0</v>
      </c>
      <c r="P510" s="28" t="s">
        <v>18</v>
      </c>
      <c r="Q510" s="52" t="str">
        <f>$Q$20</f>
        <v>Dimitri</v>
      </c>
      <c r="R510" s="51">
        <v>1</v>
      </c>
      <c r="S510" s="51">
        <v>1</v>
      </c>
      <c r="T510" s="51">
        <v>1</v>
      </c>
      <c r="U510" s="51">
        <v>1</v>
      </c>
      <c r="V510" s="51">
        <v>1</v>
      </c>
      <c r="W510" s="51">
        <v>1</v>
      </c>
      <c r="X510" s="51">
        <v>1</v>
      </c>
      <c r="Y510" s="51">
        <v>1</v>
      </c>
      <c r="Z510" s="51">
        <v>1</v>
      </c>
      <c r="AA510" s="51">
        <v>1</v>
      </c>
      <c r="AB510" s="51">
        <v>1</v>
      </c>
      <c r="AC510" s="51">
        <v>1</v>
      </c>
    </row>
    <row r="511" spans="2:29" ht="15.6" x14ac:dyDescent="0.55000000000000004">
      <c r="B511" s="1"/>
      <c r="C511" s="52" t="str">
        <f>$Q$21</f>
        <v>Marina</v>
      </c>
      <c r="D511" s="51">
        <f t="shared" ref="D511:O511" si="169">C48+D48</f>
        <v>0</v>
      </c>
      <c r="E511" s="51">
        <f t="shared" si="169"/>
        <v>0</v>
      </c>
      <c r="F511" s="51">
        <f t="shared" si="169"/>
        <v>0</v>
      </c>
      <c r="G511" s="51">
        <f t="shared" si="169"/>
        <v>0</v>
      </c>
      <c r="H511" s="51">
        <f t="shared" si="169"/>
        <v>0</v>
      </c>
      <c r="I511" s="51">
        <f t="shared" si="169"/>
        <v>0</v>
      </c>
      <c r="J511" s="51">
        <f t="shared" si="169"/>
        <v>1</v>
      </c>
      <c r="K511" s="51">
        <f t="shared" si="169"/>
        <v>1</v>
      </c>
      <c r="L511" s="51">
        <f t="shared" si="169"/>
        <v>0</v>
      </c>
      <c r="M511" s="51">
        <f t="shared" si="169"/>
        <v>0</v>
      </c>
      <c r="N511" s="51">
        <f t="shared" si="169"/>
        <v>0</v>
      </c>
      <c r="O511" s="51">
        <f t="shared" si="169"/>
        <v>0</v>
      </c>
      <c r="P511" s="28" t="s">
        <v>18</v>
      </c>
      <c r="Q511" s="52" t="str">
        <f>$Q$21</f>
        <v>Marina</v>
      </c>
      <c r="R511" s="51">
        <v>1</v>
      </c>
      <c r="S511" s="51">
        <v>1</v>
      </c>
      <c r="T511" s="51">
        <v>1</v>
      </c>
      <c r="U511" s="51">
        <v>1</v>
      </c>
      <c r="V511" s="51">
        <v>1</v>
      </c>
      <c r="W511" s="51">
        <v>1</v>
      </c>
      <c r="X511" s="51">
        <v>1</v>
      </c>
      <c r="Y511" s="51">
        <v>1</v>
      </c>
      <c r="Z511" s="51">
        <v>1</v>
      </c>
      <c r="AA511" s="51">
        <v>1</v>
      </c>
      <c r="AB511" s="51">
        <v>1</v>
      </c>
      <c r="AC511" s="51">
        <v>1</v>
      </c>
    </row>
    <row r="512" spans="2:29" ht="15.6" x14ac:dyDescent="0.55000000000000004">
      <c r="B512" s="1"/>
      <c r="C512" s="52" t="str">
        <f>$Q$22</f>
        <v>Michel</v>
      </c>
      <c r="D512" s="51">
        <f t="shared" ref="D512:O512" si="170">C49+D49</f>
        <v>0</v>
      </c>
      <c r="E512" s="51">
        <f t="shared" si="170"/>
        <v>0</v>
      </c>
      <c r="F512" s="51">
        <f t="shared" si="170"/>
        <v>0</v>
      </c>
      <c r="G512" s="51">
        <f t="shared" si="170"/>
        <v>0</v>
      </c>
      <c r="H512" s="51">
        <f t="shared" si="170"/>
        <v>0</v>
      </c>
      <c r="I512" s="51">
        <f t="shared" si="170"/>
        <v>0</v>
      </c>
      <c r="J512" s="51">
        <f t="shared" si="170"/>
        <v>1</v>
      </c>
      <c r="K512" s="51">
        <f t="shared" si="170"/>
        <v>1</v>
      </c>
      <c r="L512" s="51">
        <f t="shared" si="170"/>
        <v>0</v>
      </c>
      <c r="M512" s="51">
        <f t="shared" si="170"/>
        <v>0</v>
      </c>
      <c r="N512" s="51">
        <f t="shared" si="170"/>
        <v>0</v>
      </c>
      <c r="O512" s="51">
        <f t="shared" si="170"/>
        <v>0</v>
      </c>
      <c r="P512" s="28" t="s">
        <v>18</v>
      </c>
      <c r="Q512" s="52" t="str">
        <f>$Q$22</f>
        <v>Michel</v>
      </c>
      <c r="R512" s="51">
        <v>1</v>
      </c>
      <c r="S512" s="51">
        <v>1</v>
      </c>
      <c r="T512" s="51">
        <v>1</v>
      </c>
      <c r="U512" s="51">
        <v>1</v>
      </c>
      <c r="V512" s="51">
        <v>1</v>
      </c>
      <c r="W512" s="51">
        <v>1</v>
      </c>
      <c r="X512" s="51">
        <v>1</v>
      </c>
      <c r="Y512" s="51">
        <v>1</v>
      </c>
      <c r="Z512" s="51">
        <v>1</v>
      </c>
      <c r="AA512" s="51">
        <v>1</v>
      </c>
      <c r="AB512" s="51">
        <v>1</v>
      </c>
      <c r="AC512" s="51">
        <v>1</v>
      </c>
    </row>
    <row r="513" spans="2:29" ht="15.6" x14ac:dyDescent="0.55000000000000004">
      <c r="B513" s="1"/>
      <c r="C513" s="52" t="str">
        <f>$Q$23</f>
        <v>Nour</v>
      </c>
      <c r="D513" s="51">
        <f t="shared" ref="D513:O513" si="171">C50+D50</f>
        <v>0</v>
      </c>
      <c r="E513" s="51">
        <f t="shared" si="171"/>
        <v>0</v>
      </c>
      <c r="F513" s="51">
        <f t="shared" si="171"/>
        <v>0</v>
      </c>
      <c r="G513" s="51">
        <f t="shared" si="171"/>
        <v>0</v>
      </c>
      <c r="H513" s="51">
        <f t="shared" si="171"/>
        <v>0</v>
      </c>
      <c r="I513" s="51">
        <f t="shared" si="171"/>
        <v>0</v>
      </c>
      <c r="J513" s="51">
        <f t="shared" si="171"/>
        <v>0</v>
      </c>
      <c r="K513" s="51">
        <f t="shared" si="171"/>
        <v>0</v>
      </c>
      <c r="L513" s="51">
        <f t="shared" si="171"/>
        <v>0</v>
      </c>
      <c r="M513" s="51">
        <f t="shared" si="171"/>
        <v>0</v>
      </c>
      <c r="N513" s="51">
        <f t="shared" si="171"/>
        <v>0</v>
      </c>
      <c r="O513" s="51">
        <f t="shared" si="171"/>
        <v>0</v>
      </c>
      <c r="P513" s="28" t="s">
        <v>18</v>
      </c>
      <c r="Q513" s="52" t="str">
        <f>$Q$23</f>
        <v>Nour</v>
      </c>
      <c r="R513" s="51">
        <v>1</v>
      </c>
      <c r="S513" s="51">
        <v>1</v>
      </c>
      <c r="T513" s="51">
        <v>1</v>
      </c>
      <c r="U513" s="51">
        <v>1</v>
      </c>
      <c r="V513" s="51">
        <v>1</v>
      </c>
      <c r="W513" s="51">
        <v>1</v>
      </c>
      <c r="X513" s="51">
        <v>1</v>
      </c>
      <c r="Y513" s="51">
        <v>1</v>
      </c>
      <c r="Z513" s="51">
        <v>1</v>
      </c>
      <c r="AA513" s="51">
        <v>1</v>
      </c>
      <c r="AB513" s="51">
        <v>1</v>
      </c>
      <c r="AC513" s="51">
        <v>1</v>
      </c>
    </row>
    <row r="514" spans="2:29" ht="15.6" x14ac:dyDescent="0.55000000000000004">
      <c r="B514" s="1"/>
      <c r="C514" s="52" t="str">
        <f>$Q$24</f>
        <v>Samuel</v>
      </c>
      <c r="D514" s="51">
        <f t="shared" ref="D514:O514" si="172">C51+D51</f>
        <v>1</v>
      </c>
      <c r="E514" s="51">
        <f t="shared" si="172"/>
        <v>1</v>
      </c>
      <c r="F514" s="51">
        <f t="shared" si="172"/>
        <v>0</v>
      </c>
      <c r="G514" s="51">
        <f t="shared" si="172"/>
        <v>1</v>
      </c>
      <c r="H514" s="51">
        <f t="shared" si="172"/>
        <v>1</v>
      </c>
      <c r="I514" s="51">
        <f t="shared" si="172"/>
        <v>0</v>
      </c>
      <c r="J514" s="51">
        <f t="shared" si="172"/>
        <v>0</v>
      </c>
      <c r="K514" s="51">
        <f t="shared" si="172"/>
        <v>0</v>
      </c>
      <c r="L514" s="51">
        <f t="shared" si="172"/>
        <v>0</v>
      </c>
      <c r="M514" s="51">
        <f t="shared" si="172"/>
        <v>0</v>
      </c>
      <c r="N514" s="51">
        <f t="shared" si="172"/>
        <v>0</v>
      </c>
      <c r="O514" s="51">
        <f t="shared" si="172"/>
        <v>0</v>
      </c>
      <c r="P514" s="28" t="s">
        <v>18</v>
      </c>
      <c r="Q514" s="52" t="str">
        <f>$Q$24</f>
        <v>Samuel</v>
      </c>
      <c r="R514" s="51">
        <v>1</v>
      </c>
      <c r="S514" s="51">
        <v>1</v>
      </c>
      <c r="T514" s="51">
        <v>1</v>
      </c>
      <c r="U514" s="51">
        <v>1</v>
      </c>
      <c r="V514" s="51">
        <v>1</v>
      </c>
      <c r="W514" s="51">
        <v>1</v>
      </c>
      <c r="X514" s="51">
        <v>1</v>
      </c>
      <c r="Y514" s="51">
        <v>1</v>
      </c>
      <c r="Z514" s="51">
        <v>1</v>
      </c>
      <c r="AA514" s="51">
        <v>1</v>
      </c>
      <c r="AB514" s="51">
        <v>1</v>
      </c>
      <c r="AC514" s="51">
        <v>1</v>
      </c>
    </row>
    <row r="515" spans="2:29" ht="15.6" x14ac:dyDescent="0.55000000000000004">
      <c r="B515" s="1"/>
      <c r="C515" s="52" t="str">
        <f>$Q$25</f>
        <v>Yassin</v>
      </c>
      <c r="D515" s="51">
        <f t="shared" ref="D515:O515" si="173">C52+D52</f>
        <v>0</v>
      </c>
      <c r="E515" s="51">
        <f t="shared" si="173"/>
        <v>1</v>
      </c>
      <c r="F515" s="51">
        <f t="shared" si="173"/>
        <v>1</v>
      </c>
      <c r="G515" s="51">
        <f t="shared" si="173"/>
        <v>0</v>
      </c>
      <c r="H515" s="51">
        <f t="shared" si="173"/>
        <v>0</v>
      </c>
      <c r="I515" s="51">
        <f t="shared" si="173"/>
        <v>1</v>
      </c>
      <c r="J515" s="51">
        <f t="shared" si="173"/>
        <v>1</v>
      </c>
      <c r="K515" s="51">
        <f t="shared" si="173"/>
        <v>0</v>
      </c>
      <c r="L515" s="51">
        <f t="shared" si="173"/>
        <v>0</v>
      </c>
      <c r="M515" s="51">
        <f t="shared" si="173"/>
        <v>0</v>
      </c>
      <c r="N515" s="51">
        <f t="shared" si="173"/>
        <v>0</v>
      </c>
      <c r="O515" s="51">
        <f t="shared" si="173"/>
        <v>0</v>
      </c>
      <c r="P515" s="28" t="s">
        <v>18</v>
      </c>
      <c r="Q515" s="52" t="str">
        <f>$Q$25</f>
        <v>Yassin</v>
      </c>
      <c r="R515" s="51">
        <v>1</v>
      </c>
      <c r="S515" s="51">
        <v>1</v>
      </c>
      <c r="T515" s="51">
        <v>1</v>
      </c>
      <c r="U515" s="51">
        <v>1</v>
      </c>
      <c r="V515" s="51">
        <v>1</v>
      </c>
      <c r="W515" s="51">
        <v>1</v>
      </c>
      <c r="X515" s="51">
        <v>1</v>
      </c>
      <c r="Y515" s="51">
        <v>1</v>
      </c>
      <c r="Z515" s="51">
        <v>1</v>
      </c>
      <c r="AA515" s="51">
        <v>1</v>
      </c>
      <c r="AB515" s="51">
        <v>1</v>
      </c>
      <c r="AC515" s="51">
        <v>1</v>
      </c>
    </row>
    <row r="516" spans="2:29" ht="15.6" x14ac:dyDescent="0.55000000000000004">
      <c r="B516" s="1"/>
      <c r="C516" s="52" t="str">
        <f>$Q$26</f>
        <v>Kamar</v>
      </c>
      <c r="D516" s="51">
        <f t="shared" ref="D516:O516" si="174">C53+D53</f>
        <v>0</v>
      </c>
      <c r="E516" s="51">
        <f t="shared" si="174"/>
        <v>0</v>
      </c>
      <c r="F516" s="51">
        <f t="shared" si="174"/>
        <v>1</v>
      </c>
      <c r="G516" s="51">
        <f t="shared" si="174"/>
        <v>2</v>
      </c>
      <c r="H516" s="51">
        <f t="shared" si="174"/>
        <v>1</v>
      </c>
      <c r="I516" s="51">
        <f t="shared" si="174"/>
        <v>0</v>
      </c>
      <c r="J516" s="51">
        <f t="shared" si="174"/>
        <v>0</v>
      </c>
      <c r="K516" s="51">
        <f t="shared" si="174"/>
        <v>0</v>
      </c>
      <c r="L516" s="51">
        <f t="shared" si="174"/>
        <v>0</v>
      </c>
      <c r="M516" s="51">
        <f t="shared" si="174"/>
        <v>0</v>
      </c>
      <c r="N516" s="51">
        <f t="shared" si="174"/>
        <v>0</v>
      </c>
      <c r="O516" s="51">
        <f t="shared" si="174"/>
        <v>0</v>
      </c>
      <c r="P516" s="28" t="s">
        <v>18</v>
      </c>
      <c r="Q516" s="52" t="str">
        <f>$Q$26</f>
        <v>Kamar</v>
      </c>
      <c r="R516" s="51">
        <v>1</v>
      </c>
      <c r="S516" s="51">
        <v>1</v>
      </c>
      <c r="T516" s="51">
        <v>1</v>
      </c>
      <c r="U516" s="51">
        <v>1</v>
      </c>
      <c r="V516" s="51">
        <v>1</v>
      </c>
      <c r="W516" s="51">
        <v>1</v>
      </c>
      <c r="X516" s="51">
        <v>1</v>
      </c>
      <c r="Y516" s="51">
        <v>1</v>
      </c>
      <c r="Z516" s="51">
        <v>1</v>
      </c>
      <c r="AA516" s="51">
        <v>1</v>
      </c>
      <c r="AB516" s="51">
        <v>1</v>
      </c>
      <c r="AC516" s="51">
        <v>1</v>
      </c>
    </row>
    <row r="517" spans="2:29" x14ac:dyDescent="0.55000000000000004">
      <c r="B517" s="1"/>
      <c r="C517" s="16"/>
    </row>
    <row r="518" spans="2:29" x14ac:dyDescent="0.55000000000000004">
      <c r="B518" s="1"/>
      <c r="C518" s="16"/>
    </row>
    <row r="519" spans="2:29" ht="15.6" x14ac:dyDescent="0.55000000000000004">
      <c r="B519" s="1"/>
      <c r="C519" s="16" t="s">
        <v>83</v>
      </c>
      <c r="D519" s="40" t="str">
        <f>CONCATENATE($R$2," - ",$S$2)</f>
        <v>16h - 17h</v>
      </c>
      <c r="E519" s="41" t="str">
        <f>CONCATENATE($S$2," - ",$T$2)</f>
        <v>17h - 18h</v>
      </c>
      <c r="F519" s="41" t="str">
        <f>CONCATENATE($T$2," - ",$U$2)</f>
        <v>18h - 19h</v>
      </c>
      <c r="G519" s="41" t="str">
        <f>CONCATENATE($U$2," - ",$V$2)</f>
        <v>19h - 20h</v>
      </c>
      <c r="H519" s="41" t="str">
        <f>CONCATENATE($V$2," - ",$W$2)</f>
        <v>20h - 21h</v>
      </c>
      <c r="I519" s="41" t="str">
        <f>CONCATENATE($W$2," - ",$X$2)</f>
        <v>21h - 22h</v>
      </c>
      <c r="J519" s="41" t="str">
        <f>CONCATENATE($X$2," - ",$Y$2)</f>
        <v>22h - 23h</v>
      </c>
      <c r="K519" s="41" t="str">
        <f>CONCATENATE($Y$2," - ",$Z$2)</f>
        <v>23h - 00h</v>
      </c>
      <c r="L519" s="41" t="str">
        <f>CONCATENATE($Z$2," - ",$AA$2)</f>
        <v>00h - 01h</v>
      </c>
      <c r="M519" s="41" t="str">
        <f>CONCATENATE($AA$2," - ",$AB$2)</f>
        <v>01h - 02h</v>
      </c>
      <c r="N519" s="41" t="str">
        <f>CONCATENATE($AB$2," - ",$AC$2)</f>
        <v>02h - 03h</v>
      </c>
      <c r="O519" s="41" t="str">
        <f>CONCATENATE($AC$2," - ",$AD$2)</f>
        <v>03h - 04h</v>
      </c>
      <c r="Q519" s="16" t="s">
        <v>83</v>
      </c>
      <c r="R519" s="40" t="str">
        <f>CONCATENATE($R$2," - ",$S$2)</f>
        <v>16h - 17h</v>
      </c>
      <c r="S519" s="41" t="str">
        <f>CONCATENATE($S$2," - ",$T$2)</f>
        <v>17h - 18h</v>
      </c>
      <c r="T519" s="41" t="str">
        <f>CONCATENATE($T$2," - ",$U$2)</f>
        <v>18h - 19h</v>
      </c>
      <c r="U519" s="41" t="str">
        <f>CONCATENATE($U$2," - ",$V$2)</f>
        <v>19h - 20h</v>
      </c>
      <c r="V519" s="41" t="str">
        <f>CONCATENATE($V$2," - ",$W$2)</f>
        <v>20h - 21h</v>
      </c>
      <c r="W519" s="41" t="str">
        <f>CONCATENATE($W$2," - ",$X$2)</f>
        <v>21h - 22h</v>
      </c>
      <c r="X519" s="41" t="str">
        <f>CONCATENATE($X$2," - ",$Y$2)</f>
        <v>22h - 23h</v>
      </c>
      <c r="Y519" s="41" t="str">
        <f>CONCATENATE($Y$2," - ",$Z$2)</f>
        <v>23h - 00h</v>
      </c>
      <c r="Z519" s="41" t="str">
        <f>CONCATENATE($Z$2," - ",$AA$2)</f>
        <v>00h - 01h</v>
      </c>
      <c r="AA519" s="41" t="str">
        <f>CONCATENATE($AA$2," - ",$AB$2)</f>
        <v>01h - 02h</v>
      </c>
      <c r="AB519" s="41" t="str">
        <f>CONCATENATE($AB$2," - ",$AC$2)</f>
        <v>02h - 03h</v>
      </c>
      <c r="AC519" s="41" t="str">
        <f>CONCATENATE($AC$2," - ",$AD$2)</f>
        <v>03h - 04h</v>
      </c>
    </row>
    <row r="520" spans="2:29" ht="15.6" x14ac:dyDescent="0.55000000000000004">
      <c r="B520" s="1"/>
      <c r="C520" s="46" t="str">
        <f>$Q$3</f>
        <v>Jennifer</v>
      </c>
      <c r="D520" s="51">
        <f t="shared" ref="D520:O520" si="175">C57+D57</f>
        <v>0</v>
      </c>
      <c r="E520" s="51">
        <f t="shared" si="175"/>
        <v>0</v>
      </c>
      <c r="F520" s="51">
        <f t="shared" si="175"/>
        <v>0</v>
      </c>
      <c r="G520" s="51">
        <f t="shared" si="175"/>
        <v>0</v>
      </c>
      <c r="H520" s="51">
        <f t="shared" si="175"/>
        <v>0</v>
      </c>
      <c r="I520" s="51">
        <f t="shared" si="175"/>
        <v>0</v>
      </c>
      <c r="J520" s="51">
        <f t="shared" si="175"/>
        <v>0</v>
      </c>
      <c r="K520" s="51">
        <f t="shared" si="175"/>
        <v>0</v>
      </c>
      <c r="L520" s="51">
        <f t="shared" si="175"/>
        <v>0</v>
      </c>
      <c r="M520" s="51">
        <f t="shared" si="175"/>
        <v>0</v>
      </c>
      <c r="N520" s="51">
        <f t="shared" si="175"/>
        <v>0</v>
      </c>
      <c r="O520" s="51">
        <f t="shared" si="175"/>
        <v>0</v>
      </c>
      <c r="P520" s="28" t="s">
        <v>18</v>
      </c>
      <c r="Q520" s="46" t="str">
        <f>$Q$3</f>
        <v>Jennifer</v>
      </c>
      <c r="R520" s="51">
        <v>1</v>
      </c>
      <c r="S520" s="51">
        <v>1</v>
      </c>
      <c r="T520" s="51">
        <v>1</v>
      </c>
      <c r="U520" s="51">
        <v>1</v>
      </c>
      <c r="V520" s="51">
        <v>1</v>
      </c>
      <c r="W520" s="51">
        <v>1</v>
      </c>
      <c r="X520" s="51">
        <v>1</v>
      </c>
      <c r="Y520" s="51">
        <v>1</v>
      </c>
      <c r="Z520" s="51">
        <v>1</v>
      </c>
      <c r="AA520" s="51">
        <v>1</v>
      </c>
      <c r="AB520" s="51">
        <v>1</v>
      </c>
      <c r="AC520" s="51">
        <v>1</v>
      </c>
    </row>
    <row r="521" spans="2:29" ht="15.6" x14ac:dyDescent="0.55000000000000004">
      <c r="B521" s="1"/>
      <c r="C521" s="52" t="str">
        <f>$Q$4</f>
        <v>Galileo</v>
      </c>
      <c r="D521" s="51">
        <f t="shared" ref="D521:O521" si="176">C58+D58</f>
        <v>0</v>
      </c>
      <c r="E521" s="51">
        <f t="shared" si="176"/>
        <v>1</v>
      </c>
      <c r="F521" s="51">
        <f t="shared" si="176"/>
        <v>1</v>
      </c>
      <c r="G521" s="51">
        <f t="shared" si="176"/>
        <v>0</v>
      </c>
      <c r="H521" s="51">
        <f t="shared" si="176"/>
        <v>0</v>
      </c>
      <c r="I521" s="51">
        <f t="shared" si="176"/>
        <v>0</v>
      </c>
      <c r="J521" s="51">
        <f t="shared" si="176"/>
        <v>0</v>
      </c>
      <c r="K521" s="51">
        <f t="shared" si="176"/>
        <v>0</v>
      </c>
      <c r="L521" s="51">
        <f t="shared" si="176"/>
        <v>0</v>
      </c>
      <c r="M521" s="51">
        <f t="shared" si="176"/>
        <v>0</v>
      </c>
      <c r="N521" s="51">
        <f t="shared" si="176"/>
        <v>0</v>
      </c>
      <c r="O521" s="51">
        <f t="shared" si="176"/>
        <v>0</v>
      </c>
      <c r="P521" s="28" t="s">
        <v>18</v>
      </c>
      <c r="Q521" s="52" t="str">
        <f>$Q$4</f>
        <v>Galileo</v>
      </c>
      <c r="R521" s="51">
        <v>1</v>
      </c>
      <c r="S521" s="51">
        <v>1</v>
      </c>
      <c r="T521" s="51">
        <v>1</v>
      </c>
      <c r="U521" s="51">
        <v>1</v>
      </c>
      <c r="V521" s="51">
        <v>1</v>
      </c>
      <c r="W521" s="51">
        <v>1</v>
      </c>
      <c r="X521" s="51">
        <v>1</v>
      </c>
      <c r="Y521" s="51">
        <v>1</v>
      </c>
      <c r="Z521" s="51">
        <v>1</v>
      </c>
      <c r="AA521" s="51">
        <v>1</v>
      </c>
      <c r="AB521" s="51">
        <v>1</v>
      </c>
      <c r="AC521" s="51">
        <v>1</v>
      </c>
    </row>
    <row r="522" spans="2:29" ht="15.6" x14ac:dyDescent="0.55000000000000004">
      <c r="B522" s="1"/>
      <c r="C522" s="52" t="str">
        <f>$Q$5</f>
        <v>Óscar</v>
      </c>
      <c r="D522" s="51">
        <f t="shared" ref="D522:O522" si="177">C59+D59</f>
        <v>0</v>
      </c>
      <c r="E522" s="51">
        <f t="shared" si="177"/>
        <v>0</v>
      </c>
      <c r="F522" s="51">
        <f t="shared" si="177"/>
        <v>0</v>
      </c>
      <c r="G522" s="51">
        <f t="shared" si="177"/>
        <v>0</v>
      </c>
      <c r="H522" s="51">
        <f t="shared" si="177"/>
        <v>0</v>
      </c>
      <c r="I522" s="51">
        <f t="shared" si="177"/>
        <v>0</v>
      </c>
      <c r="J522" s="51">
        <f t="shared" si="177"/>
        <v>0</v>
      </c>
      <c r="K522" s="51">
        <f t="shared" si="177"/>
        <v>1</v>
      </c>
      <c r="L522" s="51">
        <f t="shared" si="177"/>
        <v>1</v>
      </c>
      <c r="M522" s="51">
        <f t="shared" si="177"/>
        <v>1</v>
      </c>
      <c r="N522" s="51">
        <f t="shared" si="177"/>
        <v>1</v>
      </c>
      <c r="O522" s="51">
        <f t="shared" si="177"/>
        <v>0</v>
      </c>
      <c r="P522" s="28" t="s">
        <v>18</v>
      </c>
      <c r="Q522" s="52" t="str">
        <f>$Q$5</f>
        <v>Óscar</v>
      </c>
      <c r="R522" s="51">
        <v>1</v>
      </c>
      <c r="S522" s="51">
        <v>1</v>
      </c>
      <c r="T522" s="51">
        <v>1</v>
      </c>
      <c r="U522" s="51">
        <v>1</v>
      </c>
      <c r="V522" s="51">
        <v>1</v>
      </c>
      <c r="W522" s="51">
        <v>1</v>
      </c>
      <c r="X522" s="51">
        <v>1</v>
      </c>
      <c r="Y522" s="51">
        <v>1</v>
      </c>
      <c r="Z522" s="51">
        <v>1</v>
      </c>
      <c r="AA522" s="51">
        <v>1</v>
      </c>
      <c r="AB522" s="51">
        <v>1</v>
      </c>
      <c r="AC522" s="51">
        <v>1</v>
      </c>
    </row>
    <row r="523" spans="2:29" ht="15.6" x14ac:dyDescent="0.55000000000000004">
      <c r="B523" s="1"/>
      <c r="C523" s="52" t="str">
        <f>$Q$6</f>
        <v>Sebastián</v>
      </c>
      <c r="D523" s="51">
        <f t="shared" ref="D523:O523" si="178">C60+D60</f>
        <v>0</v>
      </c>
      <c r="E523" s="51">
        <f t="shared" si="178"/>
        <v>0</v>
      </c>
      <c r="F523" s="51">
        <f t="shared" si="178"/>
        <v>1</v>
      </c>
      <c r="G523" s="51">
        <f t="shared" si="178"/>
        <v>1</v>
      </c>
      <c r="H523" s="51">
        <f t="shared" si="178"/>
        <v>0</v>
      </c>
      <c r="I523" s="51">
        <f t="shared" si="178"/>
        <v>0</v>
      </c>
      <c r="J523" s="51">
        <f t="shared" si="178"/>
        <v>0</v>
      </c>
      <c r="K523" s="51">
        <f t="shared" si="178"/>
        <v>0</v>
      </c>
      <c r="L523" s="51">
        <f t="shared" si="178"/>
        <v>0</v>
      </c>
      <c r="M523" s="51">
        <f t="shared" si="178"/>
        <v>0</v>
      </c>
      <c r="N523" s="51">
        <f t="shared" si="178"/>
        <v>0</v>
      </c>
      <c r="O523" s="51">
        <f t="shared" si="178"/>
        <v>0</v>
      </c>
      <c r="P523" s="28" t="s">
        <v>18</v>
      </c>
      <c r="Q523" s="52" t="str">
        <f>$Q$6</f>
        <v>Sebastián</v>
      </c>
      <c r="R523" s="51">
        <v>1</v>
      </c>
      <c r="S523" s="51">
        <v>1</v>
      </c>
      <c r="T523" s="51">
        <v>1</v>
      </c>
      <c r="U523" s="51">
        <v>1</v>
      </c>
      <c r="V523" s="51">
        <v>1</v>
      </c>
      <c r="W523" s="51">
        <v>1</v>
      </c>
      <c r="X523" s="51">
        <v>1</v>
      </c>
      <c r="Y523" s="51">
        <v>1</v>
      </c>
      <c r="Z523" s="51">
        <v>1</v>
      </c>
      <c r="AA523" s="51">
        <v>1</v>
      </c>
      <c r="AB523" s="51">
        <v>1</v>
      </c>
      <c r="AC523" s="51">
        <v>1</v>
      </c>
    </row>
    <row r="524" spans="2:29" ht="15.6" x14ac:dyDescent="0.55000000000000004">
      <c r="B524" s="1"/>
      <c r="C524" s="52" t="str">
        <f>$Q$7</f>
        <v>Marcos</v>
      </c>
      <c r="D524" s="51">
        <f t="shared" ref="D524:O524" si="179">C61+D61</f>
        <v>0</v>
      </c>
      <c r="E524" s="51">
        <f t="shared" si="179"/>
        <v>0</v>
      </c>
      <c r="F524" s="51">
        <f t="shared" si="179"/>
        <v>0</v>
      </c>
      <c r="G524" s="51">
        <f t="shared" si="179"/>
        <v>0</v>
      </c>
      <c r="H524" s="51">
        <f t="shared" si="179"/>
        <v>0</v>
      </c>
      <c r="I524" s="51">
        <f t="shared" si="179"/>
        <v>0</v>
      </c>
      <c r="J524" s="51">
        <f t="shared" si="179"/>
        <v>1</v>
      </c>
      <c r="K524" s="51">
        <f t="shared" si="179"/>
        <v>1</v>
      </c>
      <c r="L524" s="51">
        <f t="shared" si="179"/>
        <v>0</v>
      </c>
      <c r="M524" s="51">
        <f t="shared" si="179"/>
        <v>0</v>
      </c>
      <c r="N524" s="51">
        <f t="shared" si="179"/>
        <v>0</v>
      </c>
      <c r="O524" s="51">
        <f t="shared" si="179"/>
        <v>0</v>
      </c>
      <c r="P524" s="28" t="s">
        <v>18</v>
      </c>
      <c r="Q524" s="52" t="str">
        <f>$Q$7</f>
        <v>Marcos</v>
      </c>
      <c r="R524" s="51">
        <v>1</v>
      </c>
      <c r="S524" s="51">
        <v>1</v>
      </c>
      <c r="T524" s="51">
        <v>1</v>
      </c>
      <c r="U524" s="51">
        <v>1</v>
      </c>
      <c r="V524" s="51">
        <v>1</v>
      </c>
      <c r="W524" s="51">
        <v>1</v>
      </c>
      <c r="X524" s="51">
        <v>1</v>
      </c>
      <c r="Y524" s="51">
        <v>1</v>
      </c>
      <c r="Z524" s="51">
        <v>1</v>
      </c>
      <c r="AA524" s="51">
        <v>1</v>
      </c>
      <c r="AB524" s="51">
        <v>1</v>
      </c>
      <c r="AC524" s="51">
        <v>1</v>
      </c>
    </row>
    <row r="525" spans="2:29" ht="15.6" x14ac:dyDescent="0.55000000000000004">
      <c r="B525" s="1"/>
      <c r="C525" s="52" t="str">
        <f>$Q$8</f>
        <v>Weixin</v>
      </c>
      <c r="D525" s="51">
        <f t="shared" ref="D525:O525" si="180">C62+D62</f>
        <v>0</v>
      </c>
      <c r="E525" s="51">
        <f t="shared" si="180"/>
        <v>0</v>
      </c>
      <c r="F525" s="51">
        <f t="shared" si="180"/>
        <v>1</v>
      </c>
      <c r="G525" s="51">
        <f t="shared" si="180"/>
        <v>1</v>
      </c>
      <c r="H525" s="51">
        <f t="shared" si="180"/>
        <v>1</v>
      </c>
      <c r="I525" s="51">
        <f t="shared" si="180"/>
        <v>1</v>
      </c>
      <c r="J525" s="51">
        <f t="shared" si="180"/>
        <v>0</v>
      </c>
      <c r="K525" s="51">
        <f t="shared" si="180"/>
        <v>0</v>
      </c>
      <c r="L525" s="51">
        <f t="shared" si="180"/>
        <v>0</v>
      </c>
      <c r="M525" s="51">
        <f t="shared" si="180"/>
        <v>0</v>
      </c>
      <c r="N525" s="51">
        <f t="shared" si="180"/>
        <v>0</v>
      </c>
      <c r="O525" s="51">
        <f t="shared" si="180"/>
        <v>0</v>
      </c>
      <c r="P525" s="28" t="s">
        <v>18</v>
      </c>
      <c r="Q525" s="52" t="str">
        <f>$Q$8</f>
        <v>Weixin</v>
      </c>
      <c r="R525" s="51">
        <v>1</v>
      </c>
      <c r="S525" s="51">
        <v>1</v>
      </c>
      <c r="T525" s="51">
        <v>1</v>
      </c>
      <c r="U525" s="51">
        <v>1</v>
      </c>
      <c r="V525" s="51">
        <v>1</v>
      </c>
      <c r="W525" s="51">
        <v>1</v>
      </c>
      <c r="X525" s="51">
        <v>1</v>
      </c>
      <c r="Y525" s="51">
        <v>1</v>
      </c>
      <c r="Z525" s="51">
        <v>1</v>
      </c>
      <c r="AA525" s="51">
        <v>1</v>
      </c>
      <c r="AB525" s="51">
        <v>1</v>
      </c>
      <c r="AC525" s="51">
        <v>1</v>
      </c>
    </row>
    <row r="526" spans="2:29" ht="15.6" x14ac:dyDescent="0.55000000000000004">
      <c r="B526" s="1"/>
      <c r="C526" s="52" t="str">
        <f>$Q$9</f>
        <v>Benjamin</v>
      </c>
      <c r="D526" s="51">
        <f t="shared" ref="D526:O526" si="181">C63+D63</f>
        <v>1</v>
      </c>
      <c r="E526" s="51">
        <f t="shared" si="181"/>
        <v>1</v>
      </c>
      <c r="F526" s="51">
        <f t="shared" si="181"/>
        <v>0</v>
      </c>
      <c r="G526" s="51">
        <f t="shared" si="181"/>
        <v>0</v>
      </c>
      <c r="H526" s="51">
        <f t="shared" si="181"/>
        <v>0</v>
      </c>
      <c r="I526" s="51">
        <f t="shared" si="181"/>
        <v>0</v>
      </c>
      <c r="J526" s="51">
        <f t="shared" si="181"/>
        <v>0</v>
      </c>
      <c r="K526" s="51">
        <f t="shared" si="181"/>
        <v>0</v>
      </c>
      <c r="L526" s="51">
        <f t="shared" si="181"/>
        <v>1</v>
      </c>
      <c r="M526" s="51">
        <f t="shared" si="181"/>
        <v>1</v>
      </c>
      <c r="N526" s="51">
        <f t="shared" si="181"/>
        <v>0</v>
      </c>
      <c r="O526" s="51">
        <f t="shared" si="181"/>
        <v>0</v>
      </c>
      <c r="P526" s="28" t="s">
        <v>18</v>
      </c>
      <c r="Q526" s="52" t="str">
        <f>$Q$9</f>
        <v>Benjamin</v>
      </c>
      <c r="R526" s="51">
        <v>1</v>
      </c>
      <c r="S526" s="51">
        <v>1</v>
      </c>
      <c r="T526" s="51">
        <v>1</v>
      </c>
      <c r="U526" s="51">
        <v>1</v>
      </c>
      <c r="V526" s="51">
        <v>1</v>
      </c>
      <c r="W526" s="51">
        <v>1</v>
      </c>
      <c r="X526" s="51">
        <v>1</v>
      </c>
      <c r="Y526" s="51">
        <v>1</v>
      </c>
      <c r="Z526" s="51">
        <v>1</v>
      </c>
      <c r="AA526" s="51">
        <v>1</v>
      </c>
      <c r="AB526" s="51">
        <v>1</v>
      </c>
      <c r="AC526" s="51">
        <v>1</v>
      </c>
    </row>
    <row r="527" spans="2:29" ht="15.6" x14ac:dyDescent="0.55000000000000004">
      <c r="B527" s="1"/>
      <c r="C527" s="52" t="str">
        <f>$Q$10</f>
        <v>Joelle</v>
      </c>
      <c r="D527" s="51">
        <f t="shared" ref="D527:O527" si="182">C64+D64</f>
        <v>0</v>
      </c>
      <c r="E527" s="51">
        <f t="shared" si="182"/>
        <v>0</v>
      </c>
      <c r="F527" s="51">
        <f t="shared" si="182"/>
        <v>0</v>
      </c>
      <c r="G527" s="51">
        <f t="shared" si="182"/>
        <v>0</v>
      </c>
      <c r="H527" s="51">
        <f t="shared" si="182"/>
        <v>0</v>
      </c>
      <c r="I527" s="51">
        <f t="shared" si="182"/>
        <v>0</v>
      </c>
      <c r="J527" s="51">
        <f t="shared" si="182"/>
        <v>0</v>
      </c>
      <c r="K527" s="51">
        <f t="shared" si="182"/>
        <v>0</v>
      </c>
      <c r="L527" s="51">
        <f t="shared" si="182"/>
        <v>0</v>
      </c>
      <c r="M527" s="51">
        <f t="shared" si="182"/>
        <v>0</v>
      </c>
      <c r="N527" s="51">
        <f t="shared" si="182"/>
        <v>0</v>
      </c>
      <c r="O527" s="51">
        <f t="shared" si="182"/>
        <v>0</v>
      </c>
      <c r="P527" s="28" t="s">
        <v>18</v>
      </c>
      <c r="Q527" s="52" t="str">
        <f>$Q$10</f>
        <v>Joelle</v>
      </c>
      <c r="R527" s="51">
        <v>1</v>
      </c>
      <c r="S527" s="51">
        <v>1</v>
      </c>
      <c r="T527" s="51">
        <v>1</v>
      </c>
      <c r="U527" s="51">
        <v>1</v>
      </c>
      <c r="V527" s="51">
        <v>1</v>
      </c>
      <c r="W527" s="51">
        <v>1</v>
      </c>
      <c r="X527" s="51">
        <v>1</v>
      </c>
      <c r="Y527" s="51">
        <v>1</v>
      </c>
      <c r="Z527" s="51">
        <v>1</v>
      </c>
      <c r="AA527" s="51">
        <v>1</v>
      </c>
      <c r="AB527" s="51">
        <v>1</v>
      </c>
      <c r="AC527" s="51">
        <v>1</v>
      </c>
    </row>
    <row r="528" spans="2:29" ht="15.6" x14ac:dyDescent="0.55000000000000004">
      <c r="B528" s="1"/>
      <c r="C528" s="52" t="str">
        <f>$Q$11</f>
        <v>Alexia</v>
      </c>
      <c r="D528" s="51">
        <f t="shared" ref="D528:O528" si="183">C65+D65</f>
        <v>0</v>
      </c>
      <c r="E528" s="51">
        <f t="shared" si="183"/>
        <v>0</v>
      </c>
      <c r="F528" s="51">
        <f t="shared" si="183"/>
        <v>0</v>
      </c>
      <c r="G528" s="51">
        <f t="shared" si="183"/>
        <v>0</v>
      </c>
      <c r="H528" s="51">
        <f t="shared" si="183"/>
        <v>1</v>
      </c>
      <c r="I528" s="51">
        <f t="shared" si="183"/>
        <v>1</v>
      </c>
      <c r="J528" s="51">
        <f t="shared" si="183"/>
        <v>0</v>
      </c>
      <c r="K528" s="51">
        <f t="shared" si="183"/>
        <v>0</v>
      </c>
      <c r="L528" s="51">
        <f t="shared" si="183"/>
        <v>1</v>
      </c>
      <c r="M528" s="51">
        <f t="shared" si="183"/>
        <v>1</v>
      </c>
      <c r="N528" s="51">
        <f t="shared" si="183"/>
        <v>0</v>
      </c>
      <c r="O528" s="51">
        <f t="shared" si="183"/>
        <v>0</v>
      </c>
      <c r="P528" s="28" t="s">
        <v>18</v>
      </c>
      <c r="Q528" s="52" t="str">
        <f>$Q$11</f>
        <v>Alexia</v>
      </c>
      <c r="R528" s="51">
        <v>1</v>
      </c>
      <c r="S528" s="51">
        <v>1</v>
      </c>
      <c r="T528" s="51">
        <v>1</v>
      </c>
      <c r="U528" s="51">
        <v>1</v>
      </c>
      <c r="V528" s="51">
        <v>1</v>
      </c>
      <c r="W528" s="51">
        <v>1</v>
      </c>
      <c r="X528" s="51">
        <v>1</v>
      </c>
      <c r="Y528" s="51">
        <v>1</v>
      </c>
      <c r="Z528" s="51">
        <v>1</v>
      </c>
      <c r="AA528" s="51">
        <v>1</v>
      </c>
      <c r="AB528" s="51">
        <v>1</v>
      </c>
      <c r="AC528" s="51">
        <v>1</v>
      </c>
    </row>
    <row r="529" spans="2:29" ht="15.6" x14ac:dyDescent="0.55000000000000004">
      <c r="B529" s="1"/>
      <c r="C529" s="52" t="str">
        <f>$Q$12</f>
        <v>Joao</v>
      </c>
      <c r="D529" s="51">
        <f t="shared" ref="D529:O529" si="184">C66+D66</f>
        <v>1</v>
      </c>
      <c r="E529" s="51">
        <f t="shared" si="184"/>
        <v>1</v>
      </c>
      <c r="F529" s="51">
        <f t="shared" si="184"/>
        <v>0</v>
      </c>
      <c r="G529" s="51">
        <f t="shared" si="184"/>
        <v>0</v>
      </c>
      <c r="H529" s="51">
        <f t="shared" si="184"/>
        <v>0</v>
      </c>
      <c r="I529" s="51">
        <f t="shared" si="184"/>
        <v>0</v>
      </c>
      <c r="J529" s="51">
        <f t="shared" si="184"/>
        <v>0</v>
      </c>
      <c r="K529" s="51">
        <f t="shared" si="184"/>
        <v>0</v>
      </c>
      <c r="L529" s="51">
        <f t="shared" si="184"/>
        <v>0</v>
      </c>
      <c r="M529" s="51">
        <f t="shared" si="184"/>
        <v>0</v>
      </c>
      <c r="N529" s="51">
        <f t="shared" si="184"/>
        <v>0</v>
      </c>
      <c r="O529" s="51">
        <f t="shared" si="184"/>
        <v>0</v>
      </c>
      <c r="P529" s="28" t="s">
        <v>18</v>
      </c>
      <c r="Q529" s="52" t="str">
        <f>$Q$12</f>
        <v>Joao</v>
      </c>
      <c r="R529" s="51">
        <v>1</v>
      </c>
      <c r="S529" s="51">
        <v>1</v>
      </c>
      <c r="T529" s="51">
        <v>1</v>
      </c>
      <c r="U529" s="51">
        <v>1</v>
      </c>
      <c r="V529" s="51">
        <v>1</v>
      </c>
      <c r="W529" s="51">
        <v>1</v>
      </c>
      <c r="X529" s="51">
        <v>1</v>
      </c>
      <c r="Y529" s="51">
        <v>1</v>
      </c>
      <c r="Z529" s="51">
        <v>1</v>
      </c>
      <c r="AA529" s="51">
        <v>1</v>
      </c>
      <c r="AB529" s="51">
        <v>1</v>
      </c>
      <c r="AC529" s="51">
        <v>1</v>
      </c>
    </row>
    <row r="530" spans="2:29" ht="15.6" x14ac:dyDescent="0.55000000000000004">
      <c r="B530" s="1"/>
      <c r="C530" s="57" t="str">
        <f>$Q$13</f>
        <v>Maxime</v>
      </c>
      <c r="D530" s="51">
        <f t="shared" ref="D530:O530" si="185">C67+D67</f>
        <v>0</v>
      </c>
      <c r="E530" s="51">
        <f t="shared" si="185"/>
        <v>0</v>
      </c>
      <c r="F530" s="51">
        <f t="shared" si="185"/>
        <v>0</v>
      </c>
      <c r="G530" s="51">
        <f t="shared" si="185"/>
        <v>0</v>
      </c>
      <c r="H530" s="51">
        <f t="shared" si="185"/>
        <v>1</v>
      </c>
      <c r="I530" s="51">
        <f t="shared" si="185"/>
        <v>1</v>
      </c>
      <c r="J530" s="51">
        <f t="shared" si="185"/>
        <v>0</v>
      </c>
      <c r="K530" s="51">
        <f t="shared" si="185"/>
        <v>1</v>
      </c>
      <c r="L530" s="51">
        <f t="shared" si="185"/>
        <v>1</v>
      </c>
      <c r="M530" s="51">
        <f t="shared" si="185"/>
        <v>0</v>
      </c>
      <c r="N530" s="51">
        <f t="shared" si="185"/>
        <v>0</v>
      </c>
      <c r="O530" s="51">
        <f t="shared" si="185"/>
        <v>0</v>
      </c>
      <c r="P530" s="28" t="s">
        <v>18</v>
      </c>
      <c r="Q530" s="57" t="str">
        <f>$Q$13</f>
        <v>Maxime</v>
      </c>
      <c r="R530" s="51">
        <v>1</v>
      </c>
      <c r="S530" s="51">
        <v>1</v>
      </c>
      <c r="T530" s="51">
        <v>1</v>
      </c>
      <c r="U530" s="51">
        <v>1</v>
      </c>
      <c r="V530" s="51">
        <v>1</v>
      </c>
      <c r="W530" s="51">
        <v>1</v>
      </c>
      <c r="X530" s="51">
        <v>1</v>
      </c>
      <c r="Y530" s="51">
        <v>1</v>
      </c>
      <c r="Z530" s="51">
        <v>1</v>
      </c>
      <c r="AA530" s="51">
        <v>1</v>
      </c>
      <c r="AB530" s="51">
        <v>1</v>
      </c>
      <c r="AC530" s="51">
        <v>1</v>
      </c>
    </row>
    <row r="531" spans="2:29" ht="15.6" x14ac:dyDescent="0.55000000000000004">
      <c r="B531" s="1"/>
      <c r="C531" s="46" t="str">
        <f>$Q$14</f>
        <v>Alex</v>
      </c>
      <c r="D531" s="51">
        <f t="shared" ref="D531:O531" si="186">C68+D68</f>
        <v>0</v>
      </c>
      <c r="E531" s="51">
        <f t="shared" si="186"/>
        <v>0</v>
      </c>
      <c r="F531" s="51">
        <f t="shared" si="186"/>
        <v>1</v>
      </c>
      <c r="G531" s="51">
        <f t="shared" si="186"/>
        <v>1</v>
      </c>
      <c r="H531" s="51">
        <f t="shared" si="186"/>
        <v>0</v>
      </c>
      <c r="I531" s="51">
        <f t="shared" si="186"/>
        <v>0</v>
      </c>
      <c r="J531" s="51">
        <f t="shared" si="186"/>
        <v>0</v>
      </c>
      <c r="K531" s="51">
        <f t="shared" si="186"/>
        <v>0</v>
      </c>
      <c r="L531" s="51">
        <f t="shared" si="186"/>
        <v>0</v>
      </c>
      <c r="M531" s="51">
        <f t="shared" si="186"/>
        <v>0</v>
      </c>
      <c r="N531" s="51">
        <f t="shared" si="186"/>
        <v>0</v>
      </c>
      <c r="O531" s="51">
        <f t="shared" si="186"/>
        <v>0</v>
      </c>
      <c r="P531" s="28" t="s">
        <v>18</v>
      </c>
      <c r="Q531" s="46" t="str">
        <f>$Q$14</f>
        <v>Alex</v>
      </c>
      <c r="R531" s="51">
        <v>1</v>
      </c>
      <c r="S531" s="51">
        <v>1</v>
      </c>
      <c r="T531" s="51">
        <v>1</v>
      </c>
      <c r="U531" s="51">
        <v>1</v>
      </c>
      <c r="V531" s="51">
        <v>1</v>
      </c>
      <c r="W531" s="51">
        <v>1</v>
      </c>
      <c r="X531" s="51">
        <v>1</v>
      </c>
      <c r="Y531" s="51">
        <v>1</v>
      </c>
      <c r="Z531" s="51">
        <v>1</v>
      </c>
      <c r="AA531" s="51">
        <v>1</v>
      </c>
      <c r="AB531" s="51">
        <v>1</v>
      </c>
      <c r="AC531" s="51">
        <v>1</v>
      </c>
    </row>
    <row r="532" spans="2:29" ht="15.6" x14ac:dyDescent="0.55000000000000004">
      <c r="B532" s="1"/>
      <c r="C532" s="52" t="str">
        <f>$Q$15</f>
        <v>Alyssa</v>
      </c>
      <c r="D532" s="51">
        <f t="shared" ref="D532:O532" si="187">C69+D69</f>
        <v>1</v>
      </c>
      <c r="E532" s="51">
        <f t="shared" si="187"/>
        <v>2</v>
      </c>
      <c r="F532" s="51">
        <f t="shared" si="187"/>
        <v>1</v>
      </c>
      <c r="G532" s="51">
        <f t="shared" si="187"/>
        <v>0</v>
      </c>
      <c r="H532" s="51">
        <f t="shared" si="187"/>
        <v>0</v>
      </c>
      <c r="I532" s="51">
        <f t="shared" si="187"/>
        <v>0</v>
      </c>
      <c r="J532" s="51">
        <f t="shared" si="187"/>
        <v>0</v>
      </c>
      <c r="K532" s="51">
        <f t="shared" si="187"/>
        <v>0</v>
      </c>
      <c r="L532" s="51">
        <f t="shared" si="187"/>
        <v>0</v>
      </c>
      <c r="M532" s="51">
        <f t="shared" si="187"/>
        <v>0</v>
      </c>
      <c r="N532" s="51">
        <f t="shared" si="187"/>
        <v>0</v>
      </c>
      <c r="O532" s="51">
        <f t="shared" si="187"/>
        <v>0</v>
      </c>
      <c r="P532" s="28" t="s">
        <v>18</v>
      </c>
      <c r="Q532" s="52" t="str">
        <f>$Q$15</f>
        <v>Alyssa</v>
      </c>
      <c r="R532" s="51">
        <v>1</v>
      </c>
      <c r="S532" s="51">
        <v>1</v>
      </c>
      <c r="T532" s="51">
        <v>1</v>
      </c>
      <c r="U532" s="51">
        <v>1</v>
      </c>
      <c r="V532" s="51">
        <v>1</v>
      </c>
      <c r="W532" s="51">
        <v>1</v>
      </c>
      <c r="X532" s="51">
        <v>1</v>
      </c>
      <c r="Y532" s="51">
        <v>1</v>
      </c>
      <c r="Z532" s="51">
        <v>1</v>
      </c>
      <c r="AA532" s="51">
        <v>1</v>
      </c>
      <c r="AB532" s="51">
        <v>1</v>
      </c>
      <c r="AC532" s="51">
        <v>1</v>
      </c>
    </row>
    <row r="533" spans="2:29" ht="15.6" x14ac:dyDescent="0.55000000000000004">
      <c r="B533" s="1"/>
      <c r="C533" s="52" t="str">
        <f>$Q$16</f>
        <v>Amanda</v>
      </c>
      <c r="D533" s="51">
        <f t="shared" ref="D533:O533" si="188">C70+D70</f>
        <v>0</v>
      </c>
      <c r="E533" s="51">
        <f t="shared" si="188"/>
        <v>0</v>
      </c>
      <c r="F533" s="51">
        <f t="shared" si="188"/>
        <v>0</v>
      </c>
      <c r="G533" s="51">
        <f t="shared" si="188"/>
        <v>1</v>
      </c>
      <c r="H533" s="51">
        <f t="shared" si="188"/>
        <v>1</v>
      </c>
      <c r="I533" s="51">
        <f t="shared" si="188"/>
        <v>1</v>
      </c>
      <c r="J533" s="51">
        <f t="shared" si="188"/>
        <v>1</v>
      </c>
      <c r="K533" s="51">
        <f t="shared" si="188"/>
        <v>0</v>
      </c>
      <c r="L533" s="51">
        <f t="shared" si="188"/>
        <v>0</v>
      </c>
      <c r="M533" s="51">
        <f t="shared" si="188"/>
        <v>0</v>
      </c>
      <c r="N533" s="51">
        <f t="shared" si="188"/>
        <v>0</v>
      </c>
      <c r="O533" s="51">
        <f t="shared" si="188"/>
        <v>0</v>
      </c>
      <c r="P533" s="28" t="s">
        <v>18</v>
      </c>
      <c r="Q533" s="52" t="str">
        <f>$Q$16</f>
        <v>Amanda</v>
      </c>
      <c r="R533" s="51">
        <v>1</v>
      </c>
      <c r="S533" s="51">
        <v>1</v>
      </c>
      <c r="T533" s="51">
        <v>1</v>
      </c>
      <c r="U533" s="51">
        <v>1</v>
      </c>
      <c r="V533" s="51">
        <v>1</v>
      </c>
      <c r="W533" s="51">
        <v>1</v>
      </c>
      <c r="X533" s="51">
        <v>1</v>
      </c>
      <c r="Y533" s="51">
        <v>1</v>
      </c>
      <c r="Z533" s="51">
        <v>1</v>
      </c>
      <c r="AA533" s="51">
        <v>1</v>
      </c>
      <c r="AB533" s="51">
        <v>1</v>
      </c>
      <c r="AC533" s="51">
        <v>1</v>
      </c>
    </row>
    <row r="534" spans="2:29" ht="15.6" x14ac:dyDescent="0.55000000000000004">
      <c r="B534" s="1"/>
      <c r="C534" s="52" t="str">
        <f>$Q$17</f>
        <v>Antoine</v>
      </c>
      <c r="D534" s="51">
        <f t="shared" ref="D534:O534" si="189">C71+D71</f>
        <v>0</v>
      </c>
      <c r="E534" s="51">
        <f t="shared" si="189"/>
        <v>0</v>
      </c>
      <c r="F534" s="51">
        <f t="shared" si="189"/>
        <v>0</v>
      </c>
      <c r="G534" s="51">
        <f t="shared" si="189"/>
        <v>0</v>
      </c>
      <c r="H534" s="51">
        <f t="shared" si="189"/>
        <v>0</v>
      </c>
      <c r="I534" s="51">
        <f t="shared" si="189"/>
        <v>0</v>
      </c>
      <c r="J534" s="51">
        <f t="shared" si="189"/>
        <v>0</v>
      </c>
      <c r="K534" s="51">
        <f t="shared" si="189"/>
        <v>0</v>
      </c>
      <c r="L534" s="51">
        <f t="shared" si="189"/>
        <v>0</v>
      </c>
      <c r="M534" s="51">
        <f t="shared" si="189"/>
        <v>0</v>
      </c>
      <c r="N534" s="51">
        <f t="shared" si="189"/>
        <v>0</v>
      </c>
      <c r="O534" s="51">
        <f t="shared" si="189"/>
        <v>0</v>
      </c>
      <c r="P534" s="28" t="s">
        <v>18</v>
      </c>
      <c r="Q534" s="52" t="str">
        <f>$Q$17</f>
        <v>Antoine</v>
      </c>
      <c r="R534" s="51">
        <v>1</v>
      </c>
      <c r="S534" s="51">
        <v>1</v>
      </c>
      <c r="T534" s="51">
        <v>1</v>
      </c>
      <c r="U534" s="51">
        <v>1</v>
      </c>
      <c r="V534" s="51">
        <v>1</v>
      </c>
      <c r="W534" s="51">
        <v>1</v>
      </c>
      <c r="X534" s="51">
        <v>1</v>
      </c>
      <c r="Y534" s="51">
        <v>1</v>
      </c>
      <c r="Z534" s="51">
        <v>1</v>
      </c>
      <c r="AA534" s="51">
        <v>1</v>
      </c>
      <c r="AB534" s="51">
        <v>1</v>
      </c>
      <c r="AC534" s="51">
        <v>1</v>
      </c>
    </row>
    <row r="535" spans="2:29" ht="15.6" x14ac:dyDescent="0.55000000000000004">
      <c r="B535" s="1"/>
      <c r="C535" s="52" t="str">
        <f>$Q$18</f>
        <v>Beatriz</v>
      </c>
      <c r="D535" s="51">
        <f t="shared" ref="D535:O535" si="190">C72+D72</f>
        <v>0</v>
      </c>
      <c r="E535" s="51">
        <f t="shared" si="190"/>
        <v>1</v>
      </c>
      <c r="F535" s="51">
        <f t="shared" si="190"/>
        <v>1</v>
      </c>
      <c r="G535" s="51">
        <f t="shared" si="190"/>
        <v>0</v>
      </c>
      <c r="H535" s="51">
        <f t="shared" si="190"/>
        <v>0</v>
      </c>
      <c r="I535" s="51">
        <f t="shared" si="190"/>
        <v>0</v>
      </c>
      <c r="J535" s="51">
        <f t="shared" si="190"/>
        <v>0</v>
      </c>
      <c r="K535" s="51">
        <f t="shared" si="190"/>
        <v>0</v>
      </c>
      <c r="L535" s="51">
        <f t="shared" si="190"/>
        <v>0</v>
      </c>
      <c r="M535" s="51">
        <f t="shared" si="190"/>
        <v>0</v>
      </c>
      <c r="N535" s="51">
        <f t="shared" si="190"/>
        <v>0</v>
      </c>
      <c r="O535" s="51">
        <f t="shared" si="190"/>
        <v>0</v>
      </c>
      <c r="P535" s="28" t="s">
        <v>18</v>
      </c>
      <c r="Q535" s="52" t="str">
        <f>$Q$18</f>
        <v>Beatriz</v>
      </c>
      <c r="R535" s="51">
        <v>1</v>
      </c>
      <c r="S535" s="51">
        <v>1</v>
      </c>
      <c r="T535" s="51">
        <v>1</v>
      </c>
      <c r="U535" s="51">
        <v>1</v>
      </c>
      <c r="V535" s="51">
        <v>1</v>
      </c>
      <c r="W535" s="51">
        <v>1</v>
      </c>
      <c r="X535" s="51">
        <v>1</v>
      </c>
      <c r="Y535" s="51">
        <v>1</v>
      </c>
      <c r="Z535" s="51">
        <v>1</v>
      </c>
      <c r="AA535" s="51">
        <v>1</v>
      </c>
      <c r="AB535" s="51">
        <v>1</v>
      </c>
      <c r="AC535" s="51">
        <v>1</v>
      </c>
    </row>
    <row r="536" spans="2:29" ht="15.6" x14ac:dyDescent="0.55000000000000004">
      <c r="B536" s="1"/>
      <c r="C536" s="52" t="str">
        <f>$Q$19</f>
        <v>Charelle</v>
      </c>
      <c r="D536" s="51">
        <f t="shared" ref="D536:O536" si="191">C73+D73</f>
        <v>0</v>
      </c>
      <c r="E536" s="51">
        <f t="shared" si="191"/>
        <v>0</v>
      </c>
      <c r="F536" s="51">
        <f t="shared" si="191"/>
        <v>0</v>
      </c>
      <c r="G536" s="51">
        <f t="shared" si="191"/>
        <v>1</v>
      </c>
      <c r="H536" s="51">
        <f t="shared" si="191"/>
        <v>1</v>
      </c>
      <c r="I536" s="51">
        <f t="shared" si="191"/>
        <v>1</v>
      </c>
      <c r="J536" s="51">
        <f t="shared" si="191"/>
        <v>2</v>
      </c>
      <c r="K536" s="51">
        <f t="shared" si="191"/>
        <v>1</v>
      </c>
      <c r="L536" s="51">
        <f t="shared" si="191"/>
        <v>0</v>
      </c>
      <c r="M536" s="51">
        <f t="shared" si="191"/>
        <v>1</v>
      </c>
      <c r="N536" s="51">
        <f t="shared" si="191"/>
        <v>1</v>
      </c>
      <c r="O536" s="51">
        <f t="shared" si="191"/>
        <v>0</v>
      </c>
      <c r="P536" s="28" t="s">
        <v>18</v>
      </c>
      <c r="Q536" s="52" t="str">
        <f>$Q$19</f>
        <v>Charelle</v>
      </c>
      <c r="R536" s="51">
        <v>1</v>
      </c>
      <c r="S536" s="51">
        <v>1</v>
      </c>
      <c r="T536" s="51">
        <v>1</v>
      </c>
      <c r="U536" s="51">
        <v>1</v>
      </c>
      <c r="V536" s="51">
        <v>1</v>
      </c>
      <c r="W536" s="51">
        <v>1</v>
      </c>
      <c r="X536" s="51">
        <v>1</v>
      </c>
      <c r="Y536" s="51">
        <v>1</v>
      </c>
      <c r="Z536" s="51">
        <v>1</v>
      </c>
      <c r="AA536" s="51">
        <v>1</v>
      </c>
      <c r="AB536" s="51">
        <v>1</v>
      </c>
      <c r="AC536" s="51">
        <v>1</v>
      </c>
    </row>
    <row r="537" spans="2:29" ht="15.6" x14ac:dyDescent="0.55000000000000004">
      <c r="B537" s="1"/>
      <c r="C537" s="52" t="str">
        <f>$Q$20</f>
        <v>Dimitri</v>
      </c>
      <c r="D537" s="51">
        <f t="shared" ref="D537:O537" si="192">C74+D74</f>
        <v>0</v>
      </c>
      <c r="E537" s="51">
        <f t="shared" si="192"/>
        <v>0</v>
      </c>
      <c r="F537" s="51">
        <f t="shared" si="192"/>
        <v>0</v>
      </c>
      <c r="G537" s="51">
        <f t="shared" si="192"/>
        <v>0</v>
      </c>
      <c r="H537" s="51">
        <f t="shared" si="192"/>
        <v>0</v>
      </c>
      <c r="I537" s="51">
        <f t="shared" si="192"/>
        <v>0</v>
      </c>
      <c r="J537" s="51">
        <f t="shared" si="192"/>
        <v>1</v>
      </c>
      <c r="K537" s="51">
        <f t="shared" si="192"/>
        <v>1</v>
      </c>
      <c r="L537" s="51">
        <f t="shared" si="192"/>
        <v>0</v>
      </c>
      <c r="M537" s="51">
        <f t="shared" si="192"/>
        <v>0</v>
      </c>
      <c r="N537" s="51">
        <f t="shared" si="192"/>
        <v>0</v>
      </c>
      <c r="O537" s="51">
        <f t="shared" si="192"/>
        <v>0</v>
      </c>
      <c r="P537" s="28" t="s">
        <v>18</v>
      </c>
      <c r="Q537" s="52" t="str">
        <f>$Q$20</f>
        <v>Dimitri</v>
      </c>
      <c r="R537" s="51">
        <v>1</v>
      </c>
      <c r="S537" s="51">
        <v>1</v>
      </c>
      <c r="T537" s="51">
        <v>1</v>
      </c>
      <c r="U537" s="51">
        <v>1</v>
      </c>
      <c r="V537" s="51">
        <v>1</v>
      </c>
      <c r="W537" s="51">
        <v>1</v>
      </c>
      <c r="X537" s="51">
        <v>1</v>
      </c>
      <c r="Y537" s="51">
        <v>1</v>
      </c>
      <c r="Z537" s="51">
        <v>1</v>
      </c>
      <c r="AA537" s="51">
        <v>1</v>
      </c>
      <c r="AB537" s="51">
        <v>1</v>
      </c>
      <c r="AC537" s="51">
        <v>1</v>
      </c>
    </row>
    <row r="538" spans="2:29" ht="15.6" x14ac:dyDescent="0.55000000000000004">
      <c r="B538" s="1"/>
      <c r="C538" s="52" t="str">
        <f>$Q$21</f>
        <v>Marina</v>
      </c>
      <c r="D538" s="51">
        <f t="shared" ref="D538:O538" si="193">C75+D75</f>
        <v>0</v>
      </c>
      <c r="E538" s="51">
        <f t="shared" si="193"/>
        <v>0</v>
      </c>
      <c r="F538" s="51">
        <f t="shared" si="193"/>
        <v>0</v>
      </c>
      <c r="G538" s="51">
        <f t="shared" si="193"/>
        <v>1</v>
      </c>
      <c r="H538" s="51">
        <f t="shared" si="193"/>
        <v>1</v>
      </c>
      <c r="I538" s="51">
        <f t="shared" si="193"/>
        <v>0</v>
      </c>
      <c r="J538" s="51">
        <f t="shared" si="193"/>
        <v>0</v>
      </c>
      <c r="K538" s="51">
        <f t="shared" si="193"/>
        <v>0</v>
      </c>
      <c r="L538" s="51">
        <f t="shared" si="193"/>
        <v>0</v>
      </c>
      <c r="M538" s="51">
        <f t="shared" si="193"/>
        <v>0</v>
      </c>
      <c r="N538" s="51">
        <f t="shared" si="193"/>
        <v>0</v>
      </c>
      <c r="O538" s="51">
        <f t="shared" si="193"/>
        <v>0</v>
      </c>
      <c r="P538" s="28" t="s">
        <v>18</v>
      </c>
      <c r="Q538" s="52" t="str">
        <f>$Q$21</f>
        <v>Marina</v>
      </c>
      <c r="R538" s="51">
        <v>1</v>
      </c>
      <c r="S538" s="51">
        <v>1</v>
      </c>
      <c r="T538" s="51">
        <v>1</v>
      </c>
      <c r="U538" s="51">
        <v>1</v>
      </c>
      <c r="V538" s="51">
        <v>1</v>
      </c>
      <c r="W538" s="51">
        <v>1</v>
      </c>
      <c r="X538" s="51">
        <v>1</v>
      </c>
      <c r="Y538" s="51">
        <v>1</v>
      </c>
      <c r="Z538" s="51">
        <v>1</v>
      </c>
      <c r="AA538" s="51">
        <v>1</v>
      </c>
      <c r="AB538" s="51">
        <v>1</v>
      </c>
      <c r="AC538" s="51">
        <v>1</v>
      </c>
    </row>
    <row r="539" spans="2:29" ht="15.6" x14ac:dyDescent="0.55000000000000004">
      <c r="B539" s="1"/>
      <c r="C539" s="52" t="str">
        <f>$Q$22</f>
        <v>Michel</v>
      </c>
      <c r="D539" s="51">
        <f t="shared" ref="D539:O539" si="194">C76+D76</f>
        <v>0</v>
      </c>
      <c r="E539" s="51">
        <f t="shared" si="194"/>
        <v>0</v>
      </c>
      <c r="F539" s="51">
        <f t="shared" si="194"/>
        <v>0</v>
      </c>
      <c r="G539" s="51">
        <f t="shared" si="194"/>
        <v>0</v>
      </c>
      <c r="H539" s="51">
        <f t="shared" si="194"/>
        <v>0</v>
      </c>
      <c r="I539" s="51">
        <f t="shared" si="194"/>
        <v>0</v>
      </c>
      <c r="J539" s="51">
        <f t="shared" si="194"/>
        <v>0</v>
      </c>
      <c r="K539" s="51">
        <f t="shared" si="194"/>
        <v>0</v>
      </c>
      <c r="L539" s="51">
        <f t="shared" si="194"/>
        <v>0</v>
      </c>
      <c r="M539" s="51">
        <f t="shared" si="194"/>
        <v>1</v>
      </c>
      <c r="N539" s="51">
        <f t="shared" si="194"/>
        <v>1</v>
      </c>
      <c r="O539" s="51">
        <f t="shared" si="194"/>
        <v>0</v>
      </c>
      <c r="P539" s="28" t="s">
        <v>18</v>
      </c>
      <c r="Q539" s="52" t="str">
        <f>$Q$22</f>
        <v>Michel</v>
      </c>
      <c r="R539" s="51">
        <v>1</v>
      </c>
      <c r="S539" s="51">
        <v>1</v>
      </c>
      <c r="T539" s="51">
        <v>1</v>
      </c>
      <c r="U539" s="51">
        <v>1</v>
      </c>
      <c r="V539" s="51">
        <v>1</v>
      </c>
      <c r="W539" s="51">
        <v>1</v>
      </c>
      <c r="X539" s="51">
        <v>1</v>
      </c>
      <c r="Y539" s="51">
        <v>1</v>
      </c>
      <c r="Z539" s="51">
        <v>1</v>
      </c>
      <c r="AA539" s="51">
        <v>1</v>
      </c>
      <c r="AB539" s="51">
        <v>1</v>
      </c>
      <c r="AC539" s="51">
        <v>1</v>
      </c>
    </row>
    <row r="540" spans="2:29" ht="15.6" x14ac:dyDescent="0.55000000000000004">
      <c r="B540" s="1"/>
      <c r="C540" s="52" t="str">
        <f>$Q$23</f>
        <v>Nour</v>
      </c>
      <c r="D540" s="51">
        <f t="shared" ref="D540:O540" si="195">C77+D77</f>
        <v>0</v>
      </c>
      <c r="E540" s="51">
        <f t="shared" si="195"/>
        <v>0</v>
      </c>
      <c r="F540" s="51">
        <f t="shared" si="195"/>
        <v>0</v>
      </c>
      <c r="G540" s="51">
        <f t="shared" si="195"/>
        <v>0</v>
      </c>
      <c r="H540" s="51">
        <f t="shared" si="195"/>
        <v>0</v>
      </c>
      <c r="I540" s="51">
        <f t="shared" si="195"/>
        <v>0</v>
      </c>
      <c r="J540" s="51">
        <f t="shared" si="195"/>
        <v>0</v>
      </c>
      <c r="K540" s="51">
        <f t="shared" si="195"/>
        <v>0</v>
      </c>
      <c r="L540" s="51">
        <f t="shared" si="195"/>
        <v>0</v>
      </c>
      <c r="M540" s="51">
        <f t="shared" si="195"/>
        <v>0</v>
      </c>
      <c r="N540" s="51">
        <f t="shared" si="195"/>
        <v>0</v>
      </c>
      <c r="O540" s="51">
        <f t="shared" si="195"/>
        <v>0</v>
      </c>
      <c r="P540" s="28" t="s">
        <v>18</v>
      </c>
      <c r="Q540" s="52" t="str">
        <f>$Q$23</f>
        <v>Nour</v>
      </c>
      <c r="R540" s="51">
        <v>1</v>
      </c>
      <c r="S540" s="51">
        <v>1</v>
      </c>
      <c r="T540" s="51">
        <v>1</v>
      </c>
      <c r="U540" s="51">
        <v>1</v>
      </c>
      <c r="V540" s="51">
        <v>1</v>
      </c>
      <c r="W540" s="51">
        <v>1</v>
      </c>
      <c r="X540" s="51">
        <v>1</v>
      </c>
      <c r="Y540" s="51">
        <v>1</v>
      </c>
      <c r="Z540" s="51">
        <v>1</v>
      </c>
      <c r="AA540" s="51">
        <v>1</v>
      </c>
      <c r="AB540" s="51">
        <v>1</v>
      </c>
      <c r="AC540" s="51">
        <v>1</v>
      </c>
    </row>
    <row r="541" spans="2:29" ht="15.6" x14ac:dyDescent="0.55000000000000004">
      <c r="B541" s="1"/>
      <c r="C541" s="52" t="str">
        <f>$Q$24</f>
        <v>Samuel</v>
      </c>
      <c r="D541" s="51">
        <f t="shared" ref="D541:O541" si="196">C78+D78</f>
        <v>0</v>
      </c>
      <c r="E541" s="51">
        <f t="shared" si="196"/>
        <v>0</v>
      </c>
      <c r="F541" s="51">
        <f t="shared" si="196"/>
        <v>0</v>
      </c>
      <c r="G541" s="51">
        <f t="shared" si="196"/>
        <v>0</v>
      </c>
      <c r="H541" s="51">
        <f t="shared" si="196"/>
        <v>0</v>
      </c>
      <c r="I541" s="51">
        <f t="shared" si="196"/>
        <v>0</v>
      </c>
      <c r="J541" s="51">
        <f t="shared" si="196"/>
        <v>0</v>
      </c>
      <c r="K541" s="51">
        <f t="shared" si="196"/>
        <v>1</v>
      </c>
      <c r="L541" s="51">
        <f t="shared" si="196"/>
        <v>1</v>
      </c>
      <c r="M541" s="51">
        <f t="shared" si="196"/>
        <v>0</v>
      </c>
      <c r="N541" s="51">
        <f t="shared" si="196"/>
        <v>0</v>
      </c>
      <c r="O541" s="51">
        <f t="shared" si="196"/>
        <v>0</v>
      </c>
      <c r="P541" s="28" t="s">
        <v>18</v>
      </c>
      <c r="Q541" s="52" t="str">
        <f>$Q$24</f>
        <v>Samuel</v>
      </c>
      <c r="R541" s="51">
        <v>1</v>
      </c>
      <c r="S541" s="51">
        <v>1</v>
      </c>
      <c r="T541" s="51">
        <v>1</v>
      </c>
      <c r="U541" s="51">
        <v>1</v>
      </c>
      <c r="V541" s="51">
        <v>1</v>
      </c>
      <c r="W541" s="51">
        <v>1</v>
      </c>
      <c r="X541" s="51">
        <v>1</v>
      </c>
      <c r="Y541" s="51">
        <v>1</v>
      </c>
      <c r="Z541" s="51">
        <v>1</v>
      </c>
      <c r="AA541" s="51">
        <v>1</v>
      </c>
      <c r="AB541" s="51">
        <v>1</v>
      </c>
      <c r="AC541" s="51">
        <v>1</v>
      </c>
    </row>
    <row r="542" spans="2:29" ht="15.6" x14ac:dyDescent="0.55000000000000004">
      <c r="B542" s="1"/>
      <c r="C542" s="52" t="str">
        <f>$Q$25</f>
        <v>Yassin</v>
      </c>
      <c r="D542" s="51">
        <f t="shared" ref="D542:O542" si="197">C79+D79</f>
        <v>0</v>
      </c>
      <c r="E542" s="51">
        <f t="shared" si="197"/>
        <v>0</v>
      </c>
      <c r="F542" s="51">
        <f t="shared" si="197"/>
        <v>0</v>
      </c>
      <c r="G542" s="51">
        <f t="shared" si="197"/>
        <v>0</v>
      </c>
      <c r="H542" s="51">
        <f t="shared" si="197"/>
        <v>0</v>
      </c>
      <c r="I542" s="51">
        <f t="shared" si="197"/>
        <v>0</v>
      </c>
      <c r="J542" s="51">
        <f t="shared" si="197"/>
        <v>0</v>
      </c>
      <c r="K542" s="51">
        <f t="shared" si="197"/>
        <v>0</v>
      </c>
      <c r="L542" s="51">
        <f t="shared" si="197"/>
        <v>0</v>
      </c>
      <c r="M542" s="51">
        <f t="shared" si="197"/>
        <v>0</v>
      </c>
      <c r="N542" s="51">
        <f t="shared" si="197"/>
        <v>0</v>
      </c>
      <c r="O542" s="51">
        <f t="shared" si="197"/>
        <v>0</v>
      </c>
      <c r="P542" s="28" t="s">
        <v>18</v>
      </c>
      <c r="Q542" s="52" t="str">
        <f>$Q$25</f>
        <v>Yassin</v>
      </c>
      <c r="R542" s="51">
        <v>1</v>
      </c>
      <c r="S542" s="51">
        <v>1</v>
      </c>
      <c r="T542" s="51">
        <v>1</v>
      </c>
      <c r="U542" s="51">
        <v>1</v>
      </c>
      <c r="V542" s="51">
        <v>1</v>
      </c>
      <c r="W542" s="51">
        <v>1</v>
      </c>
      <c r="X542" s="51">
        <v>1</v>
      </c>
      <c r="Y542" s="51">
        <v>1</v>
      </c>
      <c r="Z542" s="51">
        <v>1</v>
      </c>
      <c r="AA542" s="51">
        <v>1</v>
      </c>
      <c r="AB542" s="51">
        <v>1</v>
      </c>
      <c r="AC542" s="51">
        <v>1</v>
      </c>
    </row>
    <row r="543" spans="2:29" ht="15.6" x14ac:dyDescent="0.55000000000000004">
      <c r="B543" s="1"/>
      <c r="C543" s="52" t="str">
        <f>$Q$26</f>
        <v>Kamar</v>
      </c>
      <c r="D543" s="51">
        <f t="shared" ref="D543:O543" si="198">C80+D80</f>
        <v>0</v>
      </c>
      <c r="E543" s="51">
        <f t="shared" si="198"/>
        <v>0</v>
      </c>
      <c r="F543" s="51">
        <f t="shared" si="198"/>
        <v>0</v>
      </c>
      <c r="G543" s="51">
        <f t="shared" si="198"/>
        <v>0</v>
      </c>
      <c r="H543" s="51">
        <f t="shared" si="198"/>
        <v>0</v>
      </c>
      <c r="I543" s="51">
        <f t="shared" si="198"/>
        <v>1</v>
      </c>
      <c r="J543" s="51">
        <f t="shared" si="198"/>
        <v>1</v>
      </c>
      <c r="K543" s="51">
        <f t="shared" si="198"/>
        <v>0</v>
      </c>
      <c r="L543" s="51">
        <f t="shared" si="198"/>
        <v>1</v>
      </c>
      <c r="M543" s="51">
        <f t="shared" si="198"/>
        <v>1</v>
      </c>
      <c r="N543" s="51">
        <f t="shared" si="198"/>
        <v>0</v>
      </c>
      <c r="O543" s="51">
        <f t="shared" si="198"/>
        <v>0</v>
      </c>
      <c r="P543" s="28" t="s">
        <v>18</v>
      </c>
      <c r="Q543" s="52" t="str">
        <f>$Q$26</f>
        <v>Kamar</v>
      </c>
      <c r="R543" s="51">
        <v>1</v>
      </c>
      <c r="S543" s="51">
        <v>1</v>
      </c>
      <c r="T543" s="51">
        <v>1</v>
      </c>
      <c r="U543" s="51">
        <v>1</v>
      </c>
      <c r="V543" s="51">
        <v>1</v>
      </c>
      <c r="W543" s="51">
        <v>1</v>
      </c>
      <c r="X543" s="51">
        <v>1</v>
      </c>
      <c r="Y543" s="51">
        <v>1</v>
      </c>
      <c r="Z543" s="51">
        <v>1</v>
      </c>
      <c r="AA543" s="51">
        <v>1</v>
      </c>
      <c r="AB543" s="51">
        <v>1</v>
      </c>
      <c r="AC543" s="51">
        <v>1</v>
      </c>
    </row>
    <row r="544" spans="2:29" x14ac:dyDescent="0.55000000000000004">
      <c r="B544" s="1"/>
      <c r="C544" s="16"/>
    </row>
    <row r="545" spans="2:29" x14ac:dyDescent="0.55000000000000004">
      <c r="B545" s="1"/>
      <c r="C545" s="16"/>
    </row>
    <row r="546" spans="2:29" ht="15.6" x14ac:dyDescent="0.55000000000000004">
      <c r="B546" s="1"/>
      <c r="C546" s="16" t="s">
        <v>84</v>
      </c>
      <c r="D546" s="40" t="str">
        <f>CONCATENATE($R$2," - ",$S$2)</f>
        <v>16h - 17h</v>
      </c>
      <c r="E546" s="41" t="str">
        <f>CONCATENATE($S$2," - ",$T$2)</f>
        <v>17h - 18h</v>
      </c>
      <c r="F546" s="41" t="str">
        <f>CONCATENATE($T$2," - ",$U$2)</f>
        <v>18h - 19h</v>
      </c>
      <c r="G546" s="41" t="str">
        <f>CONCATENATE($U$2," - ",$V$2)</f>
        <v>19h - 20h</v>
      </c>
      <c r="H546" s="41" t="str">
        <f>CONCATENATE($V$2," - ",$W$2)</f>
        <v>20h - 21h</v>
      </c>
      <c r="I546" s="41" t="str">
        <f>CONCATENATE($W$2," - ",$X$2)</f>
        <v>21h - 22h</v>
      </c>
      <c r="J546" s="41" t="str">
        <f>CONCATENATE($X$2," - ",$Y$2)</f>
        <v>22h - 23h</v>
      </c>
      <c r="K546" s="41" t="str">
        <f>CONCATENATE($Y$2," - ",$Z$2)</f>
        <v>23h - 00h</v>
      </c>
      <c r="L546" s="41" t="str">
        <f>CONCATENATE($Z$2," - ",$AA$2)</f>
        <v>00h - 01h</v>
      </c>
      <c r="M546" s="41" t="str">
        <f>CONCATENATE($AA$2," - ",$AB$2)</f>
        <v>01h - 02h</v>
      </c>
      <c r="N546" s="41" t="str">
        <f>CONCATENATE($AB$2," - ",$AC$2)</f>
        <v>02h - 03h</v>
      </c>
      <c r="O546" s="41" t="str">
        <f>CONCATENATE($AC$2," - ",$AD$2)</f>
        <v>03h - 04h</v>
      </c>
      <c r="Q546" s="16" t="s">
        <v>84</v>
      </c>
      <c r="R546" s="40" t="str">
        <f>CONCATENATE($R$2," - ",$S$2)</f>
        <v>16h - 17h</v>
      </c>
      <c r="S546" s="41" t="str">
        <f>CONCATENATE($S$2," - ",$T$2)</f>
        <v>17h - 18h</v>
      </c>
      <c r="T546" s="41" t="str">
        <f>CONCATENATE($T$2," - ",$U$2)</f>
        <v>18h - 19h</v>
      </c>
      <c r="U546" s="41" t="str">
        <f>CONCATENATE($U$2," - ",$V$2)</f>
        <v>19h - 20h</v>
      </c>
      <c r="V546" s="41" t="str">
        <f>CONCATENATE($V$2," - ",$W$2)</f>
        <v>20h - 21h</v>
      </c>
      <c r="W546" s="41" t="str">
        <f>CONCATENATE($W$2," - ",$X$2)</f>
        <v>21h - 22h</v>
      </c>
      <c r="X546" s="41" t="str">
        <f>CONCATENATE($X$2," - ",$Y$2)</f>
        <v>22h - 23h</v>
      </c>
      <c r="Y546" s="41" t="str">
        <f>CONCATENATE($Y$2," - ",$Z$2)</f>
        <v>23h - 00h</v>
      </c>
      <c r="Z546" s="41" t="str">
        <f>CONCATENATE($Z$2," - ",$AA$2)</f>
        <v>00h - 01h</v>
      </c>
      <c r="AA546" s="41" t="str">
        <f>CONCATENATE($AA$2," - ",$AB$2)</f>
        <v>01h - 02h</v>
      </c>
      <c r="AB546" s="41" t="str">
        <f>CONCATENATE($AB$2," - ",$AC$2)</f>
        <v>02h - 03h</v>
      </c>
      <c r="AC546" s="41" t="str">
        <f>CONCATENATE($AC$2," - ",$AD$2)</f>
        <v>03h - 04h</v>
      </c>
    </row>
    <row r="547" spans="2:29" ht="15.6" x14ac:dyDescent="0.55000000000000004">
      <c r="B547" s="1"/>
      <c r="C547" s="46" t="str">
        <f>$Q$3</f>
        <v>Jennifer</v>
      </c>
      <c r="D547" s="51">
        <f t="shared" ref="D547:O547" si="199">C84+D84</f>
        <v>0</v>
      </c>
      <c r="E547" s="51">
        <f t="shared" si="199"/>
        <v>0</v>
      </c>
      <c r="F547" s="51">
        <f t="shared" si="199"/>
        <v>0</v>
      </c>
      <c r="G547" s="51">
        <f t="shared" si="199"/>
        <v>0</v>
      </c>
      <c r="H547" s="51">
        <f t="shared" si="199"/>
        <v>0</v>
      </c>
      <c r="I547" s="51">
        <f t="shared" si="199"/>
        <v>0</v>
      </c>
      <c r="J547" s="51">
        <f t="shared" si="199"/>
        <v>0</v>
      </c>
      <c r="K547" s="51">
        <f t="shared" si="199"/>
        <v>0</v>
      </c>
      <c r="L547" s="51">
        <f t="shared" si="199"/>
        <v>0</v>
      </c>
      <c r="M547" s="51">
        <f t="shared" si="199"/>
        <v>0</v>
      </c>
      <c r="N547" s="51">
        <f t="shared" si="199"/>
        <v>0</v>
      </c>
      <c r="O547" s="51">
        <f t="shared" si="199"/>
        <v>0</v>
      </c>
      <c r="P547" s="28" t="s">
        <v>18</v>
      </c>
      <c r="Q547" s="46" t="str">
        <f>$Q$3</f>
        <v>Jennifer</v>
      </c>
      <c r="R547" s="51">
        <v>1</v>
      </c>
      <c r="S547" s="51">
        <v>1</v>
      </c>
      <c r="T547" s="51">
        <v>1</v>
      </c>
      <c r="U547" s="51">
        <v>1</v>
      </c>
      <c r="V547" s="51">
        <v>1</v>
      </c>
      <c r="W547" s="51">
        <v>1</v>
      </c>
      <c r="X547" s="51">
        <v>1</v>
      </c>
      <c r="Y547" s="51">
        <v>1</v>
      </c>
      <c r="Z547" s="51">
        <v>1</v>
      </c>
      <c r="AA547" s="51">
        <v>1</v>
      </c>
      <c r="AB547" s="51">
        <v>1</v>
      </c>
      <c r="AC547" s="51">
        <v>1</v>
      </c>
    </row>
    <row r="548" spans="2:29" ht="15.6" x14ac:dyDescent="0.55000000000000004">
      <c r="B548" s="1"/>
      <c r="C548" s="52" t="str">
        <f>$Q$4</f>
        <v>Galileo</v>
      </c>
      <c r="D548" s="51">
        <f t="shared" ref="D548:O548" si="200">C85+D85</f>
        <v>0</v>
      </c>
      <c r="E548" s="51">
        <f t="shared" si="200"/>
        <v>0</v>
      </c>
      <c r="F548" s="51">
        <f t="shared" si="200"/>
        <v>0</v>
      </c>
      <c r="G548" s="51">
        <f t="shared" si="200"/>
        <v>0</v>
      </c>
      <c r="H548" s="51">
        <f t="shared" si="200"/>
        <v>0</v>
      </c>
      <c r="I548" s="51">
        <f t="shared" si="200"/>
        <v>0</v>
      </c>
      <c r="J548" s="51">
        <f t="shared" si="200"/>
        <v>0</v>
      </c>
      <c r="K548" s="51">
        <f t="shared" si="200"/>
        <v>0</v>
      </c>
      <c r="L548" s="51">
        <f t="shared" si="200"/>
        <v>0</v>
      </c>
      <c r="M548" s="51">
        <f t="shared" si="200"/>
        <v>0</v>
      </c>
      <c r="N548" s="51">
        <f t="shared" si="200"/>
        <v>0</v>
      </c>
      <c r="O548" s="51">
        <f t="shared" si="200"/>
        <v>0</v>
      </c>
      <c r="P548" s="28" t="s">
        <v>18</v>
      </c>
      <c r="Q548" s="52" t="str">
        <f>$Q$4</f>
        <v>Galileo</v>
      </c>
      <c r="R548" s="51">
        <v>1</v>
      </c>
      <c r="S548" s="51">
        <v>1</v>
      </c>
      <c r="T548" s="51">
        <v>1</v>
      </c>
      <c r="U548" s="51">
        <v>1</v>
      </c>
      <c r="V548" s="51">
        <v>1</v>
      </c>
      <c r="W548" s="51">
        <v>1</v>
      </c>
      <c r="X548" s="51">
        <v>1</v>
      </c>
      <c r="Y548" s="51">
        <v>1</v>
      </c>
      <c r="Z548" s="51">
        <v>1</v>
      </c>
      <c r="AA548" s="51">
        <v>1</v>
      </c>
      <c r="AB548" s="51">
        <v>1</v>
      </c>
      <c r="AC548" s="51">
        <v>1</v>
      </c>
    </row>
    <row r="549" spans="2:29" ht="15.6" x14ac:dyDescent="0.55000000000000004">
      <c r="B549" s="1"/>
      <c r="C549" s="52" t="str">
        <f>$Q$5</f>
        <v>Óscar</v>
      </c>
      <c r="D549" s="51">
        <f t="shared" ref="D549:O549" si="201">C86+D86</f>
        <v>0</v>
      </c>
      <c r="E549" s="51">
        <f t="shared" si="201"/>
        <v>0</v>
      </c>
      <c r="F549" s="51">
        <f t="shared" si="201"/>
        <v>0</v>
      </c>
      <c r="G549" s="51">
        <f t="shared" si="201"/>
        <v>0</v>
      </c>
      <c r="H549" s="51">
        <f t="shared" si="201"/>
        <v>0</v>
      </c>
      <c r="I549" s="51">
        <f t="shared" si="201"/>
        <v>0</v>
      </c>
      <c r="J549" s="51">
        <f t="shared" si="201"/>
        <v>0</v>
      </c>
      <c r="K549" s="51">
        <f t="shared" si="201"/>
        <v>0</v>
      </c>
      <c r="L549" s="51">
        <f t="shared" si="201"/>
        <v>0</v>
      </c>
      <c r="M549" s="51">
        <f t="shared" si="201"/>
        <v>0</v>
      </c>
      <c r="N549" s="51">
        <f t="shared" si="201"/>
        <v>0</v>
      </c>
      <c r="O549" s="51">
        <f t="shared" si="201"/>
        <v>0</v>
      </c>
      <c r="P549" s="28" t="s">
        <v>18</v>
      </c>
      <c r="Q549" s="52" t="str">
        <f>$Q$5</f>
        <v>Óscar</v>
      </c>
      <c r="R549" s="51">
        <v>1</v>
      </c>
      <c r="S549" s="51">
        <v>1</v>
      </c>
      <c r="T549" s="51">
        <v>1</v>
      </c>
      <c r="U549" s="51">
        <v>1</v>
      </c>
      <c r="V549" s="51">
        <v>1</v>
      </c>
      <c r="W549" s="51">
        <v>1</v>
      </c>
      <c r="X549" s="51">
        <v>1</v>
      </c>
      <c r="Y549" s="51">
        <v>1</v>
      </c>
      <c r="Z549" s="51">
        <v>1</v>
      </c>
      <c r="AA549" s="51">
        <v>1</v>
      </c>
      <c r="AB549" s="51">
        <v>1</v>
      </c>
      <c r="AC549" s="51">
        <v>1</v>
      </c>
    </row>
    <row r="550" spans="2:29" ht="15.6" x14ac:dyDescent="0.55000000000000004">
      <c r="B550" s="1"/>
      <c r="C550" s="52" t="str">
        <f>$Q$6</f>
        <v>Sebastián</v>
      </c>
      <c r="D550" s="51">
        <f t="shared" ref="D550:O550" si="202">C87+D87</f>
        <v>0</v>
      </c>
      <c r="E550" s="51">
        <f t="shared" si="202"/>
        <v>0</v>
      </c>
      <c r="F550" s="51">
        <f t="shared" si="202"/>
        <v>0</v>
      </c>
      <c r="G550" s="51">
        <f t="shared" si="202"/>
        <v>0</v>
      </c>
      <c r="H550" s="51">
        <f t="shared" si="202"/>
        <v>0</v>
      </c>
      <c r="I550" s="51">
        <f t="shared" si="202"/>
        <v>0</v>
      </c>
      <c r="J550" s="51">
        <f t="shared" si="202"/>
        <v>0</v>
      </c>
      <c r="K550" s="51">
        <f t="shared" si="202"/>
        <v>0</v>
      </c>
      <c r="L550" s="51">
        <f t="shared" si="202"/>
        <v>0</v>
      </c>
      <c r="M550" s="51">
        <f t="shared" si="202"/>
        <v>0</v>
      </c>
      <c r="N550" s="51">
        <f t="shared" si="202"/>
        <v>0</v>
      </c>
      <c r="O550" s="51">
        <f t="shared" si="202"/>
        <v>0</v>
      </c>
      <c r="P550" s="28" t="s">
        <v>18</v>
      </c>
      <c r="Q550" s="52" t="str">
        <f>$Q$6</f>
        <v>Sebastián</v>
      </c>
      <c r="R550" s="51">
        <v>1</v>
      </c>
      <c r="S550" s="51">
        <v>1</v>
      </c>
      <c r="T550" s="51">
        <v>1</v>
      </c>
      <c r="U550" s="51">
        <v>1</v>
      </c>
      <c r="V550" s="51">
        <v>1</v>
      </c>
      <c r="W550" s="51">
        <v>1</v>
      </c>
      <c r="X550" s="51">
        <v>1</v>
      </c>
      <c r="Y550" s="51">
        <v>1</v>
      </c>
      <c r="Z550" s="51">
        <v>1</v>
      </c>
      <c r="AA550" s="51">
        <v>1</v>
      </c>
      <c r="AB550" s="51">
        <v>1</v>
      </c>
      <c r="AC550" s="51">
        <v>1</v>
      </c>
    </row>
    <row r="551" spans="2:29" ht="15.6" x14ac:dyDescent="0.55000000000000004">
      <c r="B551" s="1"/>
      <c r="C551" s="52" t="str">
        <f>$Q$7</f>
        <v>Marcos</v>
      </c>
      <c r="D551" s="51">
        <f t="shared" ref="D551:O551" si="203">C88+D88</f>
        <v>0</v>
      </c>
      <c r="E551" s="51">
        <f t="shared" si="203"/>
        <v>0</v>
      </c>
      <c r="F551" s="51">
        <f t="shared" si="203"/>
        <v>0</v>
      </c>
      <c r="G551" s="51">
        <f t="shared" si="203"/>
        <v>0</v>
      </c>
      <c r="H551" s="51">
        <f t="shared" si="203"/>
        <v>1</v>
      </c>
      <c r="I551" s="51">
        <f t="shared" si="203"/>
        <v>1</v>
      </c>
      <c r="J551" s="51">
        <f t="shared" si="203"/>
        <v>0</v>
      </c>
      <c r="K551" s="51">
        <f t="shared" si="203"/>
        <v>0</v>
      </c>
      <c r="L551" s="51">
        <f t="shared" si="203"/>
        <v>0</v>
      </c>
      <c r="M551" s="51">
        <f t="shared" si="203"/>
        <v>0</v>
      </c>
      <c r="N551" s="51">
        <f t="shared" si="203"/>
        <v>0</v>
      </c>
      <c r="O551" s="51">
        <f t="shared" si="203"/>
        <v>0</v>
      </c>
      <c r="P551" s="28" t="s">
        <v>18</v>
      </c>
      <c r="Q551" s="52" t="str">
        <f>$Q$7</f>
        <v>Marcos</v>
      </c>
      <c r="R551" s="51">
        <v>1</v>
      </c>
      <c r="S551" s="51">
        <v>1</v>
      </c>
      <c r="T551" s="51">
        <v>1</v>
      </c>
      <c r="U551" s="51">
        <v>1</v>
      </c>
      <c r="V551" s="51">
        <v>1</v>
      </c>
      <c r="W551" s="51">
        <v>1</v>
      </c>
      <c r="X551" s="51">
        <v>1</v>
      </c>
      <c r="Y551" s="51">
        <v>1</v>
      </c>
      <c r="Z551" s="51">
        <v>1</v>
      </c>
      <c r="AA551" s="51">
        <v>1</v>
      </c>
      <c r="AB551" s="51">
        <v>1</v>
      </c>
      <c r="AC551" s="51">
        <v>1</v>
      </c>
    </row>
    <row r="552" spans="2:29" ht="15.6" x14ac:dyDescent="0.55000000000000004">
      <c r="B552" s="1"/>
      <c r="C552" s="52" t="str">
        <f>$Q$8</f>
        <v>Weixin</v>
      </c>
      <c r="D552" s="51">
        <f t="shared" ref="D552:O552" si="204">C89+D89</f>
        <v>0</v>
      </c>
      <c r="E552" s="51">
        <f t="shared" si="204"/>
        <v>0</v>
      </c>
      <c r="F552" s="51">
        <f t="shared" si="204"/>
        <v>0</v>
      </c>
      <c r="G552" s="51">
        <f t="shared" si="204"/>
        <v>0</v>
      </c>
      <c r="H552" s="51">
        <f t="shared" si="204"/>
        <v>0</v>
      </c>
      <c r="I552" s="51">
        <f t="shared" si="204"/>
        <v>0</v>
      </c>
      <c r="J552" s="51">
        <f t="shared" si="204"/>
        <v>0</v>
      </c>
      <c r="K552" s="51">
        <f t="shared" si="204"/>
        <v>0</v>
      </c>
      <c r="L552" s="51">
        <f t="shared" si="204"/>
        <v>0</v>
      </c>
      <c r="M552" s="51">
        <f t="shared" si="204"/>
        <v>0</v>
      </c>
      <c r="N552" s="51">
        <f t="shared" si="204"/>
        <v>0</v>
      </c>
      <c r="O552" s="51">
        <f t="shared" si="204"/>
        <v>0</v>
      </c>
      <c r="P552" s="28" t="s">
        <v>18</v>
      </c>
      <c r="Q552" s="52" t="str">
        <f>$Q$8</f>
        <v>Weixin</v>
      </c>
      <c r="R552" s="51">
        <v>1</v>
      </c>
      <c r="S552" s="51">
        <v>1</v>
      </c>
      <c r="T552" s="51">
        <v>1</v>
      </c>
      <c r="U552" s="51">
        <v>1</v>
      </c>
      <c r="V552" s="51">
        <v>1</v>
      </c>
      <c r="W552" s="51">
        <v>1</v>
      </c>
      <c r="X552" s="51">
        <v>1</v>
      </c>
      <c r="Y552" s="51">
        <v>1</v>
      </c>
      <c r="Z552" s="51">
        <v>1</v>
      </c>
      <c r="AA552" s="51">
        <v>1</v>
      </c>
      <c r="AB552" s="51">
        <v>1</v>
      </c>
      <c r="AC552" s="51">
        <v>1</v>
      </c>
    </row>
    <row r="553" spans="2:29" ht="15.6" x14ac:dyDescent="0.55000000000000004">
      <c r="B553" s="1"/>
      <c r="C553" s="52" t="str">
        <f>$Q$9</f>
        <v>Benjamin</v>
      </c>
      <c r="D553" s="51">
        <f t="shared" ref="D553:O553" si="205">C90+D90</f>
        <v>0</v>
      </c>
      <c r="E553" s="51">
        <f t="shared" si="205"/>
        <v>0</v>
      </c>
      <c r="F553" s="51">
        <f t="shared" si="205"/>
        <v>0</v>
      </c>
      <c r="G553" s="51">
        <f t="shared" si="205"/>
        <v>0</v>
      </c>
      <c r="H553" s="51">
        <f t="shared" si="205"/>
        <v>0</v>
      </c>
      <c r="I553" s="51">
        <f t="shared" si="205"/>
        <v>1</v>
      </c>
      <c r="J553" s="51">
        <f t="shared" si="205"/>
        <v>1</v>
      </c>
      <c r="K553" s="51">
        <f t="shared" si="205"/>
        <v>0</v>
      </c>
      <c r="L553" s="51">
        <f t="shared" si="205"/>
        <v>0</v>
      </c>
      <c r="M553" s="51">
        <f t="shared" si="205"/>
        <v>0</v>
      </c>
      <c r="N553" s="51">
        <f t="shared" si="205"/>
        <v>0</v>
      </c>
      <c r="O553" s="51">
        <f t="shared" si="205"/>
        <v>0</v>
      </c>
      <c r="P553" s="28" t="s">
        <v>18</v>
      </c>
      <c r="Q553" s="52" t="str">
        <f>$Q$9</f>
        <v>Benjamin</v>
      </c>
      <c r="R553" s="51">
        <v>1</v>
      </c>
      <c r="S553" s="51">
        <v>1</v>
      </c>
      <c r="T553" s="51">
        <v>1</v>
      </c>
      <c r="U553" s="51">
        <v>1</v>
      </c>
      <c r="V553" s="51">
        <v>1</v>
      </c>
      <c r="W553" s="51">
        <v>1</v>
      </c>
      <c r="X553" s="51">
        <v>1</v>
      </c>
      <c r="Y553" s="51">
        <v>1</v>
      </c>
      <c r="Z553" s="51">
        <v>1</v>
      </c>
      <c r="AA553" s="51">
        <v>1</v>
      </c>
      <c r="AB553" s="51">
        <v>1</v>
      </c>
      <c r="AC553" s="51">
        <v>1</v>
      </c>
    </row>
    <row r="554" spans="2:29" ht="15.6" x14ac:dyDescent="0.55000000000000004">
      <c r="B554" s="1"/>
      <c r="C554" s="52" t="str">
        <f>$Q$10</f>
        <v>Joelle</v>
      </c>
      <c r="D554" s="51">
        <f t="shared" ref="D554:O554" si="206">C91+D91</f>
        <v>0</v>
      </c>
      <c r="E554" s="51">
        <f t="shared" si="206"/>
        <v>0</v>
      </c>
      <c r="F554" s="51">
        <f t="shared" si="206"/>
        <v>0</v>
      </c>
      <c r="G554" s="51">
        <f t="shared" si="206"/>
        <v>0</v>
      </c>
      <c r="H554" s="51">
        <f t="shared" si="206"/>
        <v>0</v>
      </c>
      <c r="I554" s="51">
        <f t="shared" si="206"/>
        <v>0</v>
      </c>
      <c r="J554" s="51">
        <f t="shared" si="206"/>
        <v>0</v>
      </c>
      <c r="K554" s="51">
        <f t="shared" si="206"/>
        <v>0</v>
      </c>
      <c r="L554" s="51">
        <f t="shared" si="206"/>
        <v>0</v>
      </c>
      <c r="M554" s="51">
        <f t="shared" si="206"/>
        <v>0</v>
      </c>
      <c r="N554" s="51">
        <f t="shared" si="206"/>
        <v>0</v>
      </c>
      <c r="O554" s="51">
        <f t="shared" si="206"/>
        <v>0</v>
      </c>
      <c r="P554" s="28" t="s">
        <v>18</v>
      </c>
      <c r="Q554" s="52" t="str">
        <f>$Q$10</f>
        <v>Joelle</v>
      </c>
      <c r="R554" s="51">
        <v>1</v>
      </c>
      <c r="S554" s="51">
        <v>1</v>
      </c>
      <c r="T554" s="51">
        <v>1</v>
      </c>
      <c r="U554" s="51">
        <v>1</v>
      </c>
      <c r="V554" s="51">
        <v>1</v>
      </c>
      <c r="W554" s="51">
        <v>1</v>
      </c>
      <c r="X554" s="51">
        <v>1</v>
      </c>
      <c r="Y554" s="51">
        <v>1</v>
      </c>
      <c r="Z554" s="51">
        <v>1</v>
      </c>
      <c r="AA554" s="51">
        <v>1</v>
      </c>
      <c r="AB554" s="51">
        <v>1</v>
      </c>
      <c r="AC554" s="51">
        <v>1</v>
      </c>
    </row>
    <row r="555" spans="2:29" ht="15.6" x14ac:dyDescent="0.55000000000000004">
      <c r="B555" s="1"/>
      <c r="C555" s="52" t="str">
        <f>$Q$11</f>
        <v>Alexia</v>
      </c>
      <c r="D555" s="51">
        <f t="shared" ref="D555:O555" si="207">C92+D92</f>
        <v>0</v>
      </c>
      <c r="E555" s="51">
        <f t="shared" si="207"/>
        <v>0</v>
      </c>
      <c r="F555" s="51">
        <f t="shared" si="207"/>
        <v>0</v>
      </c>
      <c r="G555" s="51">
        <f t="shared" si="207"/>
        <v>0</v>
      </c>
      <c r="H555" s="51">
        <f t="shared" si="207"/>
        <v>0</v>
      </c>
      <c r="I555" s="51">
        <f t="shared" si="207"/>
        <v>0</v>
      </c>
      <c r="J555" s="51">
        <f t="shared" si="207"/>
        <v>1</v>
      </c>
      <c r="K555" s="51">
        <f t="shared" si="207"/>
        <v>1</v>
      </c>
      <c r="L555" s="51">
        <f t="shared" si="207"/>
        <v>0</v>
      </c>
      <c r="M555" s="51">
        <f t="shared" si="207"/>
        <v>0</v>
      </c>
      <c r="N555" s="51">
        <f t="shared" si="207"/>
        <v>0</v>
      </c>
      <c r="O555" s="51">
        <f t="shared" si="207"/>
        <v>0</v>
      </c>
      <c r="P555" s="28" t="s">
        <v>18</v>
      </c>
      <c r="Q555" s="52" t="str">
        <f>$Q$11</f>
        <v>Alexia</v>
      </c>
      <c r="R555" s="51">
        <v>1</v>
      </c>
      <c r="S555" s="51">
        <v>1</v>
      </c>
      <c r="T555" s="51">
        <v>1</v>
      </c>
      <c r="U555" s="51">
        <v>1</v>
      </c>
      <c r="V555" s="51">
        <v>1</v>
      </c>
      <c r="W555" s="51">
        <v>1</v>
      </c>
      <c r="X555" s="51">
        <v>1</v>
      </c>
      <c r="Y555" s="51">
        <v>1</v>
      </c>
      <c r="Z555" s="51">
        <v>1</v>
      </c>
      <c r="AA555" s="51">
        <v>1</v>
      </c>
      <c r="AB555" s="51">
        <v>1</v>
      </c>
      <c r="AC555" s="51">
        <v>1</v>
      </c>
    </row>
    <row r="556" spans="2:29" ht="15.6" x14ac:dyDescent="0.55000000000000004">
      <c r="B556" s="1"/>
      <c r="C556" s="52" t="str">
        <f>$Q$12</f>
        <v>Joao</v>
      </c>
      <c r="D556" s="51">
        <f t="shared" ref="D556:O556" si="208">C93+D93</f>
        <v>0</v>
      </c>
      <c r="E556" s="51">
        <f t="shared" si="208"/>
        <v>0</v>
      </c>
      <c r="F556" s="51">
        <f t="shared" si="208"/>
        <v>0</v>
      </c>
      <c r="G556" s="51">
        <f t="shared" si="208"/>
        <v>0</v>
      </c>
      <c r="H556" s="51">
        <f t="shared" si="208"/>
        <v>0</v>
      </c>
      <c r="I556" s="51">
        <f t="shared" si="208"/>
        <v>0</v>
      </c>
      <c r="J556" s="51">
        <f t="shared" si="208"/>
        <v>0</v>
      </c>
      <c r="K556" s="51">
        <f t="shared" si="208"/>
        <v>0</v>
      </c>
      <c r="L556" s="51">
        <f t="shared" si="208"/>
        <v>0</v>
      </c>
      <c r="M556" s="51">
        <f t="shared" si="208"/>
        <v>0</v>
      </c>
      <c r="N556" s="51">
        <f t="shared" si="208"/>
        <v>0</v>
      </c>
      <c r="O556" s="51">
        <f t="shared" si="208"/>
        <v>0</v>
      </c>
      <c r="P556" s="28" t="s">
        <v>18</v>
      </c>
      <c r="Q556" s="52" t="str">
        <f>$Q$12</f>
        <v>Joao</v>
      </c>
      <c r="R556" s="51">
        <v>1</v>
      </c>
      <c r="S556" s="51">
        <v>1</v>
      </c>
      <c r="T556" s="51">
        <v>1</v>
      </c>
      <c r="U556" s="51">
        <v>1</v>
      </c>
      <c r="V556" s="51">
        <v>1</v>
      </c>
      <c r="W556" s="51">
        <v>1</v>
      </c>
      <c r="X556" s="51">
        <v>1</v>
      </c>
      <c r="Y556" s="51">
        <v>1</v>
      </c>
      <c r="Z556" s="51">
        <v>1</v>
      </c>
      <c r="AA556" s="51">
        <v>1</v>
      </c>
      <c r="AB556" s="51">
        <v>1</v>
      </c>
      <c r="AC556" s="51">
        <v>1</v>
      </c>
    </row>
    <row r="557" spans="2:29" ht="15.6" x14ac:dyDescent="0.55000000000000004">
      <c r="B557" s="1"/>
      <c r="C557" s="57" t="str">
        <f>$Q$13</f>
        <v>Maxime</v>
      </c>
      <c r="D557" s="51">
        <f t="shared" ref="D557:O557" si="209">C94+D94</f>
        <v>0</v>
      </c>
      <c r="E557" s="51">
        <f t="shared" si="209"/>
        <v>0</v>
      </c>
      <c r="F557" s="51">
        <f t="shared" si="209"/>
        <v>0</v>
      </c>
      <c r="G557" s="51">
        <f t="shared" si="209"/>
        <v>0</v>
      </c>
      <c r="H557" s="51">
        <f t="shared" si="209"/>
        <v>0</v>
      </c>
      <c r="I557" s="51">
        <f t="shared" si="209"/>
        <v>0</v>
      </c>
      <c r="J557" s="51">
        <f t="shared" si="209"/>
        <v>0</v>
      </c>
      <c r="K557" s="51">
        <f t="shared" si="209"/>
        <v>0</v>
      </c>
      <c r="L557" s="51">
        <f t="shared" si="209"/>
        <v>0</v>
      </c>
      <c r="M557" s="51">
        <f t="shared" si="209"/>
        <v>1</v>
      </c>
      <c r="N557" s="51">
        <f t="shared" si="209"/>
        <v>1</v>
      </c>
      <c r="O557" s="51">
        <f t="shared" si="209"/>
        <v>0</v>
      </c>
      <c r="P557" s="28" t="s">
        <v>18</v>
      </c>
      <c r="Q557" s="57" t="str">
        <f>$Q$13</f>
        <v>Maxime</v>
      </c>
      <c r="R557" s="51">
        <v>1</v>
      </c>
      <c r="S557" s="51">
        <v>1</v>
      </c>
      <c r="T557" s="51">
        <v>1</v>
      </c>
      <c r="U557" s="51">
        <v>1</v>
      </c>
      <c r="V557" s="51">
        <v>1</v>
      </c>
      <c r="W557" s="51">
        <v>1</v>
      </c>
      <c r="X557" s="51">
        <v>1</v>
      </c>
      <c r="Y557" s="51">
        <v>1</v>
      </c>
      <c r="Z557" s="51">
        <v>1</v>
      </c>
      <c r="AA557" s="51">
        <v>1</v>
      </c>
      <c r="AB557" s="51">
        <v>1</v>
      </c>
      <c r="AC557" s="51">
        <v>1</v>
      </c>
    </row>
    <row r="558" spans="2:29" ht="15.6" x14ac:dyDescent="0.55000000000000004">
      <c r="B558" s="1"/>
      <c r="C558" s="46" t="str">
        <f>$Q$14</f>
        <v>Alex</v>
      </c>
      <c r="D558" s="51">
        <f t="shared" ref="D558:O558" si="210">C95+D95</f>
        <v>0</v>
      </c>
      <c r="E558" s="51">
        <f t="shared" si="210"/>
        <v>1</v>
      </c>
      <c r="F558" s="51">
        <f t="shared" si="210"/>
        <v>1</v>
      </c>
      <c r="G558" s="51">
        <f t="shared" si="210"/>
        <v>0</v>
      </c>
      <c r="H558" s="51">
        <f t="shared" si="210"/>
        <v>0</v>
      </c>
      <c r="I558" s="51">
        <f t="shared" si="210"/>
        <v>0</v>
      </c>
      <c r="J558" s="51">
        <f t="shared" si="210"/>
        <v>0</v>
      </c>
      <c r="K558" s="51">
        <f t="shared" si="210"/>
        <v>0</v>
      </c>
      <c r="L558" s="51">
        <f t="shared" si="210"/>
        <v>0</v>
      </c>
      <c r="M558" s="51">
        <f t="shared" si="210"/>
        <v>0</v>
      </c>
      <c r="N558" s="51">
        <f t="shared" si="210"/>
        <v>0</v>
      </c>
      <c r="O558" s="51">
        <f t="shared" si="210"/>
        <v>0</v>
      </c>
      <c r="P558" s="28" t="s">
        <v>18</v>
      </c>
      <c r="Q558" s="46" t="str">
        <f>$Q$14</f>
        <v>Alex</v>
      </c>
      <c r="R558" s="51">
        <v>1</v>
      </c>
      <c r="S558" s="51">
        <v>1</v>
      </c>
      <c r="T558" s="51">
        <v>1</v>
      </c>
      <c r="U558" s="51">
        <v>1</v>
      </c>
      <c r="V558" s="51">
        <v>1</v>
      </c>
      <c r="W558" s="51">
        <v>1</v>
      </c>
      <c r="X558" s="51">
        <v>1</v>
      </c>
      <c r="Y558" s="51">
        <v>1</v>
      </c>
      <c r="Z558" s="51">
        <v>1</v>
      </c>
      <c r="AA558" s="51">
        <v>1</v>
      </c>
      <c r="AB558" s="51">
        <v>1</v>
      </c>
      <c r="AC558" s="51">
        <v>1</v>
      </c>
    </row>
    <row r="559" spans="2:29" ht="15.6" x14ac:dyDescent="0.55000000000000004">
      <c r="B559" s="1"/>
      <c r="C559" s="52" t="str">
        <f>$Q$15</f>
        <v>Alyssa</v>
      </c>
      <c r="D559" s="51">
        <f t="shared" ref="D559:O559" si="211">C96+D96</f>
        <v>0</v>
      </c>
      <c r="E559" s="51">
        <f t="shared" si="211"/>
        <v>0</v>
      </c>
      <c r="F559" s="51">
        <f t="shared" si="211"/>
        <v>0</v>
      </c>
      <c r="G559" s="51">
        <f t="shared" si="211"/>
        <v>1</v>
      </c>
      <c r="H559" s="51">
        <f t="shared" si="211"/>
        <v>1</v>
      </c>
      <c r="I559" s="51">
        <f t="shared" si="211"/>
        <v>0</v>
      </c>
      <c r="J559" s="51">
        <f t="shared" si="211"/>
        <v>0</v>
      </c>
      <c r="K559" s="51">
        <f t="shared" si="211"/>
        <v>0</v>
      </c>
      <c r="L559" s="51">
        <f t="shared" si="211"/>
        <v>0</v>
      </c>
      <c r="M559" s="51">
        <f t="shared" si="211"/>
        <v>0</v>
      </c>
      <c r="N559" s="51">
        <f t="shared" si="211"/>
        <v>0</v>
      </c>
      <c r="O559" s="51">
        <f t="shared" si="211"/>
        <v>0</v>
      </c>
      <c r="P559" s="28" t="s">
        <v>18</v>
      </c>
      <c r="Q559" s="52" t="str">
        <f>$Q$15</f>
        <v>Alyssa</v>
      </c>
      <c r="R559" s="51">
        <v>1</v>
      </c>
      <c r="S559" s="51">
        <v>1</v>
      </c>
      <c r="T559" s="51">
        <v>1</v>
      </c>
      <c r="U559" s="51">
        <v>1</v>
      </c>
      <c r="V559" s="51">
        <v>1</v>
      </c>
      <c r="W559" s="51">
        <v>1</v>
      </c>
      <c r="X559" s="51">
        <v>1</v>
      </c>
      <c r="Y559" s="51">
        <v>1</v>
      </c>
      <c r="Z559" s="51">
        <v>1</v>
      </c>
      <c r="AA559" s="51">
        <v>1</v>
      </c>
      <c r="AB559" s="51">
        <v>1</v>
      </c>
      <c r="AC559" s="51">
        <v>1</v>
      </c>
    </row>
    <row r="560" spans="2:29" ht="15.6" x14ac:dyDescent="0.55000000000000004">
      <c r="B560" s="1"/>
      <c r="C560" s="52" t="str">
        <f>$Q$16</f>
        <v>Amanda</v>
      </c>
      <c r="D560" s="51">
        <f t="shared" ref="D560:O560" si="212">C97+D97</f>
        <v>0</v>
      </c>
      <c r="E560" s="51">
        <f t="shared" si="212"/>
        <v>0</v>
      </c>
      <c r="F560" s="51">
        <f t="shared" si="212"/>
        <v>0</v>
      </c>
      <c r="G560" s="51">
        <f t="shared" si="212"/>
        <v>0</v>
      </c>
      <c r="H560" s="51">
        <f t="shared" si="212"/>
        <v>0</v>
      </c>
      <c r="I560" s="51">
        <f t="shared" si="212"/>
        <v>0</v>
      </c>
      <c r="J560" s="51">
        <f t="shared" si="212"/>
        <v>0</v>
      </c>
      <c r="K560" s="51">
        <f t="shared" si="212"/>
        <v>0</v>
      </c>
      <c r="L560" s="51">
        <f t="shared" si="212"/>
        <v>0</v>
      </c>
      <c r="M560" s="51">
        <f t="shared" si="212"/>
        <v>0</v>
      </c>
      <c r="N560" s="51">
        <f t="shared" si="212"/>
        <v>0</v>
      </c>
      <c r="O560" s="51">
        <f t="shared" si="212"/>
        <v>0</v>
      </c>
      <c r="P560" s="28" t="s">
        <v>18</v>
      </c>
      <c r="Q560" s="52" t="str">
        <f>$Q$16</f>
        <v>Amanda</v>
      </c>
      <c r="R560" s="51">
        <v>1</v>
      </c>
      <c r="S560" s="51">
        <v>1</v>
      </c>
      <c r="T560" s="51">
        <v>1</v>
      </c>
      <c r="U560" s="51">
        <v>1</v>
      </c>
      <c r="V560" s="51">
        <v>1</v>
      </c>
      <c r="W560" s="51">
        <v>1</v>
      </c>
      <c r="X560" s="51">
        <v>1</v>
      </c>
      <c r="Y560" s="51">
        <v>1</v>
      </c>
      <c r="Z560" s="51">
        <v>1</v>
      </c>
      <c r="AA560" s="51">
        <v>1</v>
      </c>
      <c r="AB560" s="51">
        <v>1</v>
      </c>
      <c r="AC560" s="51">
        <v>1</v>
      </c>
    </row>
    <row r="561" spans="2:29" ht="15.6" x14ac:dyDescent="0.55000000000000004">
      <c r="B561" s="1"/>
      <c r="C561" s="52" t="str">
        <f>$Q$17</f>
        <v>Antoine</v>
      </c>
      <c r="D561" s="51">
        <f t="shared" ref="D561:O561" si="213">C98+D98</f>
        <v>0</v>
      </c>
      <c r="E561" s="51">
        <f t="shared" si="213"/>
        <v>0</v>
      </c>
      <c r="F561" s="51">
        <f t="shared" si="213"/>
        <v>0</v>
      </c>
      <c r="G561" s="51">
        <f t="shared" si="213"/>
        <v>0</v>
      </c>
      <c r="H561" s="51">
        <f t="shared" si="213"/>
        <v>0</v>
      </c>
      <c r="I561" s="51">
        <f t="shared" si="213"/>
        <v>0</v>
      </c>
      <c r="J561" s="51">
        <f t="shared" si="213"/>
        <v>0</v>
      </c>
      <c r="K561" s="51">
        <f t="shared" si="213"/>
        <v>0</v>
      </c>
      <c r="L561" s="51">
        <f t="shared" si="213"/>
        <v>0</v>
      </c>
      <c r="M561" s="51">
        <f t="shared" si="213"/>
        <v>0</v>
      </c>
      <c r="N561" s="51">
        <f t="shared" si="213"/>
        <v>0</v>
      </c>
      <c r="O561" s="51">
        <f t="shared" si="213"/>
        <v>0</v>
      </c>
      <c r="P561" s="28" t="s">
        <v>18</v>
      </c>
      <c r="Q561" s="52" t="str">
        <f>$Q$17</f>
        <v>Antoine</v>
      </c>
      <c r="R561" s="51">
        <v>1</v>
      </c>
      <c r="S561" s="51">
        <v>1</v>
      </c>
      <c r="T561" s="51">
        <v>1</v>
      </c>
      <c r="U561" s="51">
        <v>1</v>
      </c>
      <c r="V561" s="51">
        <v>1</v>
      </c>
      <c r="W561" s="51">
        <v>1</v>
      </c>
      <c r="X561" s="51">
        <v>1</v>
      </c>
      <c r="Y561" s="51">
        <v>1</v>
      </c>
      <c r="Z561" s="51">
        <v>1</v>
      </c>
      <c r="AA561" s="51">
        <v>1</v>
      </c>
      <c r="AB561" s="51">
        <v>1</v>
      </c>
      <c r="AC561" s="51">
        <v>1</v>
      </c>
    </row>
    <row r="562" spans="2:29" ht="15.6" x14ac:dyDescent="0.55000000000000004">
      <c r="B562" s="1"/>
      <c r="C562" s="52" t="str">
        <f>$Q$18</f>
        <v>Beatriz</v>
      </c>
      <c r="D562" s="51">
        <f t="shared" ref="D562:O562" si="214">C99+D99</f>
        <v>0</v>
      </c>
      <c r="E562" s="51">
        <f t="shared" si="214"/>
        <v>0</v>
      </c>
      <c r="F562" s="51">
        <f t="shared" si="214"/>
        <v>0</v>
      </c>
      <c r="G562" s="51">
        <f t="shared" si="214"/>
        <v>0</v>
      </c>
      <c r="H562" s="51">
        <f t="shared" si="214"/>
        <v>0</v>
      </c>
      <c r="I562" s="51">
        <f t="shared" si="214"/>
        <v>0</v>
      </c>
      <c r="J562" s="51">
        <f t="shared" si="214"/>
        <v>0</v>
      </c>
      <c r="K562" s="51">
        <f t="shared" si="214"/>
        <v>0</v>
      </c>
      <c r="L562" s="51">
        <f t="shared" si="214"/>
        <v>0</v>
      </c>
      <c r="M562" s="51">
        <f t="shared" si="214"/>
        <v>0</v>
      </c>
      <c r="N562" s="51">
        <f t="shared" si="214"/>
        <v>0</v>
      </c>
      <c r="O562" s="51">
        <f t="shared" si="214"/>
        <v>0</v>
      </c>
      <c r="P562" s="28" t="s">
        <v>18</v>
      </c>
      <c r="Q562" s="52" t="str">
        <f>$Q$18</f>
        <v>Beatriz</v>
      </c>
      <c r="R562" s="51">
        <v>1</v>
      </c>
      <c r="S562" s="51">
        <v>1</v>
      </c>
      <c r="T562" s="51">
        <v>1</v>
      </c>
      <c r="U562" s="51">
        <v>1</v>
      </c>
      <c r="V562" s="51">
        <v>1</v>
      </c>
      <c r="W562" s="51">
        <v>1</v>
      </c>
      <c r="X562" s="51">
        <v>1</v>
      </c>
      <c r="Y562" s="51">
        <v>1</v>
      </c>
      <c r="Z562" s="51">
        <v>1</v>
      </c>
      <c r="AA562" s="51">
        <v>1</v>
      </c>
      <c r="AB562" s="51">
        <v>1</v>
      </c>
      <c r="AC562" s="51">
        <v>1</v>
      </c>
    </row>
    <row r="563" spans="2:29" ht="15.6" x14ac:dyDescent="0.55000000000000004">
      <c r="B563" s="1"/>
      <c r="C563" s="52" t="str">
        <f>$Q$19</f>
        <v>Charelle</v>
      </c>
      <c r="D563" s="51">
        <f t="shared" ref="D563:O563" si="215">C100+D100</f>
        <v>0</v>
      </c>
      <c r="E563" s="51">
        <f t="shared" si="215"/>
        <v>0</v>
      </c>
      <c r="F563" s="51">
        <f t="shared" si="215"/>
        <v>0</v>
      </c>
      <c r="G563" s="51">
        <f t="shared" si="215"/>
        <v>0</v>
      </c>
      <c r="H563" s="51">
        <f t="shared" si="215"/>
        <v>0</v>
      </c>
      <c r="I563" s="51">
        <f t="shared" si="215"/>
        <v>0</v>
      </c>
      <c r="J563" s="51">
        <f t="shared" si="215"/>
        <v>0</v>
      </c>
      <c r="K563" s="51">
        <f t="shared" si="215"/>
        <v>0</v>
      </c>
      <c r="L563" s="51">
        <f t="shared" si="215"/>
        <v>0</v>
      </c>
      <c r="M563" s="51">
        <f t="shared" si="215"/>
        <v>0</v>
      </c>
      <c r="N563" s="51">
        <f t="shared" si="215"/>
        <v>0</v>
      </c>
      <c r="O563" s="51">
        <f t="shared" si="215"/>
        <v>0</v>
      </c>
      <c r="P563" s="28" t="s">
        <v>18</v>
      </c>
      <c r="Q563" s="52" t="str">
        <f>$Q$19</f>
        <v>Charelle</v>
      </c>
      <c r="R563" s="51">
        <v>1</v>
      </c>
      <c r="S563" s="51">
        <v>1</v>
      </c>
      <c r="T563" s="51">
        <v>1</v>
      </c>
      <c r="U563" s="51">
        <v>1</v>
      </c>
      <c r="V563" s="51">
        <v>1</v>
      </c>
      <c r="W563" s="51">
        <v>1</v>
      </c>
      <c r="X563" s="51">
        <v>1</v>
      </c>
      <c r="Y563" s="51">
        <v>1</v>
      </c>
      <c r="Z563" s="51">
        <v>1</v>
      </c>
      <c r="AA563" s="51">
        <v>1</v>
      </c>
      <c r="AB563" s="51">
        <v>1</v>
      </c>
      <c r="AC563" s="51">
        <v>1</v>
      </c>
    </row>
    <row r="564" spans="2:29" ht="15.6" x14ac:dyDescent="0.55000000000000004">
      <c r="B564" s="1"/>
      <c r="C564" s="52" t="str">
        <f>$Q$20</f>
        <v>Dimitri</v>
      </c>
      <c r="D564" s="51">
        <f t="shared" ref="D564:O564" si="216">C101+D101</f>
        <v>0</v>
      </c>
      <c r="E564" s="51">
        <f t="shared" si="216"/>
        <v>0</v>
      </c>
      <c r="F564" s="51">
        <f t="shared" si="216"/>
        <v>0</v>
      </c>
      <c r="G564" s="51">
        <f t="shared" si="216"/>
        <v>0</v>
      </c>
      <c r="H564" s="51">
        <f t="shared" si="216"/>
        <v>0</v>
      </c>
      <c r="I564" s="51">
        <f t="shared" si="216"/>
        <v>0</v>
      </c>
      <c r="J564" s="51">
        <f t="shared" si="216"/>
        <v>0</v>
      </c>
      <c r="K564" s="51">
        <f t="shared" si="216"/>
        <v>0</v>
      </c>
      <c r="L564" s="51">
        <f t="shared" si="216"/>
        <v>0</v>
      </c>
      <c r="M564" s="51">
        <f t="shared" si="216"/>
        <v>0</v>
      </c>
      <c r="N564" s="51">
        <f t="shared" si="216"/>
        <v>0</v>
      </c>
      <c r="O564" s="51">
        <f t="shared" si="216"/>
        <v>0</v>
      </c>
      <c r="P564" s="28" t="s">
        <v>18</v>
      </c>
      <c r="Q564" s="52" t="str">
        <f>$Q$20</f>
        <v>Dimitri</v>
      </c>
      <c r="R564" s="51">
        <v>1</v>
      </c>
      <c r="S564" s="51">
        <v>1</v>
      </c>
      <c r="T564" s="51">
        <v>1</v>
      </c>
      <c r="U564" s="51">
        <v>1</v>
      </c>
      <c r="V564" s="51">
        <v>1</v>
      </c>
      <c r="W564" s="51">
        <v>1</v>
      </c>
      <c r="X564" s="51">
        <v>1</v>
      </c>
      <c r="Y564" s="51">
        <v>1</v>
      </c>
      <c r="Z564" s="51">
        <v>1</v>
      </c>
      <c r="AA564" s="51">
        <v>1</v>
      </c>
      <c r="AB564" s="51">
        <v>1</v>
      </c>
      <c r="AC564" s="51">
        <v>1</v>
      </c>
    </row>
    <row r="565" spans="2:29" ht="15.6" x14ac:dyDescent="0.55000000000000004">
      <c r="B565" s="1"/>
      <c r="C565" s="52" t="str">
        <f>$Q$21</f>
        <v>Marina</v>
      </c>
      <c r="D565" s="51">
        <f t="shared" ref="D565:O565" si="217">C102+D102</f>
        <v>0</v>
      </c>
      <c r="E565" s="51">
        <f t="shared" si="217"/>
        <v>0</v>
      </c>
      <c r="F565" s="51">
        <f t="shared" si="217"/>
        <v>0</v>
      </c>
      <c r="G565" s="51">
        <f t="shared" si="217"/>
        <v>0</v>
      </c>
      <c r="H565" s="51">
        <f t="shared" si="217"/>
        <v>0</v>
      </c>
      <c r="I565" s="51">
        <f t="shared" si="217"/>
        <v>0</v>
      </c>
      <c r="J565" s="51">
        <f t="shared" si="217"/>
        <v>0</v>
      </c>
      <c r="K565" s="51">
        <f t="shared" si="217"/>
        <v>1</v>
      </c>
      <c r="L565" s="51">
        <f t="shared" si="217"/>
        <v>1</v>
      </c>
      <c r="M565" s="51">
        <f t="shared" si="217"/>
        <v>0</v>
      </c>
      <c r="N565" s="51">
        <f t="shared" si="217"/>
        <v>0</v>
      </c>
      <c r="O565" s="51">
        <f t="shared" si="217"/>
        <v>0</v>
      </c>
      <c r="P565" s="28" t="s">
        <v>18</v>
      </c>
      <c r="Q565" s="52" t="str">
        <f>$Q$21</f>
        <v>Marina</v>
      </c>
      <c r="R565" s="51">
        <v>1</v>
      </c>
      <c r="S565" s="51">
        <v>1</v>
      </c>
      <c r="T565" s="51">
        <v>1</v>
      </c>
      <c r="U565" s="51">
        <v>1</v>
      </c>
      <c r="V565" s="51">
        <v>1</v>
      </c>
      <c r="W565" s="51">
        <v>1</v>
      </c>
      <c r="X565" s="51">
        <v>1</v>
      </c>
      <c r="Y565" s="51">
        <v>1</v>
      </c>
      <c r="Z565" s="51">
        <v>1</v>
      </c>
      <c r="AA565" s="51">
        <v>1</v>
      </c>
      <c r="AB565" s="51">
        <v>1</v>
      </c>
      <c r="AC565" s="51">
        <v>1</v>
      </c>
    </row>
    <row r="566" spans="2:29" ht="15.6" x14ac:dyDescent="0.55000000000000004">
      <c r="B566" s="1"/>
      <c r="C566" s="52" t="str">
        <f>$Q$22</f>
        <v>Michel</v>
      </c>
      <c r="D566" s="51">
        <f t="shared" ref="D566:O566" si="218">C103+D103</f>
        <v>0</v>
      </c>
      <c r="E566" s="51">
        <f t="shared" si="218"/>
        <v>0</v>
      </c>
      <c r="F566" s="51">
        <f t="shared" si="218"/>
        <v>0</v>
      </c>
      <c r="G566" s="51">
        <f t="shared" si="218"/>
        <v>0</v>
      </c>
      <c r="H566" s="51">
        <f t="shared" si="218"/>
        <v>0</v>
      </c>
      <c r="I566" s="51">
        <f t="shared" si="218"/>
        <v>0</v>
      </c>
      <c r="J566" s="51">
        <f t="shared" si="218"/>
        <v>0</v>
      </c>
      <c r="K566" s="51">
        <f t="shared" si="218"/>
        <v>0</v>
      </c>
      <c r="L566" s="51">
        <f t="shared" si="218"/>
        <v>1</v>
      </c>
      <c r="M566" s="51">
        <f t="shared" si="218"/>
        <v>1</v>
      </c>
      <c r="N566" s="51">
        <f t="shared" si="218"/>
        <v>0</v>
      </c>
      <c r="O566" s="51">
        <f t="shared" si="218"/>
        <v>0</v>
      </c>
      <c r="P566" s="28" t="s">
        <v>18</v>
      </c>
      <c r="Q566" s="52" t="str">
        <f>$Q$22</f>
        <v>Michel</v>
      </c>
      <c r="R566" s="51">
        <v>1</v>
      </c>
      <c r="S566" s="51">
        <v>1</v>
      </c>
      <c r="T566" s="51">
        <v>1</v>
      </c>
      <c r="U566" s="51">
        <v>1</v>
      </c>
      <c r="V566" s="51">
        <v>1</v>
      </c>
      <c r="W566" s="51">
        <v>1</v>
      </c>
      <c r="X566" s="51">
        <v>1</v>
      </c>
      <c r="Y566" s="51">
        <v>1</v>
      </c>
      <c r="Z566" s="51">
        <v>1</v>
      </c>
      <c r="AA566" s="51">
        <v>1</v>
      </c>
      <c r="AB566" s="51">
        <v>1</v>
      </c>
      <c r="AC566" s="51">
        <v>1</v>
      </c>
    </row>
    <row r="567" spans="2:29" ht="15.6" x14ac:dyDescent="0.55000000000000004">
      <c r="B567" s="1"/>
      <c r="C567" s="52" t="str">
        <f>$Q$23</f>
        <v>Nour</v>
      </c>
      <c r="D567" s="51">
        <f t="shared" ref="D567:O567" si="219">C104+D104</f>
        <v>0</v>
      </c>
      <c r="E567" s="51">
        <f t="shared" si="219"/>
        <v>0</v>
      </c>
      <c r="F567" s="51">
        <f t="shared" si="219"/>
        <v>0</v>
      </c>
      <c r="G567" s="51">
        <f t="shared" si="219"/>
        <v>0</v>
      </c>
      <c r="H567" s="51">
        <f t="shared" si="219"/>
        <v>0</v>
      </c>
      <c r="I567" s="51">
        <f t="shared" si="219"/>
        <v>0</v>
      </c>
      <c r="J567" s="51">
        <f t="shared" si="219"/>
        <v>0</v>
      </c>
      <c r="K567" s="51">
        <f t="shared" si="219"/>
        <v>0</v>
      </c>
      <c r="L567" s="51">
        <f t="shared" si="219"/>
        <v>0</v>
      </c>
      <c r="M567" s="51">
        <f t="shared" si="219"/>
        <v>0</v>
      </c>
      <c r="N567" s="51">
        <f t="shared" si="219"/>
        <v>0</v>
      </c>
      <c r="O567" s="51">
        <f t="shared" si="219"/>
        <v>0</v>
      </c>
      <c r="P567" s="28" t="s">
        <v>18</v>
      </c>
      <c r="Q567" s="52" t="str">
        <f>$Q$23</f>
        <v>Nour</v>
      </c>
      <c r="R567" s="51">
        <v>1</v>
      </c>
      <c r="S567" s="51">
        <v>1</v>
      </c>
      <c r="T567" s="51">
        <v>1</v>
      </c>
      <c r="U567" s="51">
        <v>1</v>
      </c>
      <c r="V567" s="51">
        <v>1</v>
      </c>
      <c r="W567" s="51">
        <v>1</v>
      </c>
      <c r="X567" s="51">
        <v>1</v>
      </c>
      <c r="Y567" s="51">
        <v>1</v>
      </c>
      <c r="Z567" s="51">
        <v>1</v>
      </c>
      <c r="AA567" s="51">
        <v>1</v>
      </c>
      <c r="AB567" s="51">
        <v>1</v>
      </c>
      <c r="AC567" s="51">
        <v>1</v>
      </c>
    </row>
    <row r="568" spans="2:29" ht="15.6" x14ac:dyDescent="0.55000000000000004">
      <c r="B568" s="1"/>
      <c r="C568" s="52" t="str">
        <f>$Q$24</f>
        <v>Samuel</v>
      </c>
      <c r="D568" s="51">
        <f t="shared" ref="D568:O568" si="220">C105+D105</f>
        <v>0</v>
      </c>
      <c r="E568" s="51">
        <f t="shared" si="220"/>
        <v>0</v>
      </c>
      <c r="F568" s="51">
        <f t="shared" si="220"/>
        <v>0</v>
      </c>
      <c r="G568" s="51">
        <f t="shared" si="220"/>
        <v>0</v>
      </c>
      <c r="H568" s="51">
        <f t="shared" si="220"/>
        <v>0</v>
      </c>
      <c r="I568" s="51">
        <f t="shared" si="220"/>
        <v>0</v>
      </c>
      <c r="J568" s="51">
        <f t="shared" si="220"/>
        <v>0</v>
      </c>
      <c r="K568" s="51">
        <f t="shared" si="220"/>
        <v>0</v>
      </c>
      <c r="L568" s="51">
        <f t="shared" si="220"/>
        <v>0</v>
      </c>
      <c r="M568" s="51">
        <f t="shared" si="220"/>
        <v>0</v>
      </c>
      <c r="N568" s="51">
        <f t="shared" si="220"/>
        <v>0</v>
      </c>
      <c r="O568" s="51">
        <f t="shared" si="220"/>
        <v>0</v>
      </c>
      <c r="P568" s="28" t="s">
        <v>18</v>
      </c>
      <c r="Q568" s="52" t="str">
        <f>$Q$24</f>
        <v>Samuel</v>
      </c>
      <c r="R568" s="51">
        <v>1</v>
      </c>
      <c r="S568" s="51">
        <v>1</v>
      </c>
      <c r="T568" s="51">
        <v>1</v>
      </c>
      <c r="U568" s="51">
        <v>1</v>
      </c>
      <c r="V568" s="51">
        <v>1</v>
      </c>
      <c r="W568" s="51">
        <v>1</v>
      </c>
      <c r="X568" s="51">
        <v>1</v>
      </c>
      <c r="Y568" s="51">
        <v>1</v>
      </c>
      <c r="Z568" s="51">
        <v>1</v>
      </c>
      <c r="AA568" s="51">
        <v>1</v>
      </c>
      <c r="AB568" s="51">
        <v>1</v>
      </c>
      <c r="AC568" s="51">
        <v>1</v>
      </c>
    </row>
    <row r="569" spans="2:29" ht="15.6" x14ac:dyDescent="0.55000000000000004">
      <c r="B569" s="1"/>
      <c r="C569" s="52" t="str">
        <f>$Q$25</f>
        <v>Yassin</v>
      </c>
      <c r="D569" s="51">
        <f t="shared" ref="D569:O569" si="221">C106+D106</f>
        <v>0</v>
      </c>
      <c r="E569" s="51">
        <f t="shared" si="221"/>
        <v>0</v>
      </c>
      <c r="F569" s="51">
        <f t="shared" si="221"/>
        <v>1</v>
      </c>
      <c r="G569" s="51">
        <f t="shared" si="221"/>
        <v>1</v>
      </c>
      <c r="H569" s="51">
        <f t="shared" si="221"/>
        <v>0</v>
      </c>
      <c r="I569" s="51">
        <f t="shared" si="221"/>
        <v>0</v>
      </c>
      <c r="J569" s="51">
        <f t="shared" si="221"/>
        <v>0</v>
      </c>
      <c r="K569" s="51">
        <f t="shared" si="221"/>
        <v>0</v>
      </c>
      <c r="L569" s="51">
        <f t="shared" si="221"/>
        <v>0</v>
      </c>
      <c r="M569" s="51">
        <f t="shared" si="221"/>
        <v>0</v>
      </c>
      <c r="N569" s="51">
        <f t="shared" si="221"/>
        <v>0</v>
      </c>
      <c r="O569" s="51">
        <f t="shared" si="221"/>
        <v>0</v>
      </c>
      <c r="P569" s="28" t="s">
        <v>18</v>
      </c>
      <c r="Q569" s="52" t="str">
        <f>$Q$25</f>
        <v>Yassin</v>
      </c>
      <c r="R569" s="51">
        <v>1</v>
      </c>
      <c r="S569" s="51">
        <v>1</v>
      </c>
      <c r="T569" s="51">
        <v>1</v>
      </c>
      <c r="U569" s="51">
        <v>1</v>
      </c>
      <c r="V569" s="51">
        <v>1</v>
      </c>
      <c r="W569" s="51">
        <v>1</v>
      </c>
      <c r="X569" s="51">
        <v>1</v>
      </c>
      <c r="Y569" s="51">
        <v>1</v>
      </c>
      <c r="Z569" s="51">
        <v>1</v>
      </c>
      <c r="AA569" s="51">
        <v>1</v>
      </c>
      <c r="AB569" s="51">
        <v>1</v>
      </c>
      <c r="AC569" s="51">
        <v>1</v>
      </c>
    </row>
    <row r="570" spans="2:29" ht="15.6" x14ac:dyDescent="0.55000000000000004">
      <c r="B570" s="1"/>
      <c r="C570" s="52" t="str">
        <f>$Q$26</f>
        <v>Kamar</v>
      </c>
      <c r="D570" s="51">
        <f t="shared" ref="D570:O570" si="222">C107+D107</f>
        <v>1</v>
      </c>
      <c r="E570" s="51">
        <f t="shared" si="222"/>
        <v>1</v>
      </c>
      <c r="F570" s="51">
        <f t="shared" si="222"/>
        <v>0</v>
      </c>
      <c r="G570" s="51">
        <f t="shared" si="222"/>
        <v>0</v>
      </c>
      <c r="H570" s="51">
        <f t="shared" si="222"/>
        <v>0</v>
      </c>
      <c r="I570" s="51">
        <f t="shared" si="222"/>
        <v>0</v>
      </c>
      <c r="J570" s="51">
        <f t="shared" si="222"/>
        <v>0</v>
      </c>
      <c r="K570" s="51">
        <f t="shared" si="222"/>
        <v>0</v>
      </c>
      <c r="L570" s="51">
        <f t="shared" si="222"/>
        <v>0</v>
      </c>
      <c r="M570" s="51">
        <f t="shared" si="222"/>
        <v>0</v>
      </c>
      <c r="N570" s="51">
        <f t="shared" si="222"/>
        <v>0</v>
      </c>
      <c r="O570" s="51">
        <f t="shared" si="222"/>
        <v>0</v>
      </c>
      <c r="P570" s="28" t="s">
        <v>18</v>
      </c>
      <c r="Q570" s="52" t="str">
        <f>$Q$26</f>
        <v>Kamar</v>
      </c>
      <c r="R570" s="51">
        <v>1</v>
      </c>
      <c r="S570" s="51">
        <v>1</v>
      </c>
      <c r="T570" s="51">
        <v>1</v>
      </c>
      <c r="U570" s="51">
        <v>1</v>
      </c>
      <c r="V570" s="51">
        <v>1</v>
      </c>
      <c r="W570" s="51">
        <v>1</v>
      </c>
      <c r="X570" s="51">
        <v>1</v>
      </c>
      <c r="Y570" s="51">
        <v>1</v>
      </c>
      <c r="Z570" s="51">
        <v>1</v>
      </c>
      <c r="AA570" s="51">
        <v>1</v>
      </c>
      <c r="AB570" s="51">
        <v>1</v>
      </c>
      <c r="AC570" s="51">
        <v>1</v>
      </c>
    </row>
    <row r="571" spans="2:29" x14ac:dyDescent="0.55000000000000004">
      <c r="B571" s="1"/>
      <c r="C571" s="16"/>
      <c r="P571" s="28"/>
    </row>
    <row r="572" spans="2:29" x14ac:dyDescent="0.55000000000000004">
      <c r="B572" s="1"/>
      <c r="C572" s="16"/>
    </row>
    <row r="573" spans="2:29" ht="15.6" x14ac:dyDescent="0.55000000000000004">
      <c r="B573" s="1"/>
      <c r="C573" s="16" t="s">
        <v>85</v>
      </c>
      <c r="D573" s="40" t="str">
        <f>CONCATENATE($R$2," - ",$S$2)</f>
        <v>16h - 17h</v>
      </c>
      <c r="E573" s="41" t="str">
        <f>CONCATENATE($S$2," - ",$T$2)</f>
        <v>17h - 18h</v>
      </c>
      <c r="F573" s="41" t="str">
        <f>CONCATENATE($T$2," - ",$U$2)</f>
        <v>18h - 19h</v>
      </c>
      <c r="G573" s="41" t="str">
        <f>CONCATENATE($U$2," - ",$V$2)</f>
        <v>19h - 20h</v>
      </c>
      <c r="H573" s="41" t="str">
        <f>CONCATENATE($V$2," - ",$W$2)</f>
        <v>20h - 21h</v>
      </c>
      <c r="I573" s="41" t="str">
        <f>CONCATENATE($W$2," - ",$X$2)</f>
        <v>21h - 22h</v>
      </c>
      <c r="J573" s="41" t="str">
        <f>CONCATENATE($X$2," - ",$Y$2)</f>
        <v>22h - 23h</v>
      </c>
      <c r="K573" s="41" t="str">
        <f>CONCATENATE($Y$2," - ",$Z$2)</f>
        <v>23h - 00h</v>
      </c>
      <c r="L573" s="41" t="str">
        <f>CONCATENATE($Z$2," - ",$AA$2)</f>
        <v>00h - 01h</v>
      </c>
      <c r="M573" s="41" t="str">
        <f>CONCATENATE($AA$2," - ",$AB$2)</f>
        <v>01h - 02h</v>
      </c>
      <c r="N573" s="41" t="str">
        <f>CONCATENATE($AB$2," - ",$AC$2)</f>
        <v>02h - 03h</v>
      </c>
      <c r="O573" s="41" t="str">
        <f>CONCATENATE($AC$2," - ",$AD$2)</f>
        <v>03h - 04h</v>
      </c>
      <c r="Q573" s="16" t="s">
        <v>85</v>
      </c>
      <c r="R573" s="40" t="str">
        <f>CONCATENATE($R$2," - ",$S$2)</f>
        <v>16h - 17h</v>
      </c>
      <c r="S573" s="41" t="str">
        <f>CONCATENATE($S$2," - ",$T$2)</f>
        <v>17h - 18h</v>
      </c>
      <c r="T573" s="41" t="str">
        <f>CONCATENATE($T$2," - ",$U$2)</f>
        <v>18h - 19h</v>
      </c>
      <c r="U573" s="41" t="str">
        <f>CONCATENATE($U$2," - ",$V$2)</f>
        <v>19h - 20h</v>
      </c>
      <c r="V573" s="41" t="str">
        <f>CONCATENATE($V$2," - ",$W$2)</f>
        <v>20h - 21h</v>
      </c>
      <c r="W573" s="41" t="str">
        <f>CONCATENATE($W$2," - ",$X$2)</f>
        <v>21h - 22h</v>
      </c>
      <c r="X573" s="41" t="str">
        <f>CONCATENATE($X$2," - ",$Y$2)</f>
        <v>22h - 23h</v>
      </c>
      <c r="Y573" s="41" t="str">
        <f>CONCATENATE($Y$2," - ",$Z$2)</f>
        <v>23h - 00h</v>
      </c>
      <c r="Z573" s="41" t="str">
        <f>CONCATENATE($Z$2," - ",$AA$2)</f>
        <v>00h - 01h</v>
      </c>
      <c r="AA573" s="41" t="str">
        <f>CONCATENATE($AA$2," - ",$AB$2)</f>
        <v>01h - 02h</v>
      </c>
      <c r="AB573" s="41" t="str">
        <f>CONCATENATE($AB$2," - ",$AC$2)</f>
        <v>02h - 03h</v>
      </c>
      <c r="AC573" s="41" t="str">
        <f>CONCATENATE($AC$2," - ",$AD$2)</f>
        <v>03h - 04h</v>
      </c>
    </row>
    <row r="574" spans="2:29" ht="15.6" x14ac:dyDescent="0.55000000000000004">
      <c r="B574" s="1"/>
      <c r="C574" s="46" t="str">
        <f>$Q$3</f>
        <v>Jennifer</v>
      </c>
      <c r="D574" s="51">
        <f t="shared" ref="D574:O574" si="223">C111+D111</f>
        <v>0</v>
      </c>
      <c r="E574" s="51">
        <f t="shared" si="223"/>
        <v>0</v>
      </c>
      <c r="F574" s="51">
        <f t="shared" si="223"/>
        <v>0</v>
      </c>
      <c r="G574" s="51">
        <f t="shared" si="223"/>
        <v>0</v>
      </c>
      <c r="H574" s="51">
        <f t="shared" si="223"/>
        <v>0</v>
      </c>
      <c r="I574" s="51">
        <f t="shared" si="223"/>
        <v>0</v>
      </c>
      <c r="J574" s="51">
        <f t="shared" si="223"/>
        <v>0</v>
      </c>
      <c r="K574" s="51">
        <f t="shared" si="223"/>
        <v>0</v>
      </c>
      <c r="L574" s="51">
        <f t="shared" si="223"/>
        <v>0</v>
      </c>
      <c r="M574" s="51">
        <f t="shared" si="223"/>
        <v>0</v>
      </c>
      <c r="N574" s="51">
        <f t="shared" si="223"/>
        <v>0</v>
      </c>
      <c r="O574" s="51">
        <f t="shared" si="223"/>
        <v>0</v>
      </c>
      <c r="P574" s="28" t="s">
        <v>18</v>
      </c>
      <c r="Q574" s="46" t="str">
        <f>$Q$3</f>
        <v>Jennifer</v>
      </c>
      <c r="R574" s="51">
        <v>1</v>
      </c>
      <c r="S574" s="51">
        <v>1</v>
      </c>
      <c r="T574" s="51">
        <v>1</v>
      </c>
      <c r="U574" s="51">
        <v>1</v>
      </c>
      <c r="V574" s="51">
        <v>1</v>
      </c>
      <c r="W574" s="51">
        <v>1</v>
      </c>
      <c r="X574" s="51">
        <v>1</v>
      </c>
      <c r="Y574" s="51">
        <v>1</v>
      </c>
      <c r="Z574" s="51">
        <v>1</v>
      </c>
      <c r="AA574" s="51">
        <v>1</v>
      </c>
      <c r="AB574" s="51">
        <v>1</v>
      </c>
      <c r="AC574" s="51">
        <v>1</v>
      </c>
    </row>
    <row r="575" spans="2:29" ht="15.6" x14ac:dyDescent="0.55000000000000004">
      <c r="B575" s="1"/>
      <c r="C575" s="52" t="str">
        <f>$Q$4</f>
        <v>Galileo</v>
      </c>
      <c r="D575" s="51">
        <f t="shared" ref="D575:O575" si="224">C112+D112</f>
        <v>0</v>
      </c>
      <c r="E575" s="51">
        <f t="shared" si="224"/>
        <v>0</v>
      </c>
      <c r="F575" s="51">
        <f t="shared" si="224"/>
        <v>0</v>
      </c>
      <c r="G575" s="51">
        <f t="shared" si="224"/>
        <v>1</v>
      </c>
      <c r="H575" s="51">
        <f t="shared" si="224"/>
        <v>1</v>
      </c>
      <c r="I575" s="51">
        <f t="shared" si="224"/>
        <v>0</v>
      </c>
      <c r="J575" s="51">
        <f t="shared" si="224"/>
        <v>0</v>
      </c>
      <c r="K575" s="51">
        <f t="shared" si="224"/>
        <v>0</v>
      </c>
      <c r="L575" s="51">
        <f t="shared" si="224"/>
        <v>0</v>
      </c>
      <c r="M575" s="51">
        <f t="shared" si="224"/>
        <v>0</v>
      </c>
      <c r="N575" s="51">
        <f t="shared" si="224"/>
        <v>0</v>
      </c>
      <c r="O575" s="51">
        <f t="shared" si="224"/>
        <v>0</v>
      </c>
      <c r="P575" s="28" t="s">
        <v>18</v>
      </c>
      <c r="Q575" s="52" t="str">
        <f>$Q$4</f>
        <v>Galileo</v>
      </c>
      <c r="R575" s="51">
        <v>1</v>
      </c>
      <c r="S575" s="51">
        <v>1</v>
      </c>
      <c r="T575" s="51">
        <v>1</v>
      </c>
      <c r="U575" s="51">
        <v>1</v>
      </c>
      <c r="V575" s="51">
        <v>1</v>
      </c>
      <c r="W575" s="51">
        <v>1</v>
      </c>
      <c r="X575" s="51">
        <v>1</v>
      </c>
      <c r="Y575" s="51">
        <v>1</v>
      </c>
      <c r="Z575" s="51">
        <v>1</v>
      </c>
      <c r="AA575" s="51">
        <v>1</v>
      </c>
      <c r="AB575" s="51">
        <v>1</v>
      </c>
      <c r="AC575" s="51">
        <v>1</v>
      </c>
    </row>
    <row r="576" spans="2:29" ht="15.6" x14ac:dyDescent="0.55000000000000004">
      <c r="B576" s="1"/>
      <c r="C576" s="52" t="str">
        <f>$Q$5</f>
        <v>Óscar</v>
      </c>
      <c r="D576" s="51">
        <f t="shared" ref="D576:O576" si="225">C113+D113</f>
        <v>0</v>
      </c>
      <c r="E576" s="51">
        <f t="shared" si="225"/>
        <v>0</v>
      </c>
      <c r="F576" s="51">
        <f t="shared" si="225"/>
        <v>0</v>
      </c>
      <c r="G576" s="51">
        <f t="shared" si="225"/>
        <v>0</v>
      </c>
      <c r="H576" s="51">
        <f t="shared" si="225"/>
        <v>0</v>
      </c>
      <c r="I576" s="51">
        <f t="shared" si="225"/>
        <v>0</v>
      </c>
      <c r="J576" s="51">
        <f t="shared" si="225"/>
        <v>0</v>
      </c>
      <c r="K576" s="51">
        <f t="shared" si="225"/>
        <v>0</v>
      </c>
      <c r="L576" s="51">
        <f t="shared" si="225"/>
        <v>0</v>
      </c>
      <c r="M576" s="51">
        <f t="shared" si="225"/>
        <v>0</v>
      </c>
      <c r="N576" s="51">
        <f t="shared" si="225"/>
        <v>0</v>
      </c>
      <c r="O576" s="51">
        <f t="shared" si="225"/>
        <v>0</v>
      </c>
      <c r="P576" s="28" t="s">
        <v>18</v>
      </c>
      <c r="Q576" s="52" t="str">
        <f>$Q$5</f>
        <v>Óscar</v>
      </c>
      <c r="R576" s="51">
        <v>1</v>
      </c>
      <c r="S576" s="51">
        <v>1</v>
      </c>
      <c r="T576" s="51">
        <v>1</v>
      </c>
      <c r="U576" s="51">
        <v>1</v>
      </c>
      <c r="V576" s="51">
        <v>1</v>
      </c>
      <c r="W576" s="51">
        <v>1</v>
      </c>
      <c r="X576" s="51">
        <v>1</v>
      </c>
      <c r="Y576" s="51">
        <v>1</v>
      </c>
      <c r="Z576" s="51">
        <v>1</v>
      </c>
      <c r="AA576" s="51">
        <v>1</v>
      </c>
      <c r="AB576" s="51">
        <v>1</v>
      </c>
      <c r="AC576" s="51">
        <v>1</v>
      </c>
    </row>
    <row r="577" spans="2:29" ht="15.6" x14ac:dyDescent="0.55000000000000004">
      <c r="B577" s="1"/>
      <c r="C577" s="52" t="str">
        <f>$Q$6</f>
        <v>Sebastián</v>
      </c>
      <c r="D577" s="51">
        <f t="shared" ref="D577:O577" si="226">C114+D114</f>
        <v>0</v>
      </c>
      <c r="E577" s="51">
        <f t="shared" si="226"/>
        <v>0</v>
      </c>
      <c r="F577" s="51">
        <f t="shared" si="226"/>
        <v>0</v>
      </c>
      <c r="G577" s="51">
        <f t="shared" si="226"/>
        <v>0</v>
      </c>
      <c r="H577" s="51">
        <f t="shared" si="226"/>
        <v>1</v>
      </c>
      <c r="I577" s="51">
        <f t="shared" si="226"/>
        <v>1</v>
      </c>
      <c r="J577" s="51">
        <f t="shared" si="226"/>
        <v>0</v>
      </c>
      <c r="K577" s="51">
        <f t="shared" si="226"/>
        <v>0</v>
      </c>
      <c r="L577" s="51">
        <f t="shared" si="226"/>
        <v>0</v>
      </c>
      <c r="M577" s="51">
        <f t="shared" si="226"/>
        <v>1</v>
      </c>
      <c r="N577" s="51">
        <f t="shared" si="226"/>
        <v>1</v>
      </c>
      <c r="O577" s="51">
        <f t="shared" si="226"/>
        <v>0</v>
      </c>
      <c r="P577" s="28" t="s">
        <v>18</v>
      </c>
      <c r="Q577" s="52" t="str">
        <f>$Q$6</f>
        <v>Sebastián</v>
      </c>
      <c r="R577" s="51">
        <v>1</v>
      </c>
      <c r="S577" s="51">
        <v>1</v>
      </c>
      <c r="T577" s="51">
        <v>1</v>
      </c>
      <c r="U577" s="51">
        <v>1</v>
      </c>
      <c r="V577" s="51">
        <v>1</v>
      </c>
      <c r="W577" s="51">
        <v>1</v>
      </c>
      <c r="X577" s="51">
        <v>1</v>
      </c>
      <c r="Y577" s="51">
        <v>1</v>
      </c>
      <c r="Z577" s="51">
        <v>1</v>
      </c>
      <c r="AA577" s="51">
        <v>1</v>
      </c>
      <c r="AB577" s="51">
        <v>1</v>
      </c>
      <c r="AC577" s="51">
        <v>1</v>
      </c>
    </row>
    <row r="578" spans="2:29" ht="15.6" x14ac:dyDescent="0.55000000000000004">
      <c r="B578" s="1"/>
      <c r="C578" s="52" t="str">
        <f>$Q$7</f>
        <v>Marcos</v>
      </c>
      <c r="D578" s="51">
        <f t="shared" ref="D578:O578" si="227">C115+D115</f>
        <v>0</v>
      </c>
      <c r="E578" s="51">
        <f t="shared" si="227"/>
        <v>0</v>
      </c>
      <c r="F578" s="51">
        <f t="shared" si="227"/>
        <v>0</v>
      </c>
      <c r="G578" s="51">
        <f t="shared" si="227"/>
        <v>0</v>
      </c>
      <c r="H578" s="51">
        <f t="shared" si="227"/>
        <v>0</v>
      </c>
      <c r="I578" s="51">
        <f t="shared" si="227"/>
        <v>0</v>
      </c>
      <c r="J578" s="51">
        <f t="shared" si="227"/>
        <v>0</v>
      </c>
      <c r="K578" s="51">
        <f t="shared" si="227"/>
        <v>0</v>
      </c>
      <c r="L578" s="51">
        <f t="shared" si="227"/>
        <v>0</v>
      </c>
      <c r="M578" s="51">
        <f t="shared" si="227"/>
        <v>0</v>
      </c>
      <c r="N578" s="51">
        <f t="shared" si="227"/>
        <v>0</v>
      </c>
      <c r="O578" s="51">
        <f t="shared" si="227"/>
        <v>0</v>
      </c>
      <c r="P578" s="28" t="s">
        <v>18</v>
      </c>
      <c r="Q578" s="52" t="str">
        <f>$Q$7</f>
        <v>Marcos</v>
      </c>
      <c r="R578" s="51">
        <v>1</v>
      </c>
      <c r="S578" s="51">
        <v>1</v>
      </c>
      <c r="T578" s="51">
        <v>1</v>
      </c>
      <c r="U578" s="51">
        <v>1</v>
      </c>
      <c r="V578" s="51">
        <v>1</v>
      </c>
      <c r="W578" s="51">
        <v>1</v>
      </c>
      <c r="X578" s="51">
        <v>1</v>
      </c>
      <c r="Y578" s="51">
        <v>1</v>
      </c>
      <c r="Z578" s="51">
        <v>1</v>
      </c>
      <c r="AA578" s="51">
        <v>1</v>
      </c>
      <c r="AB578" s="51">
        <v>1</v>
      </c>
      <c r="AC578" s="51">
        <v>1</v>
      </c>
    </row>
    <row r="579" spans="2:29" ht="15.6" x14ac:dyDescent="0.55000000000000004">
      <c r="B579" s="1"/>
      <c r="C579" s="52" t="str">
        <f>$Q$8</f>
        <v>Weixin</v>
      </c>
      <c r="D579" s="51">
        <f t="shared" ref="D579:O579" si="228">C116+D116</f>
        <v>0</v>
      </c>
      <c r="E579" s="51">
        <f t="shared" si="228"/>
        <v>0</v>
      </c>
      <c r="F579" s="51">
        <f t="shared" si="228"/>
        <v>0</v>
      </c>
      <c r="G579" s="51">
        <f t="shared" si="228"/>
        <v>0</v>
      </c>
      <c r="H579" s="51">
        <f t="shared" si="228"/>
        <v>0</v>
      </c>
      <c r="I579" s="51">
        <f t="shared" si="228"/>
        <v>0</v>
      </c>
      <c r="J579" s="51">
        <f t="shared" si="228"/>
        <v>0</v>
      </c>
      <c r="K579" s="51">
        <f t="shared" si="228"/>
        <v>0</v>
      </c>
      <c r="L579" s="51">
        <f t="shared" si="228"/>
        <v>0</v>
      </c>
      <c r="M579" s="51">
        <f t="shared" si="228"/>
        <v>0</v>
      </c>
      <c r="N579" s="51">
        <f t="shared" si="228"/>
        <v>0</v>
      </c>
      <c r="O579" s="51">
        <f t="shared" si="228"/>
        <v>0</v>
      </c>
      <c r="P579" s="28" t="s">
        <v>18</v>
      </c>
      <c r="Q579" s="52" t="str">
        <f>$Q$8</f>
        <v>Weixin</v>
      </c>
      <c r="R579" s="51">
        <v>1</v>
      </c>
      <c r="S579" s="51">
        <v>1</v>
      </c>
      <c r="T579" s="51">
        <v>1</v>
      </c>
      <c r="U579" s="51">
        <v>1</v>
      </c>
      <c r="V579" s="51">
        <v>1</v>
      </c>
      <c r="W579" s="51">
        <v>1</v>
      </c>
      <c r="X579" s="51">
        <v>1</v>
      </c>
      <c r="Y579" s="51">
        <v>1</v>
      </c>
      <c r="Z579" s="51">
        <v>1</v>
      </c>
      <c r="AA579" s="51">
        <v>1</v>
      </c>
      <c r="AB579" s="51">
        <v>1</v>
      </c>
      <c r="AC579" s="51">
        <v>1</v>
      </c>
    </row>
    <row r="580" spans="2:29" ht="15.6" x14ac:dyDescent="0.55000000000000004">
      <c r="B580" s="1"/>
      <c r="C580" s="52" t="str">
        <f>$Q$9</f>
        <v>Benjamin</v>
      </c>
      <c r="D580" s="51">
        <f t="shared" ref="D580:O580" si="229">C117+D117</f>
        <v>0</v>
      </c>
      <c r="E580" s="51">
        <f t="shared" si="229"/>
        <v>0</v>
      </c>
      <c r="F580" s="51">
        <f t="shared" si="229"/>
        <v>0</v>
      </c>
      <c r="G580" s="51">
        <f t="shared" si="229"/>
        <v>0</v>
      </c>
      <c r="H580" s="51">
        <f t="shared" si="229"/>
        <v>0</v>
      </c>
      <c r="I580" s="51">
        <f t="shared" si="229"/>
        <v>0</v>
      </c>
      <c r="J580" s="51">
        <f t="shared" si="229"/>
        <v>0</v>
      </c>
      <c r="K580" s="51">
        <f t="shared" si="229"/>
        <v>0</v>
      </c>
      <c r="L580" s="51">
        <f t="shared" si="229"/>
        <v>0</v>
      </c>
      <c r="M580" s="51">
        <f t="shared" si="229"/>
        <v>0</v>
      </c>
      <c r="N580" s="51">
        <f t="shared" si="229"/>
        <v>0</v>
      </c>
      <c r="O580" s="51">
        <f t="shared" si="229"/>
        <v>0</v>
      </c>
      <c r="P580" s="28" t="s">
        <v>18</v>
      </c>
      <c r="Q580" s="52" t="str">
        <f>$Q$9</f>
        <v>Benjamin</v>
      </c>
      <c r="R580" s="51">
        <v>1</v>
      </c>
      <c r="S580" s="51">
        <v>1</v>
      </c>
      <c r="T580" s="51">
        <v>1</v>
      </c>
      <c r="U580" s="51">
        <v>1</v>
      </c>
      <c r="V580" s="51">
        <v>1</v>
      </c>
      <c r="W580" s="51">
        <v>1</v>
      </c>
      <c r="X580" s="51">
        <v>1</v>
      </c>
      <c r="Y580" s="51">
        <v>1</v>
      </c>
      <c r="Z580" s="51">
        <v>1</v>
      </c>
      <c r="AA580" s="51">
        <v>1</v>
      </c>
      <c r="AB580" s="51">
        <v>1</v>
      </c>
      <c r="AC580" s="51">
        <v>1</v>
      </c>
    </row>
    <row r="581" spans="2:29" ht="15.6" x14ac:dyDescent="0.55000000000000004">
      <c r="B581" s="1"/>
      <c r="C581" s="52" t="str">
        <f>$Q$10</f>
        <v>Joelle</v>
      </c>
      <c r="D581" s="51">
        <f t="shared" ref="D581:O581" si="230">C118+D118</f>
        <v>0</v>
      </c>
      <c r="E581" s="51">
        <f t="shared" si="230"/>
        <v>0</v>
      </c>
      <c r="F581" s="51">
        <f t="shared" si="230"/>
        <v>0</v>
      </c>
      <c r="G581" s="51">
        <f t="shared" si="230"/>
        <v>0</v>
      </c>
      <c r="H581" s="51">
        <f t="shared" si="230"/>
        <v>0</v>
      </c>
      <c r="I581" s="51">
        <f t="shared" si="230"/>
        <v>0</v>
      </c>
      <c r="J581" s="51">
        <f t="shared" si="230"/>
        <v>0</v>
      </c>
      <c r="K581" s="51">
        <f t="shared" si="230"/>
        <v>0</v>
      </c>
      <c r="L581" s="51">
        <f t="shared" si="230"/>
        <v>1</v>
      </c>
      <c r="M581" s="51">
        <f t="shared" si="230"/>
        <v>1</v>
      </c>
      <c r="N581" s="51">
        <f t="shared" si="230"/>
        <v>0</v>
      </c>
      <c r="O581" s="51">
        <f t="shared" si="230"/>
        <v>0</v>
      </c>
      <c r="P581" s="28" t="s">
        <v>18</v>
      </c>
      <c r="Q581" s="52" t="str">
        <f>$Q$10</f>
        <v>Joelle</v>
      </c>
      <c r="R581" s="51">
        <v>1</v>
      </c>
      <c r="S581" s="51">
        <v>1</v>
      </c>
      <c r="T581" s="51">
        <v>1</v>
      </c>
      <c r="U581" s="51">
        <v>1</v>
      </c>
      <c r="V581" s="51">
        <v>1</v>
      </c>
      <c r="W581" s="51">
        <v>1</v>
      </c>
      <c r="X581" s="51">
        <v>1</v>
      </c>
      <c r="Y581" s="51">
        <v>1</v>
      </c>
      <c r="Z581" s="51">
        <v>1</v>
      </c>
      <c r="AA581" s="51">
        <v>1</v>
      </c>
      <c r="AB581" s="51">
        <v>1</v>
      </c>
      <c r="AC581" s="51">
        <v>1</v>
      </c>
    </row>
    <row r="582" spans="2:29" ht="15.6" x14ac:dyDescent="0.55000000000000004">
      <c r="B582" s="1"/>
      <c r="C582" s="52" t="str">
        <f>$Q$11</f>
        <v>Alexia</v>
      </c>
      <c r="D582" s="51">
        <f t="shared" ref="D582:O582" si="231">C119+D119</f>
        <v>0</v>
      </c>
      <c r="E582" s="51">
        <f t="shared" si="231"/>
        <v>0</v>
      </c>
      <c r="F582" s="51">
        <f t="shared" si="231"/>
        <v>0</v>
      </c>
      <c r="G582" s="51">
        <f t="shared" si="231"/>
        <v>0</v>
      </c>
      <c r="H582" s="51">
        <f t="shared" si="231"/>
        <v>0</v>
      </c>
      <c r="I582" s="51">
        <f t="shared" si="231"/>
        <v>0</v>
      </c>
      <c r="J582" s="51">
        <f t="shared" si="231"/>
        <v>0</v>
      </c>
      <c r="K582" s="51">
        <f t="shared" si="231"/>
        <v>0</v>
      </c>
      <c r="L582" s="51">
        <f t="shared" si="231"/>
        <v>0</v>
      </c>
      <c r="M582" s="51">
        <f t="shared" si="231"/>
        <v>0</v>
      </c>
      <c r="N582" s="51">
        <f t="shared" si="231"/>
        <v>0</v>
      </c>
      <c r="O582" s="51">
        <f t="shared" si="231"/>
        <v>0</v>
      </c>
      <c r="P582" s="28" t="s">
        <v>18</v>
      </c>
      <c r="Q582" s="52" t="str">
        <f>$Q$11</f>
        <v>Alexia</v>
      </c>
      <c r="R582" s="51">
        <v>1</v>
      </c>
      <c r="S582" s="51">
        <v>1</v>
      </c>
      <c r="T582" s="51">
        <v>1</v>
      </c>
      <c r="U582" s="51">
        <v>1</v>
      </c>
      <c r="V582" s="51">
        <v>1</v>
      </c>
      <c r="W582" s="51">
        <v>1</v>
      </c>
      <c r="X582" s="51">
        <v>1</v>
      </c>
      <c r="Y582" s="51">
        <v>1</v>
      </c>
      <c r="Z582" s="51">
        <v>1</v>
      </c>
      <c r="AA582" s="51">
        <v>1</v>
      </c>
      <c r="AB582" s="51">
        <v>1</v>
      </c>
      <c r="AC582" s="51">
        <v>1</v>
      </c>
    </row>
    <row r="583" spans="2:29" ht="15.6" x14ac:dyDescent="0.55000000000000004">
      <c r="B583" s="1"/>
      <c r="C583" s="52" t="str">
        <f>$Q$12</f>
        <v>Joao</v>
      </c>
      <c r="D583" s="51">
        <f t="shared" ref="D583:O583" si="232">C120+D120</f>
        <v>0</v>
      </c>
      <c r="E583" s="51">
        <f t="shared" si="232"/>
        <v>0</v>
      </c>
      <c r="F583" s="51">
        <f t="shared" si="232"/>
        <v>0</v>
      </c>
      <c r="G583" s="51">
        <f t="shared" si="232"/>
        <v>0</v>
      </c>
      <c r="H583" s="51">
        <f t="shared" si="232"/>
        <v>0</v>
      </c>
      <c r="I583" s="51">
        <f t="shared" si="232"/>
        <v>0</v>
      </c>
      <c r="J583" s="51">
        <f t="shared" si="232"/>
        <v>0</v>
      </c>
      <c r="K583" s="51">
        <f t="shared" si="232"/>
        <v>1</v>
      </c>
      <c r="L583" s="51">
        <f t="shared" si="232"/>
        <v>1</v>
      </c>
      <c r="M583" s="51">
        <f t="shared" si="232"/>
        <v>0</v>
      </c>
      <c r="N583" s="51">
        <f t="shared" si="232"/>
        <v>0</v>
      </c>
      <c r="O583" s="51">
        <f t="shared" si="232"/>
        <v>0</v>
      </c>
      <c r="P583" s="28" t="s">
        <v>18</v>
      </c>
      <c r="Q583" s="52" t="str">
        <f>$Q$12</f>
        <v>Joao</v>
      </c>
      <c r="R583" s="51">
        <v>1</v>
      </c>
      <c r="S583" s="51">
        <v>1</v>
      </c>
      <c r="T583" s="51">
        <v>1</v>
      </c>
      <c r="U583" s="51">
        <v>1</v>
      </c>
      <c r="V583" s="51">
        <v>1</v>
      </c>
      <c r="W583" s="51">
        <v>1</v>
      </c>
      <c r="X583" s="51">
        <v>1</v>
      </c>
      <c r="Y583" s="51">
        <v>1</v>
      </c>
      <c r="Z583" s="51">
        <v>1</v>
      </c>
      <c r="AA583" s="51">
        <v>1</v>
      </c>
      <c r="AB583" s="51">
        <v>1</v>
      </c>
      <c r="AC583" s="51">
        <v>1</v>
      </c>
    </row>
    <row r="584" spans="2:29" ht="15.6" x14ac:dyDescent="0.55000000000000004">
      <c r="B584" s="1"/>
      <c r="C584" s="57" t="str">
        <f>$Q$13</f>
        <v>Maxime</v>
      </c>
      <c r="D584" s="51">
        <f t="shared" ref="D584:O584" si="233">C121+D121</f>
        <v>0</v>
      </c>
      <c r="E584" s="51">
        <f t="shared" si="233"/>
        <v>1</v>
      </c>
      <c r="F584" s="51">
        <f t="shared" si="233"/>
        <v>1</v>
      </c>
      <c r="G584" s="51">
        <f t="shared" si="233"/>
        <v>0</v>
      </c>
      <c r="H584" s="51">
        <f t="shared" si="233"/>
        <v>0</v>
      </c>
      <c r="I584" s="51">
        <f t="shared" si="233"/>
        <v>0</v>
      </c>
      <c r="J584" s="51">
        <f t="shared" si="233"/>
        <v>0</v>
      </c>
      <c r="K584" s="51">
        <f t="shared" si="233"/>
        <v>0</v>
      </c>
      <c r="L584" s="51">
        <f t="shared" si="233"/>
        <v>0</v>
      </c>
      <c r="M584" s="51">
        <f t="shared" si="233"/>
        <v>0</v>
      </c>
      <c r="N584" s="51">
        <f t="shared" si="233"/>
        <v>0</v>
      </c>
      <c r="O584" s="51">
        <f t="shared" si="233"/>
        <v>0</v>
      </c>
      <c r="P584" s="28" t="s">
        <v>18</v>
      </c>
      <c r="Q584" s="57" t="str">
        <f>$Q$13</f>
        <v>Maxime</v>
      </c>
      <c r="R584" s="51">
        <v>1</v>
      </c>
      <c r="S584" s="51">
        <v>1</v>
      </c>
      <c r="T584" s="51">
        <v>1</v>
      </c>
      <c r="U584" s="51">
        <v>1</v>
      </c>
      <c r="V584" s="51">
        <v>1</v>
      </c>
      <c r="W584" s="51">
        <v>1</v>
      </c>
      <c r="X584" s="51">
        <v>1</v>
      </c>
      <c r="Y584" s="51">
        <v>1</v>
      </c>
      <c r="Z584" s="51">
        <v>1</v>
      </c>
      <c r="AA584" s="51">
        <v>1</v>
      </c>
      <c r="AB584" s="51">
        <v>1</v>
      </c>
      <c r="AC584" s="51">
        <v>1</v>
      </c>
    </row>
    <row r="585" spans="2:29" ht="15.6" x14ac:dyDescent="0.55000000000000004">
      <c r="B585" s="1"/>
      <c r="C585" s="46" t="str">
        <f>$Q$14</f>
        <v>Alex</v>
      </c>
      <c r="D585" s="51">
        <f t="shared" ref="D585:O585" si="234">C122+D122</f>
        <v>0</v>
      </c>
      <c r="E585" s="51">
        <f t="shared" si="234"/>
        <v>0</v>
      </c>
      <c r="F585" s="51">
        <f t="shared" si="234"/>
        <v>0</v>
      </c>
      <c r="G585" s="51">
        <f t="shared" si="234"/>
        <v>0</v>
      </c>
      <c r="H585" s="51">
        <f t="shared" si="234"/>
        <v>0</v>
      </c>
      <c r="I585" s="51">
        <f t="shared" si="234"/>
        <v>0</v>
      </c>
      <c r="J585" s="51">
        <f t="shared" si="234"/>
        <v>0</v>
      </c>
      <c r="K585" s="51">
        <f t="shared" si="234"/>
        <v>0</v>
      </c>
      <c r="L585" s="51">
        <f t="shared" si="234"/>
        <v>0</v>
      </c>
      <c r="M585" s="51">
        <f t="shared" si="234"/>
        <v>0</v>
      </c>
      <c r="N585" s="51">
        <f t="shared" si="234"/>
        <v>0</v>
      </c>
      <c r="O585" s="51">
        <f t="shared" si="234"/>
        <v>0</v>
      </c>
      <c r="P585" s="28" t="s">
        <v>18</v>
      </c>
      <c r="Q585" s="46" t="str">
        <f>$Q$14</f>
        <v>Alex</v>
      </c>
      <c r="R585" s="51">
        <v>1</v>
      </c>
      <c r="S585" s="51">
        <v>1</v>
      </c>
      <c r="T585" s="51">
        <v>1</v>
      </c>
      <c r="U585" s="51">
        <v>1</v>
      </c>
      <c r="V585" s="51">
        <v>1</v>
      </c>
      <c r="W585" s="51">
        <v>1</v>
      </c>
      <c r="X585" s="51">
        <v>1</v>
      </c>
      <c r="Y585" s="51">
        <v>1</v>
      </c>
      <c r="Z585" s="51">
        <v>1</v>
      </c>
      <c r="AA585" s="51">
        <v>1</v>
      </c>
      <c r="AB585" s="51">
        <v>1</v>
      </c>
      <c r="AC585" s="51">
        <v>1</v>
      </c>
    </row>
    <row r="586" spans="2:29" ht="15.6" x14ac:dyDescent="0.55000000000000004">
      <c r="B586" s="1"/>
      <c r="C586" s="52" t="str">
        <f>$Q$15</f>
        <v>Alyssa</v>
      </c>
      <c r="D586" s="51">
        <f t="shared" ref="D586:O586" si="235">C123+D123</f>
        <v>0</v>
      </c>
      <c r="E586" s="51">
        <f t="shared" si="235"/>
        <v>0</v>
      </c>
      <c r="F586" s="51">
        <f t="shared" si="235"/>
        <v>0</v>
      </c>
      <c r="G586" s="51">
        <f t="shared" si="235"/>
        <v>0</v>
      </c>
      <c r="H586" s="51">
        <f t="shared" si="235"/>
        <v>0</v>
      </c>
      <c r="I586" s="51">
        <f t="shared" si="235"/>
        <v>0</v>
      </c>
      <c r="J586" s="51">
        <f t="shared" si="235"/>
        <v>0</v>
      </c>
      <c r="K586" s="51">
        <f t="shared" si="235"/>
        <v>0</v>
      </c>
      <c r="L586" s="51">
        <f t="shared" si="235"/>
        <v>0</v>
      </c>
      <c r="M586" s="51">
        <f t="shared" si="235"/>
        <v>0</v>
      </c>
      <c r="N586" s="51">
        <f t="shared" si="235"/>
        <v>0</v>
      </c>
      <c r="O586" s="51">
        <f t="shared" si="235"/>
        <v>0</v>
      </c>
      <c r="P586" s="28" t="s">
        <v>18</v>
      </c>
      <c r="Q586" s="52" t="str">
        <f>$Q$15</f>
        <v>Alyssa</v>
      </c>
      <c r="R586" s="51">
        <v>1</v>
      </c>
      <c r="S586" s="51">
        <v>1</v>
      </c>
      <c r="T586" s="51">
        <v>1</v>
      </c>
      <c r="U586" s="51">
        <v>1</v>
      </c>
      <c r="V586" s="51">
        <v>1</v>
      </c>
      <c r="W586" s="51">
        <v>1</v>
      </c>
      <c r="X586" s="51">
        <v>1</v>
      </c>
      <c r="Y586" s="51">
        <v>1</v>
      </c>
      <c r="Z586" s="51">
        <v>1</v>
      </c>
      <c r="AA586" s="51">
        <v>1</v>
      </c>
      <c r="AB586" s="51">
        <v>1</v>
      </c>
      <c r="AC586" s="51">
        <v>1</v>
      </c>
    </row>
    <row r="587" spans="2:29" ht="15.6" x14ac:dyDescent="0.55000000000000004">
      <c r="B587" s="1"/>
      <c r="C587" s="52" t="str">
        <f>$Q$16</f>
        <v>Amanda</v>
      </c>
      <c r="D587" s="51">
        <f t="shared" ref="D587:O587" si="236">C124+D124</f>
        <v>0</v>
      </c>
      <c r="E587" s="51">
        <f t="shared" si="236"/>
        <v>0</v>
      </c>
      <c r="F587" s="51">
        <f t="shared" si="236"/>
        <v>0</v>
      </c>
      <c r="G587" s="51">
        <f t="shared" si="236"/>
        <v>0</v>
      </c>
      <c r="H587" s="51">
        <f t="shared" si="236"/>
        <v>0</v>
      </c>
      <c r="I587" s="51">
        <f t="shared" si="236"/>
        <v>0</v>
      </c>
      <c r="J587" s="51">
        <f t="shared" si="236"/>
        <v>0</v>
      </c>
      <c r="K587" s="51">
        <f t="shared" si="236"/>
        <v>0</v>
      </c>
      <c r="L587" s="51">
        <f t="shared" si="236"/>
        <v>0</v>
      </c>
      <c r="M587" s="51">
        <f t="shared" si="236"/>
        <v>0</v>
      </c>
      <c r="N587" s="51">
        <f t="shared" si="236"/>
        <v>0</v>
      </c>
      <c r="O587" s="51">
        <f t="shared" si="236"/>
        <v>0</v>
      </c>
      <c r="P587" s="28" t="s">
        <v>18</v>
      </c>
      <c r="Q587" s="52" t="str">
        <f>$Q$16</f>
        <v>Amanda</v>
      </c>
      <c r="R587" s="51">
        <v>1</v>
      </c>
      <c r="S587" s="51">
        <v>1</v>
      </c>
      <c r="T587" s="51">
        <v>1</v>
      </c>
      <c r="U587" s="51">
        <v>1</v>
      </c>
      <c r="V587" s="51">
        <v>1</v>
      </c>
      <c r="W587" s="51">
        <v>1</v>
      </c>
      <c r="X587" s="51">
        <v>1</v>
      </c>
      <c r="Y587" s="51">
        <v>1</v>
      </c>
      <c r="Z587" s="51">
        <v>1</v>
      </c>
      <c r="AA587" s="51">
        <v>1</v>
      </c>
      <c r="AB587" s="51">
        <v>1</v>
      </c>
      <c r="AC587" s="51">
        <v>1</v>
      </c>
    </row>
    <row r="588" spans="2:29" ht="15.6" x14ac:dyDescent="0.55000000000000004">
      <c r="B588" s="1"/>
      <c r="C588" s="52" t="str">
        <f>$Q$17</f>
        <v>Antoine</v>
      </c>
      <c r="D588" s="51">
        <f t="shared" ref="D588:O588" si="237">C125+D125</f>
        <v>0</v>
      </c>
      <c r="E588" s="51">
        <f t="shared" si="237"/>
        <v>0</v>
      </c>
      <c r="F588" s="51">
        <f t="shared" si="237"/>
        <v>0</v>
      </c>
      <c r="G588" s="51">
        <f t="shared" si="237"/>
        <v>0</v>
      </c>
      <c r="H588" s="51">
        <f t="shared" si="237"/>
        <v>0</v>
      </c>
      <c r="I588" s="51">
        <f t="shared" si="237"/>
        <v>0</v>
      </c>
      <c r="J588" s="51">
        <f t="shared" si="237"/>
        <v>1</v>
      </c>
      <c r="K588" s="51">
        <f t="shared" si="237"/>
        <v>1</v>
      </c>
      <c r="L588" s="51">
        <f t="shared" si="237"/>
        <v>0</v>
      </c>
      <c r="M588" s="51">
        <f t="shared" si="237"/>
        <v>0</v>
      </c>
      <c r="N588" s="51">
        <f t="shared" si="237"/>
        <v>0</v>
      </c>
      <c r="O588" s="51">
        <f t="shared" si="237"/>
        <v>0</v>
      </c>
      <c r="P588" s="28" t="s">
        <v>18</v>
      </c>
      <c r="Q588" s="52" t="str">
        <f>$Q$17</f>
        <v>Antoine</v>
      </c>
      <c r="R588" s="51">
        <v>1</v>
      </c>
      <c r="S588" s="51">
        <v>1</v>
      </c>
      <c r="T588" s="51">
        <v>1</v>
      </c>
      <c r="U588" s="51">
        <v>1</v>
      </c>
      <c r="V588" s="51">
        <v>1</v>
      </c>
      <c r="W588" s="51">
        <v>1</v>
      </c>
      <c r="X588" s="51">
        <v>1</v>
      </c>
      <c r="Y588" s="51">
        <v>1</v>
      </c>
      <c r="Z588" s="51">
        <v>1</v>
      </c>
      <c r="AA588" s="51">
        <v>1</v>
      </c>
      <c r="AB588" s="51">
        <v>1</v>
      </c>
      <c r="AC588" s="51">
        <v>1</v>
      </c>
    </row>
    <row r="589" spans="2:29" ht="15.6" x14ac:dyDescent="0.55000000000000004">
      <c r="B589" s="1"/>
      <c r="C589" s="52" t="str">
        <f>$Q$18</f>
        <v>Beatriz</v>
      </c>
      <c r="D589" s="51">
        <f t="shared" ref="D589:O589" si="238">C126+D126</f>
        <v>0</v>
      </c>
      <c r="E589" s="51">
        <f t="shared" si="238"/>
        <v>0</v>
      </c>
      <c r="F589" s="51">
        <f t="shared" si="238"/>
        <v>0</v>
      </c>
      <c r="G589" s="51">
        <f t="shared" si="238"/>
        <v>0</v>
      </c>
      <c r="H589" s="51">
        <f t="shared" si="238"/>
        <v>0</v>
      </c>
      <c r="I589" s="51">
        <f t="shared" si="238"/>
        <v>0</v>
      </c>
      <c r="J589" s="51">
        <f t="shared" si="238"/>
        <v>0</v>
      </c>
      <c r="K589" s="51">
        <f t="shared" si="238"/>
        <v>0</v>
      </c>
      <c r="L589" s="51">
        <f t="shared" si="238"/>
        <v>0</v>
      </c>
      <c r="M589" s="51">
        <f t="shared" si="238"/>
        <v>0</v>
      </c>
      <c r="N589" s="51">
        <f t="shared" si="238"/>
        <v>0</v>
      </c>
      <c r="O589" s="51">
        <f t="shared" si="238"/>
        <v>0</v>
      </c>
      <c r="P589" s="28" t="s">
        <v>18</v>
      </c>
      <c r="Q589" s="52" t="str">
        <f>$Q$18</f>
        <v>Beatriz</v>
      </c>
      <c r="R589" s="51">
        <v>1</v>
      </c>
      <c r="S589" s="51">
        <v>1</v>
      </c>
      <c r="T589" s="51">
        <v>1</v>
      </c>
      <c r="U589" s="51">
        <v>1</v>
      </c>
      <c r="V589" s="51">
        <v>1</v>
      </c>
      <c r="W589" s="51">
        <v>1</v>
      </c>
      <c r="X589" s="51">
        <v>1</v>
      </c>
      <c r="Y589" s="51">
        <v>1</v>
      </c>
      <c r="Z589" s="51">
        <v>1</v>
      </c>
      <c r="AA589" s="51">
        <v>1</v>
      </c>
      <c r="AB589" s="51">
        <v>1</v>
      </c>
      <c r="AC589" s="51">
        <v>1</v>
      </c>
    </row>
    <row r="590" spans="2:29" ht="15.6" x14ac:dyDescent="0.55000000000000004">
      <c r="B590" s="1"/>
      <c r="C590" s="52" t="str">
        <f>$Q$19</f>
        <v>Charelle</v>
      </c>
      <c r="D590" s="51">
        <f t="shared" ref="D590:O590" si="239">C127+D127</f>
        <v>0</v>
      </c>
      <c r="E590" s="51">
        <f t="shared" si="239"/>
        <v>0</v>
      </c>
      <c r="F590" s="51">
        <f t="shared" si="239"/>
        <v>0</v>
      </c>
      <c r="G590" s="51">
        <f t="shared" si="239"/>
        <v>0</v>
      </c>
      <c r="H590" s="51">
        <f t="shared" si="239"/>
        <v>0</v>
      </c>
      <c r="I590" s="51">
        <f t="shared" si="239"/>
        <v>0</v>
      </c>
      <c r="J590" s="51">
        <f t="shared" si="239"/>
        <v>0</v>
      </c>
      <c r="K590" s="51">
        <f t="shared" si="239"/>
        <v>0</v>
      </c>
      <c r="L590" s="51">
        <f t="shared" si="239"/>
        <v>0</v>
      </c>
      <c r="M590" s="51">
        <f t="shared" si="239"/>
        <v>0</v>
      </c>
      <c r="N590" s="51">
        <f t="shared" si="239"/>
        <v>0</v>
      </c>
      <c r="O590" s="51">
        <f t="shared" si="239"/>
        <v>0</v>
      </c>
      <c r="P590" s="28" t="s">
        <v>18</v>
      </c>
      <c r="Q590" s="52" t="str">
        <f>$Q$19</f>
        <v>Charelle</v>
      </c>
      <c r="R590" s="51">
        <v>1</v>
      </c>
      <c r="S590" s="51">
        <v>1</v>
      </c>
      <c r="T590" s="51">
        <v>1</v>
      </c>
      <c r="U590" s="51">
        <v>1</v>
      </c>
      <c r="V590" s="51">
        <v>1</v>
      </c>
      <c r="W590" s="51">
        <v>1</v>
      </c>
      <c r="X590" s="51">
        <v>1</v>
      </c>
      <c r="Y590" s="51">
        <v>1</v>
      </c>
      <c r="Z590" s="51">
        <v>1</v>
      </c>
      <c r="AA590" s="51">
        <v>1</v>
      </c>
      <c r="AB590" s="51">
        <v>1</v>
      </c>
      <c r="AC590" s="51">
        <v>1</v>
      </c>
    </row>
    <row r="591" spans="2:29" ht="15.6" x14ac:dyDescent="0.55000000000000004">
      <c r="B591" s="1"/>
      <c r="C591" s="52" t="str">
        <f>$Q$20</f>
        <v>Dimitri</v>
      </c>
      <c r="D591" s="51">
        <f t="shared" ref="D591:O591" si="240">C128+D128</f>
        <v>1</v>
      </c>
      <c r="E591" s="51">
        <f t="shared" si="240"/>
        <v>1</v>
      </c>
      <c r="F591" s="51">
        <f t="shared" si="240"/>
        <v>0</v>
      </c>
      <c r="G591" s="51">
        <f t="shared" si="240"/>
        <v>0</v>
      </c>
      <c r="H591" s="51">
        <f t="shared" si="240"/>
        <v>0</v>
      </c>
      <c r="I591" s="51">
        <f t="shared" si="240"/>
        <v>0</v>
      </c>
      <c r="J591" s="51">
        <f t="shared" si="240"/>
        <v>0</v>
      </c>
      <c r="K591" s="51">
        <f t="shared" si="240"/>
        <v>0</v>
      </c>
      <c r="L591" s="51">
        <f t="shared" si="240"/>
        <v>0</v>
      </c>
      <c r="M591" s="51">
        <f t="shared" si="240"/>
        <v>0</v>
      </c>
      <c r="N591" s="51">
        <f t="shared" si="240"/>
        <v>0</v>
      </c>
      <c r="O591" s="51">
        <f t="shared" si="240"/>
        <v>0</v>
      </c>
      <c r="P591" s="28" t="s">
        <v>18</v>
      </c>
      <c r="Q591" s="52" t="str">
        <f>$Q$20</f>
        <v>Dimitri</v>
      </c>
      <c r="R591" s="51">
        <v>1</v>
      </c>
      <c r="S591" s="51">
        <v>1</v>
      </c>
      <c r="T591" s="51">
        <v>1</v>
      </c>
      <c r="U591" s="51">
        <v>1</v>
      </c>
      <c r="V591" s="51">
        <v>1</v>
      </c>
      <c r="W591" s="51">
        <v>1</v>
      </c>
      <c r="X591" s="51">
        <v>1</v>
      </c>
      <c r="Y591" s="51">
        <v>1</v>
      </c>
      <c r="Z591" s="51">
        <v>1</v>
      </c>
      <c r="AA591" s="51">
        <v>1</v>
      </c>
      <c r="AB591" s="51">
        <v>1</v>
      </c>
      <c r="AC591" s="51">
        <v>1</v>
      </c>
    </row>
    <row r="592" spans="2:29" ht="15.6" x14ac:dyDescent="0.55000000000000004">
      <c r="B592" s="1"/>
      <c r="C592" s="52" t="str">
        <f>$Q$21</f>
        <v>Marina</v>
      </c>
      <c r="D592" s="51">
        <f t="shared" ref="D592:O592" si="241">C129+D129</f>
        <v>0</v>
      </c>
      <c r="E592" s="51">
        <f t="shared" si="241"/>
        <v>0</v>
      </c>
      <c r="F592" s="51">
        <f t="shared" si="241"/>
        <v>0</v>
      </c>
      <c r="G592" s="51">
        <f t="shared" si="241"/>
        <v>0</v>
      </c>
      <c r="H592" s="51">
        <f t="shared" si="241"/>
        <v>0</v>
      </c>
      <c r="I592" s="51">
        <f t="shared" si="241"/>
        <v>0</v>
      </c>
      <c r="J592" s="51">
        <f t="shared" si="241"/>
        <v>0</v>
      </c>
      <c r="K592" s="51">
        <f t="shared" si="241"/>
        <v>0</v>
      </c>
      <c r="L592" s="51">
        <f t="shared" si="241"/>
        <v>0</v>
      </c>
      <c r="M592" s="51">
        <f t="shared" si="241"/>
        <v>0</v>
      </c>
      <c r="N592" s="51">
        <f t="shared" si="241"/>
        <v>0</v>
      </c>
      <c r="O592" s="51">
        <f t="shared" si="241"/>
        <v>0</v>
      </c>
      <c r="P592" s="28" t="s">
        <v>18</v>
      </c>
      <c r="Q592" s="52" t="str">
        <f>$Q$21</f>
        <v>Marina</v>
      </c>
      <c r="R592" s="51">
        <v>1</v>
      </c>
      <c r="S592" s="51">
        <v>1</v>
      </c>
      <c r="T592" s="51">
        <v>1</v>
      </c>
      <c r="U592" s="51">
        <v>1</v>
      </c>
      <c r="V592" s="51">
        <v>1</v>
      </c>
      <c r="W592" s="51">
        <v>1</v>
      </c>
      <c r="X592" s="51">
        <v>1</v>
      </c>
      <c r="Y592" s="51">
        <v>1</v>
      </c>
      <c r="Z592" s="51">
        <v>1</v>
      </c>
      <c r="AA592" s="51">
        <v>1</v>
      </c>
      <c r="AB592" s="51">
        <v>1</v>
      </c>
      <c r="AC592" s="51">
        <v>1</v>
      </c>
    </row>
    <row r="593" spans="2:29" ht="15.6" x14ac:dyDescent="0.55000000000000004">
      <c r="B593" s="1"/>
      <c r="C593" s="52" t="str">
        <f>$Q$22</f>
        <v>Michel</v>
      </c>
      <c r="D593" s="51">
        <f t="shared" ref="D593:O593" si="242">C130+D130</f>
        <v>0</v>
      </c>
      <c r="E593" s="51">
        <f t="shared" si="242"/>
        <v>0</v>
      </c>
      <c r="F593" s="51">
        <f t="shared" si="242"/>
        <v>0</v>
      </c>
      <c r="G593" s="51">
        <f t="shared" si="242"/>
        <v>0</v>
      </c>
      <c r="H593" s="51">
        <f t="shared" si="242"/>
        <v>0</v>
      </c>
      <c r="I593" s="51">
        <f t="shared" si="242"/>
        <v>0</v>
      </c>
      <c r="J593" s="51">
        <f t="shared" si="242"/>
        <v>0</v>
      </c>
      <c r="K593" s="51">
        <f t="shared" si="242"/>
        <v>0</v>
      </c>
      <c r="L593" s="51">
        <f t="shared" si="242"/>
        <v>0</v>
      </c>
      <c r="M593" s="51">
        <f t="shared" si="242"/>
        <v>0</v>
      </c>
      <c r="N593" s="51">
        <f t="shared" si="242"/>
        <v>0</v>
      </c>
      <c r="O593" s="51">
        <f t="shared" si="242"/>
        <v>0</v>
      </c>
      <c r="P593" s="28" t="s">
        <v>18</v>
      </c>
      <c r="Q593" s="52" t="str">
        <f>$Q$22</f>
        <v>Michel</v>
      </c>
      <c r="R593" s="51">
        <v>1</v>
      </c>
      <c r="S593" s="51">
        <v>1</v>
      </c>
      <c r="T593" s="51">
        <v>1</v>
      </c>
      <c r="U593" s="51">
        <v>1</v>
      </c>
      <c r="V593" s="51">
        <v>1</v>
      </c>
      <c r="W593" s="51">
        <v>1</v>
      </c>
      <c r="X593" s="51">
        <v>1</v>
      </c>
      <c r="Y593" s="51">
        <v>1</v>
      </c>
      <c r="Z593" s="51">
        <v>1</v>
      </c>
      <c r="AA593" s="51">
        <v>1</v>
      </c>
      <c r="AB593" s="51">
        <v>1</v>
      </c>
      <c r="AC593" s="51">
        <v>1</v>
      </c>
    </row>
    <row r="594" spans="2:29" ht="15.6" x14ac:dyDescent="0.55000000000000004">
      <c r="B594" s="1"/>
      <c r="C594" s="52" t="str">
        <f>$Q$23</f>
        <v>Nour</v>
      </c>
      <c r="D594" s="51">
        <f t="shared" ref="D594:O594" si="243">C131+D131</f>
        <v>0</v>
      </c>
      <c r="E594" s="51">
        <f t="shared" si="243"/>
        <v>0</v>
      </c>
      <c r="F594" s="51">
        <f t="shared" si="243"/>
        <v>0</v>
      </c>
      <c r="G594" s="51">
        <f t="shared" si="243"/>
        <v>0</v>
      </c>
      <c r="H594" s="51">
        <f t="shared" si="243"/>
        <v>0</v>
      </c>
      <c r="I594" s="51">
        <f t="shared" si="243"/>
        <v>0</v>
      </c>
      <c r="J594" s="51">
        <f t="shared" si="243"/>
        <v>0</v>
      </c>
      <c r="K594" s="51">
        <f t="shared" si="243"/>
        <v>0</v>
      </c>
      <c r="L594" s="51">
        <f t="shared" si="243"/>
        <v>0</v>
      </c>
      <c r="M594" s="51">
        <f t="shared" si="243"/>
        <v>0</v>
      </c>
      <c r="N594" s="51">
        <f t="shared" si="243"/>
        <v>0</v>
      </c>
      <c r="O594" s="51">
        <f t="shared" si="243"/>
        <v>0</v>
      </c>
      <c r="P594" s="28" t="s">
        <v>18</v>
      </c>
      <c r="Q594" s="52" t="str">
        <f>$Q$23</f>
        <v>Nour</v>
      </c>
      <c r="R594" s="51">
        <v>1</v>
      </c>
      <c r="S594" s="51">
        <v>1</v>
      </c>
      <c r="T594" s="51">
        <v>1</v>
      </c>
      <c r="U594" s="51">
        <v>1</v>
      </c>
      <c r="V594" s="51">
        <v>1</v>
      </c>
      <c r="W594" s="51">
        <v>1</v>
      </c>
      <c r="X594" s="51">
        <v>1</v>
      </c>
      <c r="Y594" s="51">
        <v>1</v>
      </c>
      <c r="Z594" s="51">
        <v>1</v>
      </c>
      <c r="AA594" s="51">
        <v>1</v>
      </c>
      <c r="AB594" s="51">
        <v>1</v>
      </c>
      <c r="AC594" s="51">
        <v>1</v>
      </c>
    </row>
    <row r="595" spans="2:29" ht="15.6" x14ac:dyDescent="0.55000000000000004">
      <c r="B595" s="1"/>
      <c r="C595" s="52" t="str">
        <f>$Q$24</f>
        <v>Samuel</v>
      </c>
      <c r="D595" s="51">
        <f t="shared" ref="D595:O595" si="244">C132+D132</f>
        <v>0</v>
      </c>
      <c r="E595" s="51">
        <f t="shared" si="244"/>
        <v>0</v>
      </c>
      <c r="F595" s="51">
        <f t="shared" si="244"/>
        <v>1</v>
      </c>
      <c r="G595" s="51">
        <f t="shared" si="244"/>
        <v>1</v>
      </c>
      <c r="H595" s="51">
        <f t="shared" si="244"/>
        <v>0</v>
      </c>
      <c r="I595" s="51">
        <f t="shared" si="244"/>
        <v>1</v>
      </c>
      <c r="J595" s="51">
        <f t="shared" si="244"/>
        <v>1</v>
      </c>
      <c r="K595" s="51">
        <f t="shared" si="244"/>
        <v>0</v>
      </c>
      <c r="L595" s="51">
        <f t="shared" si="244"/>
        <v>0</v>
      </c>
      <c r="M595" s="51">
        <f t="shared" si="244"/>
        <v>0</v>
      </c>
      <c r="N595" s="51">
        <f t="shared" si="244"/>
        <v>0</v>
      </c>
      <c r="O595" s="51">
        <f t="shared" si="244"/>
        <v>0</v>
      </c>
      <c r="P595" s="28" t="s">
        <v>18</v>
      </c>
      <c r="Q595" s="52" t="str">
        <f>$Q$24</f>
        <v>Samuel</v>
      </c>
      <c r="R595" s="51">
        <v>1</v>
      </c>
      <c r="S595" s="51">
        <v>1</v>
      </c>
      <c r="T595" s="51">
        <v>1</v>
      </c>
      <c r="U595" s="51">
        <v>1</v>
      </c>
      <c r="V595" s="51">
        <v>1</v>
      </c>
      <c r="W595" s="51">
        <v>1</v>
      </c>
      <c r="X595" s="51">
        <v>1</v>
      </c>
      <c r="Y595" s="51">
        <v>1</v>
      </c>
      <c r="Z595" s="51">
        <v>1</v>
      </c>
      <c r="AA595" s="51">
        <v>1</v>
      </c>
      <c r="AB595" s="51">
        <v>1</v>
      </c>
      <c r="AC595" s="51">
        <v>1</v>
      </c>
    </row>
    <row r="596" spans="2:29" ht="15.6" x14ac:dyDescent="0.55000000000000004">
      <c r="B596" s="1"/>
      <c r="C596" s="52" t="str">
        <f>$Q$25</f>
        <v>Yassin</v>
      </c>
      <c r="D596" s="51">
        <f t="shared" ref="D596:O596" si="245">C133+D133</f>
        <v>0</v>
      </c>
      <c r="E596" s="51">
        <f t="shared" si="245"/>
        <v>0</v>
      </c>
      <c r="F596" s="51">
        <f t="shared" si="245"/>
        <v>0</v>
      </c>
      <c r="G596" s="51">
        <f t="shared" si="245"/>
        <v>0</v>
      </c>
      <c r="H596" s="51">
        <f t="shared" si="245"/>
        <v>0</v>
      </c>
      <c r="I596" s="51">
        <f t="shared" si="245"/>
        <v>0</v>
      </c>
      <c r="J596" s="51">
        <f t="shared" si="245"/>
        <v>0</v>
      </c>
      <c r="K596" s="51">
        <f t="shared" si="245"/>
        <v>0</v>
      </c>
      <c r="L596" s="51">
        <f t="shared" si="245"/>
        <v>0</v>
      </c>
      <c r="M596" s="51">
        <f t="shared" si="245"/>
        <v>0</v>
      </c>
      <c r="N596" s="51">
        <f t="shared" si="245"/>
        <v>0</v>
      </c>
      <c r="O596" s="51">
        <f t="shared" si="245"/>
        <v>0</v>
      </c>
      <c r="P596" s="28" t="s">
        <v>18</v>
      </c>
      <c r="Q596" s="52" t="str">
        <f>$Q$25</f>
        <v>Yassin</v>
      </c>
      <c r="R596" s="51">
        <v>1</v>
      </c>
      <c r="S596" s="51">
        <v>1</v>
      </c>
      <c r="T596" s="51">
        <v>1</v>
      </c>
      <c r="U596" s="51">
        <v>1</v>
      </c>
      <c r="V596" s="51">
        <v>1</v>
      </c>
      <c r="W596" s="51">
        <v>1</v>
      </c>
      <c r="X596" s="51">
        <v>1</v>
      </c>
      <c r="Y596" s="51">
        <v>1</v>
      </c>
      <c r="Z596" s="51">
        <v>1</v>
      </c>
      <c r="AA596" s="51">
        <v>1</v>
      </c>
      <c r="AB596" s="51">
        <v>1</v>
      </c>
      <c r="AC596" s="51">
        <v>1</v>
      </c>
    </row>
    <row r="597" spans="2:29" ht="15.6" x14ac:dyDescent="0.55000000000000004">
      <c r="B597" s="1"/>
      <c r="C597" s="52" t="str">
        <f>$Q$26</f>
        <v>Kamar</v>
      </c>
      <c r="D597" s="51">
        <f t="shared" ref="D597:O597" si="246">C134+D134</f>
        <v>0</v>
      </c>
      <c r="E597" s="51">
        <f t="shared" si="246"/>
        <v>0</v>
      </c>
      <c r="F597" s="51">
        <f t="shared" si="246"/>
        <v>0</v>
      </c>
      <c r="G597" s="51">
        <f t="shared" si="246"/>
        <v>0</v>
      </c>
      <c r="H597" s="51">
        <f t="shared" si="246"/>
        <v>0</v>
      </c>
      <c r="I597" s="51">
        <f t="shared" si="246"/>
        <v>0</v>
      </c>
      <c r="J597" s="51">
        <f t="shared" si="246"/>
        <v>0</v>
      </c>
      <c r="K597" s="51">
        <f t="shared" si="246"/>
        <v>0</v>
      </c>
      <c r="L597" s="51">
        <f t="shared" si="246"/>
        <v>0</v>
      </c>
      <c r="M597" s="51">
        <f t="shared" si="246"/>
        <v>0</v>
      </c>
      <c r="N597" s="51">
        <f t="shared" si="246"/>
        <v>0</v>
      </c>
      <c r="O597" s="51">
        <f t="shared" si="246"/>
        <v>0</v>
      </c>
      <c r="P597" s="28" t="s">
        <v>18</v>
      </c>
      <c r="Q597" s="52" t="str">
        <f>$Q$26</f>
        <v>Kamar</v>
      </c>
      <c r="R597" s="51">
        <v>1</v>
      </c>
      <c r="S597" s="51">
        <v>1</v>
      </c>
      <c r="T597" s="51">
        <v>1</v>
      </c>
      <c r="U597" s="51">
        <v>1</v>
      </c>
      <c r="V597" s="51">
        <v>1</v>
      </c>
      <c r="W597" s="51">
        <v>1</v>
      </c>
      <c r="X597" s="51">
        <v>1</v>
      </c>
      <c r="Y597" s="51">
        <v>1</v>
      </c>
      <c r="Z597" s="51">
        <v>1</v>
      </c>
      <c r="AA597" s="51">
        <v>1</v>
      </c>
      <c r="AB597" s="51">
        <v>1</v>
      </c>
      <c r="AC597" s="51">
        <v>1</v>
      </c>
    </row>
    <row r="598" spans="2:29" x14ac:dyDescent="0.55000000000000004">
      <c r="B598" s="1"/>
      <c r="C598" s="16"/>
    </row>
    <row r="599" spans="2:29" x14ac:dyDescent="0.55000000000000004">
      <c r="B599" s="1"/>
      <c r="C599" s="16"/>
    </row>
    <row r="600" spans="2:29" x14ac:dyDescent="0.55000000000000004">
      <c r="B600" s="1"/>
      <c r="C600" s="16" t="s">
        <v>86</v>
      </c>
      <c r="D600" s="1" t="s">
        <v>70</v>
      </c>
      <c r="E600" s="1" t="s">
        <v>71</v>
      </c>
      <c r="F600" s="1" t="s">
        <v>72</v>
      </c>
      <c r="G600" s="1" t="s">
        <v>73</v>
      </c>
      <c r="H600" s="1" t="s">
        <v>74</v>
      </c>
      <c r="I600" s="1" t="s">
        <v>75</v>
      </c>
      <c r="J600" s="1" t="s">
        <v>76</v>
      </c>
      <c r="K600" s="1" t="s">
        <v>77</v>
      </c>
      <c r="L600" s="1" t="s">
        <v>78</v>
      </c>
      <c r="M600" s="1" t="s">
        <v>79</v>
      </c>
      <c r="N600" s="1" t="s">
        <v>80</v>
      </c>
      <c r="O600" s="1" t="s">
        <v>81</v>
      </c>
      <c r="Q600" s="16" t="s">
        <v>86</v>
      </c>
      <c r="R600" s="1" t="s">
        <v>70</v>
      </c>
      <c r="S600" s="1" t="s">
        <v>71</v>
      </c>
      <c r="T600" s="1" t="s">
        <v>72</v>
      </c>
      <c r="U600" s="1" t="s">
        <v>73</v>
      </c>
      <c r="V600" s="1" t="s">
        <v>74</v>
      </c>
      <c r="W600" s="1" t="s">
        <v>75</v>
      </c>
      <c r="X600" s="1" t="s">
        <v>76</v>
      </c>
      <c r="Y600" s="1" t="s">
        <v>77</v>
      </c>
      <c r="Z600" s="1" t="s">
        <v>78</v>
      </c>
      <c r="AA600" s="1" t="s">
        <v>79</v>
      </c>
      <c r="AB600" s="1" t="s">
        <v>80</v>
      </c>
      <c r="AC600" s="1" t="s">
        <v>81</v>
      </c>
    </row>
    <row r="601" spans="2:29" ht="15.6" x14ac:dyDescent="0.55000000000000004">
      <c r="B601" s="1"/>
      <c r="C601" s="46" t="str">
        <f>$Q$3</f>
        <v>Jennifer</v>
      </c>
      <c r="D601" s="51">
        <f t="shared" ref="D601:O601" si="247">C138+D138</f>
        <v>0</v>
      </c>
      <c r="E601" s="51">
        <f t="shared" si="247"/>
        <v>0</v>
      </c>
      <c r="F601" s="51">
        <f t="shared" si="247"/>
        <v>0</v>
      </c>
      <c r="G601" s="51">
        <f t="shared" si="247"/>
        <v>1</v>
      </c>
      <c r="H601" s="51">
        <f t="shared" si="247"/>
        <v>1</v>
      </c>
      <c r="I601" s="51">
        <f t="shared" si="247"/>
        <v>0</v>
      </c>
      <c r="J601" s="51">
        <f t="shared" si="247"/>
        <v>0</v>
      </c>
      <c r="K601" s="51">
        <f t="shared" si="247"/>
        <v>1</v>
      </c>
      <c r="L601" s="51">
        <f t="shared" si="247"/>
        <v>1</v>
      </c>
      <c r="M601" s="51">
        <f t="shared" si="247"/>
        <v>0</v>
      </c>
      <c r="N601" s="51">
        <f t="shared" si="247"/>
        <v>0</v>
      </c>
      <c r="O601" s="51">
        <f t="shared" si="247"/>
        <v>0</v>
      </c>
      <c r="P601" s="28" t="s">
        <v>18</v>
      </c>
      <c r="Q601" s="46" t="str">
        <f>$Q$3</f>
        <v>Jennifer</v>
      </c>
      <c r="R601" s="51">
        <v>1</v>
      </c>
      <c r="S601" s="51">
        <v>1</v>
      </c>
      <c r="T601" s="51">
        <v>1</v>
      </c>
      <c r="U601" s="51">
        <v>1</v>
      </c>
      <c r="V601" s="51">
        <v>1</v>
      </c>
      <c r="W601" s="51">
        <v>1</v>
      </c>
      <c r="X601" s="51">
        <v>1</v>
      </c>
      <c r="Y601" s="51">
        <v>1</v>
      </c>
      <c r="Z601" s="51">
        <v>1</v>
      </c>
      <c r="AA601" s="51">
        <v>1</v>
      </c>
      <c r="AB601" s="51">
        <v>1</v>
      </c>
      <c r="AC601" s="51">
        <v>1</v>
      </c>
    </row>
    <row r="602" spans="2:29" ht="15.6" x14ac:dyDescent="0.55000000000000004">
      <c r="B602" s="1"/>
      <c r="C602" s="52" t="str">
        <f>$Q$4</f>
        <v>Galileo</v>
      </c>
      <c r="D602" s="51">
        <f t="shared" ref="D602:O602" si="248">C139+D139</f>
        <v>0</v>
      </c>
      <c r="E602" s="51">
        <f t="shared" si="248"/>
        <v>0</v>
      </c>
      <c r="F602" s="51">
        <f t="shared" si="248"/>
        <v>0</v>
      </c>
      <c r="G602" s="51">
        <f t="shared" si="248"/>
        <v>0</v>
      </c>
      <c r="H602" s="51">
        <f t="shared" si="248"/>
        <v>0</v>
      </c>
      <c r="I602" s="51">
        <f t="shared" si="248"/>
        <v>0</v>
      </c>
      <c r="J602" s="51">
        <f t="shared" si="248"/>
        <v>1</v>
      </c>
      <c r="K602" s="51">
        <f t="shared" si="248"/>
        <v>1</v>
      </c>
      <c r="L602" s="51">
        <f t="shared" si="248"/>
        <v>0</v>
      </c>
      <c r="M602" s="51">
        <f t="shared" si="248"/>
        <v>0</v>
      </c>
      <c r="N602" s="51">
        <f t="shared" si="248"/>
        <v>0</v>
      </c>
      <c r="O602" s="51">
        <f t="shared" si="248"/>
        <v>0</v>
      </c>
      <c r="P602" s="28" t="s">
        <v>18</v>
      </c>
      <c r="Q602" s="52" t="str">
        <f>$Q$4</f>
        <v>Galileo</v>
      </c>
      <c r="R602" s="51">
        <v>1</v>
      </c>
      <c r="S602" s="51">
        <v>1</v>
      </c>
      <c r="T602" s="51">
        <v>1</v>
      </c>
      <c r="U602" s="51">
        <v>1</v>
      </c>
      <c r="V602" s="51">
        <v>1</v>
      </c>
      <c r="W602" s="51">
        <v>1</v>
      </c>
      <c r="X602" s="51">
        <v>1</v>
      </c>
      <c r="Y602" s="51">
        <v>1</v>
      </c>
      <c r="Z602" s="51">
        <v>1</v>
      </c>
      <c r="AA602" s="51">
        <v>1</v>
      </c>
      <c r="AB602" s="51">
        <v>1</v>
      </c>
      <c r="AC602" s="51">
        <v>1</v>
      </c>
    </row>
    <row r="603" spans="2:29" ht="15.6" x14ac:dyDescent="0.55000000000000004">
      <c r="B603" s="1"/>
      <c r="C603" s="52" t="str">
        <f>$Q$5</f>
        <v>Óscar</v>
      </c>
      <c r="D603" s="51">
        <f t="shared" ref="D603:O603" si="249">C140+D140</f>
        <v>0</v>
      </c>
      <c r="E603" s="51">
        <f t="shared" si="249"/>
        <v>0</v>
      </c>
      <c r="F603" s="51">
        <f t="shared" si="249"/>
        <v>0</v>
      </c>
      <c r="G603" s="51">
        <f t="shared" si="249"/>
        <v>0</v>
      </c>
      <c r="H603" s="51">
        <f t="shared" si="249"/>
        <v>1</v>
      </c>
      <c r="I603" s="51">
        <f t="shared" si="249"/>
        <v>1</v>
      </c>
      <c r="J603" s="51">
        <f t="shared" si="249"/>
        <v>1</v>
      </c>
      <c r="K603" s="51">
        <f t="shared" si="249"/>
        <v>1</v>
      </c>
      <c r="L603" s="51">
        <f t="shared" si="249"/>
        <v>0</v>
      </c>
      <c r="M603" s="51">
        <f t="shared" si="249"/>
        <v>0</v>
      </c>
      <c r="N603" s="51">
        <f t="shared" si="249"/>
        <v>0</v>
      </c>
      <c r="O603" s="51">
        <f t="shared" si="249"/>
        <v>0</v>
      </c>
      <c r="P603" s="28" t="s">
        <v>18</v>
      </c>
      <c r="Q603" s="52" t="str">
        <f>$Q$5</f>
        <v>Óscar</v>
      </c>
      <c r="R603" s="51">
        <v>1</v>
      </c>
      <c r="S603" s="51">
        <v>1</v>
      </c>
      <c r="T603" s="51">
        <v>1</v>
      </c>
      <c r="U603" s="51">
        <v>1</v>
      </c>
      <c r="V603" s="51">
        <v>1</v>
      </c>
      <c r="W603" s="51">
        <v>1</v>
      </c>
      <c r="X603" s="51">
        <v>1</v>
      </c>
      <c r="Y603" s="51">
        <v>1</v>
      </c>
      <c r="Z603" s="51">
        <v>1</v>
      </c>
      <c r="AA603" s="51">
        <v>1</v>
      </c>
      <c r="AB603" s="51">
        <v>1</v>
      </c>
      <c r="AC603" s="51">
        <v>1</v>
      </c>
    </row>
    <row r="604" spans="2:29" ht="15.6" x14ac:dyDescent="0.55000000000000004">
      <c r="B604" s="1"/>
      <c r="C604" s="52" t="str">
        <f>$Q$6</f>
        <v>Sebastián</v>
      </c>
      <c r="D604" s="51">
        <f t="shared" ref="D604:O604" si="250">C141+D141</f>
        <v>0</v>
      </c>
      <c r="E604" s="51">
        <f t="shared" si="250"/>
        <v>0</v>
      </c>
      <c r="F604" s="51">
        <f t="shared" si="250"/>
        <v>0</v>
      </c>
      <c r="G604" s="51">
        <f t="shared" si="250"/>
        <v>0</v>
      </c>
      <c r="H604" s="51">
        <f t="shared" si="250"/>
        <v>0</v>
      </c>
      <c r="I604" s="51">
        <f t="shared" si="250"/>
        <v>1</v>
      </c>
      <c r="J604" s="51">
        <f t="shared" si="250"/>
        <v>2</v>
      </c>
      <c r="K604" s="51">
        <f t="shared" si="250"/>
        <v>1</v>
      </c>
      <c r="L604" s="51">
        <f t="shared" si="250"/>
        <v>0</v>
      </c>
      <c r="M604" s="51">
        <f t="shared" si="250"/>
        <v>0</v>
      </c>
      <c r="N604" s="51">
        <f t="shared" si="250"/>
        <v>0</v>
      </c>
      <c r="O604" s="51">
        <f t="shared" si="250"/>
        <v>0</v>
      </c>
      <c r="P604" s="28" t="s">
        <v>18</v>
      </c>
      <c r="Q604" s="52" t="str">
        <f>$Q$6</f>
        <v>Sebastián</v>
      </c>
      <c r="R604" s="51">
        <v>1</v>
      </c>
      <c r="S604" s="51">
        <v>1</v>
      </c>
      <c r="T604" s="51">
        <v>1</v>
      </c>
      <c r="U604" s="51">
        <v>1</v>
      </c>
      <c r="V604" s="51">
        <v>1</v>
      </c>
      <c r="W604" s="51">
        <v>1</v>
      </c>
      <c r="X604" s="51">
        <v>1</v>
      </c>
      <c r="Y604" s="51">
        <v>1</v>
      </c>
      <c r="Z604" s="51">
        <v>1</v>
      </c>
      <c r="AA604" s="51">
        <v>1</v>
      </c>
      <c r="AB604" s="51">
        <v>1</v>
      </c>
      <c r="AC604" s="51">
        <v>1</v>
      </c>
    </row>
    <row r="605" spans="2:29" ht="15.6" x14ac:dyDescent="0.55000000000000004">
      <c r="B605" s="1"/>
      <c r="C605" s="52" t="str">
        <f>$Q$7</f>
        <v>Marcos</v>
      </c>
      <c r="D605" s="51">
        <f t="shared" ref="D605:O605" si="251">C142+D142</f>
        <v>0</v>
      </c>
      <c r="E605" s="51">
        <f t="shared" si="251"/>
        <v>1</v>
      </c>
      <c r="F605" s="51">
        <f t="shared" si="251"/>
        <v>1</v>
      </c>
      <c r="G605" s="51">
        <f t="shared" si="251"/>
        <v>0</v>
      </c>
      <c r="H605" s="51">
        <f t="shared" si="251"/>
        <v>0</v>
      </c>
      <c r="I605" s="51">
        <f t="shared" si="251"/>
        <v>0</v>
      </c>
      <c r="J605" s="51">
        <f t="shared" si="251"/>
        <v>0</v>
      </c>
      <c r="K605" s="51">
        <f t="shared" si="251"/>
        <v>0</v>
      </c>
      <c r="L605" s="51">
        <f t="shared" si="251"/>
        <v>0</v>
      </c>
      <c r="M605" s="51">
        <f t="shared" si="251"/>
        <v>0</v>
      </c>
      <c r="N605" s="51">
        <f t="shared" si="251"/>
        <v>0</v>
      </c>
      <c r="O605" s="51">
        <f t="shared" si="251"/>
        <v>0</v>
      </c>
      <c r="P605" s="28" t="s">
        <v>18</v>
      </c>
      <c r="Q605" s="52" t="str">
        <f>$Q$7</f>
        <v>Marcos</v>
      </c>
      <c r="R605" s="51">
        <v>1</v>
      </c>
      <c r="S605" s="51">
        <v>1</v>
      </c>
      <c r="T605" s="51">
        <v>1</v>
      </c>
      <c r="U605" s="51">
        <v>1</v>
      </c>
      <c r="V605" s="51">
        <v>1</v>
      </c>
      <c r="W605" s="51">
        <v>1</v>
      </c>
      <c r="X605" s="51">
        <v>1</v>
      </c>
      <c r="Y605" s="51">
        <v>1</v>
      </c>
      <c r="Z605" s="51">
        <v>1</v>
      </c>
      <c r="AA605" s="51">
        <v>1</v>
      </c>
      <c r="AB605" s="51">
        <v>1</v>
      </c>
      <c r="AC605" s="51">
        <v>1</v>
      </c>
    </row>
    <row r="606" spans="2:29" ht="15.6" x14ac:dyDescent="0.55000000000000004">
      <c r="B606" s="1"/>
      <c r="C606" s="52" t="str">
        <f>$Q$8</f>
        <v>Weixin</v>
      </c>
      <c r="D606" s="51">
        <f t="shared" ref="D606:O606" si="252">C143+D143</f>
        <v>1</v>
      </c>
      <c r="E606" s="51">
        <f t="shared" si="252"/>
        <v>1</v>
      </c>
      <c r="F606" s="51">
        <f t="shared" si="252"/>
        <v>0</v>
      </c>
      <c r="G606" s="51">
        <f t="shared" si="252"/>
        <v>0</v>
      </c>
      <c r="H606" s="51">
        <f t="shared" si="252"/>
        <v>0</v>
      </c>
      <c r="I606" s="51">
        <f t="shared" si="252"/>
        <v>0</v>
      </c>
      <c r="J606" s="51">
        <f t="shared" si="252"/>
        <v>0</v>
      </c>
      <c r="K606" s="51">
        <f t="shared" si="252"/>
        <v>0</v>
      </c>
      <c r="L606" s="51">
        <f t="shared" si="252"/>
        <v>0</v>
      </c>
      <c r="M606" s="51">
        <f t="shared" si="252"/>
        <v>0</v>
      </c>
      <c r="N606" s="51">
        <f t="shared" si="252"/>
        <v>0</v>
      </c>
      <c r="O606" s="51">
        <f t="shared" si="252"/>
        <v>0</v>
      </c>
      <c r="P606" s="28" t="s">
        <v>18</v>
      </c>
      <c r="Q606" s="52" t="str">
        <f>$Q$8</f>
        <v>Weixin</v>
      </c>
      <c r="R606" s="51">
        <v>1</v>
      </c>
      <c r="S606" s="51">
        <v>1</v>
      </c>
      <c r="T606" s="51">
        <v>1</v>
      </c>
      <c r="U606" s="51">
        <v>1</v>
      </c>
      <c r="V606" s="51">
        <v>1</v>
      </c>
      <c r="W606" s="51">
        <v>1</v>
      </c>
      <c r="X606" s="51">
        <v>1</v>
      </c>
      <c r="Y606" s="51">
        <v>1</v>
      </c>
      <c r="Z606" s="51">
        <v>1</v>
      </c>
      <c r="AA606" s="51">
        <v>1</v>
      </c>
      <c r="AB606" s="51">
        <v>1</v>
      </c>
      <c r="AC606" s="51">
        <v>1</v>
      </c>
    </row>
    <row r="607" spans="2:29" ht="15.6" x14ac:dyDescent="0.55000000000000004">
      <c r="B607" s="1"/>
      <c r="C607" s="52" t="str">
        <f>$Q$9</f>
        <v>Benjamin</v>
      </c>
      <c r="D607" s="51">
        <f t="shared" ref="D607:O607" si="253">C144+D144</f>
        <v>0</v>
      </c>
      <c r="E607" s="51">
        <f t="shared" si="253"/>
        <v>0</v>
      </c>
      <c r="F607" s="51">
        <f t="shared" si="253"/>
        <v>0</v>
      </c>
      <c r="G607" s="51">
        <f t="shared" si="253"/>
        <v>0</v>
      </c>
      <c r="H607" s="51">
        <f t="shared" si="253"/>
        <v>0</v>
      </c>
      <c r="I607" s="51">
        <f t="shared" si="253"/>
        <v>0</v>
      </c>
      <c r="J607" s="51">
        <f t="shared" si="253"/>
        <v>0</v>
      </c>
      <c r="K607" s="51">
        <f t="shared" si="253"/>
        <v>0</v>
      </c>
      <c r="L607" s="51">
        <f t="shared" si="253"/>
        <v>0</v>
      </c>
      <c r="M607" s="51">
        <f t="shared" si="253"/>
        <v>0</v>
      </c>
      <c r="N607" s="51">
        <f t="shared" si="253"/>
        <v>0</v>
      </c>
      <c r="O607" s="51">
        <f t="shared" si="253"/>
        <v>0</v>
      </c>
      <c r="P607" s="28" t="s">
        <v>18</v>
      </c>
      <c r="Q607" s="52" t="str">
        <f>$Q$9</f>
        <v>Benjamin</v>
      </c>
      <c r="R607" s="51">
        <v>1</v>
      </c>
      <c r="S607" s="51">
        <v>1</v>
      </c>
      <c r="T607" s="51">
        <v>1</v>
      </c>
      <c r="U607" s="51">
        <v>1</v>
      </c>
      <c r="V607" s="51">
        <v>1</v>
      </c>
      <c r="W607" s="51">
        <v>1</v>
      </c>
      <c r="X607" s="51">
        <v>1</v>
      </c>
      <c r="Y607" s="51">
        <v>1</v>
      </c>
      <c r="Z607" s="51">
        <v>1</v>
      </c>
      <c r="AA607" s="51">
        <v>1</v>
      </c>
      <c r="AB607" s="51">
        <v>1</v>
      </c>
      <c r="AC607" s="51">
        <v>1</v>
      </c>
    </row>
    <row r="608" spans="2:29" ht="15.6" x14ac:dyDescent="0.55000000000000004">
      <c r="B608" s="1"/>
      <c r="C608" s="52" t="str">
        <f>$Q$10</f>
        <v>Joelle</v>
      </c>
      <c r="D608" s="51">
        <f t="shared" ref="D608:O608" si="254">C145+D145</f>
        <v>0</v>
      </c>
      <c r="E608" s="51">
        <f t="shared" si="254"/>
        <v>0</v>
      </c>
      <c r="F608" s="51">
        <f t="shared" si="254"/>
        <v>1</v>
      </c>
      <c r="G608" s="51">
        <f t="shared" si="254"/>
        <v>2</v>
      </c>
      <c r="H608" s="51">
        <f t="shared" si="254"/>
        <v>2</v>
      </c>
      <c r="I608" s="51">
        <f t="shared" si="254"/>
        <v>1</v>
      </c>
      <c r="J608" s="51">
        <f t="shared" si="254"/>
        <v>0</v>
      </c>
      <c r="K608" s="51">
        <f t="shared" si="254"/>
        <v>0</v>
      </c>
      <c r="L608" s="51">
        <f t="shared" si="254"/>
        <v>0</v>
      </c>
      <c r="M608" s="51">
        <f t="shared" si="254"/>
        <v>0</v>
      </c>
      <c r="N608" s="51">
        <f t="shared" si="254"/>
        <v>0</v>
      </c>
      <c r="O608" s="51">
        <f t="shared" si="254"/>
        <v>0</v>
      </c>
      <c r="P608" s="28" t="s">
        <v>18</v>
      </c>
      <c r="Q608" s="52" t="str">
        <f>$Q$10</f>
        <v>Joelle</v>
      </c>
      <c r="R608" s="51">
        <v>1</v>
      </c>
      <c r="S608" s="51">
        <v>1</v>
      </c>
      <c r="T608" s="51">
        <v>1</v>
      </c>
      <c r="U608" s="51">
        <v>1</v>
      </c>
      <c r="V608" s="51">
        <v>1</v>
      </c>
      <c r="W608" s="51">
        <v>1</v>
      </c>
      <c r="X608" s="51">
        <v>1</v>
      </c>
      <c r="Y608" s="51">
        <v>1</v>
      </c>
      <c r="Z608" s="51">
        <v>1</v>
      </c>
      <c r="AA608" s="51">
        <v>1</v>
      </c>
      <c r="AB608" s="51">
        <v>1</v>
      </c>
      <c r="AC608" s="51">
        <v>1</v>
      </c>
    </row>
    <row r="609" spans="2:29" ht="15.6" x14ac:dyDescent="0.55000000000000004">
      <c r="B609" s="1"/>
      <c r="C609" s="52" t="str">
        <f>$Q$11</f>
        <v>Alexia</v>
      </c>
      <c r="D609" s="51">
        <f t="shared" ref="D609:O609" si="255">C146+D146</f>
        <v>0</v>
      </c>
      <c r="E609" s="51">
        <f t="shared" si="255"/>
        <v>0</v>
      </c>
      <c r="F609" s="51">
        <f t="shared" si="255"/>
        <v>0</v>
      </c>
      <c r="G609" s="51">
        <f t="shared" si="255"/>
        <v>0</v>
      </c>
      <c r="H609" s="51">
        <f t="shared" si="255"/>
        <v>0</v>
      </c>
      <c r="I609" s="51">
        <f t="shared" si="255"/>
        <v>0</v>
      </c>
      <c r="J609" s="51">
        <f t="shared" si="255"/>
        <v>0</v>
      </c>
      <c r="K609" s="51">
        <f t="shared" si="255"/>
        <v>0</v>
      </c>
      <c r="L609" s="51">
        <f t="shared" si="255"/>
        <v>0</v>
      </c>
      <c r="M609" s="51">
        <f t="shared" si="255"/>
        <v>1</v>
      </c>
      <c r="N609" s="51">
        <f t="shared" si="255"/>
        <v>1</v>
      </c>
      <c r="O609" s="51">
        <f t="shared" si="255"/>
        <v>0</v>
      </c>
      <c r="P609" s="28" t="s">
        <v>18</v>
      </c>
      <c r="Q609" s="52" t="str">
        <f>$Q$11</f>
        <v>Alexia</v>
      </c>
      <c r="R609" s="51">
        <v>1</v>
      </c>
      <c r="S609" s="51">
        <v>1</v>
      </c>
      <c r="T609" s="51">
        <v>1</v>
      </c>
      <c r="U609" s="51">
        <v>1</v>
      </c>
      <c r="V609" s="51">
        <v>1</v>
      </c>
      <c r="W609" s="51">
        <v>1</v>
      </c>
      <c r="X609" s="51">
        <v>1</v>
      </c>
      <c r="Y609" s="51">
        <v>1</v>
      </c>
      <c r="Z609" s="51">
        <v>1</v>
      </c>
      <c r="AA609" s="51">
        <v>1</v>
      </c>
      <c r="AB609" s="51">
        <v>1</v>
      </c>
      <c r="AC609" s="51">
        <v>1</v>
      </c>
    </row>
    <row r="610" spans="2:29" ht="15.6" x14ac:dyDescent="0.55000000000000004">
      <c r="B610" s="1"/>
      <c r="C610" s="52" t="str">
        <f>$Q$12</f>
        <v>Joao</v>
      </c>
      <c r="D610" s="51">
        <f t="shared" ref="D610:O610" si="256">C147+D147</f>
        <v>0</v>
      </c>
      <c r="E610" s="51">
        <f t="shared" si="256"/>
        <v>0</v>
      </c>
      <c r="F610" s="51">
        <f t="shared" si="256"/>
        <v>0</v>
      </c>
      <c r="G610" s="51">
        <f t="shared" si="256"/>
        <v>1</v>
      </c>
      <c r="H610" s="51">
        <f t="shared" si="256"/>
        <v>1</v>
      </c>
      <c r="I610" s="51">
        <f t="shared" si="256"/>
        <v>0</v>
      </c>
      <c r="J610" s="51">
        <f t="shared" si="256"/>
        <v>0</v>
      </c>
      <c r="K610" s="51">
        <f t="shared" si="256"/>
        <v>0</v>
      </c>
      <c r="L610" s="51">
        <f t="shared" si="256"/>
        <v>0</v>
      </c>
      <c r="M610" s="51">
        <f t="shared" si="256"/>
        <v>0</v>
      </c>
      <c r="N610" s="51">
        <f t="shared" si="256"/>
        <v>0</v>
      </c>
      <c r="O610" s="51">
        <f t="shared" si="256"/>
        <v>0</v>
      </c>
      <c r="P610" s="28" t="s">
        <v>18</v>
      </c>
      <c r="Q610" s="52" t="str">
        <f>$Q$12</f>
        <v>Joao</v>
      </c>
      <c r="R610" s="51">
        <v>1</v>
      </c>
      <c r="S610" s="51">
        <v>1</v>
      </c>
      <c r="T610" s="51">
        <v>1</v>
      </c>
      <c r="U610" s="51">
        <v>1</v>
      </c>
      <c r="V610" s="51">
        <v>1</v>
      </c>
      <c r="W610" s="51">
        <v>1</v>
      </c>
      <c r="X610" s="51">
        <v>1</v>
      </c>
      <c r="Y610" s="51">
        <v>1</v>
      </c>
      <c r="Z610" s="51">
        <v>1</v>
      </c>
      <c r="AA610" s="51">
        <v>1</v>
      </c>
      <c r="AB610" s="51">
        <v>1</v>
      </c>
      <c r="AC610" s="51">
        <v>1</v>
      </c>
    </row>
    <row r="611" spans="2:29" ht="15.6" x14ac:dyDescent="0.55000000000000004">
      <c r="B611" s="1"/>
      <c r="C611" s="57" t="str">
        <f>$Q$13</f>
        <v>Maxime</v>
      </c>
      <c r="D611" s="51">
        <f t="shared" ref="D611:O611" si="257">C148+D148</f>
        <v>1</v>
      </c>
      <c r="E611" s="51">
        <f t="shared" si="257"/>
        <v>1</v>
      </c>
      <c r="F611" s="51">
        <f t="shared" si="257"/>
        <v>0</v>
      </c>
      <c r="G611" s="51">
        <f t="shared" si="257"/>
        <v>0</v>
      </c>
      <c r="H611" s="51">
        <f t="shared" si="257"/>
        <v>0</v>
      </c>
      <c r="I611" s="51">
        <f t="shared" si="257"/>
        <v>0</v>
      </c>
      <c r="J611" s="51">
        <f t="shared" si="257"/>
        <v>0</v>
      </c>
      <c r="K611" s="51">
        <f t="shared" si="257"/>
        <v>0</v>
      </c>
      <c r="L611" s="51">
        <f t="shared" si="257"/>
        <v>0</v>
      </c>
      <c r="M611" s="51">
        <f t="shared" si="257"/>
        <v>0</v>
      </c>
      <c r="N611" s="51">
        <f t="shared" si="257"/>
        <v>0</v>
      </c>
      <c r="O611" s="51">
        <f t="shared" si="257"/>
        <v>0</v>
      </c>
      <c r="P611" s="28" t="s">
        <v>18</v>
      </c>
      <c r="Q611" s="57" t="str">
        <f>$Q$13</f>
        <v>Maxime</v>
      </c>
      <c r="R611" s="51">
        <v>1</v>
      </c>
      <c r="S611" s="51">
        <v>1</v>
      </c>
      <c r="T611" s="51">
        <v>1</v>
      </c>
      <c r="U611" s="51">
        <v>1</v>
      </c>
      <c r="V611" s="51">
        <v>1</v>
      </c>
      <c r="W611" s="51">
        <v>1</v>
      </c>
      <c r="X611" s="51">
        <v>1</v>
      </c>
      <c r="Y611" s="51">
        <v>1</v>
      </c>
      <c r="Z611" s="51">
        <v>1</v>
      </c>
      <c r="AA611" s="51">
        <v>1</v>
      </c>
      <c r="AB611" s="51">
        <v>1</v>
      </c>
      <c r="AC611" s="51">
        <v>1</v>
      </c>
    </row>
    <row r="612" spans="2:29" ht="15.6" x14ac:dyDescent="0.55000000000000004">
      <c r="B612" s="1"/>
      <c r="C612" s="46" t="str">
        <f>$Q$14</f>
        <v>Alex</v>
      </c>
      <c r="D612" s="51">
        <f t="shared" ref="D612:O612" si="258">C149+D149</f>
        <v>0</v>
      </c>
      <c r="E612" s="51">
        <f t="shared" si="258"/>
        <v>0</v>
      </c>
      <c r="F612" s="51">
        <f t="shared" si="258"/>
        <v>0</v>
      </c>
      <c r="G612" s="51">
        <f t="shared" si="258"/>
        <v>0</v>
      </c>
      <c r="H612" s="51">
        <f t="shared" si="258"/>
        <v>0</v>
      </c>
      <c r="I612" s="51">
        <f t="shared" si="258"/>
        <v>0</v>
      </c>
      <c r="J612" s="51">
        <f t="shared" si="258"/>
        <v>0</v>
      </c>
      <c r="K612" s="51">
        <f t="shared" si="258"/>
        <v>0</v>
      </c>
      <c r="L612" s="51">
        <f t="shared" si="258"/>
        <v>1</v>
      </c>
      <c r="M612" s="51">
        <f t="shared" si="258"/>
        <v>2</v>
      </c>
      <c r="N612" s="51">
        <f t="shared" si="258"/>
        <v>1</v>
      </c>
      <c r="O612" s="51">
        <f t="shared" si="258"/>
        <v>0</v>
      </c>
      <c r="P612" s="28" t="s">
        <v>18</v>
      </c>
      <c r="Q612" s="46" t="str">
        <f>$Q$14</f>
        <v>Alex</v>
      </c>
      <c r="R612" s="51">
        <v>1</v>
      </c>
      <c r="S612" s="51">
        <v>1</v>
      </c>
      <c r="T612" s="51">
        <v>1</v>
      </c>
      <c r="U612" s="51">
        <v>1</v>
      </c>
      <c r="V612" s="51">
        <v>1</v>
      </c>
      <c r="W612" s="51">
        <v>1</v>
      </c>
      <c r="X612" s="51">
        <v>1</v>
      </c>
      <c r="Y612" s="51">
        <v>1</v>
      </c>
      <c r="Z612" s="51">
        <v>1</v>
      </c>
      <c r="AA612" s="51">
        <v>1</v>
      </c>
      <c r="AB612" s="51">
        <v>1</v>
      </c>
      <c r="AC612" s="51">
        <v>1</v>
      </c>
    </row>
    <row r="613" spans="2:29" ht="15.6" x14ac:dyDescent="0.55000000000000004">
      <c r="B613" s="1"/>
      <c r="C613" s="52" t="str">
        <f>$Q$15</f>
        <v>Alyssa</v>
      </c>
      <c r="D613" s="51">
        <f t="shared" ref="D613:O613" si="259">C150+D150</f>
        <v>0</v>
      </c>
      <c r="E613" s="51">
        <f t="shared" si="259"/>
        <v>0</v>
      </c>
      <c r="F613" s="51">
        <f t="shared" si="259"/>
        <v>0</v>
      </c>
      <c r="G613" s="51">
        <f t="shared" si="259"/>
        <v>0</v>
      </c>
      <c r="H613" s="51">
        <f t="shared" si="259"/>
        <v>0</v>
      </c>
      <c r="I613" s="51">
        <f t="shared" si="259"/>
        <v>0</v>
      </c>
      <c r="J613" s="51">
        <f t="shared" si="259"/>
        <v>0</v>
      </c>
      <c r="K613" s="51">
        <f t="shared" si="259"/>
        <v>0</v>
      </c>
      <c r="L613" s="51">
        <f t="shared" si="259"/>
        <v>0</v>
      </c>
      <c r="M613" s="51">
        <f t="shared" si="259"/>
        <v>0</v>
      </c>
      <c r="N613" s="51">
        <f t="shared" si="259"/>
        <v>0</v>
      </c>
      <c r="O613" s="51">
        <f t="shared" si="259"/>
        <v>0</v>
      </c>
      <c r="P613" s="28" t="s">
        <v>18</v>
      </c>
      <c r="Q613" s="52" t="str">
        <f>$Q$15</f>
        <v>Alyssa</v>
      </c>
      <c r="R613" s="51">
        <v>1</v>
      </c>
      <c r="S613" s="51">
        <v>1</v>
      </c>
      <c r="T613" s="51">
        <v>1</v>
      </c>
      <c r="U613" s="51">
        <v>1</v>
      </c>
      <c r="V613" s="51">
        <v>1</v>
      </c>
      <c r="W613" s="51">
        <v>1</v>
      </c>
      <c r="X613" s="51">
        <v>1</v>
      </c>
      <c r="Y613" s="51">
        <v>1</v>
      </c>
      <c r="Z613" s="51">
        <v>1</v>
      </c>
      <c r="AA613" s="51">
        <v>1</v>
      </c>
      <c r="AB613" s="51">
        <v>1</v>
      </c>
      <c r="AC613" s="51">
        <v>1</v>
      </c>
    </row>
    <row r="614" spans="2:29" ht="15.6" x14ac:dyDescent="0.55000000000000004">
      <c r="B614" s="1"/>
      <c r="C614" s="52" t="str">
        <f>$Q$16</f>
        <v>Amanda</v>
      </c>
      <c r="D614" s="51">
        <f t="shared" ref="D614:O614" si="260">C151+D151</f>
        <v>1</v>
      </c>
      <c r="E614" s="51">
        <f t="shared" si="260"/>
        <v>1</v>
      </c>
      <c r="F614" s="51">
        <f t="shared" si="260"/>
        <v>0</v>
      </c>
      <c r="G614" s="51">
        <f t="shared" si="260"/>
        <v>0</v>
      </c>
      <c r="H614" s="51">
        <f t="shared" si="260"/>
        <v>0</v>
      </c>
      <c r="I614" s="51">
        <f t="shared" si="260"/>
        <v>0</v>
      </c>
      <c r="J614" s="51">
        <f t="shared" si="260"/>
        <v>0</v>
      </c>
      <c r="K614" s="51">
        <f t="shared" si="260"/>
        <v>1</v>
      </c>
      <c r="L614" s="51">
        <f t="shared" si="260"/>
        <v>2</v>
      </c>
      <c r="M614" s="51">
        <f t="shared" si="260"/>
        <v>1</v>
      </c>
      <c r="N614" s="51">
        <f t="shared" si="260"/>
        <v>0</v>
      </c>
      <c r="O614" s="51">
        <f t="shared" si="260"/>
        <v>0</v>
      </c>
      <c r="P614" s="28" t="s">
        <v>18</v>
      </c>
      <c r="Q614" s="52" t="str">
        <f>$Q$16</f>
        <v>Amanda</v>
      </c>
      <c r="R614" s="51">
        <v>1</v>
      </c>
      <c r="S614" s="51">
        <v>1</v>
      </c>
      <c r="T614" s="51">
        <v>1</v>
      </c>
      <c r="U614" s="51">
        <v>1</v>
      </c>
      <c r="V614" s="51">
        <v>1</v>
      </c>
      <c r="W614" s="51">
        <v>1</v>
      </c>
      <c r="X614" s="51">
        <v>1</v>
      </c>
      <c r="Y614" s="51">
        <v>1</v>
      </c>
      <c r="Z614" s="51">
        <v>1</v>
      </c>
      <c r="AA614" s="51">
        <v>1</v>
      </c>
      <c r="AB614" s="51">
        <v>1</v>
      </c>
      <c r="AC614" s="51">
        <v>1</v>
      </c>
    </row>
    <row r="615" spans="2:29" ht="15.6" x14ac:dyDescent="0.55000000000000004">
      <c r="B615" s="1"/>
      <c r="C615" s="52" t="str">
        <f>$Q$17</f>
        <v>Antoine</v>
      </c>
      <c r="D615" s="51">
        <f t="shared" ref="D615:O615" si="261">C152+D152</f>
        <v>0</v>
      </c>
      <c r="E615" s="51">
        <f t="shared" si="261"/>
        <v>0</v>
      </c>
      <c r="F615" s="51">
        <f t="shared" si="261"/>
        <v>0</v>
      </c>
      <c r="G615" s="51">
        <f t="shared" si="261"/>
        <v>0</v>
      </c>
      <c r="H615" s="51">
        <f t="shared" si="261"/>
        <v>0</v>
      </c>
      <c r="I615" s="51">
        <f t="shared" si="261"/>
        <v>0</v>
      </c>
      <c r="J615" s="51">
        <f t="shared" si="261"/>
        <v>0</v>
      </c>
      <c r="K615" s="51">
        <f t="shared" si="261"/>
        <v>0</v>
      </c>
      <c r="L615" s="51">
        <f t="shared" si="261"/>
        <v>0</v>
      </c>
      <c r="M615" s="51">
        <f t="shared" si="261"/>
        <v>0</v>
      </c>
      <c r="N615" s="51">
        <f t="shared" si="261"/>
        <v>0</v>
      </c>
      <c r="O615" s="51">
        <f t="shared" si="261"/>
        <v>0</v>
      </c>
      <c r="P615" s="28" t="s">
        <v>18</v>
      </c>
      <c r="Q615" s="52" t="str">
        <f>$Q$17</f>
        <v>Antoine</v>
      </c>
      <c r="R615" s="51">
        <v>1</v>
      </c>
      <c r="S615" s="51">
        <v>1</v>
      </c>
      <c r="T615" s="51">
        <v>1</v>
      </c>
      <c r="U615" s="51">
        <v>1</v>
      </c>
      <c r="V615" s="51">
        <v>1</v>
      </c>
      <c r="W615" s="51">
        <v>1</v>
      </c>
      <c r="X615" s="51">
        <v>1</v>
      </c>
      <c r="Y615" s="51">
        <v>1</v>
      </c>
      <c r="Z615" s="51">
        <v>1</v>
      </c>
      <c r="AA615" s="51">
        <v>1</v>
      </c>
      <c r="AB615" s="51">
        <v>1</v>
      </c>
      <c r="AC615" s="51">
        <v>1</v>
      </c>
    </row>
    <row r="616" spans="2:29" ht="15.6" x14ac:dyDescent="0.55000000000000004">
      <c r="B616" s="1"/>
      <c r="C616" s="52" t="str">
        <f>$Q$18</f>
        <v>Beatriz</v>
      </c>
      <c r="D616" s="51">
        <f t="shared" ref="D616:O616" si="262">C153+D153</f>
        <v>0</v>
      </c>
      <c r="E616" s="51">
        <f t="shared" si="262"/>
        <v>0</v>
      </c>
      <c r="F616" s="51">
        <f t="shared" si="262"/>
        <v>1</v>
      </c>
      <c r="G616" s="51">
        <f t="shared" si="262"/>
        <v>1</v>
      </c>
      <c r="H616" s="51">
        <f t="shared" si="262"/>
        <v>0</v>
      </c>
      <c r="I616" s="51">
        <f t="shared" si="262"/>
        <v>1</v>
      </c>
      <c r="J616" s="51">
        <f t="shared" si="262"/>
        <v>1</v>
      </c>
      <c r="K616" s="51">
        <f t="shared" si="262"/>
        <v>0</v>
      </c>
      <c r="L616" s="51">
        <f t="shared" si="262"/>
        <v>1</v>
      </c>
      <c r="M616" s="51">
        <f t="shared" si="262"/>
        <v>1</v>
      </c>
      <c r="N616" s="51">
        <f t="shared" si="262"/>
        <v>0</v>
      </c>
      <c r="O616" s="51">
        <f t="shared" si="262"/>
        <v>0</v>
      </c>
      <c r="P616" s="28" t="s">
        <v>18</v>
      </c>
      <c r="Q616" s="52" t="str">
        <f>$Q$18</f>
        <v>Beatriz</v>
      </c>
      <c r="R616" s="51">
        <v>1</v>
      </c>
      <c r="S616" s="51">
        <v>1</v>
      </c>
      <c r="T616" s="51">
        <v>1</v>
      </c>
      <c r="U616" s="51">
        <v>1</v>
      </c>
      <c r="V616" s="51">
        <v>1</v>
      </c>
      <c r="W616" s="51">
        <v>1</v>
      </c>
      <c r="X616" s="51">
        <v>1</v>
      </c>
      <c r="Y616" s="51">
        <v>1</v>
      </c>
      <c r="Z616" s="51">
        <v>1</v>
      </c>
      <c r="AA616" s="51">
        <v>1</v>
      </c>
      <c r="AB616" s="51">
        <v>1</v>
      </c>
      <c r="AC616" s="51">
        <v>1</v>
      </c>
    </row>
    <row r="617" spans="2:29" ht="15.6" x14ac:dyDescent="0.55000000000000004">
      <c r="B617" s="1"/>
      <c r="C617" s="52" t="str">
        <f>$Q$19</f>
        <v>Charelle</v>
      </c>
      <c r="D617" s="51">
        <f t="shared" ref="D617:O617" si="263">C154+D154</f>
        <v>0</v>
      </c>
      <c r="E617" s="51">
        <f t="shared" si="263"/>
        <v>0</v>
      </c>
      <c r="F617" s="51">
        <f t="shared" si="263"/>
        <v>0</v>
      </c>
      <c r="G617" s="51">
        <f t="shared" si="263"/>
        <v>0</v>
      </c>
      <c r="H617" s="51">
        <f t="shared" si="263"/>
        <v>0</v>
      </c>
      <c r="I617" s="51">
        <f t="shared" si="263"/>
        <v>0</v>
      </c>
      <c r="J617" s="51">
        <f t="shared" si="263"/>
        <v>0</v>
      </c>
      <c r="K617" s="51">
        <f t="shared" si="263"/>
        <v>1</v>
      </c>
      <c r="L617" s="51">
        <f t="shared" si="263"/>
        <v>1</v>
      </c>
      <c r="M617" s="51">
        <f t="shared" si="263"/>
        <v>0</v>
      </c>
      <c r="N617" s="51">
        <f t="shared" si="263"/>
        <v>0</v>
      </c>
      <c r="O617" s="51">
        <f t="shared" si="263"/>
        <v>0</v>
      </c>
      <c r="P617" s="28" t="s">
        <v>18</v>
      </c>
      <c r="Q617" s="52" t="str">
        <f>$Q$19</f>
        <v>Charelle</v>
      </c>
      <c r="R617" s="51">
        <v>1</v>
      </c>
      <c r="S617" s="51">
        <v>1</v>
      </c>
      <c r="T617" s="51">
        <v>1</v>
      </c>
      <c r="U617" s="51">
        <v>1</v>
      </c>
      <c r="V617" s="51">
        <v>1</v>
      </c>
      <c r="W617" s="51">
        <v>1</v>
      </c>
      <c r="X617" s="51">
        <v>1</v>
      </c>
      <c r="Y617" s="51">
        <v>1</v>
      </c>
      <c r="Z617" s="51">
        <v>1</v>
      </c>
      <c r="AA617" s="51">
        <v>1</v>
      </c>
      <c r="AB617" s="51">
        <v>1</v>
      </c>
      <c r="AC617" s="51">
        <v>1</v>
      </c>
    </row>
    <row r="618" spans="2:29" ht="15.6" x14ac:dyDescent="0.55000000000000004">
      <c r="B618" s="1"/>
      <c r="C618" s="52" t="str">
        <f>$Q$20</f>
        <v>Dimitri</v>
      </c>
      <c r="D618" s="51">
        <f t="shared" ref="D618:O618" si="264">C155+D155</f>
        <v>0</v>
      </c>
      <c r="E618" s="51">
        <f t="shared" si="264"/>
        <v>0</v>
      </c>
      <c r="F618" s="51">
        <f t="shared" si="264"/>
        <v>0</v>
      </c>
      <c r="G618" s="51">
        <f t="shared" si="264"/>
        <v>0</v>
      </c>
      <c r="H618" s="51">
        <f t="shared" si="264"/>
        <v>1</v>
      </c>
      <c r="I618" s="51">
        <f t="shared" si="264"/>
        <v>1</v>
      </c>
      <c r="J618" s="51">
        <f t="shared" si="264"/>
        <v>0</v>
      </c>
      <c r="K618" s="51">
        <f t="shared" si="264"/>
        <v>0</v>
      </c>
      <c r="L618" s="51">
        <f t="shared" si="264"/>
        <v>0</v>
      </c>
      <c r="M618" s="51">
        <f t="shared" si="264"/>
        <v>0</v>
      </c>
      <c r="N618" s="51">
        <f t="shared" si="264"/>
        <v>0</v>
      </c>
      <c r="O618" s="51">
        <f t="shared" si="264"/>
        <v>0</v>
      </c>
      <c r="P618" s="28" t="s">
        <v>18</v>
      </c>
      <c r="Q618" s="52" t="str">
        <f>$Q$20</f>
        <v>Dimitri</v>
      </c>
      <c r="R618" s="51">
        <v>1</v>
      </c>
      <c r="S618" s="51">
        <v>1</v>
      </c>
      <c r="T618" s="51">
        <v>1</v>
      </c>
      <c r="U618" s="51">
        <v>1</v>
      </c>
      <c r="V618" s="51">
        <v>1</v>
      </c>
      <c r="W618" s="51">
        <v>1</v>
      </c>
      <c r="X618" s="51">
        <v>1</v>
      </c>
      <c r="Y618" s="51">
        <v>1</v>
      </c>
      <c r="Z618" s="51">
        <v>1</v>
      </c>
      <c r="AA618" s="51">
        <v>1</v>
      </c>
      <c r="AB618" s="51">
        <v>1</v>
      </c>
      <c r="AC618" s="51">
        <v>1</v>
      </c>
    </row>
    <row r="619" spans="2:29" ht="15.6" x14ac:dyDescent="0.55000000000000004">
      <c r="B619" s="1"/>
      <c r="C619" s="52" t="str">
        <f>$Q$21</f>
        <v>Marina</v>
      </c>
      <c r="D619" s="51">
        <f t="shared" ref="D619:O619" si="265">C156+D156</f>
        <v>0</v>
      </c>
      <c r="E619" s="51">
        <f t="shared" si="265"/>
        <v>0</v>
      </c>
      <c r="F619" s="51">
        <f t="shared" si="265"/>
        <v>0</v>
      </c>
      <c r="G619" s="51">
        <f t="shared" si="265"/>
        <v>0</v>
      </c>
      <c r="H619" s="51">
        <f t="shared" si="265"/>
        <v>0</v>
      </c>
      <c r="I619" s="51">
        <f t="shared" si="265"/>
        <v>1</v>
      </c>
      <c r="J619" s="51">
        <f t="shared" si="265"/>
        <v>1</v>
      </c>
      <c r="K619" s="51">
        <f t="shared" si="265"/>
        <v>0</v>
      </c>
      <c r="L619" s="51">
        <f t="shared" si="265"/>
        <v>0</v>
      </c>
      <c r="M619" s="51">
        <f t="shared" si="265"/>
        <v>1</v>
      </c>
      <c r="N619" s="51">
        <f t="shared" si="265"/>
        <v>1</v>
      </c>
      <c r="O619" s="51">
        <f t="shared" si="265"/>
        <v>0</v>
      </c>
      <c r="P619" s="28" t="s">
        <v>18</v>
      </c>
      <c r="Q619" s="52" t="str">
        <f>$Q$21</f>
        <v>Marina</v>
      </c>
      <c r="R619" s="51">
        <v>1</v>
      </c>
      <c r="S619" s="51">
        <v>1</v>
      </c>
      <c r="T619" s="51">
        <v>1</v>
      </c>
      <c r="U619" s="51">
        <v>1</v>
      </c>
      <c r="V619" s="51">
        <v>1</v>
      </c>
      <c r="W619" s="51">
        <v>1</v>
      </c>
      <c r="X619" s="51">
        <v>1</v>
      </c>
      <c r="Y619" s="51">
        <v>1</v>
      </c>
      <c r="Z619" s="51">
        <v>1</v>
      </c>
      <c r="AA619" s="51">
        <v>1</v>
      </c>
      <c r="AB619" s="51">
        <v>1</v>
      </c>
      <c r="AC619" s="51">
        <v>1</v>
      </c>
    </row>
    <row r="620" spans="2:29" ht="15.6" x14ac:dyDescent="0.55000000000000004">
      <c r="B620" s="1"/>
      <c r="C620" s="52" t="str">
        <f>$Q$22</f>
        <v>Michel</v>
      </c>
      <c r="D620" s="51">
        <f t="shared" ref="D620:O620" si="266">C157+D157</f>
        <v>0</v>
      </c>
      <c r="E620" s="51">
        <f t="shared" si="266"/>
        <v>1</v>
      </c>
      <c r="F620" s="51">
        <f t="shared" si="266"/>
        <v>2</v>
      </c>
      <c r="G620" s="51">
        <f t="shared" si="266"/>
        <v>1</v>
      </c>
      <c r="H620" s="51">
        <f t="shared" si="266"/>
        <v>0</v>
      </c>
      <c r="I620" s="51">
        <f t="shared" si="266"/>
        <v>0</v>
      </c>
      <c r="J620" s="51">
        <f t="shared" si="266"/>
        <v>0</v>
      </c>
      <c r="K620" s="51">
        <f t="shared" si="266"/>
        <v>0</v>
      </c>
      <c r="L620" s="51">
        <f t="shared" si="266"/>
        <v>0</v>
      </c>
      <c r="M620" s="51">
        <f t="shared" si="266"/>
        <v>0</v>
      </c>
      <c r="N620" s="51">
        <f t="shared" si="266"/>
        <v>0</v>
      </c>
      <c r="O620" s="51">
        <f t="shared" si="266"/>
        <v>0</v>
      </c>
      <c r="P620" s="28" t="s">
        <v>18</v>
      </c>
      <c r="Q620" s="52" t="str">
        <f>$Q$22</f>
        <v>Michel</v>
      </c>
      <c r="R620" s="51">
        <v>1</v>
      </c>
      <c r="S620" s="51">
        <v>1</v>
      </c>
      <c r="T620" s="51">
        <v>1</v>
      </c>
      <c r="U620" s="51">
        <v>1</v>
      </c>
      <c r="V620" s="51">
        <v>1</v>
      </c>
      <c r="W620" s="51">
        <v>1</v>
      </c>
      <c r="X620" s="51">
        <v>1</v>
      </c>
      <c r="Y620" s="51">
        <v>1</v>
      </c>
      <c r="Z620" s="51">
        <v>1</v>
      </c>
      <c r="AA620" s="51">
        <v>1</v>
      </c>
      <c r="AB620" s="51">
        <v>1</v>
      </c>
      <c r="AC620" s="51">
        <v>1</v>
      </c>
    </row>
    <row r="621" spans="2:29" ht="15.6" x14ac:dyDescent="0.55000000000000004">
      <c r="B621" s="1"/>
      <c r="C621" s="52" t="str">
        <f>$Q$23</f>
        <v>Nour</v>
      </c>
      <c r="D621" s="51">
        <f t="shared" ref="D621:O621" si="267">C158+D158</f>
        <v>0</v>
      </c>
      <c r="E621" s="51">
        <f t="shared" si="267"/>
        <v>0</v>
      </c>
      <c r="F621" s="51">
        <f t="shared" si="267"/>
        <v>0</v>
      </c>
      <c r="G621" s="51">
        <f t="shared" si="267"/>
        <v>0</v>
      </c>
      <c r="H621" s="51">
        <f t="shared" si="267"/>
        <v>0</v>
      </c>
      <c r="I621" s="51">
        <f t="shared" si="267"/>
        <v>0</v>
      </c>
      <c r="J621" s="51">
        <f t="shared" si="267"/>
        <v>0</v>
      </c>
      <c r="K621" s="51">
        <f t="shared" si="267"/>
        <v>0</v>
      </c>
      <c r="L621" s="51">
        <f t="shared" si="267"/>
        <v>0</v>
      </c>
      <c r="M621" s="51">
        <f t="shared" si="267"/>
        <v>0</v>
      </c>
      <c r="N621" s="51">
        <f t="shared" si="267"/>
        <v>0</v>
      </c>
      <c r="O621" s="51">
        <f t="shared" si="267"/>
        <v>0</v>
      </c>
      <c r="P621" s="28" t="s">
        <v>18</v>
      </c>
      <c r="Q621" s="52" t="str">
        <f>$Q$23</f>
        <v>Nour</v>
      </c>
      <c r="R621" s="51">
        <v>1</v>
      </c>
      <c r="S621" s="51">
        <v>1</v>
      </c>
      <c r="T621" s="51">
        <v>1</v>
      </c>
      <c r="U621" s="51">
        <v>1</v>
      </c>
      <c r="V621" s="51">
        <v>1</v>
      </c>
      <c r="W621" s="51">
        <v>1</v>
      </c>
      <c r="X621" s="51">
        <v>1</v>
      </c>
      <c r="Y621" s="51">
        <v>1</v>
      </c>
      <c r="Z621" s="51">
        <v>1</v>
      </c>
      <c r="AA621" s="51">
        <v>1</v>
      </c>
      <c r="AB621" s="51">
        <v>1</v>
      </c>
      <c r="AC621" s="51">
        <v>1</v>
      </c>
    </row>
    <row r="622" spans="2:29" ht="15.6" x14ac:dyDescent="0.55000000000000004">
      <c r="B622" s="1"/>
      <c r="C622" s="52" t="str">
        <f>$Q$24</f>
        <v>Samuel</v>
      </c>
      <c r="D622" s="51">
        <f t="shared" ref="D622:O622" si="268">C159+D159</f>
        <v>0</v>
      </c>
      <c r="E622" s="51">
        <f t="shared" si="268"/>
        <v>1</v>
      </c>
      <c r="F622" s="51">
        <f t="shared" si="268"/>
        <v>1</v>
      </c>
      <c r="G622" s="51">
        <f t="shared" si="268"/>
        <v>0</v>
      </c>
      <c r="H622" s="51">
        <f t="shared" si="268"/>
        <v>0</v>
      </c>
      <c r="I622" s="51">
        <f t="shared" si="268"/>
        <v>0</v>
      </c>
      <c r="J622" s="51">
        <f t="shared" si="268"/>
        <v>0</v>
      </c>
      <c r="K622" s="51">
        <f t="shared" si="268"/>
        <v>0</v>
      </c>
      <c r="L622" s="51">
        <f t="shared" si="268"/>
        <v>0</v>
      </c>
      <c r="M622" s="51">
        <f t="shared" si="268"/>
        <v>0</v>
      </c>
      <c r="N622" s="51">
        <f t="shared" si="268"/>
        <v>0</v>
      </c>
      <c r="O622" s="51">
        <f t="shared" si="268"/>
        <v>0</v>
      </c>
      <c r="P622" s="28" t="s">
        <v>18</v>
      </c>
      <c r="Q622" s="52" t="str">
        <f>$Q$24</f>
        <v>Samuel</v>
      </c>
      <c r="R622" s="51">
        <v>1</v>
      </c>
      <c r="S622" s="51">
        <v>1</v>
      </c>
      <c r="T622" s="51">
        <v>1</v>
      </c>
      <c r="U622" s="51">
        <v>1</v>
      </c>
      <c r="V622" s="51">
        <v>1</v>
      </c>
      <c r="W622" s="51">
        <v>1</v>
      </c>
      <c r="X622" s="51">
        <v>1</v>
      </c>
      <c r="Y622" s="51">
        <v>1</v>
      </c>
      <c r="Z622" s="51">
        <v>1</v>
      </c>
      <c r="AA622" s="51">
        <v>1</v>
      </c>
      <c r="AB622" s="51">
        <v>1</v>
      </c>
      <c r="AC622" s="51">
        <v>1</v>
      </c>
    </row>
    <row r="623" spans="2:29" ht="15.6" x14ac:dyDescent="0.55000000000000004">
      <c r="B623" s="1"/>
      <c r="C623" s="52" t="str">
        <f>$Q$25</f>
        <v>Yassin</v>
      </c>
      <c r="D623" s="51">
        <f t="shared" ref="D623:O623" si="269">C160+D160</f>
        <v>0</v>
      </c>
      <c r="E623" s="51">
        <f t="shared" si="269"/>
        <v>0</v>
      </c>
      <c r="F623" s="51">
        <f t="shared" si="269"/>
        <v>0</v>
      </c>
      <c r="G623" s="51">
        <f t="shared" si="269"/>
        <v>0</v>
      </c>
      <c r="H623" s="51">
        <f t="shared" si="269"/>
        <v>0</v>
      </c>
      <c r="I623" s="51">
        <f t="shared" si="269"/>
        <v>0</v>
      </c>
      <c r="J623" s="51">
        <f t="shared" si="269"/>
        <v>0</v>
      </c>
      <c r="K623" s="51">
        <f t="shared" si="269"/>
        <v>0</v>
      </c>
      <c r="L623" s="51">
        <f t="shared" si="269"/>
        <v>0</v>
      </c>
      <c r="M623" s="51">
        <f t="shared" si="269"/>
        <v>0</v>
      </c>
      <c r="N623" s="51">
        <f t="shared" si="269"/>
        <v>0</v>
      </c>
      <c r="O623" s="51">
        <f t="shared" si="269"/>
        <v>0</v>
      </c>
      <c r="P623" s="28" t="s">
        <v>18</v>
      </c>
      <c r="Q623" s="52" t="str">
        <f>$Q$25</f>
        <v>Yassin</v>
      </c>
      <c r="R623" s="51">
        <v>1</v>
      </c>
      <c r="S623" s="51">
        <v>1</v>
      </c>
      <c r="T623" s="51">
        <v>1</v>
      </c>
      <c r="U623" s="51">
        <v>1</v>
      </c>
      <c r="V623" s="51">
        <v>1</v>
      </c>
      <c r="W623" s="51">
        <v>1</v>
      </c>
      <c r="X623" s="51">
        <v>1</v>
      </c>
      <c r="Y623" s="51">
        <v>1</v>
      </c>
      <c r="Z623" s="51">
        <v>1</v>
      </c>
      <c r="AA623" s="51">
        <v>1</v>
      </c>
      <c r="AB623" s="51">
        <v>1</v>
      </c>
      <c r="AC623" s="51">
        <v>1</v>
      </c>
    </row>
    <row r="624" spans="2:29" ht="15.6" x14ac:dyDescent="0.55000000000000004">
      <c r="B624" s="1"/>
      <c r="C624" s="52" t="str">
        <f>$Q$26</f>
        <v>Kamar</v>
      </c>
      <c r="D624" s="51">
        <f t="shared" ref="D624:O624" si="270">C161+D161</f>
        <v>0</v>
      </c>
      <c r="E624" s="51">
        <f t="shared" si="270"/>
        <v>0</v>
      </c>
      <c r="F624" s="51">
        <f t="shared" si="270"/>
        <v>0</v>
      </c>
      <c r="G624" s="51">
        <f t="shared" si="270"/>
        <v>0</v>
      </c>
      <c r="H624" s="51">
        <f t="shared" si="270"/>
        <v>0</v>
      </c>
      <c r="I624" s="51">
        <f t="shared" si="270"/>
        <v>0</v>
      </c>
      <c r="J624" s="51">
        <f t="shared" si="270"/>
        <v>0</v>
      </c>
      <c r="K624" s="51">
        <f t="shared" si="270"/>
        <v>0</v>
      </c>
      <c r="L624" s="51">
        <f t="shared" si="270"/>
        <v>0</v>
      </c>
      <c r="M624" s="51">
        <f t="shared" si="270"/>
        <v>0</v>
      </c>
      <c r="N624" s="51">
        <f t="shared" si="270"/>
        <v>0</v>
      </c>
      <c r="O624" s="51">
        <f t="shared" si="270"/>
        <v>0</v>
      </c>
      <c r="P624" s="28" t="s">
        <v>18</v>
      </c>
      <c r="Q624" s="52" t="str">
        <f>$Q$26</f>
        <v>Kamar</v>
      </c>
      <c r="R624" s="51">
        <v>1</v>
      </c>
      <c r="S624" s="51">
        <v>1</v>
      </c>
      <c r="T624" s="51">
        <v>1</v>
      </c>
      <c r="U624" s="51">
        <v>1</v>
      </c>
      <c r="V624" s="51">
        <v>1</v>
      </c>
      <c r="W624" s="51">
        <v>1</v>
      </c>
      <c r="X624" s="51">
        <v>1</v>
      </c>
      <c r="Y624" s="51">
        <v>1</v>
      </c>
      <c r="Z624" s="51">
        <v>1</v>
      </c>
      <c r="AA624" s="51">
        <v>1</v>
      </c>
      <c r="AB624" s="51">
        <v>1</v>
      </c>
      <c r="AC624" s="51">
        <v>1</v>
      </c>
    </row>
    <row r="625" spans="2:29" x14ac:dyDescent="0.55000000000000004">
      <c r="B625" s="1"/>
      <c r="C625" s="16"/>
    </row>
    <row r="626" spans="2:29" x14ac:dyDescent="0.55000000000000004">
      <c r="B626" s="1"/>
      <c r="C626" s="16"/>
    </row>
    <row r="627" spans="2:29" x14ac:dyDescent="0.55000000000000004">
      <c r="B627" s="1"/>
      <c r="C627" s="16" t="s">
        <v>105</v>
      </c>
      <c r="D627" s="1" t="s">
        <v>70</v>
      </c>
      <c r="E627" s="1" t="s">
        <v>71</v>
      </c>
      <c r="F627" s="1" t="s">
        <v>72</v>
      </c>
      <c r="G627" s="1" t="s">
        <v>73</v>
      </c>
      <c r="H627" s="1" t="s">
        <v>74</v>
      </c>
      <c r="I627" s="1" t="s">
        <v>75</v>
      </c>
      <c r="J627" s="1" t="s">
        <v>76</v>
      </c>
      <c r="K627" s="1" t="s">
        <v>77</v>
      </c>
      <c r="L627" s="1" t="s">
        <v>78</v>
      </c>
      <c r="M627" s="1" t="s">
        <v>79</v>
      </c>
      <c r="N627" s="1" t="s">
        <v>80</v>
      </c>
      <c r="O627" s="1" t="s">
        <v>81</v>
      </c>
      <c r="Q627" s="16" t="s">
        <v>105</v>
      </c>
      <c r="R627" s="1" t="s">
        <v>70</v>
      </c>
      <c r="S627" s="1" t="s">
        <v>71</v>
      </c>
      <c r="T627" s="1" t="s">
        <v>72</v>
      </c>
      <c r="U627" s="1" t="s">
        <v>73</v>
      </c>
      <c r="V627" s="1" t="s">
        <v>74</v>
      </c>
      <c r="W627" s="1" t="s">
        <v>75</v>
      </c>
      <c r="X627" s="1" t="s">
        <v>76</v>
      </c>
      <c r="Y627" s="1" t="s">
        <v>77</v>
      </c>
      <c r="Z627" s="1" t="s">
        <v>78</v>
      </c>
      <c r="AA627" s="1" t="s">
        <v>79</v>
      </c>
      <c r="AB627" s="1" t="s">
        <v>80</v>
      </c>
      <c r="AC627" s="1" t="s">
        <v>81</v>
      </c>
    </row>
    <row r="628" spans="2:29" ht="15.6" x14ac:dyDescent="0.55000000000000004">
      <c r="B628" s="1"/>
      <c r="C628" s="46" t="str">
        <f>$Q$3</f>
        <v>Jennifer</v>
      </c>
      <c r="D628" s="51">
        <f t="shared" ref="D628:O628" si="271">C165+D165</f>
        <v>0</v>
      </c>
      <c r="E628" s="51">
        <f t="shared" si="271"/>
        <v>0</v>
      </c>
      <c r="F628" s="51">
        <f t="shared" si="271"/>
        <v>0</v>
      </c>
      <c r="G628" s="51">
        <f t="shared" si="271"/>
        <v>0</v>
      </c>
      <c r="H628" s="51">
        <f t="shared" si="271"/>
        <v>0</v>
      </c>
      <c r="I628" s="51">
        <f t="shared" si="271"/>
        <v>0</v>
      </c>
      <c r="J628" s="51">
        <f t="shared" si="271"/>
        <v>0</v>
      </c>
      <c r="K628" s="51">
        <f t="shared" si="271"/>
        <v>0</v>
      </c>
      <c r="L628" s="51">
        <f t="shared" si="271"/>
        <v>0</v>
      </c>
      <c r="M628" s="51">
        <f t="shared" si="271"/>
        <v>0</v>
      </c>
      <c r="N628" s="51">
        <f t="shared" si="271"/>
        <v>0</v>
      </c>
      <c r="O628" s="51">
        <f t="shared" si="271"/>
        <v>0</v>
      </c>
      <c r="P628" s="28" t="s">
        <v>18</v>
      </c>
      <c r="Q628" s="46" t="str">
        <f>$Q$3</f>
        <v>Jennifer</v>
      </c>
      <c r="R628" s="51">
        <v>1</v>
      </c>
      <c r="S628" s="51">
        <v>1</v>
      </c>
      <c r="T628" s="51">
        <v>1</v>
      </c>
      <c r="U628" s="51">
        <v>1</v>
      </c>
      <c r="V628" s="51">
        <v>1</v>
      </c>
      <c r="W628" s="51">
        <v>1</v>
      </c>
      <c r="X628" s="51">
        <v>1</v>
      </c>
      <c r="Y628" s="51">
        <v>1</v>
      </c>
      <c r="Z628" s="51">
        <v>1</v>
      </c>
      <c r="AA628" s="51">
        <v>1</v>
      </c>
      <c r="AB628" s="51">
        <v>1</v>
      </c>
      <c r="AC628" s="51">
        <v>1</v>
      </c>
    </row>
    <row r="629" spans="2:29" ht="15.6" x14ac:dyDescent="0.55000000000000004">
      <c r="B629" s="1"/>
      <c r="C629" s="52" t="str">
        <f>$Q$4</f>
        <v>Galileo</v>
      </c>
      <c r="D629" s="51">
        <f t="shared" ref="D629:O629" si="272">C166+D166</f>
        <v>0</v>
      </c>
      <c r="E629" s="51">
        <f t="shared" si="272"/>
        <v>0</v>
      </c>
      <c r="F629" s="51">
        <f t="shared" si="272"/>
        <v>0</v>
      </c>
      <c r="G629" s="51">
        <f t="shared" si="272"/>
        <v>0</v>
      </c>
      <c r="H629" s="51">
        <f t="shared" si="272"/>
        <v>0</v>
      </c>
      <c r="I629" s="51">
        <f t="shared" si="272"/>
        <v>0</v>
      </c>
      <c r="J629" s="51">
        <f t="shared" si="272"/>
        <v>0</v>
      </c>
      <c r="K629" s="51">
        <f t="shared" si="272"/>
        <v>1</v>
      </c>
      <c r="L629" s="51">
        <f t="shared" si="272"/>
        <v>2</v>
      </c>
      <c r="M629" s="51">
        <f t="shared" si="272"/>
        <v>1</v>
      </c>
      <c r="N629" s="51">
        <f t="shared" si="272"/>
        <v>0</v>
      </c>
      <c r="O629" s="51">
        <f t="shared" si="272"/>
        <v>0</v>
      </c>
      <c r="P629" s="28" t="s">
        <v>18</v>
      </c>
      <c r="Q629" s="52" t="str">
        <f>$Q$4</f>
        <v>Galileo</v>
      </c>
      <c r="R629" s="51">
        <v>1</v>
      </c>
      <c r="S629" s="51">
        <v>1</v>
      </c>
      <c r="T629" s="51">
        <v>1</v>
      </c>
      <c r="U629" s="51">
        <v>1</v>
      </c>
      <c r="V629" s="51">
        <v>1</v>
      </c>
      <c r="W629" s="51">
        <v>1</v>
      </c>
      <c r="X629" s="51">
        <v>1</v>
      </c>
      <c r="Y629" s="51">
        <v>1</v>
      </c>
      <c r="Z629" s="51">
        <v>1</v>
      </c>
      <c r="AA629" s="51">
        <v>1</v>
      </c>
      <c r="AB629" s="51">
        <v>1</v>
      </c>
      <c r="AC629" s="51">
        <v>1</v>
      </c>
    </row>
    <row r="630" spans="2:29" ht="15.6" x14ac:dyDescent="0.55000000000000004">
      <c r="B630" s="1"/>
      <c r="C630" s="52" t="str">
        <f>$Q$5</f>
        <v>Óscar</v>
      </c>
      <c r="D630" s="51">
        <f t="shared" ref="D630:O630" si="273">C167+D167</f>
        <v>0</v>
      </c>
      <c r="E630" s="51">
        <f t="shared" si="273"/>
        <v>0</v>
      </c>
      <c r="F630" s="51">
        <f t="shared" si="273"/>
        <v>0</v>
      </c>
      <c r="G630" s="51">
        <f t="shared" si="273"/>
        <v>0</v>
      </c>
      <c r="H630" s="51">
        <f t="shared" si="273"/>
        <v>0</v>
      </c>
      <c r="I630" s="51">
        <f t="shared" si="273"/>
        <v>1</v>
      </c>
      <c r="J630" s="51">
        <f t="shared" si="273"/>
        <v>1</v>
      </c>
      <c r="K630" s="51">
        <f t="shared" si="273"/>
        <v>0</v>
      </c>
      <c r="L630" s="51">
        <f t="shared" si="273"/>
        <v>0</v>
      </c>
      <c r="M630" s="51">
        <f t="shared" si="273"/>
        <v>0</v>
      </c>
      <c r="N630" s="51">
        <f t="shared" si="273"/>
        <v>0</v>
      </c>
      <c r="O630" s="51">
        <f t="shared" si="273"/>
        <v>0</v>
      </c>
      <c r="P630" s="28" t="s">
        <v>18</v>
      </c>
      <c r="Q630" s="52" t="str">
        <f>$Q$5</f>
        <v>Óscar</v>
      </c>
      <c r="R630" s="51">
        <v>1</v>
      </c>
      <c r="S630" s="51">
        <v>1</v>
      </c>
      <c r="T630" s="51">
        <v>1</v>
      </c>
      <c r="U630" s="51">
        <v>1</v>
      </c>
      <c r="V630" s="51">
        <v>1</v>
      </c>
      <c r="W630" s="51">
        <v>1</v>
      </c>
      <c r="X630" s="51">
        <v>1</v>
      </c>
      <c r="Y630" s="51">
        <v>1</v>
      </c>
      <c r="Z630" s="51">
        <v>1</v>
      </c>
      <c r="AA630" s="51">
        <v>1</v>
      </c>
      <c r="AB630" s="51">
        <v>1</v>
      </c>
      <c r="AC630" s="51">
        <v>1</v>
      </c>
    </row>
    <row r="631" spans="2:29" ht="15.6" x14ac:dyDescent="0.55000000000000004">
      <c r="B631" s="1"/>
      <c r="C631" s="52" t="str">
        <f>$Q$6</f>
        <v>Sebastián</v>
      </c>
      <c r="D631" s="51">
        <f t="shared" ref="D631:O631" si="274">C168+D168</f>
        <v>0</v>
      </c>
      <c r="E631" s="51">
        <f t="shared" si="274"/>
        <v>0</v>
      </c>
      <c r="F631" s="51">
        <f t="shared" si="274"/>
        <v>0</v>
      </c>
      <c r="G631" s="51">
        <f t="shared" si="274"/>
        <v>0</v>
      </c>
      <c r="H631" s="51">
        <f t="shared" si="274"/>
        <v>0</v>
      </c>
      <c r="I631" s="51">
        <f t="shared" si="274"/>
        <v>0</v>
      </c>
      <c r="J631" s="51">
        <f t="shared" si="274"/>
        <v>0</v>
      </c>
      <c r="K631" s="51">
        <f t="shared" si="274"/>
        <v>1</v>
      </c>
      <c r="L631" s="51">
        <f t="shared" si="274"/>
        <v>1</v>
      </c>
      <c r="M631" s="51">
        <f t="shared" si="274"/>
        <v>0</v>
      </c>
      <c r="N631" s="51">
        <f t="shared" si="274"/>
        <v>0</v>
      </c>
      <c r="O631" s="51">
        <f t="shared" si="274"/>
        <v>0</v>
      </c>
      <c r="P631" s="28" t="s">
        <v>18</v>
      </c>
      <c r="Q631" s="52" t="str">
        <f>$Q$6</f>
        <v>Sebastián</v>
      </c>
      <c r="R631" s="51">
        <v>1</v>
      </c>
      <c r="S631" s="51">
        <v>1</v>
      </c>
      <c r="T631" s="51">
        <v>1</v>
      </c>
      <c r="U631" s="51">
        <v>1</v>
      </c>
      <c r="V631" s="51">
        <v>1</v>
      </c>
      <c r="W631" s="51">
        <v>1</v>
      </c>
      <c r="X631" s="51">
        <v>1</v>
      </c>
      <c r="Y631" s="51">
        <v>1</v>
      </c>
      <c r="Z631" s="51">
        <v>1</v>
      </c>
      <c r="AA631" s="51">
        <v>1</v>
      </c>
      <c r="AB631" s="51">
        <v>1</v>
      </c>
      <c r="AC631" s="51">
        <v>1</v>
      </c>
    </row>
    <row r="632" spans="2:29" ht="15.6" x14ac:dyDescent="0.55000000000000004">
      <c r="B632" s="1"/>
      <c r="C632" s="52" t="str">
        <f>$Q$7</f>
        <v>Marcos</v>
      </c>
      <c r="D632" s="51">
        <f t="shared" ref="D632:O632" si="275">C169+D169</f>
        <v>0</v>
      </c>
      <c r="E632" s="51">
        <f t="shared" si="275"/>
        <v>0</v>
      </c>
      <c r="F632" s="51">
        <f t="shared" si="275"/>
        <v>0</v>
      </c>
      <c r="G632" s="51">
        <f t="shared" si="275"/>
        <v>0</v>
      </c>
      <c r="H632" s="51">
        <f t="shared" si="275"/>
        <v>0</v>
      </c>
      <c r="I632" s="51">
        <f t="shared" si="275"/>
        <v>0</v>
      </c>
      <c r="J632" s="51">
        <f t="shared" si="275"/>
        <v>0</v>
      </c>
      <c r="K632" s="51">
        <f t="shared" si="275"/>
        <v>0</v>
      </c>
      <c r="L632" s="51">
        <f t="shared" si="275"/>
        <v>0</v>
      </c>
      <c r="M632" s="51">
        <f t="shared" si="275"/>
        <v>0</v>
      </c>
      <c r="N632" s="51">
        <f t="shared" si="275"/>
        <v>0</v>
      </c>
      <c r="O632" s="51">
        <f t="shared" si="275"/>
        <v>0</v>
      </c>
      <c r="P632" s="28" t="s">
        <v>18</v>
      </c>
      <c r="Q632" s="52" t="str">
        <f>$Q$7</f>
        <v>Marcos</v>
      </c>
      <c r="R632" s="51">
        <v>1</v>
      </c>
      <c r="S632" s="51">
        <v>1</v>
      </c>
      <c r="T632" s="51">
        <v>1</v>
      </c>
      <c r="U632" s="51">
        <v>1</v>
      </c>
      <c r="V632" s="51">
        <v>1</v>
      </c>
      <c r="W632" s="51">
        <v>1</v>
      </c>
      <c r="X632" s="51">
        <v>1</v>
      </c>
      <c r="Y632" s="51">
        <v>1</v>
      </c>
      <c r="Z632" s="51">
        <v>1</v>
      </c>
      <c r="AA632" s="51">
        <v>1</v>
      </c>
      <c r="AB632" s="51">
        <v>1</v>
      </c>
      <c r="AC632" s="51">
        <v>1</v>
      </c>
    </row>
    <row r="633" spans="2:29" ht="15.6" x14ac:dyDescent="0.55000000000000004">
      <c r="B633" s="1"/>
      <c r="C633" s="52" t="str">
        <f>$Q$8</f>
        <v>Weixin</v>
      </c>
      <c r="D633" s="51">
        <f t="shared" ref="D633:O633" si="276">C170+D170</f>
        <v>0</v>
      </c>
      <c r="E633" s="51">
        <f t="shared" si="276"/>
        <v>0</v>
      </c>
      <c r="F633" s="51">
        <f t="shared" si="276"/>
        <v>0</v>
      </c>
      <c r="G633" s="51">
        <f t="shared" si="276"/>
        <v>0</v>
      </c>
      <c r="H633" s="51">
        <f t="shared" si="276"/>
        <v>0</v>
      </c>
      <c r="I633" s="51">
        <f t="shared" si="276"/>
        <v>0</v>
      </c>
      <c r="J633" s="51">
        <f t="shared" si="276"/>
        <v>0</v>
      </c>
      <c r="K633" s="51">
        <f t="shared" si="276"/>
        <v>0</v>
      </c>
      <c r="L633" s="51">
        <f t="shared" si="276"/>
        <v>0</v>
      </c>
      <c r="M633" s="51">
        <f t="shared" si="276"/>
        <v>1</v>
      </c>
      <c r="N633" s="51">
        <f t="shared" si="276"/>
        <v>1</v>
      </c>
      <c r="O633" s="51">
        <f t="shared" si="276"/>
        <v>0</v>
      </c>
      <c r="P633" s="28" t="s">
        <v>18</v>
      </c>
      <c r="Q633" s="52" t="str">
        <f>$Q$8</f>
        <v>Weixin</v>
      </c>
      <c r="R633" s="51">
        <v>1</v>
      </c>
      <c r="S633" s="51">
        <v>1</v>
      </c>
      <c r="T633" s="51">
        <v>1</v>
      </c>
      <c r="U633" s="51">
        <v>1</v>
      </c>
      <c r="V633" s="51">
        <v>1</v>
      </c>
      <c r="W633" s="51">
        <v>1</v>
      </c>
      <c r="X633" s="51">
        <v>1</v>
      </c>
      <c r="Y633" s="51">
        <v>1</v>
      </c>
      <c r="Z633" s="51">
        <v>1</v>
      </c>
      <c r="AA633" s="51">
        <v>1</v>
      </c>
      <c r="AB633" s="51">
        <v>1</v>
      </c>
      <c r="AC633" s="51">
        <v>1</v>
      </c>
    </row>
    <row r="634" spans="2:29" ht="15.6" x14ac:dyDescent="0.55000000000000004">
      <c r="B634" s="1"/>
      <c r="C634" s="52" t="str">
        <f>$Q$9</f>
        <v>Benjamin</v>
      </c>
      <c r="D634" s="51">
        <f t="shared" ref="D634:O634" si="277">C171+D171</f>
        <v>0</v>
      </c>
      <c r="E634" s="51">
        <f t="shared" si="277"/>
        <v>0</v>
      </c>
      <c r="F634" s="51">
        <f t="shared" si="277"/>
        <v>0</v>
      </c>
      <c r="G634" s="51">
        <f t="shared" si="277"/>
        <v>1</v>
      </c>
      <c r="H634" s="51">
        <f t="shared" si="277"/>
        <v>1</v>
      </c>
      <c r="I634" s="51">
        <f t="shared" si="277"/>
        <v>0</v>
      </c>
      <c r="J634" s="51">
        <f t="shared" si="277"/>
        <v>0</v>
      </c>
      <c r="K634" s="51">
        <f t="shared" si="277"/>
        <v>0</v>
      </c>
      <c r="L634" s="51">
        <f t="shared" si="277"/>
        <v>0</v>
      </c>
      <c r="M634" s="51">
        <f t="shared" si="277"/>
        <v>0</v>
      </c>
      <c r="N634" s="51">
        <f t="shared" si="277"/>
        <v>0</v>
      </c>
      <c r="O634" s="51">
        <f t="shared" si="277"/>
        <v>0</v>
      </c>
      <c r="P634" s="28" t="s">
        <v>18</v>
      </c>
      <c r="Q634" s="52" t="str">
        <f>$Q$9</f>
        <v>Benjamin</v>
      </c>
      <c r="R634" s="51">
        <v>1</v>
      </c>
      <c r="S634" s="51">
        <v>1</v>
      </c>
      <c r="T634" s="51">
        <v>1</v>
      </c>
      <c r="U634" s="51">
        <v>1</v>
      </c>
      <c r="V634" s="51">
        <v>1</v>
      </c>
      <c r="W634" s="51">
        <v>1</v>
      </c>
      <c r="X634" s="51">
        <v>1</v>
      </c>
      <c r="Y634" s="51">
        <v>1</v>
      </c>
      <c r="Z634" s="51">
        <v>1</v>
      </c>
      <c r="AA634" s="51">
        <v>1</v>
      </c>
      <c r="AB634" s="51">
        <v>1</v>
      </c>
      <c r="AC634" s="51">
        <v>1</v>
      </c>
    </row>
    <row r="635" spans="2:29" ht="15.6" x14ac:dyDescent="0.55000000000000004">
      <c r="B635" s="1"/>
      <c r="C635" s="52" t="str">
        <f>$Q$10</f>
        <v>Joelle</v>
      </c>
      <c r="D635" s="51">
        <f t="shared" ref="D635:O635" si="278">C172+D172</f>
        <v>1</v>
      </c>
      <c r="E635" s="51">
        <f t="shared" si="278"/>
        <v>1</v>
      </c>
      <c r="F635" s="51">
        <f t="shared" si="278"/>
        <v>0</v>
      </c>
      <c r="G635" s="51">
        <f t="shared" si="278"/>
        <v>0</v>
      </c>
      <c r="H635" s="51">
        <f t="shared" si="278"/>
        <v>0</v>
      </c>
      <c r="I635" s="51">
        <f t="shared" si="278"/>
        <v>0</v>
      </c>
      <c r="J635" s="51">
        <f t="shared" si="278"/>
        <v>1</v>
      </c>
      <c r="K635" s="51">
        <f t="shared" si="278"/>
        <v>1</v>
      </c>
      <c r="L635" s="51">
        <f t="shared" si="278"/>
        <v>0</v>
      </c>
      <c r="M635" s="51">
        <f t="shared" si="278"/>
        <v>0</v>
      </c>
      <c r="N635" s="51">
        <f t="shared" si="278"/>
        <v>0</v>
      </c>
      <c r="O635" s="51">
        <f t="shared" si="278"/>
        <v>0</v>
      </c>
      <c r="P635" s="28" t="s">
        <v>18</v>
      </c>
      <c r="Q635" s="52" t="str">
        <f>$Q$10</f>
        <v>Joelle</v>
      </c>
      <c r="R635" s="51">
        <v>1</v>
      </c>
      <c r="S635" s="51">
        <v>1</v>
      </c>
      <c r="T635" s="51">
        <v>1</v>
      </c>
      <c r="U635" s="51">
        <v>1</v>
      </c>
      <c r="V635" s="51">
        <v>1</v>
      </c>
      <c r="W635" s="51">
        <v>1</v>
      </c>
      <c r="X635" s="51">
        <v>1</v>
      </c>
      <c r="Y635" s="51">
        <v>1</v>
      </c>
      <c r="Z635" s="51">
        <v>1</v>
      </c>
      <c r="AA635" s="51">
        <v>1</v>
      </c>
      <c r="AB635" s="51">
        <v>1</v>
      </c>
      <c r="AC635" s="51">
        <v>1</v>
      </c>
    </row>
    <row r="636" spans="2:29" ht="15.6" x14ac:dyDescent="0.55000000000000004">
      <c r="B636" s="1"/>
      <c r="C636" s="52" t="str">
        <f>$Q$11</f>
        <v>Alexia</v>
      </c>
      <c r="D636" s="51">
        <f t="shared" ref="D636:O636" si="279">C173+D173</f>
        <v>1</v>
      </c>
      <c r="E636" s="51">
        <f t="shared" si="279"/>
        <v>1</v>
      </c>
      <c r="F636" s="51">
        <f t="shared" si="279"/>
        <v>1</v>
      </c>
      <c r="G636" s="51">
        <f t="shared" si="279"/>
        <v>1</v>
      </c>
      <c r="H636" s="51">
        <f t="shared" si="279"/>
        <v>0</v>
      </c>
      <c r="I636" s="51">
        <f t="shared" si="279"/>
        <v>0</v>
      </c>
      <c r="J636" s="51">
        <f t="shared" si="279"/>
        <v>0</v>
      </c>
      <c r="K636" s="51">
        <f t="shared" si="279"/>
        <v>0</v>
      </c>
      <c r="L636" s="51">
        <f t="shared" si="279"/>
        <v>0</v>
      </c>
      <c r="M636" s="51">
        <f t="shared" si="279"/>
        <v>0</v>
      </c>
      <c r="N636" s="51">
        <f t="shared" si="279"/>
        <v>0</v>
      </c>
      <c r="O636" s="51">
        <f t="shared" si="279"/>
        <v>0</v>
      </c>
      <c r="P636" s="28" t="s">
        <v>18</v>
      </c>
      <c r="Q636" s="52" t="str">
        <f>$Q$11</f>
        <v>Alexia</v>
      </c>
      <c r="R636" s="51">
        <v>1</v>
      </c>
      <c r="S636" s="51">
        <v>1</v>
      </c>
      <c r="T636" s="51">
        <v>1</v>
      </c>
      <c r="U636" s="51">
        <v>1</v>
      </c>
      <c r="V636" s="51">
        <v>1</v>
      </c>
      <c r="W636" s="51">
        <v>1</v>
      </c>
      <c r="X636" s="51">
        <v>1</v>
      </c>
      <c r="Y636" s="51">
        <v>1</v>
      </c>
      <c r="Z636" s="51">
        <v>1</v>
      </c>
      <c r="AA636" s="51">
        <v>1</v>
      </c>
      <c r="AB636" s="51">
        <v>1</v>
      </c>
      <c r="AC636" s="51">
        <v>1</v>
      </c>
    </row>
    <row r="637" spans="2:29" ht="15.6" x14ac:dyDescent="0.55000000000000004">
      <c r="B637" s="1"/>
      <c r="C637" s="52" t="str">
        <f>$Q$12</f>
        <v>Joao</v>
      </c>
      <c r="D637" s="51">
        <f t="shared" ref="D637:O637" si="280">C174+D174</f>
        <v>0</v>
      </c>
      <c r="E637" s="51">
        <f t="shared" si="280"/>
        <v>0</v>
      </c>
      <c r="F637" s="51">
        <f t="shared" si="280"/>
        <v>0</v>
      </c>
      <c r="G637" s="51">
        <f t="shared" si="280"/>
        <v>0</v>
      </c>
      <c r="H637" s="51">
        <f t="shared" si="280"/>
        <v>0</v>
      </c>
      <c r="I637" s="51">
        <f t="shared" si="280"/>
        <v>0</v>
      </c>
      <c r="J637" s="51">
        <f t="shared" si="280"/>
        <v>0</v>
      </c>
      <c r="K637" s="51">
        <f t="shared" si="280"/>
        <v>0</v>
      </c>
      <c r="L637" s="51">
        <f t="shared" si="280"/>
        <v>1</v>
      </c>
      <c r="M637" s="51">
        <f t="shared" si="280"/>
        <v>1</v>
      </c>
      <c r="N637" s="51">
        <f t="shared" si="280"/>
        <v>0</v>
      </c>
      <c r="O637" s="51">
        <f t="shared" si="280"/>
        <v>0</v>
      </c>
      <c r="P637" s="28" t="s">
        <v>18</v>
      </c>
      <c r="Q637" s="52" t="str">
        <f>$Q$12</f>
        <v>Joao</v>
      </c>
      <c r="R637" s="51">
        <v>1</v>
      </c>
      <c r="S637" s="51">
        <v>1</v>
      </c>
      <c r="T637" s="51">
        <v>1</v>
      </c>
      <c r="U637" s="51">
        <v>1</v>
      </c>
      <c r="V637" s="51">
        <v>1</v>
      </c>
      <c r="W637" s="51">
        <v>1</v>
      </c>
      <c r="X637" s="51">
        <v>1</v>
      </c>
      <c r="Y637" s="51">
        <v>1</v>
      </c>
      <c r="Z637" s="51">
        <v>1</v>
      </c>
      <c r="AA637" s="51">
        <v>1</v>
      </c>
      <c r="AB637" s="51">
        <v>1</v>
      </c>
      <c r="AC637" s="51">
        <v>1</v>
      </c>
    </row>
    <row r="638" spans="2:29" ht="15.6" x14ac:dyDescent="0.55000000000000004">
      <c r="B638" s="1"/>
      <c r="C638" s="57" t="str">
        <f>$Q$13</f>
        <v>Maxime</v>
      </c>
      <c r="D638" s="51">
        <f t="shared" ref="D638:O638" si="281">C175+D175</f>
        <v>0</v>
      </c>
      <c r="E638" s="51">
        <f t="shared" si="281"/>
        <v>0</v>
      </c>
      <c r="F638" s="51">
        <f t="shared" si="281"/>
        <v>0</v>
      </c>
      <c r="G638" s="51">
        <f t="shared" si="281"/>
        <v>0</v>
      </c>
      <c r="H638" s="51">
        <f t="shared" si="281"/>
        <v>0</v>
      </c>
      <c r="I638" s="51">
        <f t="shared" si="281"/>
        <v>0</v>
      </c>
      <c r="J638" s="51">
        <f t="shared" si="281"/>
        <v>0</v>
      </c>
      <c r="K638" s="51">
        <f t="shared" si="281"/>
        <v>0</v>
      </c>
      <c r="L638" s="51">
        <f t="shared" si="281"/>
        <v>0</v>
      </c>
      <c r="M638" s="51">
        <f t="shared" si="281"/>
        <v>0</v>
      </c>
      <c r="N638" s="51">
        <f t="shared" si="281"/>
        <v>0</v>
      </c>
      <c r="O638" s="51">
        <f t="shared" si="281"/>
        <v>0</v>
      </c>
      <c r="P638" s="28" t="s">
        <v>18</v>
      </c>
      <c r="Q638" s="57" t="str">
        <f>$Q$13</f>
        <v>Maxime</v>
      </c>
      <c r="R638" s="51">
        <v>1</v>
      </c>
      <c r="S638" s="51">
        <v>1</v>
      </c>
      <c r="T638" s="51">
        <v>1</v>
      </c>
      <c r="U638" s="51">
        <v>1</v>
      </c>
      <c r="V638" s="51">
        <v>1</v>
      </c>
      <c r="W638" s="51">
        <v>1</v>
      </c>
      <c r="X638" s="51">
        <v>1</v>
      </c>
      <c r="Y638" s="51">
        <v>1</v>
      </c>
      <c r="Z638" s="51">
        <v>1</v>
      </c>
      <c r="AA638" s="51">
        <v>1</v>
      </c>
      <c r="AB638" s="51">
        <v>1</v>
      </c>
      <c r="AC638" s="51">
        <v>1</v>
      </c>
    </row>
    <row r="639" spans="2:29" ht="15.6" x14ac:dyDescent="0.55000000000000004">
      <c r="B639" s="1"/>
      <c r="C639" s="46" t="str">
        <f>$Q$14</f>
        <v>Alex</v>
      </c>
      <c r="D639" s="51">
        <f t="shared" ref="D639:O639" si="282">C176+D176</f>
        <v>0</v>
      </c>
      <c r="E639" s="51">
        <f t="shared" si="282"/>
        <v>0</v>
      </c>
      <c r="F639" s="51">
        <f t="shared" si="282"/>
        <v>0</v>
      </c>
      <c r="G639" s="51">
        <f t="shared" si="282"/>
        <v>0</v>
      </c>
      <c r="H639" s="51">
        <f t="shared" si="282"/>
        <v>0</v>
      </c>
      <c r="I639" s="51">
        <f t="shared" si="282"/>
        <v>0</v>
      </c>
      <c r="J639" s="51">
        <f t="shared" si="282"/>
        <v>0</v>
      </c>
      <c r="K639" s="51">
        <f t="shared" si="282"/>
        <v>0</v>
      </c>
      <c r="L639" s="51">
        <f t="shared" si="282"/>
        <v>0</v>
      </c>
      <c r="M639" s="51">
        <f t="shared" si="282"/>
        <v>0</v>
      </c>
      <c r="N639" s="51">
        <f t="shared" si="282"/>
        <v>0</v>
      </c>
      <c r="O639" s="51">
        <f t="shared" si="282"/>
        <v>0</v>
      </c>
      <c r="P639" s="28" t="s">
        <v>18</v>
      </c>
      <c r="Q639" s="46" t="str">
        <f>$Q$14</f>
        <v>Alex</v>
      </c>
      <c r="R639" s="51">
        <v>1</v>
      </c>
      <c r="S639" s="51">
        <v>1</v>
      </c>
      <c r="T639" s="51">
        <v>1</v>
      </c>
      <c r="U639" s="51">
        <v>1</v>
      </c>
      <c r="V639" s="51">
        <v>1</v>
      </c>
      <c r="W639" s="51">
        <v>1</v>
      </c>
      <c r="X639" s="51">
        <v>1</v>
      </c>
      <c r="Y639" s="51">
        <v>1</v>
      </c>
      <c r="Z639" s="51">
        <v>1</v>
      </c>
      <c r="AA639" s="51">
        <v>1</v>
      </c>
      <c r="AB639" s="51">
        <v>1</v>
      </c>
      <c r="AC639" s="51">
        <v>1</v>
      </c>
    </row>
    <row r="640" spans="2:29" ht="15.6" x14ac:dyDescent="0.55000000000000004">
      <c r="B640" s="1"/>
      <c r="C640" s="52" t="str">
        <f>$Q$15</f>
        <v>Alyssa</v>
      </c>
      <c r="D640" s="51">
        <f t="shared" ref="D640:O640" si="283">C177+D177</f>
        <v>0</v>
      </c>
      <c r="E640" s="51">
        <f t="shared" si="283"/>
        <v>0</v>
      </c>
      <c r="F640" s="51">
        <f t="shared" si="283"/>
        <v>0</v>
      </c>
      <c r="G640" s="51">
        <f t="shared" si="283"/>
        <v>0</v>
      </c>
      <c r="H640" s="51">
        <f t="shared" si="283"/>
        <v>0</v>
      </c>
      <c r="I640" s="51">
        <f t="shared" si="283"/>
        <v>0</v>
      </c>
      <c r="J640" s="51">
        <f t="shared" si="283"/>
        <v>1</v>
      </c>
      <c r="K640" s="51">
        <f t="shared" si="283"/>
        <v>1</v>
      </c>
      <c r="L640" s="51">
        <f t="shared" si="283"/>
        <v>0</v>
      </c>
      <c r="M640" s="51">
        <f t="shared" si="283"/>
        <v>0</v>
      </c>
      <c r="N640" s="51">
        <f t="shared" si="283"/>
        <v>0</v>
      </c>
      <c r="O640" s="51">
        <f t="shared" si="283"/>
        <v>0</v>
      </c>
      <c r="P640" s="28" t="s">
        <v>18</v>
      </c>
      <c r="Q640" s="52" t="str">
        <f>$Q$15</f>
        <v>Alyssa</v>
      </c>
      <c r="R640" s="51">
        <v>1</v>
      </c>
      <c r="S640" s="51">
        <v>1</v>
      </c>
      <c r="T640" s="51">
        <v>1</v>
      </c>
      <c r="U640" s="51">
        <v>1</v>
      </c>
      <c r="V640" s="51">
        <v>1</v>
      </c>
      <c r="W640" s="51">
        <v>1</v>
      </c>
      <c r="X640" s="51">
        <v>1</v>
      </c>
      <c r="Y640" s="51">
        <v>1</v>
      </c>
      <c r="Z640" s="51">
        <v>1</v>
      </c>
      <c r="AA640" s="51">
        <v>1</v>
      </c>
      <c r="AB640" s="51">
        <v>1</v>
      </c>
      <c r="AC640" s="51">
        <v>1</v>
      </c>
    </row>
    <row r="641" spans="2:29" ht="15.6" x14ac:dyDescent="0.55000000000000004">
      <c r="B641" s="1"/>
      <c r="C641" s="52" t="str">
        <f>$Q$16</f>
        <v>Amanda</v>
      </c>
      <c r="D641" s="51">
        <f t="shared" ref="D641:O641" si="284">C178+D178</f>
        <v>0</v>
      </c>
      <c r="E641" s="51">
        <f t="shared" si="284"/>
        <v>1</v>
      </c>
      <c r="F641" s="51">
        <f t="shared" si="284"/>
        <v>1</v>
      </c>
      <c r="G641" s="51">
        <f t="shared" si="284"/>
        <v>0</v>
      </c>
      <c r="H641" s="51">
        <f t="shared" si="284"/>
        <v>1</v>
      </c>
      <c r="I641" s="51">
        <f t="shared" si="284"/>
        <v>1</v>
      </c>
      <c r="J641" s="51">
        <f t="shared" si="284"/>
        <v>0</v>
      </c>
      <c r="K641" s="51">
        <f t="shared" si="284"/>
        <v>0</v>
      </c>
      <c r="L641" s="51">
        <f t="shared" si="284"/>
        <v>0</v>
      </c>
      <c r="M641" s="51">
        <f t="shared" si="284"/>
        <v>0</v>
      </c>
      <c r="N641" s="51">
        <f t="shared" si="284"/>
        <v>0</v>
      </c>
      <c r="O641" s="51">
        <f t="shared" si="284"/>
        <v>0</v>
      </c>
      <c r="P641" s="28" t="s">
        <v>18</v>
      </c>
      <c r="Q641" s="52" t="str">
        <f>$Q$16</f>
        <v>Amanda</v>
      </c>
      <c r="R641" s="51">
        <v>1</v>
      </c>
      <c r="S641" s="51">
        <v>1</v>
      </c>
      <c r="T641" s="51">
        <v>1</v>
      </c>
      <c r="U641" s="51">
        <v>1</v>
      </c>
      <c r="V641" s="51">
        <v>1</v>
      </c>
      <c r="W641" s="51">
        <v>1</v>
      </c>
      <c r="X641" s="51">
        <v>1</v>
      </c>
      <c r="Y641" s="51">
        <v>1</v>
      </c>
      <c r="Z641" s="51">
        <v>1</v>
      </c>
      <c r="AA641" s="51">
        <v>1</v>
      </c>
      <c r="AB641" s="51">
        <v>1</v>
      </c>
      <c r="AC641" s="51">
        <v>1</v>
      </c>
    </row>
    <row r="642" spans="2:29" ht="15.6" x14ac:dyDescent="0.55000000000000004">
      <c r="B642" s="1"/>
      <c r="C642" s="52" t="str">
        <f>$Q$17</f>
        <v>Antoine</v>
      </c>
      <c r="D642" s="51">
        <f t="shared" ref="D642:O642" si="285">C179+D179</f>
        <v>0</v>
      </c>
      <c r="E642" s="51">
        <f t="shared" si="285"/>
        <v>0</v>
      </c>
      <c r="F642" s="51">
        <f t="shared" si="285"/>
        <v>0</v>
      </c>
      <c r="G642" s="51">
        <f t="shared" si="285"/>
        <v>0</v>
      </c>
      <c r="H642" s="51">
        <f t="shared" si="285"/>
        <v>0</v>
      </c>
      <c r="I642" s="51">
        <f t="shared" si="285"/>
        <v>0</v>
      </c>
      <c r="J642" s="51">
        <f t="shared" si="285"/>
        <v>0</v>
      </c>
      <c r="K642" s="51">
        <f t="shared" si="285"/>
        <v>0</v>
      </c>
      <c r="L642" s="51">
        <f t="shared" si="285"/>
        <v>0</v>
      </c>
      <c r="M642" s="51">
        <f t="shared" si="285"/>
        <v>0</v>
      </c>
      <c r="N642" s="51">
        <f t="shared" si="285"/>
        <v>0</v>
      </c>
      <c r="O642" s="51">
        <f t="shared" si="285"/>
        <v>0</v>
      </c>
      <c r="P642" s="28" t="s">
        <v>18</v>
      </c>
      <c r="Q642" s="52" t="str">
        <f>$Q$17</f>
        <v>Antoine</v>
      </c>
      <c r="R642" s="51">
        <v>1</v>
      </c>
      <c r="S642" s="51">
        <v>1</v>
      </c>
      <c r="T642" s="51">
        <v>1</v>
      </c>
      <c r="U642" s="51">
        <v>1</v>
      </c>
      <c r="V642" s="51">
        <v>1</v>
      </c>
      <c r="W642" s="51">
        <v>1</v>
      </c>
      <c r="X642" s="51">
        <v>1</v>
      </c>
      <c r="Y642" s="51">
        <v>1</v>
      </c>
      <c r="Z642" s="51">
        <v>1</v>
      </c>
      <c r="AA642" s="51">
        <v>1</v>
      </c>
      <c r="AB642" s="51">
        <v>1</v>
      </c>
      <c r="AC642" s="51">
        <v>1</v>
      </c>
    </row>
    <row r="643" spans="2:29" ht="15.6" x14ac:dyDescent="0.55000000000000004">
      <c r="B643" s="1"/>
      <c r="C643" s="52" t="str">
        <f>$Q$18</f>
        <v>Beatriz</v>
      </c>
      <c r="D643" s="51">
        <f t="shared" ref="D643:O643" si="286">C180+D180</f>
        <v>0</v>
      </c>
      <c r="E643" s="51">
        <f t="shared" si="286"/>
        <v>0</v>
      </c>
      <c r="F643" s="51">
        <f t="shared" si="286"/>
        <v>0</v>
      </c>
      <c r="G643" s="51">
        <f t="shared" si="286"/>
        <v>0</v>
      </c>
      <c r="H643" s="51">
        <f t="shared" si="286"/>
        <v>0</v>
      </c>
      <c r="I643" s="51">
        <f t="shared" si="286"/>
        <v>0</v>
      </c>
      <c r="J643" s="51">
        <f t="shared" si="286"/>
        <v>0</v>
      </c>
      <c r="K643" s="51">
        <f t="shared" si="286"/>
        <v>0</v>
      </c>
      <c r="L643" s="51">
        <f t="shared" si="286"/>
        <v>0</v>
      </c>
      <c r="M643" s="51">
        <f t="shared" si="286"/>
        <v>0</v>
      </c>
      <c r="N643" s="51">
        <f t="shared" si="286"/>
        <v>0</v>
      </c>
      <c r="O643" s="51">
        <f t="shared" si="286"/>
        <v>0</v>
      </c>
      <c r="P643" s="28" t="s">
        <v>18</v>
      </c>
      <c r="Q643" s="52" t="str">
        <f>$Q$18</f>
        <v>Beatriz</v>
      </c>
      <c r="R643" s="51">
        <v>1</v>
      </c>
      <c r="S643" s="51">
        <v>1</v>
      </c>
      <c r="T643" s="51">
        <v>1</v>
      </c>
      <c r="U643" s="51">
        <v>1</v>
      </c>
      <c r="V643" s="51">
        <v>1</v>
      </c>
      <c r="W643" s="51">
        <v>1</v>
      </c>
      <c r="X643" s="51">
        <v>1</v>
      </c>
      <c r="Y643" s="51">
        <v>1</v>
      </c>
      <c r="Z643" s="51">
        <v>1</v>
      </c>
      <c r="AA643" s="51">
        <v>1</v>
      </c>
      <c r="AB643" s="51">
        <v>1</v>
      </c>
      <c r="AC643" s="51">
        <v>1</v>
      </c>
    </row>
    <row r="644" spans="2:29" ht="15.6" x14ac:dyDescent="0.55000000000000004">
      <c r="B644" s="1"/>
      <c r="C644" s="52" t="str">
        <f>$Q$19</f>
        <v>Charelle</v>
      </c>
      <c r="D644" s="51">
        <f t="shared" ref="D644:O644" si="287">C181+D181</f>
        <v>0</v>
      </c>
      <c r="E644" s="51">
        <f t="shared" si="287"/>
        <v>1</v>
      </c>
      <c r="F644" s="51">
        <f t="shared" si="287"/>
        <v>1</v>
      </c>
      <c r="G644" s="51">
        <f t="shared" si="287"/>
        <v>0</v>
      </c>
      <c r="H644" s="51">
        <f t="shared" si="287"/>
        <v>0</v>
      </c>
      <c r="I644" s="51">
        <f t="shared" si="287"/>
        <v>0</v>
      </c>
      <c r="J644" s="51">
        <f t="shared" si="287"/>
        <v>0</v>
      </c>
      <c r="K644" s="51">
        <f t="shared" si="287"/>
        <v>0</v>
      </c>
      <c r="L644" s="51">
        <f t="shared" si="287"/>
        <v>0</v>
      </c>
      <c r="M644" s="51">
        <f t="shared" si="287"/>
        <v>0</v>
      </c>
      <c r="N644" s="51">
        <f t="shared" si="287"/>
        <v>0</v>
      </c>
      <c r="O644" s="51">
        <f t="shared" si="287"/>
        <v>0</v>
      </c>
      <c r="P644" s="28" t="s">
        <v>18</v>
      </c>
      <c r="Q644" s="52" t="str">
        <f>$Q$19</f>
        <v>Charelle</v>
      </c>
      <c r="R644" s="51">
        <v>1</v>
      </c>
      <c r="S644" s="51">
        <v>1</v>
      </c>
      <c r="T644" s="51">
        <v>1</v>
      </c>
      <c r="U644" s="51">
        <v>1</v>
      </c>
      <c r="V644" s="51">
        <v>1</v>
      </c>
      <c r="W644" s="51">
        <v>1</v>
      </c>
      <c r="X644" s="51">
        <v>1</v>
      </c>
      <c r="Y644" s="51">
        <v>1</v>
      </c>
      <c r="Z644" s="51">
        <v>1</v>
      </c>
      <c r="AA644" s="51">
        <v>1</v>
      </c>
      <c r="AB644" s="51">
        <v>1</v>
      </c>
      <c r="AC644" s="51">
        <v>1</v>
      </c>
    </row>
    <row r="645" spans="2:29" ht="15.6" x14ac:dyDescent="0.55000000000000004">
      <c r="B645" s="1"/>
      <c r="C645" s="52" t="str">
        <f>$Q$20</f>
        <v>Dimitri</v>
      </c>
      <c r="D645" s="51">
        <f t="shared" ref="D645:O645" si="288">C182+D182</f>
        <v>0</v>
      </c>
      <c r="E645" s="51">
        <f t="shared" si="288"/>
        <v>0</v>
      </c>
      <c r="F645" s="51">
        <f t="shared" si="288"/>
        <v>0</v>
      </c>
      <c r="G645" s="51">
        <f t="shared" si="288"/>
        <v>0</v>
      </c>
      <c r="H645" s="51">
        <f t="shared" si="288"/>
        <v>0</v>
      </c>
      <c r="I645" s="51">
        <f t="shared" si="288"/>
        <v>0</v>
      </c>
      <c r="J645" s="51">
        <f t="shared" si="288"/>
        <v>0</v>
      </c>
      <c r="K645" s="51">
        <f t="shared" si="288"/>
        <v>0</v>
      </c>
      <c r="L645" s="51">
        <f t="shared" si="288"/>
        <v>0</v>
      </c>
      <c r="M645" s="51">
        <f t="shared" si="288"/>
        <v>0</v>
      </c>
      <c r="N645" s="51">
        <f t="shared" si="288"/>
        <v>0</v>
      </c>
      <c r="O645" s="51">
        <f t="shared" si="288"/>
        <v>0</v>
      </c>
      <c r="P645" s="28" t="s">
        <v>18</v>
      </c>
      <c r="Q645" s="52" t="str">
        <f>$Q$20</f>
        <v>Dimitri</v>
      </c>
      <c r="R645" s="51">
        <v>1</v>
      </c>
      <c r="S645" s="51">
        <v>1</v>
      </c>
      <c r="T645" s="51">
        <v>1</v>
      </c>
      <c r="U645" s="51">
        <v>1</v>
      </c>
      <c r="V645" s="51">
        <v>1</v>
      </c>
      <c r="W645" s="51">
        <v>1</v>
      </c>
      <c r="X645" s="51">
        <v>1</v>
      </c>
      <c r="Y645" s="51">
        <v>1</v>
      </c>
      <c r="Z645" s="51">
        <v>1</v>
      </c>
      <c r="AA645" s="51">
        <v>1</v>
      </c>
      <c r="AB645" s="51">
        <v>1</v>
      </c>
      <c r="AC645" s="51">
        <v>1</v>
      </c>
    </row>
    <row r="646" spans="2:29" ht="15.6" x14ac:dyDescent="0.55000000000000004">
      <c r="B646" s="1"/>
      <c r="C646" s="52" t="str">
        <f>$Q$21</f>
        <v>Marina</v>
      </c>
      <c r="D646" s="51">
        <f t="shared" ref="D646:O646" si="289">C183+D183</f>
        <v>0</v>
      </c>
      <c r="E646" s="51">
        <f t="shared" si="289"/>
        <v>0</v>
      </c>
      <c r="F646" s="51">
        <f t="shared" si="289"/>
        <v>1</v>
      </c>
      <c r="G646" s="51">
        <f t="shared" si="289"/>
        <v>1</v>
      </c>
      <c r="H646" s="51">
        <f t="shared" si="289"/>
        <v>1</v>
      </c>
      <c r="I646" s="51">
        <f t="shared" si="289"/>
        <v>1</v>
      </c>
      <c r="J646" s="51">
        <f t="shared" si="289"/>
        <v>0</v>
      </c>
      <c r="K646" s="51">
        <f t="shared" si="289"/>
        <v>0</v>
      </c>
      <c r="L646" s="51">
        <f t="shared" si="289"/>
        <v>0</v>
      </c>
      <c r="M646" s="51">
        <f t="shared" si="289"/>
        <v>0</v>
      </c>
      <c r="N646" s="51">
        <f t="shared" si="289"/>
        <v>0</v>
      </c>
      <c r="O646" s="51">
        <f t="shared" si="289"/>
        <v>0</v>
      </c>
      <c r="P646" s="28" t="s">
        <v>18</v>
      </c>
      <c r="Q646" s="52" t="str">
        <f>$Q$21</f>
        <v>Marina</v>
      </c>
      <c r="R646" s="51">
        <v>1</v>
      </c>
      <c r="S646" s="51">
        <v>1</v>
      </c>
      <c r="T646" s="51">
        <v>1</v>
      </c>
      <c r="U646" s="51">
        <v>1</v>
      </c>
      <c r="V646" s="51">
        <v>1</v>
      </c>
      <c r="W646" s="51">
        <v>1</v>
      </c>
      <c r="X646" s="51">
        <v>1</v>
      </c>
      <c r="Y646" s="51">
        <v>1</v>
      </c>
      <c r="Z646" s="51">
        <v>1</v>
      </c>
      <c r="AA646" s="51">
        <v>1</v>
      </c>
      <c r="AB646" s="51">
        <v>1</v>
      </c>
      <c r="AC646" s="51">
        <v>1</v>
      </c>
    </row>
    <row r="647" spans="2:29" ht="15.6" x14ac:dyDescent="0.55000000000000004">
      <c r="B647" s="1"/>
      <c r="C647" s="52" t="str">
        <f>$Q$22</f>
        <v>Michel</v>
      </c>
      <c r="D647" s="51">
        <f t="shared" ref="D647:O647" si="290">C184+D184</f>
        <v>0</v>
      </c>
      <c r="E647" s="51">
        <f t="shared" si="290"/>
        <v>0</v>
      </c>
      <c r="F647" s="51">
        <f t="shared" si="290"/>
        <v>0</v>
      </c>
      <c r="G647" s="51">
        <f t="shared" si="290"/>
        <v>0</v>
      </c>
      <c r="H647" s="51">
        <f t="shared" si="290"/>
        <v>0</v>
      </c>
      <c r="I647" s="51">
        <f t="shared" si="290"/>
        <v>1</v>
      </c>
      <c r="J647" s="51">
        <f t="shared" si="290"/>
        <v>1</v>
      </c>
      <c r="K647" s="51">
        <f t="shared" si="290"/>
        <v>0</v>
      </c>
      <c r="L647" s="51">
        <f t="shared" si="290"/>
        <v>0</v>
      </c>
      <c r="M647" s="51">
        <f t="shared" si="290"/>
        <v>0</v>
      </c>
      <c r="N647" s="51">
        <f t="shared" si="290"/>
        <v>0</v>
      </c>
      <c r="O647" s="51">
        <f t="shared" si="290"/>
        <v>0</v>
      </c>
      <c r="P647" s="28" t="s">
        <v>18</v>
      </c>
      <c r="Q647" s="52" t="str">
        <f>$Q$22</f>
        <v>Michel</v>
      </c>
      <c r="R647" s="51">
        <v>1</v>
      </c>
      <c r="S647" s="51">
        <v>1</v>
      </c>
      <c r="T647" s="51">
        <v>1</v>
      </c>
      <c r="U647" s="51">
        <v>1</v>
      </c>
      <c r="V647" s="51">
        <v>1</v>
      </c>
      <c r="W647" s="51">
        <v>1</v>
      </c>
      <c r="X647" s="51">
        <v>1</v>
      </c>
      <c r="Y647" s="51">
        <v>1</v>
      </c>
      <c r="Z647" s="51">
        <v>1</v>
      </c>
      <c r="AA647" s="51">
        <v>1</v>
      </c>
      <c r="AB647" s="51">
        <v>1</v>
      </c>
      <c r="AC647" s="51">
        <v>1</v>
      </c>
    </row>
    <row r="648" spans="2:29" ht="15.6" x14ac:dyDescent="0.55000000000000004">
      <c r="B648" s="1"/>
      <c r="C648" s="52" t="str">
        <f>$Q$23</f>
        <v>Nour</v>
      </c>
      <c r="D648" s="51">
        <f t="shared" ref="D648:O648" si="291">C185+D185</f>
        <v>0</v>
      </c>
      <c r="E648" s="51">
        <f t="shared" si="291"/>
        <v>0</v>
      </c>
      <c r="F648" s="51">
        <f t="shared" si="291"/>
        <v>0</v>
      </c>
      <c r="G648" s="51">
        <f t="shared" si="291"/>
        <v>0</v>
      </c>
      <c r="H648" s="51">
        <f t="shared" si="291"/>
        <v>0</v>
      </c>
      <c r="I648" s="51">
        <f t="shared" si="291"/>
        <v>0</v>
      </c>
      <c r="J648" s="51">
        <f t="shared" si="291"/>
        <v>0</v>
      </c>
      <c r="K648" s="51">
        <f t="shared" si="291"/>
        <v>0</v>
      </c>
      <c r="L648" s="51">
        <f t="shared" si="291"/>
        <v>0</v>
      </c>
      <c r="M648" s="51">
        <f t="shared" si="291"/>
        <v>0</v>
      </c>
      <c r="N648" s="51">
        <f t="shared" si="291"/>
        <v>0</v>
      </c>
      <c r="O648" s="51">
        <f t="shared" si="291"/>
        <v>0</v>
      </c>
      <c r="P648" s="28" t="s">
        <v>18</v>
      </c>
      <c r="Q648" s="52" t="str">
        <f>$Q$23</f>
        <v>Nour</v>
      </c>
      <c r="R648" s="51">
        <v>1</v>
      </c>
      <c r="S648" s="51">
        <v>1</v>
      </c>
      <c r="T648" s="51">
        <v>1</v>
      </c>
      <c r="U648" s="51">
        <v>1</v>
      </c>
      <c r="V648" s="51">
        <v>1</v>
      </c>
      <c r="W648" s="51">
        <v>1</v>
      </c>
      <c r="X648" s="51">
        <v>1</v>
      </c>
      <c r="Y648" s="51">
        <v>1</v>
      </c>
      <c r="Z648" s="51">
        <v>1</v>
      </c>
      <c r="AA648" s="51">
        <v>1</v>
      </c>
      <c r="AB648" s="51">
        <v>1</v>
      </c>
      <c r="AC648" s="51">
        <v>1</v>
      </c>
    </row>
    <row r="649" spans="2:29" ht="15.6" x14ac:dyDescent="0.55000000000000004">
      <c r="B649" s="1"/>
      <c r="C649" s="52" t="str">
        <f>$Q$24</f>
        <v>Samuel</v>
      </c>
      <c r="D649" s="51">
        <f t="shared" ref="D649:O649" si="292">C186+D186</f>
        <v>0</v>
      </c>
      <c r="E649" s="51">
        <f t="shared" si="292"/>
        <v>0</v>
      </c>
      <c r="F649" s="51">
        <f t="shared" si="292"/>
        <v>0</v>
      </c>
      <c r="G649" s="51">
        <f t="shared" si="292"/>
        <v>0</v>
      </c>
      <c r="H649" s="51">
        <f t="shared" si="292"/>
        <v>0</v>
      </c>
      <c r="I649" s="51">
        <f t="shared" si="292"/>
        <v>0</v>
      </c>
      <c r="J649" s="51">
        <f t="shared" si="292"/>
        <v>0</v>
      </c>
      <c r="K649" s="51">
        <f t="shared" si="292"/>
        <v>0</v>
      </c>
      <c r="L649" s="51">
        <f t="shared" si="292"/>
        <v>0</v>
      </c>
      <c r="M649" s="51">
        <f t="shared" si="292"/>
        <v>0</v>
      </c>
      <c r="N649" s="51">
        <f t="shared" si="292"/>
        <v>0</v>
      </c>
      <c r="O649" s="51">
        <f t="shared" si="292"/>
        <v>0</v>
      </c>
      <c r="P649" s="28" t="s">
        <v>18</v>
      </c>
      <c r="Q649" s="52" t="str">
        <f>$Q$24</f>
        <v>Samuel</v>
      </c>
      <c r="R649" s="51">
        <v>1</v>
      </c>
      <c r="S649" s="51">
        <v>1</v>
      </c>
      <c r="T649" s="51">
        <v>1</v>
      </c>
      <c r="U649" s="51">
        <v>1</v>
      </c>
      <c r="V649" s="51">
        <v>1</v>
      </c>
      <c r="W649" s="51">
        <v>1</v>
      </c>
      <c r="X649" s="51">
        <v>1</v>
      </c>
      <c r="Y649" s="51">
        <v>1</v>
      </c>
      <c r="Z649" s="51">
        <v>1</v>
      </c>
      <c r="AA649" s="51">
        <v>1</v>
      </c>
      <c r="AB649" s="51">
        <v>1</v>
      </c>
      <c r="AC649" s="51">
        <v>1</v>
      </c>
    </row>
    <row r="650" spans="2:29" ht="15.6" x14ac:dyDescent="0.55000000000000004">
      <c r="B650" s="1"/>
      <c r="C650" s="52" t="str">
        <f>$Q$25</f>
        <v>Yassin</v>
      </c>
      <c r="D650" s="51">
        <f t="shared" ref="D650:O650" si="293">C187+D187</f>
        <v>0</v>
      </c>
      <c r="E650" s="51">
        <f t="shared" si="293"/>
        <v>0</v>
      </c>
      <c r="F650" s="51">
        <f t="shared" si="293"/>
        <v>0</v>
      </c>
      <c r="G650" s="51">
        <f t="shared" si="293"/>
        <v>1</v>
      </c>
      <c r="H650" s="51">
        <f t="shared" si="293"/>
        <v>1</v>
      </c>
      <c r="I650" s="51">
        <f t="shared" si="293"/>
        <v>0</v>
      </c>
      <c r="J650" s="51">
        <f t="shared" si="293"/>
        <v>0</v>
      </c>
      <c r="K650" s="51">
        <f t="shared" si="293"/>
        <v>0</v>
      </c>
      <c r="L650" s="51">
        <f t="shared" si="293"/>
        <v>0</v>
      </c>
      <c r="M650" s="51">
        <f t="shared" si="293"/>
        <v>1</v>
      </c>
      <c r="N650" s="51">
        <f t="shared" si="293"/>
        <v>1</v>
      </c>
      <c r="O650" s="51">
        <f t="shared" si="293"/>
        <v>0</v>
      </c>
      <c r="P650" s="28" t="s">
        <v>18</v>
      </c>
      <c r="Q650" s="52" t="str">
        <f>$Q$25</f>
        <v>Yassin</v>
      </c>
      <c r="R650" s="51">
        <v>1</v>
      </c>
      <c r="S650" s="51">
        <v>1</v>
      </c>
      <c r="T650" s="51">
        <v>1</v>
      </c>
      <c r="U650" s="51">
        <v>1</v>
      </c>
      <c r="V650" s="51">
        <v>1</v>
      </c>
      <c r="W650" s="51">
        <v>1</v>
      </c>
      <c r="X650" s="51">
        <v>1</v>
      </c>
      <c r="Y650" s="51">
        <v>1</v>
      </c>
      <c r="Z650" s="51">
        <v>1</v>
      </c>
      <c r="AA650" s="51">
        <v>1</v>
      </c>
      <c r="AB650" s="51">
        <v>1</v>
      </c>
      <c r="AC650" s="51">
        <v>1</v>
      </c>
    </row>
    <row r="651" spans="2:29" ht="15.6" x14ac:dyDescent="0.55000000000000004">
      <c r="B651" s="1"/>
      <c r="C651" s="52" t="str">
        <f>$Q$26</f>
        <v>Kamar</v>
      </c>
      <c r="D651" s="51">
        <f t="shared" ref="D651:O651" si="294">C188+D188</f>
        <v>0</v>
      </c>
      <c r="E651" s="51">
        <f t="shared" si="294"/>
        <v>0</v>
      </c>
      <c r="F651" s="51">
        <f t="shared" si="294"/>
        <v>0</v>
      </c>
      <c r="G651" s="51">
        <f t="shared" si="294"/>
        <v>0</v>
      </c>
      <c r="H651" s="51">
        <f t="shared" si="294"/>
        <v>0</v>
      </c>
      <c r="I651" s="51">
        <f t="shared" si="294"/>
        <v>0</v>
      </c>
      <c r="J651" s="51">
        <f t="shared" si="294"/>
        <v>0</v>
      </c>
      <c r="K651" s="51">
        <f t="shared" si="294"/>
        <v>0</v>
      </c>
      <c r="L651" s="51">
        <f t="shared" si="294"/>
        <v>0</v>
      </c>
      <c r="M651" s="51">
        <f t="shared" si="294"/>
        <v>0</v>
      </c>
      <c r="N651" s="51">
        <f t="shared" si="294"/>
        <v>0</v>
      </c>
      <c r="O651" s="51">
        <f t="shared" si="294"/>
        <v>0</v>
      </c>
      <c r="P651" s="28" t="s">
        <v>18</v>
      </c>
      <c r="Q651" s="52" t="str">
        <f>$Q$26</f>
        <v>Kamar</v>
      </c>
      <c r="R651" s="51">
        <v>1</v>
      </c>
      <c r="S651" s="51">
        <v>1</v>
      </c>
      <c r="T651" s="51">
        <v>1</v>
      </c>
      <c r="U651" s="51">
        <v>1</v>
      </c>
      <c r="V651" s="51">
        <v>1</v>
      </c>
      <c r="W651" s="51">
        <v>1</v>
      </c>
      <c r="X651" s="51">
        <v>1</v>
      </c>
      <c r="Y651" s="51">
        <v>1</v>
      </c>
      <c r="Z651" s="51">
        <v>1</v>
      </c>
      <c r="AA651" s="51">
        <v>1</v>
      </c>
      <c r="AB651" s="51">
        <v>1</v>
      </c>
      <c r="AC651" s="51">
        <v>1</v>
      </c>
    </row>
    <row r="652" spans="2:29" x14ac:dyDescent="0.55000000000000004">
      <c r="B652" s="1"/>
      <c r="C652" s="16"/>
    </row>
    <row r="653" spans="2:29" x14ac:dyDescent="0.55000000000000004">
      <c r="B653" s="1"/>
      <c r="C653" s="16"/>
    </row>
    <row r="654" spans="2:29" x14ac:dyDescent="0.55000000000000004">
      <c r="B654" s="1"/>
      <c r="C654" s="16" t="s">
        <v>87</v>
      </c>
      <c r="D654" s="1" t="s">
        <v>70</v>
      </c>
      <c r="E654" s="1" t="s">
        <v>71</v>
      </c>
      <c r="F654" s="1" t="s">
        <v>72</v>
      </c>
      <c r="G654" s="1" t="s">
        <v>73</v>
      </c>
      <c r="H654" s="1" t="s">
        <v>74</v>
      </c>
      <c r="I654" s="1" t="s">
        <v>75</v>
      </c>
      <c r="J654" s="1" t="s">
        <v>76</v>
      </c>
      <c r="K654" s="1" t="s">
        <v>77</v>
      </c>
      <c r="L654" s="1" t="s">
        <v>78</v>
      </c>
      <c r="M654" s="1" t="s">
        <v>79</v>
      </c>
      <c r="N654" s="1" t="s">
        <v>80</v>
      </c>
      <c r="O654" s="1" t="s">
        <v>81</v>
      </c>
      <c r="Q654" s="16" t="s">
        <v>87</v>
      </c>
      <c r="R654" s="1" t="s">
        <v>70</v>
      </c>
      <c r="S654" s="1" t="s">
        <v>71</v>
      </c>
      <c r="T654" s="1" t="s">
        <v>72</v>
      </c>
      <c r="U654" s="1" t="s">
        <v>73</v>
      </c>
      <c r="V654" s="1" t="s">
        <v>74</v>
      </c>
      <c r="W654" s="1" t="s">
        <v>75</v>
      </c>
      <c r="X654" s="1" t="s">
        <v>76</v>
      </c>
      <c r="Y654" s="1" t="s">
        <v>77</v>
      </c>
      <c r="Z654" s="1" t="s">
        <v>78</v>
      </c>
      <c r="AA654" s="1" t="s">
        <v>79</v>
      </c>
      <c r="AB654" s="1" t="s">
        <v>80</v>
      </c>
      <c r="AC654" s="1" t="s">
        <v>81</v>
      </c>
    </row>
    <row r="655" spans="2:29" ht="15.6" x14ac:dyDescent="0.55000000000000004">
      <c r="B655" s="1"/>
      <c r="C655" s="46" t="str">
        <f>$Q$3</f>
        <v>Jennifer</v>
      </c>
      <c r="D655" s="51">
        <f t="shared" ref="D655:O655" si="295">C192+D192</f>
        <v>0</v>
      </c>
      <c r="E655" s="51">
        <f t="shared" si="295"/>
        <v>0</v>
      </c>
      <c r="F655" s="51">
        <f t="shared" si="295"/>
        <v>0</v>
      </c>
      <c r="G655" s="51">
        <f t="shared" si="295"/>
        <v>0</v>
      </c>
      <c r="H655" s="51">
        <f t="shared" si="295"/>
        <v>1</v>
      </c>
      <c r="I655" s="51">
        <f t="shared" si="295"/>
        <v>1</v>
      </c>
      <c r="J655" s="51">
        <f t="shared" si="295"/>
        <v>0</v>
      </c>
      <c r="K655" s="51">
        <f t="shared" si="295"/>
        <v>0</v>
      </c>
      <c r="L655" s="51">
        <f t="shared" si="295"/>
        <v>0</v>
      </c>
      <c r="M655" s="51">
        <f t="shared" si="295"/>
        <v>1</v>
      </c>
      <c r="N655" s="51">
        <f t="shared" si="295"/>
        <v>1</v>
      </c>
      <c r="O655" s="51">
        <f t="shared" si="295"/>
        <v>0</v>
      </c>
      <c r="P655" s="28" t="s">
        <v>18</v>
      </c>
      <c r="Q655" s="46" t="str">
        <f>$Q$3</f>
        <v>Jennifer</v>
      </c>
      <c r="R655" s="51">
        <v>1</v>
      </c>
      <c r="S655" s="51">
        <v>1</v>
      </c>
      <c r="T655" s="51">
        <v>1</v>
      </c>
      <c r="U655" s="51">
        <v>1</v>
      </c>
      <c r="V655" s="51">
        <v>1</v>
      </c>
      <c r="W655" s="51">
        <v>1</v>
      </c>
      <c r="X655" s="51">
        <v>1</v>
      </c>
      <c r="Y655" s="51">
        <v>1</v>
      </c>
      <c r="Z655" s="51">
        <v>1</v>
      </c>
      <c r="AA655" s="51">
        <v>1</v>
      </c>
      <c r="AB655" s="51">
        <v>1</v>
      </c>
      <c r="AC655" s="51">
        <v>1</v>
      </c>
    </row>
    <row r="656" spans="2:29" ht="15.6" x14ac:dyDescent="0.55000000000000004">
      <c r="B656" s="1"/>
      <c r="C656" s="52" t="str">
        <f>$Q$4</f>
        <v>Galileo</v>
      </c>
      <c r="D656" s="51">
        <f t="shared" ref="D656:O656" si="296">C193+D193</f>
        <v>0</v>
      </c>
      <c r="E656" s="51">
        <f t="shared" si="296"/>
        <v>0</v>
      </c>
      <c r="F656" s="51">
        <f t="shared" si="296"/>
        <v>0</v>
      </c>
      <c r="G656" s="51">
        <f t="shared" si="296"/>
        <v>0</v>
      </c>
      <c r="H656" s="51">
        <f t="shared" si="296"/>
        <v>0</v>
      </c>
      <c r="I656" s="51">
        <f t="shared" si="296"/>
        <v>0</v>
      </c>
      <c r="J656" s="51">
        <f t="shared" si="296"/>
        <v>0</v>
      </c>
      <c r="K656" s="51">
        <f t="shared" si="296"/>
        <v>0</v>
      </c>
      <c r="L656" s="51">
        <f t="shared" si="296"/>
        <v>0</v>
      </c>
      <c r="M656" s="51">
        <f t="shared" si="296"/>
        <v>0</v>
      </c>
      <c r="N656" s="51">
        <f t="shared" si="296"/>
        <v>0</v>
      </c>
      <c r="O656" s="51">
        <f t="shared" si="296"/>
        <v>0</v>
      </c>
      <c r="P656" s="28" t="s">
        <v>18</v>
      </c>
      <c r="Q656" s="52" t="str">
        <f>$Q$4</f>
        <v>Galileo</v>
      </c>
      <c r="R656" s="51">
        <v>1</v>
      </c>
      <c r="S656" s="51">
        <v>1</v>
      </c>
      <c r="T656" s="51">
        <v>1</v>
      </c>
      <c r="U656" s="51">
        <v>1</v>
      </c>
      <c r="V656" s="51">
        <v>1</v>
      </c>
      <c r="W656" s="51">
        <v>1</v>
      </c>
      <c r="X656" s="51">
        <v>1</v>
      </c>
      <c r="Y656" s="51">
        <v>1</v>
      </c>
      <c r="Z656" s="51">
        <v>1</v>
      </c>
      <c r="AA656" s="51">
        <v>1</v>
      </c>
      <c r="AB656" s="51">
        <v>1</v>
      </c>
      <c r="AC656" s="51">
        <v>1</v>
      </c>
    </row>
    <row r="657" spans="2:29" ht="15.6" x14ac:dyDescent="0.55000000000000004">
      <c r="B657" s="1"/>
      <c r="C657" s="52" t="str">
        <f>$Q$5</f>
        <v>Óscar</v>
      </c>
      <c r="D657" s="51">
        <f t="shared" ref="D657:O657" si="297">C194+D194</f>
        <v>0</v>
      </c>
      <c r="E657" s="51">
        <f t="shared" si="297"/>
        <v>0</v>
      </c>
      <c r="F657" s="51">
        <f t="shared" si="297"/>
        <v>0</v>
      </c>
      <c r="G657" s="51">
        <f t="shared" si="297"/>
        <v>0</v>
      </c>
      <c r="H657" s="51">
        <f t="shared" si="297"/>
        <v>0</v>
      </c>
      <c r="I657" s="51">
        <f t="shared" si="297"/>
        <v>0</v>
      </c>
      <c r="J657" s="51">
        <f t="shared" si="297"/>
        <v>0</v>
      </c>
      <c r="K657" s="51">
        <f t="shared" si="297"/>
        <v>0</v>
      </c>
      <c r="L657" s="51">
        <f t="shared" si="297"/>
        <v>0</v>
      </c>
      <c r="M657" s="51">
        <f t="shared" si="297"/>
        <v>0</v>
      </c>
      <c r="N657" s="51">
        <f t="shared" si="297"/>
        <v>0</v>
      </c>
      <c r="O657" s="51">
        <f t="shared" si="297"/>
        <v>0</v>
      </c>
      <c r="P657" s="28" t="s">
        <v>18</v>
      </c>
      <c r="Q657" s="52" t="str">
        <f>$Q$5</f>
        <v>Óscar</v>
      </c>
      <c r="R657" s="51">
        <v>1</v>
      </c>
      <c r="S657" s="51">
        <v>1</v>
      </c>
      <c r="T657" s="51">
        <v>1</v>
      </c>
      <c r="U657" s="51">
        <v>1</v>
      </c>
      <c r="V657" s="51">
        <v>1</v>
      </c>
      <c r="W657" s="51">
        <v>1</v>
      </c>
      <c r="X657" s="51">
        <v>1</v>
      </c>
      <c r="Y657" s="51">
        <v>1</v>
      </c>
      <c r="Z657" s="51">
        <v>1</v>
      </c>
      <c r="AA657" s="51">
        <v>1</v>
      </c>
      <c r="AB657" s="51">
        <v>1</v>
      </c>
      <c r="AC657" s="51">
        <v>1</v>
      </c>
    </row>
    <row r="658" spans="2:29" ht="15.6" x14ac:dyDescent="0.55000000000000004">
      <c r="B658" s="1"/>
      <c r="C658" s="52" t="str">
        <f>$Q$6</f>
        <v>Sebastián</v>
      </c>
      <c r="D658" s="51">
        <f t="shared" ref="D658:O658" si="298">C195+D195</f>
        <v>0</v>
      </c>
      <c r="E658" s="51">
        <f t="shared" si="298"/>
        <v>0</v>
      </c>
      <c r="F658" s="51">
        <f t="shared" si="298"/>
        <v>0</v>
      </c>
      <c r="G658" s="51">
        <f t="shared" si="298"/>
        <v>0</v>
      </c>
      <c r="H658" s="51">
        <f t="shared" si="298"/>
        <v>0</v>
      </c>
      <c r="I658" s="51">
        <f t="shared" si="298"/>
        <v>0</v>
      </c>
      <c r="J658" s="51">
        <f t="shared" si="298"/>
        <v>0</v>
      </c>
      <c r="K658" s="51">
        <f t="shared" si="298"/>
        <v>0</v>
      </c>
      <c r="L658" s="51">
        <f t="shared" si="298"/>
        <v>0</v>
      </c>
      <c r="M658" s="51">
        <f t="shared" si="298"/>
        <v>0</v>
      </c>
      <c r="N658" s="51">
        <f t="shared" si="298"/>
        <v>0</v>
      </c>
      <c r="O658" s="51">
        <f t="shared" si="298"/>
        <v>0</v>
      </c>
      <c r="P658" s="28" t="s">
        <v>18</v>
      </c>
      <c r="Q658" s="52" t="str">
        <f>$Q$6</f>
        <v>Sebastián</v>
      </c>
      <c r="R658" s="51">
        <v>1</v>
      </c>
      <c r="S658" s="51">
        <v>1</v>
      </c>
      <c r="T658" s="51">
        <v>1</v>
      </c>
      <c r="U658" s="51">
        <v>1</v>
      </c>
      <c r="V658" s="51">
        <v>1</v>
      </c>
      <c r="W658" s="51">
        <v>1</v>
      </c>
      <c r="X658" s="51">
        <v>1</v>
      </c>
      <c r="Y658" s="51">
        <v>1</v>
      </c>
      <c r="Z658" s="51">
        <v>1</v>
      </c>
      <c r="AA658" s="51">
        <v>1</v>
      </c>
      <c r="AB658" s="51">
        <v>1</v>
      </c>
      <c r="AC658" s="51">
        <v>1</v>
      </c>
    </row>
    <row r="659" spans="2:29" ht="15.6" x14ac:dyDescent="0.55000000000000004">
      <c r="B659" s="1"/>
      <c r="C659" s="52" t="str">
        <f>$Q$7</f>
        <v>Marcos</v>
      </c>
      <c r="D659" s="51">
        <f t="shared" ref="D659:O659" si="299">C196+D196</f>
        <v>0</v>
      </c>
      <c r="E659" s="51">
        <f t="shared" si="299"/>
        <v>0</v>
      </c>
      <c r="F659" s="51">
        <f t="shared" si="299"/>
        <v>0</v>
      </c>
      <c r="G659" s="51">
        <f t="shared" si="299"/>
        <v>1</v>
      </c>
      <c r="H659" s="51">
        <f t="shared" si="299"/>
        <v>1</v>
      </c>
      <c r="I659" s="51">
        <f t="shared" si="299"/>
        <v>0</v>
      </c>
      <c r="J659" s="51">
        <f t="shared" si="299"/>
        <v>0</v>
      </c>
      <c r="K659" s="51">
        <f t="shared" si="299"/>
        <v>0</v>
      </c>
      <c r="L659" s="51">
        <f t="shared" si="299"/>
        <v>0</v>
      </c>
      <c r="M659" s="51">
        <f t="shared" si="299"/>
        <v>0</v>
      </c>
      <c r="N659" s="51">
        <f t="shared" si="299"/>
        <v>0</v>
      </c>
      <c r="O659" s="51">
        <f t="shared" si="299"/>
        <v>0</v>
      </c>
      <c r="P659" s="28" t="s">
        <v>18</v>
      </c>
      <c r="Q659" s="52" t="str">
        <f>$Q$7</f>
        <v>Marcos</v>
      </c>
      <c r="R659" s="51">
        <v>1</v>
      </c>
      <c r="S659" s="51">
        <v>1</v>
      </c>
      <c r="T659" s="51">
        <v>1</v>
      </c>
      <c r="U659" s="51">
        <v>1</v>
      </c>
      <c r="V659" s="51">
        <v>1</v>
      </c>
      <c r="W659" s="51">
        <v>1</v>
      </c>
      <c r="X659" s="51">
        <v>1</v>
      </c>
      <c r="Y659" s="51">
        <v>1</v>
      </c>
      <c r="Z659" s="51">
        <v>1</v>
      </c>
      <c r="AA659" s="51">
        <v>1</v>
      </c>
      <c r="AB659" s="51">
        <v>1</v>
      </c>
      <c r="AC659" s="51">
        <v>1</v>
      </c>
    </row>
    <row r="660" spans="2:29" ht="15.6" x14ac:dyDescent="0.55000000000000004">
      <c r="B660" s="1"/>
      <c r="C660" s="52" t="str">
        <f>$Q$8</f>
        <v>Weixin</v>
      </c>
      <c r="D660" s="51">
        <f t="shared" ref="D660:O660" si="300">C197+D197</f>
        <v>0</v>
      </c>
      <c r="E660" s="51">
        <f t="shared" si="300"/>
        <v>0</v>
      </c>
      <c r="F660" s="51">
        <f t="shared" si="300"/>
        <v>0</v>
      </c>
      <c r="G660" s="51">
        <f t="shared" si="300"/>
        <v>0</v>
      </c>
      <c r="H660" s="51">
        <f t="shared" si="300"/>
        <v>0</v>
      </c>
      <c r="I660" s="51">
        <f t="shared" si="300"/>
        <v>0</v>
      </c>
      <c r="J660" s="51">
        <f t="shared" si="300"/>
        <v>0</v>
      </c>
      <c r="K660" s="51">
        <f t="shared" si="300"/>
        <v>0</v>
      </c>
      <c r="L660" s="51">
        <f t="shared" si="300"/>
        <v>1</v>
      </c>
      <c r="M660" s="51">
        <f t="shared" si="300"/>
        <v>1</v>
      </c>
      <c r="N660" s="51">
        <f t="shared" si="300"/>
        <v>0</v>
      </c>
      <c r="O660" s="51">
        <f t="shared" si="300"/>
        <v>0</v>
      </c>
      <c r="P660" s="28" t="s">
        <v>18</v>
      </c>
      <c r="Q660" s="52" t="str">
        <f>$Q$8</f>
        <v>Weixin</v>
      </c>
      <c r="R660" s="51">
        <v>1</v>
      </c>
      <c r="S660" s="51">
        <v>1</v>
      </c>
      <c r="T660" s="51">
        <v>1</v>
      </c>
      <c r="U660" s="51">
        <v>1</v>
      </c>
      <c r="V660" s="51">
        <v>1</v>
      </c>
      <c r="W660" s="51">
        <v>1</v>
      </c>
      <c r="X660" s="51">
        <v>1</v>
      </c>
      <c r="Y660" s="51">
        <v>1</v>
      </c>
      <c r="Z660" s="51">
        <v>1</v>
      </c>
      <c r="AA660" s="51">
        <v>1</v>
      </c>
      <c r="AB660" s="51">
        <v>1</v>
      </c>
      <c r="AC660" s="51">
        <v>1</v>
      </c>
    </row>
    <row r="661" spans="2:29" ht="15.6" x14ac:dyDescent="0.55000000000000004">
      <c r="B661" s="1"/>
      <c r="C661" s="52" t="str">
        <f>$Q$9</f>
        <v>Benjamin</v>
      </c>
      <c r="D661" s="51">
        <f t="shared" ref="D661:O661" si="301">C198+D198</f>
        <v>0</v>
      </c>
      <c r="E661" s="51">
        <f t="shared" si="301"/>
        <v>1</v>
      </c>
      <c r="F661" s="51">
        <f t="shared" si="301"/>
        <v>1</v>
      </c>
      <c r="G661" s="51">
        <f t="shared" si="301"/>
        <v>0</v>
      </c>
      <c r="H661" s="51">
        <f t="shared" si="301"/>
        <v>0</v>
      </c>
      <c r="I661" s="51">
        <f t="shared" si="301"/>
        <v>0</v>
      </c>
      <c r="J661" s="51">
        <f t="shared" si="301"/>
        <v>0</v>
      </c>
      <c r="K661" s="51">
        <f t="shared" si="301"/>
        <v>0</v>
      </c>
      <c r="L661" s="51">
        <f t="shared" si="301"/>
        <v>0</v>
      </c>
      <c r="M661" s="51">
        <f t="shared" si="301"/>
        <v>0</v>
      </c>
      <c r="N661" s="51">
        <f t="shared" si="301"/>
        <v>0</v>
      </c>
      <c r="O661" s="51">
        <f t="shared" si="301"/>
        <v>0</v>
      </c>
      <c r="P661" s="28" t="s">
        <v>18</v>
      </c>
      <c r="Q661" s="52" t="str">
        <f>$Q$9</f>
        <v>Benjamin</v>
      </c>
      <c r="R661" s="51">
        <v>1</v>
      </c>
      <c r="S661" s="51">
        <v>1</v>
      </c>
      <c r="T661" s="51">
        <v>1</v>
      </c>
      <c r="U661" s="51">
        <v>1</v>
      </c>
      <c r="V661" s="51">
        <v>1</v>
      </c>
      <c r="W661" s="51">
        <v>1</v>
      </c>
      <c r="X661" s="51">
        <v>1</v>
      </c>
      <c r="Y661" s="51">
        <v>1</v>
      </c>
      <c r="Z661" s="51">
        <v>1</v>
      </c>
      <c r="AA661" s="51">
        <v>1</v>
      </c>
      <c r="AB661" s="51">
        <v>1</v>
      </c>
      <c r="AC661" s="51">
        <v>1</v>
      </c>
    </row>
    <row r="662" spans="2:29" ht="15.6" x14ac:dyDescent="0.55000000000000004">
      <c r="B662" s="1"/>
      <c r="C662" s="52" t="str">
        <f>$Q$10</f>
        <v>Joelle</v>
      </c>
      <c r="D662" s="51">
        <f t="shared" ref="D662:O662" si="302">C199+D199</f>
        <v>0</v>
      </c>
      <c r="E662" s="51">
        <f t="shared" si="302"/>
        <v>0</v>
      </c>
      <c r="F662" s="51">
        <f t="shared" si="302"/>
        <v>0</v>
      </c>
      <c r="G662" s="51">
        <f t="shared" si="302"/>
        <v>0</v>
      </c>
      <c r="H662" s="51">
        <f t="shared" si="302"/>
        <v>0</v>
      </c>
      <c r="I662" s="51">
        <f t="shared" si="302"/>
        <v>0</v>
      </c>
      <c r="J662" s="51">
        <f t="shared" si="302"/>
        <v>0</v>
      </c>
      <c r="K662" s="51">
        <f t="shared" si="302"/>
        <v>0</v>
      </c>
      <c r="L662" s="51">
        <f t="shared" si="302"/>
        <v>0</v>
      </c>
      <c r="M662" s="51">
        <f t="shared" si="302"/>
        <v>0</v>
      </c>
      <c r="N662" s="51">
        <f t="shared" si="302"/>
        <v>0</v>
      </c>
      <c r="O662" s="51">
        <f t="shared" si="302"/>
        <v>0</v>
      </c>
      <c r="P662" s="28" t="s">
        <v>18</v>
      </c>
      <c r="Q662" s="52" t="str">
        <f>$Q$10</f>
        <v>Joelle</v>
      </c>
      <c r="R662" s="51">
        <v>1</v>
      </c>
      <c r="S662" s="51">
        <v>1</v>
      </c>
      <c r="T662" s="51">
        <v>1</v>
      </c>
      <c r="U662" s="51">
        <v>1</v>
      </c>
      <c r="V662" s="51">
        <v>1</v>
      </c>
      <c r="W662" s="51">
        <v>1</v>
      </c>
      <c r="X662" s="51">
        <v>1</v>
      </c>
      <c r="Y662" s="51">
        <v>1</v>
      </c>
      <c r="Z662" s="51">
        <v>1</v>
      </c>
      <c r="AA662" s="51">
        <v>1</v>
      </c>
      <c r="AB662" s="51">
        <v>1</v>
      </c>
      <c r="AC662" s="51">
        <v>1</v>
      </c>
    </row>
    <row r="663" spans="2:29" ht="15.6" x14ac:dyDescent="0.55000000000000004">
      <c r="B663" s="1"/>
      <c r="C663" s="52" t="str">
        <f>$Q$11</f>
        <v>Alexia</v>
      </c>
      <c r="D663" s="51">
        <f t="shared" ref="D663:O663" si="303">C200+D200</f>
        <v>0</v>
      </c>
      <c r="E663" s="51">
        <f t="shared" si="303"/>
        <v>0</v>
      </c>
      <c r="F663" s="51">
        <f t="shared" si="303"/>
        <v>0</v>
      </c>
      <c r="G663" s="51">
        <f t="shared" si="303"/>
        <v>0</v>
      </c>
      <c r="H663" s="51">
        <f t="shared" si="303"/>
        <v>0</v>
      </c>
      <c r="I663" s="51">
        <f t="shared" si="303"/>
        <v>0</v>
      </c>
      <c r="J663" s="51">
        <f t="shared" si="303"/>
        <v>0</v>
      </c>
      <c r="K663" s="51">
        <f t="shared" si="303"/>
        <v>0</v>
      </c>
      <c r="L663" s="51">
        <f t="shared" si="303"/>
        <v>0</v>
      </c>
      <c r="M663" s="51">
        <f t="shared" si="303"/>
        <v>0</v>
      </c>
      <c r="N663" s="51">
        <f t="shared" si="303"/>
        <v>0</v>
      </c>
      <c r="O663" s="51">
        <f t="shared" si="303"/>
        <v>0</v>
      </c>
      <c r="P663" s="28" t="s">
        <v>18</v>
      </c>
      <c r="Q663" s="52" t="str">
        <f>$Q$11</f>
        <v>Alexia</v>
      </c>
      <c r="R663" s="51">
        <v>1</v>
      </c>
      <c r="S663" s="51">
        <v>1</v>
      </c>
      <c r="T663" s="51">
        <v>1</v>
      </c>
      <c r="U663" s="51">
        <v>1</v>
      </c>
      <c r="V663" s="51">
        <v>1</v>
      </c>
      <c r="W663" s="51">
        <v>1</v>
      </c>
      <c r="X663" s="51">
        <v>1</v>
      </c>
      <c r="Y663" s="51">
        <v>1</v>
      </c>
      <c r="Z663" s="51">
        <v>1</v>
      </c>
      <c r="AA663" s="51">
        <v>1</v>
      </c>
      <c r="AB663" s="51">
        <v>1</v>
      </c>
      <c r="AC663" s="51">
        <v>1</v>
      </c>
    </row>
    <row r="664" spans="2:29" ht="15.6" x14ac:dyDescent="0.55000000000000004">
      <c r="B664" s="1"/>
      <c r="C664" s="52" t="str">
        <f>$Q$12</f>
        <v>Joao</v>
      </c>
      <c r="D664" s="51">
        <f t="shared" ref="D664:O664" si="304">C201+D201</f>
        <v>0</v>
      </c>
      <c r="E664" s="51">
        <f t="shared" si="304"/>
        <v>0</v>
      </c>
      <c r="F664" s="51">
        <f t="shared" si="304"/>
        <v>1</v>
      </c>
      <c r="G664" s="51">
        <f t="shared" si="304"/>
        <v>1</v>
      </c>
      <c r="H664" s="51">
        <f t="shared" si="304"/>
        <v>0</v>
      </c>
      <c r="I664" s="51">
        <f t="shared" si="304"/>
        <v>0</v>
      </c>
      <c r="J664" s="51">
        <f t="shared" si="304"/>
        <v>1</v>
      </c>
      <c r="K664" s="51">
        <f t="shared" si="304"/>
        <v>1</v>
      </c>
      <c r="L664" s="51">
        <f t="shared" si="304"/>
        <v>0</v>
      </c>
      <c r="M664" s="51">
        <f t="shared" si="304"/>
        <v>0</v>
      </c>
      <c r="N664" s="51">
        <f t="shared" si="304"/>
        <v>0</v>
      </c>
      <c r="O664" s="51">
        <f t="shared" si="304"/>
        <v>0</v>
      </c>
      <c r="P664" s="28" t="s">
        <v>18</v>
      </c>
      <c r="Q664" s="52" t="str">
        <f>$Q$12</f>
        <v>Joao</v>
      </c>
      <c r="R664" s="51">
        <v>1</v>
      </c>
      <c r="S664" s="51">
        <v>1</v>
      </c>
      <c r="T664" s="51">
        <v>1</v>
      </c>
      <c r="U664" s="51">
        <v>1</v>
      </c>
      <c r="V664" s="51">
        <v>1</v>
      </c>
      <c r="W664" s="51">
        <v>1</v>
      </c>
      <c r="X664" s="51">
        <v>1</v>
      </c>
      <c r="Y664" s="51">
        <v>1</v>
      </c>
      <c r="Z664" s="51">
        <v>1</v>
      </c>
      <c r="AA664" s="51">
        <v>1</v>
      </c>
      <c r="AB664" s="51">
        <v>1</v>
      </c>
      <c r="AC664" s="51">
        <v>1</v>
      </c>
    </row>
    <row r="665" spans="2:29" ht="15.6" x14ac:dyDescent="0.55000000000000004">
      <c r="B665" s="1"/>
      <c r="C665" s="57" t="str">
        <f>$Q$13</f>
        <v>Maxime</v>
      </c>
      <c r="D665" s="51">
        <f t="shared" ref="D665:O665" si="305">C202+D202</f>
        <v>0</v>
      </c>
      <c r="E665" s="51">
        <f t="shared" si="305"/>
        <v>0</v>
      </c>
      <c r="F665" s="51">
        <f t="shared" si="305"/>
        <v>0</v>
      </c>
      <c r="G665" s="51">
        <f t="shared" si="305"/>
        <v>0</v>
      </c>
      <c r="H665" s="51">
        <f t="shared" si="305"/>
        <v>0</v>
      </c>
      <c r="I665" s="51">
        <f t="shared" si="305"/>
        <v>1</v>
      </c>
      <c r="J665" s="51">
        <f t="shared" si="305"/>
        <v>1</v>
      </c>
      <c r="K665" s="51">
        <f t="shared" si="305"/>
        <v>0</v>
      </c>
      <c r="L665" s="51">
        <f t="shared" si="305"/>
        <v>0</v>
      </c>
      <c r="M665" s="51">
        <f t="shared" si="305"/>
        <v>0</v>
      </c>
      <c r="N665" s="51">
        <f t="shared" si="305"/>
        <v>0</v>
      </c>
      <c r="O665" s="51">
        <f t="shared" si="305"/>
        <v>0</v>
      </c>
      <c r="P665" s="28" t="s">
        <v>18</v>
      </c>
      <c r="Q665" s="57" t="str">
        <f>$Q$13</f>
        <v>Maxime</v>
      </c>
      <c r="R665" s="51">
        <v>1</v>
      </c>
      <c r="S665" s="51">
        <v>1</v>
      </c>
      <c r="T665" s="51">
        <v>1</v>
      </c>
      <c r="U665" s="51">
        <v>1</v>
      </c>
      <c r="V665" s="51">
        <v>1</v>
      </c>
      <c r="W665" s="51">
        <v>1</v>
      </c>
      <c r="X665" s="51">
        <v>1</v>
      </c>
      <c r="Y665" s="51">
        <v>1</v>
      </c>
      <c r="Z665" s="51">
        <v>1</v>
      </c>
      <c r="AA665" s="51">
        <v>1</v>
      </c>
      <c r="AB665" s="51">
        <v>1</v>
      </c>
      <c r="AC665" s="51">
        <v>1</v>
      </c>
    </row>
    <row r="666" spans="2:29" ht="15.6" x14ac:dyDescent="0.55000000000000004">
      <c r="B666" s="1"/>
      <c r="C666" s="46" t="str">
        <f>$Q$14</f>
        <v>Alex</v>
      </c>
      <c r="D666" s="51">
        <f t="shared" ref="D666:O666" si="306">C203+D203</f>
        <v>0</v>
      </c>
      <c r="E666" s="51">
        <f t="shared" si="306"/>
        <v>0</v>
      </c>
      <c r="F666" s="51">
        <f t="shared" si="306"/>
        <v>0</v>
      </c>
      <c r="G666" s="51">
        <f t="shared" si="306"/>
        <v>0</v>
      </c>
      <c r="H666" s="51">
        <f t="shared" si="306"/>
        <v>0</v>
      </c>
      <c r="I666" s="51">
        <f t="shared" si="306"/>
        <v>0</v>
      </c>
      <c r="J666" s="51">
        <f t="shared" si="306"/>
        <v>0</v>
      </c>
      <c r="K666" s="51">
        <f t="shared" si="306"/>
        <v>0</v>
      </c>
      <c r="L666" s="51">
        <f t="shared" si="306"/>
        <v>0</v>
      </c>
      <c r="M666" s="51">
        <f t="shared" si="306"/>
        <v>0</v>
      </c>
      <c r="N666" s="51">
        <f t="shared" si="306"/>
        <v>0</v>
      </c>
      <c r="O666" s="51">
        <f t="shared" si="306"/>
        <v>0</v>
      </c>
      <c r="P666" s="28" t="s">
        <v>18</v>
      </c>
      <c r="Q666" s="46" t="str">
        <f>$Q$14</f>
        <v>Alex</v>
      </c>
      <c r="R666" s="51">
        <v>1</v>
      </c>
      <c r="S666" s="51">
        <v>1</v>
      </c>
      <c r="T666" s="51">
        <v>1</v>
      </c>
      <c r="U666" s="51">
        <v>1</v>
      </c>
      <c r="V666" s="51">
        <v>1</v>
      </c>
      <c r="W666" s="51">
        <v>1</v>
      </c>
      <c r="X666" s="51">
        <v>1</v>
      </c>
      <c r="Y666" s="51">
        <v>1</v>
      </c>
      <c r="Z666" s="51">
        <v>1</v>
      </c>
      <c r="AA666" s="51">
        <v>1</v>
      </c>
      <c r="AB666" s="51">
        <v>1</v>
      </c>
      <c r="AC666" s="51">
        <v>1</v>
      </c>
    </row>
    <row r="667" spans="2:29" ht="15.6" x14ac:dyDescent="0.55000000000000004">
      <c r="B667" s="1"/>
      <c r="C667" s="52" t="str">
        <f>$Q$15</f>
        <v>Alyssa</v>
      </c>
      <c r="D667" s="51">
        <f t="shared" ref="D667:O667" si="307">C204+D204</f>
        <v>0</v>
      </c>
      <c r="E667" s="51">
        <f t="shared" si="307"/>
        <v>0</v>
      </c>
      <c r="F667" s="51">
        <f t="shared" si="307"/>
        <v>0</v>
      </c>
      <c r="G667" s="51">
        <f t="shared" si="307"/>
        <v>0</v>
      </c>
      <c r="H667" s="51">
        <f t="shared" si="307"/>
        <v>0</v>
      </c>
      <c r="I667" s="51">
        <f t="shared" si="307"/>
        <v>0</v>
      </c>
      <c r="J667" s="51">
        <f t="shared" si="307"/>
        <v>0</v>
      </c>
      <c r="K667" s="51">
        <f t="shared" si="307"/>
        <v>0</v>
      </c>
      <c r="L667" s="51">
        <f t="shared" si="307"/>
        <v>0</v>
      </c>
      <c r="M667" s="51">
        <f t="shared" si="307"/>
        <v>0</v>
      </c>
      <c r="N667" s="51">
        <f t="shared" si="307"/>
        <v>0</v>
      </c>
      <c r="O667" s="51">
        <f t="shared" si="307"/>
        <v>0</v>
      </c>
      <c r="P667" s="28" t="s">
        <v>18</v>
      </c>
      <c r="Q667" s="52" t="str">
        <f>$Q$15</f>
        <v>Alyssa</v>
      </c>
      <c r="R667" s="51">
        <v>1</v>
      </c>
      <c r="S667" s="51">
        <v>1</v>
      </c>
      <c r="T667" s="51">
        <v>1</v>
      </c>
      <c r="U667" s="51">
        <v>1</v>
      </c>
      <c r="V667" s="51">
        <v>1</v>
      </c>
      <c r="W667" s="51">
        <v>1</v>
      </c>
      <c r="X667" s="51">
        <v>1</v>
      </c>
      <c r="Y667" s="51">
        <v>1</v>
      </c>
      <c r="Z667" s="51">
        <v>1</v>
      </c>
      <c r="AA667" s="51">
        <v>1</v>
      </c>
      <c r="AB667" s="51">
        <v>1</v>
      </c>
      <c r="AC667" s="51">
        <v>1</v>
      </c>
    </row>
    <row r="668" spans="2:29" ht="15.6" x14ac:dyDescent="0.55000000000000004">
      <c r="B668" s="1"/>
      <c r="C668" s="52" t="str">
        <f>$Q$16</f>
        <v>Amanda</v>
      </c>
      <c r="D668" s="51">
        <f t="shared" ref="D668:O668" si="308">C205+D205</f>
        <v>0</v>
      </c>
      <c r="E668" s="51">
        <f t="shared" si="308"/>
        <v>0</v>
      </c>
      <c r="F668" s="51">
        <f t="shared" si="308"/>
        <v>0</v>
      </c>
      <c r="G668" s="51">
        <f t="shared" si="308"/>
        <v>0</v>
      </c>
      <c r="H668" s="51">
        <f t="shared" si="308"/>
        <v>0</v>
      </c>
      <c r="I668" s="51">
        <f t="shared" si="308"/>
        <v>0</v>
      </c>
      <c r="J668" s="51">
        <f t="shared" si="308"/>
        <v>0</v>
      </c>
      <c r="K668" s="51">
        <f t="shared" si="308"/>
        <v>0</v>
      </c>
      <c r="L668" s="51">
        <f t="shared" si="308"/>
        <v>0</v>
      </c>
      <c r="M668" s="51">
        <f t="shared" si="308"/>
        <v>0</v>
      </c>
      <c r="N668" s="51">
        <f t="shared" si="308"/>
        <v>0</v>
      </c>
      <c r="O668" s="51">
        <f t="shared" si="308"/>
        <v>0</v>
      </c>
      <c r="P668" s="28" t="s">
        <v>18</v>
      </c>
      <c r="Q668" s="52" t="str">
        <f>$Q$16</f>
        <v>Amanda</v>
      </c>
      <c r="R668" s="51">
        <v>1</v>
      </c>
      <c r="S668" s="51">
        <v>1</v>
      </c>
      <c r="T668" s="51">
        <v>1</v>
      </c>
      <c r="U668" s="51">
        <v>1</v>
      </c>
      <c r="V668" s="51">
        <v>1</v>
      </c>
      <c r="W668" s="51">
        <v>1</v>
      </c>
      <c r="X668" s="51">
        <v>1</v>
      </c>
      <c r="Y668" s="51">
        <v>1</v>
      </c>
      <c r="Z668" s="51">
        <v>1</v>
      </c>
      <c r="AA668" s="51">
        <v>1</v>
      </c>
      <c r="AB668" s="51">
        <v>1</v>
      </c>
      <c r="AC668" s="51">
        <v>1</v>
      </c>
    </row>
    <row r="669" spans="2:29" ht="15.6" x14ac:dyDescent="0.55000000000000004">
      <c r="B669" s="1"/>
      <c r="C669" s="52" t="str">
        <f>$Q$17</f>
        <v>Antoine</v>
      </c>
      <c r="D669" s="51">
        <f t="shared" ref="D669:O669" si="309">C206+D206</f>
        <v>1</v>
      </c>
      <c r="E669" s="51">
        <f t="shared" si="309"/>
        <v>1</v>
      </c>
      <c r="F669" s="51">
        <f t="shared" si="309"/>
        <v>0</v>
      </c>
      <c r="G669" s="51">
        <f t="shared" si="309"/>
        <v>0</v>
      </c>
      <c r="H669" s="51">
        <f t="shared" si="309"/>
        <v>0</v>
      </c>
      <c r="I669" s="51">
        <f t="shared" si="309"/>
        <v>0</v>
      </c>
      <c r="J669" s="51">
        <f t="shared" si="309"/>
        <v>0</v>
      </c>
      <c r="K669" s="51">
        <f t="shared" si="309"/>
        <v>1</v>
      </c>
      <c r="L669" s="51">
        <f t="shared" si="309"/>
        <v>1</v>
      </c>
      <c r="M669" s="51">
        <f t="shared" si="309"/>
        <v>0</v>
      </c>
      <c r="N669" s="51">
        <f t="shared" si="309"/>
        <v>0</v>
      </c>
      <c r="O669" s="51">
        <f t="shared" si="309"/>
        <v>0</v>
      </c>
      <c r="P669" s="28" t="s">
        <v>18</v>
      </c>
      <c r="Q669" s="52" t="str">
        <f>$Q$17</f>
        <v>Antoine</v>
      </c>
      <c r="R669" s="51">
        <v>1</v>
      </c>
      <c r="S669" s="51">
        <v>1</v>
      </c>
      <c r="T669" s="51">
        <v>1</v>
      </c>
      <c r="U669" s="51">
        <v>1</v>
      </c>
      <c r="V669" s="51">
        <v>1</v>
      </c>
      <c r="W669" s="51">
        <v>1</v>
      </c>
      <c r="X669" s="51">
        <v>1</v>
      </c>
      <c r="Y669" s="51">
        <v>1</v>
      </c>
      <c r="Z669" s="51">
        <v>1</v>
      </c>
      <c r="AA669" s="51">
        <v>1</v>
      </c>
      <c r="AB669" s="51">
        <v>1</v>
      </c>
      <c r="AC669" s="51">
        <v>1</v>
      </c>
    </row>
    <row r="670" spans="2:29" ht="15.6" x14ac:dyDescent="0.55000000000000004">
      <c r="B670" s="1"/>
      <c r="C670" s="52" t="str">
        <f>$Q$18</f>
        <v>Beatriz</v>
      </c>
      <c r="D670" s="51">
        <f t="shared" ref="D670:O670" si="310">C207+D207</f>
        <v>0</v>
      </c>
      <c r="E670" s="51">
        <f t="shared" si="310"/>
        <v>0</v>
      </c>
      <c r="F670" s="51">
        <f t="shared" si="310"/>
        <v>0</v>
      </c>
      <c r="G670" s="51">
        <f t="shared" si="310"/>
        <v>0</v>
      </c>
      <c r="H670" s="51">
        <f t="shared" si="310"/>
        <v>0</v>
      </c>
      <c r="I670" s="51">
        <f t="shared" si="310"/>
        <v>0</v>
      </c>
      <c r="J670" s="51">
        <f t="shared" si="310"/>
        <v>0</v>
      </c>
      <c r="K670" s="51">
        <f t="shared" si="310"/>
        <v>0</v>
      </c>
      <c r="L670" s="51">
        <f t="shared" si="310"/>
        <v>0</v>
      </c>
      <c r="M670" s="51">
        <f t="shared" si="310"/>
        <v>0</v>
      </c>
      <c r="N670" s="51">
        <f t="shared" si="310"/>
        <v>0</v>
      </c>
      <c r="O670" s="51">
        <f t="shared" si="310"/>
        <v>0</v>
      </c>
      <c r="P670" s="28" t="s">
        <v>18</v>
      </c>
      <c r="Q670" s="52" t="str">
        <f>$Q$18</f>
        <v>Beatriz</v>
      </c>
      <c r="R670" s="51">
        <v>1</v>
      </c>
      <c r="S670" s="51">
        <v>1</v>
      </c>
      <c r="T670" s="51">
        <v>1</v>
      </c>
      <c r="U670" s="51">
        <v>1</v>
      </c>
      <c r="V670" s="51">
        <v>1</v>
      </c>
      <c r="W670" s="51">
        <v>1</v>
      </c>
      <c r="X670" s="51">
        <v>1</v>
      </c>
      <c r="Y670" s="51">
        <v>1</v>
      </c>
      <c r="Z670" s="51">
        <v>1</v>
      </c>
      <c r="AA670" s="51">
        <v>1</v>
      </c>
      <c r="AB670" s="51">
        <v>1</v>
      </c>
      <c r="AC670" s="51">
        <v>1</v>
      </c>
    </row>
    <row r="671" spans="2:29" ht="15.6" x14ac:dyDescent="0.55000000000000004">
      <c r="B671" s="1"/>
      <c r="C671" s="52" t="str">
        <f>$Q$19</f>
        <v>Charelle</v>
      </c>
      <c r="D671" s="51">
        <f t="shared" ref="D671:O671" si="311">C208+D208</f>
        <v>0</v>
      </c>
      <c r="E671" s="51">
        <f t="shared" si="311"/>
        <v>0</v>
      </c>
      <c r="F671" s="51">
        <f t="shared" si="311"/>
        <v>0</v>
      </c>
      <c r="G671" s="51">
        <f t="shared" si="311"/>
        <v>0</v>
      </c>
      <c r="H671" s="51">
        <f t="shared" si="311"/>
        <v>0</v>
      </c>
      <c r="I671" s="51">
        <f t="shared" si="311"/>
        <v>0</v>
      </c>
      <c r="J671" s="51">
        <f t="shared" si="311"/>
        <v>0</v>
      </c>
      <c r="K671" s="51">
        <f t="shared" si="311"/>
        <v>0</v>
      </c>
      <c r="L671" s="51">
        <f t="shared" si="311"/>
        <v>0</v>
      </c>
      <c r="M671" s="51">
        <f t="shared" si="311"/>
        <v>0</v>
      </c>
      <c r="N671" s="51">
        <f t="shared" si="311"/>
        <v>0</v>
      </c>
      <c r="O671" s="51">
        <f t="shared" si="311"/>
        <v>0</v>
      </c>
      <c r="P671" s="28" t="s">
        <v>18</v>
      </c>
      <c r="Q671" s="52" t="str">
        <f>$Q$19</f>
        <v>Charelle</v>
      </c>
      <c r="R671" s="51">
        <v>1</v>
      </c>
      <c r="S671" s="51">
        <v>1</v>
      </c>
      <c r="T671" s="51">
        <v>1</v>
      </c>
      <c r="U671" s="51">
        <v>1</v>
      </c>
      <c r="V671" s="51">
        <v>1</v>
      </c>
      <c r="W671" s="51">
        <v>1</v>
      </c>
      <c r="X671" s="51">
        <v>1</v>
      </c>
      <c r="Y671" s="51">
        <v>1</v>
      </c>
      <c r="Z671" s="51">
        <v>1</v>
      </c>
      <c r="AA671" s="51">
        <v>1</v>
      </c>
      <c r="AB671" s="51">
        <v>1</v>
      </c>
      <c r="AC671" s="51">
        <v>1</v>
      </c>
    </row>
    <row r="672" spans="2:29" ht="15.6" x14ac:dyDescent="0.55000000000000004">
      <c r="B672" s="1"/>
      <c r="C672" s="52" t="str">
        <f>$Q$20</f>
        <v>Dimitri</v>
      </c>
      <c r="D672" s="51">
        <f t="shared" ref="D672:O672" si="312">C209+D209</f>
        <v>0</v>
      </c>
      <c r="E672" s="51">
        <f t="shared" si="312"/>
        <v>0</v>
      </c>
      <c r="F672" s="51">
        <f t="shared" si="312"/>
        <v>0</v>
      </c>
      <c r="G672" s="51">
        <f t="shared" si="312"/>
        <v>0</v>
      </c>
      <c r="H672" s="51">
        <f t="shared" si="312"/>
        <v>0</v>
      </c>
      <c r="I672" s="51">
        <f t="shared" si="312"/>
        <v>0</v>
      </c>
      <c r="J672" s="51">
        <f t="shared" si="312"/>
        <v>0</v>
      </c>
      <c r="K672" s="51">
        <f t="shared" si="312"/>
        <v>0</v>
      </c>
      <c r="L672" s="51">
        <f t="shared" si="312"/>
        <v>0</v>
      </c>
      <c r="M672" s="51">
        <f t="shared" si="312"/>
        <v>0</v>
      </c>
      <c r="N672" s="51">
        <f t="shared" si="312"/>
        <v>0</v>
      </c>
      <c r="O672" s="51">
        <f t="shared" si="312"/>
        <v>0</v>
      </c>
      <c r="P672" s="28" t="s">
        <v>18</v>
      </c>
      <c r="Q672" s="52" t="str">
        <f>$Q$20</f>
        <v>Dimitri</v>
      </c>
      <c r="R672" s="51">
        <v>1</v>
      </c>
      <c r="S672" s="51">
        <v>1</v>
      </c>
      <c r="T672" s="51">
        <v>1</v>
      </c>
      <c r="U672" s="51">
        <v>1</v>
      </c>
      <c r="V672" s="51">
        <v>1</v>
      </c>
      <c r="W672" s="51">
        <v>1</v>
      </c>
      <c r="X672" s="51">
        <v>1</v>
      </c>
      <c r="Y672" s="51">
        <v>1</v>
      </c>
      <c r="Z672" s="51">
        <v>1</v>
      </c>
      <c r="AA672" s="51">
        <v>1</v>
      </c>
      <c r="AB672" s="51">
        <v>1</v>
      </c>
      <c r="AC672" s="51">
        <v>1</v>
      </c>
    </row>
    <row r="673" spans="2:29" ht="15.6" x14ac:dyDescent="0.55000000000000004">
      <c r="B673" s="1"/>
      <c r="C673" s="52" t="str">
        <f>$Q$21</f>
        <v>Marina</v>
      </c>
      <c r="D673" s="51">
        <f t="shared" ref="D673:O673" si="313">C210+D210</f>
        <v>0</v>
      </c>
      <c r="E673" s="51">
        <f t="shared" si="313"/>
        <v>0</v>
      </c>
      <c r="F673" s="51">
        <f t="shared" si="313"/>
        <v>0</v>
      </c>
      <c r="G673" s="51">
        <f t="shared" si="313"/>
        <v>0</v>
      </c>
      <c r="H673" s="51">
        <f t="shared" si="313"/>
        <v>0</v>
      </c>
      <c r="I673" s="51">
        <f t="shared" si="313"/>
        <v>0</v>
      </c>
      <c r="J673" s="51">
        <f t="shared" si="313"/>
        <v>0</v>
      </c>
      <c r="K673" s="51">
        <f t="shared" si="313"/>
        <v>0</v>
      </c>
      <c r="L673" s="51">
        <f t="shared" si="313"/>
        <v>0</v>
      </c>
      <c r="M673" s="51">
        <f t="shared" si="313"/>
        <v>0</v>
      </c>
      <c r="N673" s="51">
        <f t="shared" si="313"/>
        <v>0</v>
      </c>
      <c r="O673" s="51">
        <f t="shared" si="313"/>
        <v>0</v>
      </c>
      <c r="P673" s="28" t="s">
        <v>18</v>
      </c>
      <c r="Q673" s="52" t="str">
        <f>$Q$21</f>
        <v>Marina</v>
      </c>
      <c r="R673" s="51">
        <v>1</v>
      </c>
      <c r="S673" s="51">
        <v>1</v>
      </c>
      <c r="T673" s="51">
        <v>1</v>
      </c>
      <c r="U673" s="51">
        <v>1</v>
      </c>
      <c r="V673" s="51">
        <v>1</v>
      </c>
      <c r="W673" s="51">
        <v>1</v>
      </c>
      <c r="X673" s="51">
        <v>1</v>
      </c>
      <c r="Y673" s="51">
        <v>1</v>
      </c>
      <c r="Z673" s="51">
        <v>1</v>
      </c>
      <c r="AA673" s="51">
        <v>1</v>
      </c>
      <c r="AB673" s="51">
        <v>1</v>
      </c>
      <c r="AC673" s="51">
        <v>1</v>
      </c>
    </row>
    <row r="674" spans="2:29" ht="15.6" x14ac:dyDescent="0.55000000000000004">
      <c r="B674" s="1"/>
      <c r="C674" s="52" t="str">
        <f>$Q$22</f>
        <v>Michel</v>
      </c>
      <c r="D674" s="51">
        <f t="shared" ref="D674:O674" si="314">C211+D211</f>
        <v>0</v>
      </c>
      <c r="E674" s="51">
        <f t="shared" si="314"/>
        <v>0</v>
      </c>
      <c r="F674" s="51">
        <f t="shared" si="314"/>
        <v>0</v>
      </c>
      <c r="G674" s="51">
        <f t="shared" si="314"/>
        <v>0</v>
      </c>
      <c r="H674" s="51">
        <f t="shared" si="314"/>
        <v>0</v>
      </c>
      <c r="I674" s="51">
        <f t="shared" si="314"/>
        <v>0</v>
      </c>
      <c r="J674" s="51">
        <f t="shared" si="314"/>
        <v>0</v>
      </c>
      <c r="K674" s="51">
        <f t="shared" si="314"/>
        <v>0</v>
      </c>
      <c r="L674" s="51">
        <f t="shared" si="314"/>
        <v>0</v>
      </c>
      <c r="M674" s="51">
        <f t="shared" si="314"/>
        <v>0</v>
      </c>
      <c r="N674" s="51">
        <f t="shared" si="314"/>
        <v>0</v>
      </c>
      <c r="O674" s="51">
        <f t="shared" si="314"/>
        <v>0</v>
      </c>
      <c r="P674" s="28" t="s">
        <v>18</v>
      </c>
      <c r="Q674" s="52" t="str">
        <f>$Q$22</f>
        <v>Michel</v>
      </c>
      <c r="R674" s="51">
        <v>1</v>
      </c>
      <c r="S674" s="51">
        <v>1</v>
      </c>
      <c r="T674" s="51">
        <v>1</v>
      </c>
      <c r="U674" s="51">
        <v>1</v>
      </c>
      <c r="V674" s="51">
        <v>1</v>
      </c>
      <c r="W674" s="51">
        <v>1</v>
      </c>
      <c r="X674" s="51">
        <v>1</v>
      </c>
      <c r="Y674" s="51">
        <v>1</v>
      </c>
      <c r="Z674" s="51">
        <v>1</v>
      </c>
      <c r="AA674" s="51">
        <v>1</v>
      </c>
      <c r="AB674" s="51">
        <v>1</v>
      </c>
      <c r="AC674" s="51">
        <v>1</v>
      </c>
    </row>
    <row r="675" spans="2:29" ht="15.6" x14ac:dyDescent="0.55000000000000004">
      <c r="B675" s="1"/>
      <c r="C675" s="52" t="str">
        <f>$Q$23</f>
        <v>Nour</v>
      </c>
      <c r="D675" s="51">
        <f t="shared" ref="D675:O675" si="315">C212+D212</f>
        <v>0</v>
      </c>
      <c r="E675" s="51">
        <f t="shared" si="315"/>
        <v>0</v>
      </c>
      <c r="F675" s="51">
        <f t="shared" si="315"/>
        <v>0</v>
      </c>
      <c r="G675" s="51">
        <f t="shared" si="315"/>
        <v>0</v>
      </c>
      <c r="H675" s="51">
        <f t="shared" si="315"/>
        <v>0</v>
      </c>
      <c r="I675" s="51">
        <f t="shared" si="315"/>
        <v>0</v>
      </c>
      <c r="J675" s="51">
        <f t="shared" si="315"/>
        <v>0</v>
      </c>
      <c r="K675" s="51">
        <f t="shared" si="315"/>
        <v>0</v>
      </c>
      <c r="L675" s="51">
        <f t="shared" si="315"/>
        <v>0</v>
      </c>
      <c r="M675" s="51">
        <f t="shared" si="315"/>
        <v>0</v>
      </c>
      <c r="N675" s="51">
        <f t="shared" si="315"/>
        <v>0</v>
      </c>
      <c r="O675" s="51">
        <f t="shared" si="315"/>
        <v>0</v>
      </c>
      <c r="P675" s="28" t="s">
        <v>18</v>
      </c>
      <c r="Q675" s="52" t="str">
        <f>$Q$23</f>
        <v>Nour</v>
      </c>
      <c r="R675" s="51">
        <v>1</v>
      </c>
      <c r="S675" s="51">
        <v>1</v>
      </c>
      <c r="T675" s="51">
        <v>1</v>
      </c>
      <c r="U675" s="51">
        <v>1</v>
      </c>
      <c r="V675" s="51">
        <v>1</v>
      </c>
      <c r="W675" s="51">
        <v>1</v>
      </c>
      <c r="X675" s="51">
        <v>1</v>
      </c>
      <c r="Y675" s="51">
        <v>1</v>
      </c>
      <c r="Z675" s="51">
        <v>1</v>
      </c>
      <c r="AA675" s="51">
        <v>1</v>
      </c>
      <c r="AB675" s="51">
        <v>1</v>
      </c>
      <c r="AC675" s="51">
        <v>1</v>
      </c>
    </row>
    <row r="676" spans="2:29" ht="15.6" x14ac:dyDescent="0.55000000000000004">
      <c r="B676" s="1"/>
      <c r="C676" s="52" t="str">
        <f>$Q$24</f>
        <v>Samuel</v>
      </c>
      <c r="D676" s="51">
        <f t="shared" ref="D676:O676" si="316">C213+D213</f>
        <v>0</v>
      </c>
      <c r="E676" s="51">
        <f t="shared" si="316"/>
        <v>0</v>
      </c>
      <c r="F676" s="51">
        <f t="shared" si="316"/>
        <v>0</v>
      </c>
      <c r="G676" s="51">
        <f t="shared" si="316"/>
        <v>0</v>
      </c>
      <c r="H676" s="51">
        <f t="shared" si="316"/>
        <v>0</v>
      </c>
      <c r="I676" s="51">
        <f t="shared" si="316"/>
        <v>0</v>
      </c>
      <c r="J676" s="51">
        <f t="shared" si="316"/>
        <v>0</v>
      </c>
      <c r="K676" s="51">
        <f t="shared" si="316"/>
        <v>0</v>
      </c>
      <c r="L676" s="51">
        <f t="shared" si="316"/>
        <v>0</v>
      </c>
      <c r="M676" s="51">
        <f t="shared" si="316"/>
        <v>0</v>
      </c>
      <c r="N676" s="51">
        <f t="shared" si="316"/>
        <v>0</v>
      </c>
      <c r="O676" s="51">
        <f t="shared" si="316"/>
        <v>0</v>
      </c>
      <c r="P676" s="28" t="s">
        <v>18</v>
      </c>
      <c r="Q676" s="52" t="str">
        <f>$Q$24</f>
        <v>Samuel</v>
      </c>
      <c r="R676" s="51">
        <v>1</v>
      </c>
      <c r="S676" s="51">
        <v>1</v>
      </c>
      <c r="T676" s="51">
        <v>1</v>
      </c>
      <c r="U676" s="51">
        <v>1</v>
      </c>
      <c r="V676" s="51">
        <v>1</v>
      </c>
      <c r="W676" s="51">
        <v>1</v>
      </c>
      <c r="X676" s="51">
        <v>1</v>
      </c>
      <c r="Y676" s="51">
        <v>1</v>
      </c>
      <c r="Z676" s="51">
        <v>1</v>
      </c>
      <c r="AA676" s="51">
        <v>1</v>
      </c>
      <c r="AB676" s="51">
        <v>1</v>
      </c>
      <c r="AC676" s="51">
        <v>1</v>
      </c>
    </row>
    <row r="677" spans="2:29" ht="15.6" x14ac:dyDescent="0.55000000000000004">
      <c r="B677" s="1"/>
      <c r="C677" s="52" t="str">
        <f>$Q$25</f>
        <v>Yassin</v>
      </c>
      <c r="D677" s="51">
        <f t="shared" ref="D677:O677" si="317">C214+D214</f>
        <v>0</v>
      </c>
      <c r="E677" s="51">
        <f t="shared" si="317"/>
        <v>0</v>
      </c>
      <c r="F677" s="51">
        <f t="shared" si="317"/>
        <v>0</v>
      </c>
      <c r="G677" s="51">
        <f t="shared" si="317"/>
        <v>0</v>
      </c>
      <c r="H677" s="51">
        <f t="shared" si="317"/>
        <v>0</v>
      </c>
      <c r="I677" s="51">
        <f t="shared" si="317"/>
        <v>0</v>
      </c>
      <c r="J677" s="51">
        <f t="shared" si="317"/>
        <v>0</v>
      </c>
      <c r="K677" s="51">
        <f t="shared" si="317"/>
        <v>0</v>
      </c>
      <c r="L677" s="51">
        <f t="shared" si="317"/>
        <v>0</v>
      </c>
      <c r="M677" s="51">
        <f t="shared" si="317"/>
        <v>0</v>
      </c>
      <c r="N677" s="51">
        <f t="shared" si="317"/>
        <v>0</v>
      </c>
      <c r="O677" s="51">
        <f t="shared" si="317"/>
        <v>0</v>
      </c>
      <c r="P677" s="28" t="s">
        <v>18</v>
      </c>
      <c r="Q677" s="52" t="str">
        <f>$Q$25</f>
        <v>Yassin</v>
      </c>
      <c r="R677" s="51">
        <v>1</v>
      </c>
      <c r="S677" s="51">
        <v>1</v>
      </c>
      <c r="T677" s="51">
        <v>1</v>
      </c>
      <c r="U677" s="51">
        <v>1</v>
      </c>
      <c r="V677" s="51">
        <v>1</v>
      </c>
      <c r="W677" s="51">
        <v>1</v>
      </c>
      <c r="X677" s="51">
        <v>1</v>
      </c>
      <c r="Y677" s="51">
        <v>1</v>
      </c>
      <c r="Z677" s="51">
        <v>1</v>
      </c>
      <c r="AA677" s="51">
        <v>1</v>
      </c>
      <c r="AB677" s="51">
        <v>1</v>
      </c>
      <c r="AC677" s="51">
        <v>1</v>
      </c>
    </row>
    <row r="678" spans="2:29" ht="15.6" x14ac:dyDescent="0.55000000000000004">
      <c r="B678" s="1"/>
      <c r="C678" s="52" t="str">
        <f>$Q$26</f>
        <v>Kamar</v>
      </c>
      <c r="D678" s="51">
        <f t="shared" ref="D678:O678" si="318">C215+D215</f>
        <v>0</v>
      </c>
      <c r="E678" s="51">
        <f t="shared" si="318"/>
        <v>0</v>
      </c>
      <c r="F678" s="51">
        <f t="shared" si="318"/>
        <v>0</v>
      </c>
      <c r="G678" s="51">
        <f t="shared" si="318"/>
        <v>0</v>
      </c>
      <c r="H678" s="51">
        <f t="shared" si="318"/>
        <v>0</v>
      </c>
      <c r="I678" s="51">
        <f t="shared" si="318"/>
        <v>0</v>
      </c>
      <c r="J678" s="51">
        <f t="shared" si="318"/>
        <v>0</v>
      </c>
      <c r="K678" s="51">
        <f t="shared" si="318"/>
        <v>0</v>
      </c>
      <c r="L678" s="51">
        <f t="shared" si="318"/>
        <v>0</v>
      </c>
      <c r="M678" s="51">
        <f t="shared" si="318"/>
        <v>0</v>
      </c>
      <c r="N678" s="51">
        <f t="shared" si="318"/>
        <v>0</v>
      </c>
      <c r="O678" s="51">
        <f t="shared" si="318"/>
        <v>0</v>
      </c>
      <c r="P678" s="28" t="s">
        <v>18</v>
      </c>
      <c r="Q678" s="52" t="str">
        <f>$Q$26</f>
        <v>Kamar</v>
      </c>
      <c r="R678" s="51">
        <v>1</v>
      </c>
      <c r="S678" s="51">
        <v>1</v>
      </c>
      <c r="T678" s="51">
        <v>1</v>
      </c>
      <c r="U678" s="51">
        <v>1</v>
      </c>
      <c r="V678" s="51">
        <v>1</v>
      </c>
      <c r="W678" s="51">
        <v>1</v>
      </c>
      <c r="X678" s="51">
        <v>1</v>
      </c>
      <c r="Y678" s="51">
        <v>1</v>
      </c>
      <c r="Z678" s="51">
        <v>1</v>
      </c>
      <c r="AA678" s="51">
        <v>1</v>
      </c>
      <c r="AB678" s="51">
        <v>1</v>
      </c>
      <c r="AC678" s="51">
        <v>1</v>
      </c>
    </row>
    <row r="679" spans="2:29" x14ac:dyDescent="0.55000000000000004">
      <c r="B679" s="1"/>
      <c r="C679" s="16"/>
    </row>
    <row r="680" spans="2:29" x14ac:dyDescent="0.55000000000000004">
      <c r="B680" s="1"/>
      <c r="C680" s="16"/>
    </row>
    <row r="681" spans="2:29" x14ac:dyDescent="0.55000000000000004">
      <c r="B681" s="1"/>
      <c r="C681" s="16" t="s">
        <v>106</v>
      </c>
      <c r="D681" s="1" t="s">
        <v>70</v>
      </c>
      <c r="E681" s="1" t="s">
        <v>71</v>
      </c>
      <c r="F681" s="1" t="s">
        <v>72</v>
      </c>
      <c r="G681" s="1" t="s">
        <v>73</v>
      </c>
      <c r="H681" s="1" t="s">
        <v>74</v>
      </c>
      <c r="I681" s="1" t="s">
        <v>75</v>
      </c>
      <c r="J681" s="1" t="s">
        <v>76</v>
      </c>
      <c r="K681" s="1" t="s">
        <v>77</v>
      </c>
      <c r="L681" s="1" t="s">
        <v>78</v>
      </c>
      <c r="M681" s="1" t="s">
        <v>79</v>
      </c>
      <c r="N681" s="1" t="s">
        <v>80</v>
      </c>
      <c r="O681" s="1" t="s">
        <v>81</v>
      </c>
      <c r="Q681" s="16" t="s">
        <v>106</v>
      </c>
      <c r="R681" s="1" t="s">
        <v>70</v>
      </c>
      <c r="S681" s="1" t="s">
        <v>71</v>
      </c>
      <c r="T681" s="1" t="s">
        <v>72</v>
      </c>
      <c r="U681" s="1" t="s">
        <v>73</v>
      </c>
      <c r="V681" s="1" t="s">
        <v>74</v>
      </c>
      <c r="W681" s="1" t="s">
        <v>75</v>
      </c>
      <c r="X681" s="1" t="s">
        <v>76</v>
      </c>
      <c r="Y681" s="1" t="s">
        <v>77</v>
      </c>
      <c r="Z681" s="1" t="s">
        <v>78</v>
      </c>
      <c r="AA681" s="1" t="s">
        <v>79</v>
      </c>
      <c r="AB681" s="1" t="s">
        <v>80</v>
      </c>
      <c r="AC681" s="1" t="s">
        <v>81</v>
      </c>
    </row>
    <row r="682" spans="2:29" ht="15.6" x14ac:dyDescent="0.55000000000000004">
      <c r="B682" s="1"/>
      <c r="C682" s="46" t="str">
        <f>$Q$3</f>
        <v>Jennifer</v>
      </c>
      <c r="D682" s="51">
        <f t="shared" ref="D682:O682" si="319">C219+D219</f>
        <v>0</v>
      </c>
      <c r="E682" s="51">
        <f t="shared" si="319"/>
        <v>0</v>
      </c>
      <c r="F682" s="51">
        <f t="shared" si="319"/>
        <v>0</v>
      </c>
      <c r="G682" s="51">
        <f t="shared" si="319"/>
        <v>0</v>
      </c>
      <c r="H682" s="51">
        <f t="shared" si="319"/>
        <v>0</v>
      </c>
      <c r="I682" s="51">
        <f t="shared" si="319"/>
        <v>0</v>
      </c>
      <c r="J682" s="51">
        <f t="shared" si="319"/>
        <v>0</v>
      </c>
      <c r="K682" s="51">
        <f t="shared" si="319"/>
        <v>0</v>
      </c>
      <c r="L682" s="51">
        <f t="shared" si="319"/>
        <v>0</v>
      </c>
      <c r="M682" s="51">
        <f t="shared" si="319"/>
        <v>0</v>
      </c>
      <c r="N682" s="51">
        <f t="shared" si="319"/>
        <v>0</v>
      </c>
      <c r="O682" s="51">
        <f t="shared" si="319"/>
        <v>0</v>
      </c>
      <c r="P682" s="28" t="s">
        <v>18</v>
      </c>
      <c r="Q682" s="46" t="str">
        <f>$Q$3</f>
        <v>Jennifer</v>
      </c>
      <c r="R682" s="51">
        <v>1</v>
      </c>
      <c r="S682" s="51">
        <v>1</v>
      </c>
      <c r="T682" s="51">
        <v>1</v>
      </c>
      <c r="U682" s="51">
        <v>1</v>
      </c>
      <c r="V682" s="51">
        <v>1</v>
      </c>
      <c r="W682" s="51">
        <v>1</v>
      </c>
      <c r="X682" s="51">
        <v>1</v>
      </c>
      <c r="Y682" s="51">
        <v>1</v>
      </c>
      <c r="Z682" s="51">
        <v>1</v>
      </c>
      <c r="AA682" s="51">
        <v>1</v>
      </c>
      <c r="AB682" s="51">
        <v>1</v>
      </c>
      <c r="AC682" s="51">
        <v>1</v>
      </c>
    </row>
    <row r="683" spans="2:29" ht="15.6" x14ac:dyDescent="0.55000000000000004">
      <c r="B683" s="1"/>
      <c r="C683" s="52" t="str">
        <f>$Q$4</f>
        <v>Galileo</v>
      </c>
      <c r="D683" s="51">
        <f t="shared" ref="D683:O683" si="320">C220+D220</f>
        <v>0</v>
      </c>
      <c r="E683" s="51">
        <f t="shared" si="320"/>
        <v>0</v>
      </c>
      <c r="F683" s="51">
        <f t="shared" si="320"/>
        <v>1</v>
      </c>
      <c r="G683" s="51">
        <f t="shared" si="320"/>
        <v>1</v>
      </c>
      <c r="H683" s="51">
        <f t="shared" si="320"/>
        <v>0</v>
      </c>
      <c r="I683" s="51">
        <f t="shared" si="320"/>
        <v>0</v>
      </c>
      <c r="J683" s="51">
        <f t="shared" si="320"/>
        <v>0</v>
      </c>
      <c r="K683" s="51">
        <f t="shared" si="320"/>
        <v>0</v>
      </c>
      <c r="L683" s="51">
        <f t="shared" si="320"/>
        <v>0</v>
      </c>
      <c r="M683" s="51">
        <f t="shared" si="320"/>
        <v>0</v>
      </c>
      <c r="N683" s="51">
        <f t="shared" si="320"/>
        <v>0</v>
      </c>
      <c r="O683" s="51">
        <f t="shared" si="320"/>
        <v>0</v>
      </c>
      <c r="P683" s="28" t="s">
        <v>18</v>
      </c>
      <c r="Q683" s="52" t="str">
        <f>$Q$4</f>
        <v>Galileo</v>
      </c>
      <c r="R683" s="51">
        <v>1</v>
      </c>
      <c r="S683" s="51">
        <v>1</v>
      </c>
      <c r="T683" s="51">
        <v>1</v>
      </c>
      <c r="U683" s="51">
        <v>1</v>
      </c>
      <c r="V683" s="51">
        <v>1</v>
      </c>
      <c r="W683" s="51">
        <v>1</v>
      </c>
      <c r="X683" s="51">
        <v>1</v>
      </c>
      <c r="Y683" s="51">
        <v>1</v>
      </c>
      <c r="Z683" s="51">
        <v>1</v>
      </c>
      <c r="AA683" s="51">
        <v>1</v>
      </c>
      <c r="AB683" s="51">
        <v>1</v>
      </c>
      <c r="AC683" s="51">
        <v>1</v>
      </c>
    </row>
    <row r="684" spans="2:29" ht="15.6" x14ac:dyDescent="0.55000000000000004">
      <c r="B684" s="1"/>
      <c r="C684" s="52" t="str">
        <f>$Q$5</f>
        <v>Óscar</v>
      </c>
      <c r="D684" s="51">
        <f t="shared" ref="D684:O684" si="321">C221+D221</f>
        <v>0</v>
      </c>
      <c r="E684" s="51">
        <f t="shared" si="321"/>
        <v>0</v>
      </c>
      <c r="F684" s="51">
        <f t="shared" si="321"/>
        <v>0</v>
      </c>
      <c r="G684" s="51">
        <f t="shared" si="321"/>
        <v>0</v>
      </c>
      <c r="H684" s="51">
        <f t="shared" si="321"/>
        <v>0</v>
      </c>
      <c r="I684" s="51">
        <f t="shared" si="321"/>
        <v>0</v>
      </c>
      <c r="J684" s="51">
        <f t="shared" si="321"/>
        <v>0</v>
      </c>
      <c r="K684" s="51">
        <f t="shared" si="321"/>
        <v>0</v>
      </c>
      <c r="L684" s="51">
        <f t="shared" si="321"/>
        <v>0</v>
      </c>
      <c r="M684" s="51">
        <f t="shared" si="321"/>
        <v>0</v>
      </c>
      <c r="N684" s="51">
        <f t="shared" si="321"/>
        <v>0</v>
      </c>
      <c r="O684" s="51">
        <f t="shared" si="321"/>
        <v>0</v>
      </c>
      <c r="P684" s="28" t="s">
        <v>18</v>
      </c>
      <c r="Q684" s="52" t="str">
        <f>$Q$5</f>
        <v>Óscar</v>
      </c>
      <c r="R684" s="51">
        <v>1</v>
      </c>
      <c r="S684" s="51">
        <v>1</v>
      </c>
      <c r="T684" s="51">
        <v>1</v>
      </c>
      <c r="U684" s="51">
        <v>1</v>
      </c>
      <c r="V684" s="51">
        <v>1</v>
      </c>
      <c r="W684" s="51">
        <v>1</v>
      </c>
      <c r="X684" s="51">
        <v>1</v>
      </c>
      <c r="Y684" s="51">
        <v>1</v>
      </c>
      <c r="Z684" s="51">
        <v>1</v>
      </c>
      <c r="AA684" s="51">
        <v>1</v>
      </c>
      <c r="AB684" s="51">
        <v>1</v>
      </c>
      <c r="AC684" s="51">
        <v>1</v>
      </c>
    </row>
    <row r="685" spans="2:29" ht="15.6" x14ac:dyDescent="0.55000000000000004">
      <c r="B685" s="1"/>
      <c r="C685" s="52" t="str">
        <f>$Q$6</f>
        <v>Sebastián</v>
      </c>
      <c r="D685" s="51">
        <f t="shared" ref="D685:O685" si="322">C222+D222</f>
        <v>0</v>
      </c>
      <c r="E685" s="51">
        <f t="shared" si="322"/>
        <v>0</v>
      </c>
      <c r="F685" s="51">
        <f t="shared" si="322"/>
        <v>0</v>
      </c>
      <c r="G685" s="51">
        <f t="shared" si="322"/>
        <v>0</v>
      </c>
      <c r="H685" s="51">
        <f t="shared" si="322"/>
        <v>0</v>
      </c>
      <c r="I685" s="51">
        <f t="shared" si="322"/>
        <v>0</v>
      </c>
      <c r="J685" s="51">
        <f t="shared" si="322"/>
        <v>0</v>
      </c>
      <c r="K685" s="51">
        <f t="shared" si="322"/>
        <v>0</v>
      </c>
      <c r="L685" s="51">
        <f t="shared" si="322"/>
        <v>0</v>
      </c>
      <c r="M685" s="51">
        <f t="shared" si="322"/>
        <v>0</v>
      </c>
      <c r="N685" s="51">
        <f t="shared" si="322"/>
        <v>0</v>
      </c>
      <c r="O685" s="51">
        <f t="shared" si="322"/>
        <v>0</v>
      </c>
      <c r="P685" s="28" t="s">
        <v>18</v>
      </c>
      <c r="Q685" s="52" t="str">
        <f>$Q$6</f>
        <v>Sebastián</v>
      </c>
      <c r="R685" s="51">
        <v>1</v>
      </c>
      <c r="S685" s="51">
        <v>1</v>
      </c>
      <c r="T685" s="51">
        <v>1</v>
      </c>
      <c r="U685" s="51">
        <v>1</v>
      </c>
      <c r="V685" s="51">
        <v>1</v>
      </c>
      <c r="W685" s="51">
        <v>1</v>
      </c>
      <c r="X685" s="51">
        <v>1</v>
      </c>
      <c r="Y685" s="51">
        <v>1</v>
      </c>
      <c r="Z685" s="51">
        <v>1</v>
      </c>
      <c r="AA685" s="51">
        <v>1</v>
      </c>
      <c r="AB685" s="51">
        <v>1</v>
      </c>
      <c r="AC685" s="51">
        <v>1</v>
      </c>
    </row>
    <row r="686" spans="2:29" ht="15.6" x14ac:dyDescent="0.55000000000000004">
      <c r="B686" s="1"/>
      <c r="C686" s="52" t="str">
        <f>$Q$7</f>
        <v>Marcos</v>
      </c>
      <c r="D686" s="51">
        <f t="shared" ref="D686:O686" si="323">C223+D223</f>
        <v>0</v>
      </c>
      <c r="E686" s="51">
        <f t="shared" si="323"/>
        <v>0</v>
      </c>
      <c r="F686" s="51">
        <f t="shared" si="323"/>
        <v>0</v>
      </c>
      <c r="G686" s="51">
        <f t="shared" si="323"/>
        <v>0</v>
      </c>
      <c r="H686" s="51">
        <f t="shared" si="323"/>
        <v>0</v>
      </c>
      <c r="I686" s="51">
        <f t="shared" si="323"/>
        <v>0</v>
      </c>
      <c r="J686" s="51">
        <f t="shared" si="323"/>
        <v>0</v>
      </c>
      <c r="K686" s="51">
        <f t="shared" si="323"/>
        <v>0</v>
      </c>
      <c r="L686" s="51">
        <f t="shared" si="323"/>
        <v>0</v>
      </c>
      <c r="M686" s="51">
        <f t="shared" si="323"/>
        <v>1</v>
      </c>
      <c r="N686" s="51">
        <f t="shared" si="323"/>
        <v>1</v>
      </c>
      <c r="O686" s="51">
        <f t="shared" si="323"/>
        <v>0</v>
      </c>
      <c r="P686" s="28" t="s">
        <v>18</v>
      </c>
      <c r="Q686" s="52" t="str">
        <f>$Q$7</f>
        <v>Marcos</v>
      </c>
      <c r="R686" s="51">
        <v>1</v>
      </c>
      <c r="S686" s="51">
        <v>1</v>
      </c>
      <c r="T686" s="51">
        <v>1</v>
      </c>
      <c r="U686" s="51">
        <v>1</v>
      </c>
      <c r="V686" s="51">
        <v>1</v>
      </c>
      <c r="W686" s="51">
        <v>1</v>
      </c>
      <c r="X686" s="51">
        <v>1</v>
      </c>
      <c r="Y686" s="51">
        <v>1</v>
      </c>
      <c r="Z686" s="51">
        <v>1</v>
      </c>
      <c r="AA686" s="51">
        <v>1</v>
      </c>
      <c r="AB686" s="51">
        <v>1</v>
      </c>
      <c r="AC686" s="51">
        <v>1</v>
      </c>
    </row>
    <row r="687" spans="2:29" ht="15.6" x14ac:dyDescent="0.55000000000000004">
      <c r="B687" s="1"/>
      <c r="C687" s="52" t="str">
        <f>$Q$8</f>
        <v>Weixin</v>
      </c>
      <c r="D687" s="51">
        <f t="shared" ref="D687:O687" si="324">C224+D224</f>
        <v>0</v>
      </c>
      <c r="E687" s="51">
        <f t="shared" si="324"/>
        <v>0</v>
      </c>
      <c r="F687" s="51">
        <f t="shared" si="324"/>
        <v>0</v>
      </c>
      <c r="G687" s="51">
        <f t="shared" si="324"/>
        <v>0</v>
      </c>
      <c r="H687" s="51">
        <f t="shared" si="324"/>
        <v>0</v>
      </c>
      <c r="I687" s="51">
        <f t="shared" si="324"/>
        <v>0</v>
      </c>
      <c r="J687" s="51">
        <f t="shared" si="324"/>
        <v>1</v>
      </c>
      <c r="K687" s="51">
        <f t="shared" si="324"/>
        <v>1</v>
      </c>
      <c r="L687" s="51">
        <f t="shared" si="324"/>
        <v>0</v>
      </c>
      <c r="M687" s="51">
        <f t="shared" si="324"/>
        <v>0</v>
      </c>
      <c r="N687" s="51">
        <f t="shared" si="324"/>
        <v>0</v>
      </c>
      <c r="O687" s="51">
        <f t="shared" si="324"/>
        <v>0</v>
      </c>
      <c r="P687" s="28" t="s">
        <v>18</v>
      </c>
      <c r="Q687" s="52" t="str">
        <f>$Q$8</f>
        <v>Weixin</v>
      </c>
      <c r="R687" s="51">
        <v>1</v>
      </c>
      <c r="S687" s="51">
        <v>1</v>
      </c>
      <c r="T687" s="51">
        <v>1</v>
      </c>
      <c r="U687" s="51">
        <v>1</v>
      </c>
      <c r="V687" s="51">
        <v>1</v>
      </c>
      <c r="W687" s="51">
        <v>1</v>
      </c>
      <c r="X687" s="51">
        <v>1</v>
      </c>
      <c r="Y687" s="51">
        <v>1</v>
      </c>
      <c r="Z687" s="51">
        <v>1</v>
      </c>
      <c r="AA687" s="51">
        <v>1</v>
      </c>
      <c r="AB687" s="51">
        <v>1</v>
      </c>
      <c r="AC687" s="51">
        <v>1</v>
      </c>
    </row>
    <row r="688" spans="2:29" ht="15.6" x14ac:dyDescent="0.55000000000000004">
      <c r="B688" s="1"/>
      <c r="C688" s="52" t="str">
        <f>$Q$9</f>
        <v>Benjamin</v>
      </c>
      <c r="D688" s="51">
        <f t="shared" ref="D688:O688" si="325">C225+D225</f>
        <v>0</v>
      </c>
      <c r="E688" s="51">
        <f t="shared" si="325"/>
        <v>0</v>
      </c>
      <c r="F688" s="51">
        <f t="shared" si="325"/>
        <v>0</v>
      </c>
      <c r="G688" s="51">
        <f t="shared" si="325"/>
        <v>0</v>
      </c>
      <c r="H688" s="51">
        <f t="shared" si="325"/>
        <v>0</v>
      </c>
      <c r="I688" s="51">
        <f t="shared" si="325"/>
        <v>0</v>
      </c>
      <c r="J688" s="51">
        <f t="shared" si="325"/>
        <v>0</v>
      </c>
      <c r="K688" s="51">
        <f t="shared" si="325"/>
        <v>0</v>
      </c>
      <c r="L688" s="51">
        <f t="shared" si="325"/>
        <v>0</v>
      </c>
      <c r="M688" s="51">
        <f t="shared" si="325"/>
        <v>0</v>
      </c>
      <c r="N688" s="51">
        <f t="shared" si="325"/>
        <v>0</v>
      </c>
      <c r="O688" s="51">
        <f t="shared" si="325"/>
        <v>0</v>
      </c>
      <c r="P688" s="28" t="s">
        <v>18</v>
      </c>
      <c r="Q688" s="52" t="str">
        <f>$Q$9</f>
        <v>Benjamin</v>
      </c>
      <c r="R688" s="51">
        <v>1</v>
      </c>
      <c r="S688" s="51">
        <v>1</v>
      </c>
      <c r="T688" s="51">
        <v>1</v>
      </c>
      <c r="U688" s="51">
        <v>1</v>
      </c>
      <c r="V688" s="51">
        <v>1</v>
      </c>
      <c r="W688" s="51">
        <v>1</v>
      </c>
      <c r="X688" s="51">
        <v>1</v>
      </c>
      <c r="Y688" s="51">
        <v>1</v>
      </c>
      <c r="Z688" s="51">
        <v>1</v>
      </c>
      <c r="AA688" s="51">
        <v>1</v>
      </c>
      <c r="AB688" s="51">
        <v>1</v>
      </c>
      <c r="AC688" s="51">
        <v>1</v>
      </c>
    </row>
    <row r="689" spans="2:29" ht="15.6" x14ac:dyDescent="0.55000000000000004">
      <c r="B689" s="1"/>
      <c r="C689" s="52" t="str">
        <f>$Q$10</f>
        <v>Joelle</v>
      </c>
      <c r="D689" s="51">
        <f t="shared" ref="D689:O689" si="326">C226+D226</f>
        <v>0</v>
      </c>
      <c r="E689" s="51">
        <f t="shared" si="326"/>
        <v>0</v>
      </c>
      <c r="F689" s="51">
        <f t="shared" si="326"/>
        <v>0</v>
      </c>
      <c r="G689" s="51">
        <f t="shared" si="326"/>
        <v>0</v>
      </c>
      <c r="H689" s="51">
        <f t="shared" si="326"/>
        <v>0</v>
      </c>
      <c r="I689" s="51">
        <f t="shared" si="326"/>
        <v>0</v>
      </c>
      <c r="J689" s="51">
        <f t="shared" si="326"/>
        <v>0</v>
      </c>
      <c r="K689" s="51">
        <f t="shared" si="326"/>
        <v>0</v>
      </c>
      <c r="L689" s="51">
        <f t="shared" si="326"/>
        <v>0</v>
      </c>
      <c r="M689" s="51">
        <f t="shared" si="326"/>
        <v>0</v>
      </c>
      <c r="N689" s="51">
        <f t="shared" si="326"/>
        <v>0</v>
      </c>
      <c r="O689" s="51">
        <f t="shared" si="326"/>
        <v>0</v>
      </c>
      <c r="P689" s="28" t="s">
        <v>18</v>
      </c>
      <c r="Q689" s="52" t="str">
        <f>$Q$10</f>
        <v>Joelle</v>
      </c>
      <c r="R689" s="51">
        <v>1</v>
      </c>
      <c r="S689" s="51">
        <v>1</v>
      </c>
      <c r="T689" s="51">
        <v>1</v>
      </c>
      <c r="U689" s="51">
        <v>1</v>
      </c>
      <c r="V689" s="51">
        <v>1</v>
      </c>
      <c r="W689" s="51">
        <v>1</v>
      </c>
      <c r="X689" s="51">
        <v>1</v>
      </c>
      <c r="Y689" s="51">
        <v>1</v>
      </c>
      <c r="Z689" s="51">
        <v>1</v>
      </c>
      <c r="AA689" s="51">
        <v>1</v>
      </c>
      <c r="AB689" s="51">
        <v>1</v>
      </c>
      <c r="AC689" s="51">
        <v>1</v>
      </c>
    </row>
    <row r="690" spans="2:29" ht="15.6" x14ac:dyDescent="0.55000000000000004">
      <c r="B690" s="1"/>
      <c r="C690" s="52" t="str">
        <f>$Q$11</f>
        <v>Alexia</v>
      </c>
      <c r="D690" s="51">
        <f t="shared" ref="D690:O690" si="327">C227+D227</f>
        <v>0</v>
      </c>
      <c r="E690" s="51">
        <f t="shared" si="327"/>
        <v>0</v>
      </c>
      <c r="F690" s="51">
        <f t="shared" si="327"/>
        <v>0</v>
      </c>
      <c r="G690" s="51">
        <f t="shared" si="327"/>
        <v>0</v>
      </c>
      <c r="H690" s="51">
        <f t="shared" si="327"/>
        <v>0</v>
      </c>
      <c r="I690" s="51">
        <f t="shared" si="327"/>
        <v>0</v>
      </c>
      <c r="J690" s="51">
        <f t="shared" si="327"/>
        <v>0</v>
      </c>
      <c r="K690" s="51">
        <f t="shared" si="327"/>
        <v>0</v>
      </c>
      <c r="L690" s="51">
        <f t="shared" si="327"/>
        <v>0</v>
      </c>
      <c r="M690" s="51">
        <f t="shared" si="327"/>
        <v>0</v>
      </c>
      <c r="N690" s="51">
        <f t="shared" si="327"/>
        <v>0</v>
      </c>
      <c r="O690" s="51">
        <f t="shared" si="327"/>
        <v>0</v>
      </c>
      <c r="P690" s="28" t="s">
        <v>18</v>
      </c>
      <c r="Q690" s="52" t="str">
        <f>$Q$11</f>
        <v>Alexia</v>
      </c>
      <c r="R690" s="51">
        <v>1</v>
      </c>
      <c r="S690" s="51">
        <v>1</v>
      </c>
      <c r="T690" s="51">
        <v>1</v>
      </c>
      <c r="U690" s="51">
        <v>1</v>
      </c>
      <c r="V690" s="51">
        <v>1</v>
      </c>
      <c r="W690" s="51">
        <v>1</v>
      </c>
      <c r="X690" s="51">
        <v>1</v>
      </c>
      <c r="Y690" s="51">
        <v>1</v>
      </c>
      <c r="Z690" s="51">
        <v>1</v>
      </c>
      <c r="AA690" s="51">
        <v>1</v>
      </c>
      <c r="AB690" s="51">
        <v>1</v>
      </c>
      <c r="AC690" s="51">
        <v>1</v>
      </c>
    </row>
    <row r="691" spans="2:29" ht="15.6" x14ac:dyDescent="0.55000000000000004">
      <c r="B691" s="1"/>
      <c r="C691" s="52" t="str">
        <f>$Q$12</f>
        <v>Joao</v>
      </c>
      <c r="D691" s="51">
        <f t="shared" ref="D691:O691" si="328">C228+D228</f>
        <v>0</v>
      </c>
      <c r="E691" s="51">
        <f t="shared" si="328"/>
        <v>0</v>
      </c>
      <c r="F691" s="51">
        <f t="shared" si="328"/>
        <v>0</v>
      </c>
      <c r="G691" s="51">
        <f t="shared" si="328"/>
        <v>0</v>
      </c>
      <c r="H691" s="51">
        <f t="shared" si="328"/>
        <v>0</v>
      </c>
      <c r="I691" s="51">
        <f t="shared" si="328"/>
        <v>1</v>
      </c>
      <c r="J691" s="51">
        <f t="shared" si="328"/>
        <v>1</v>
      </c>
      <c r="K691" s="51">
        <f t="shared" si="328"/>
        <v>0</v>
      </c>
      <c r="L691" s="51">
        <f t="shared" si="328"/>
        <v>0</v>
      </c>
      <c r="M691" s="51">
        <f t="shared" si="328"/>
        <v>0</v>
      </c>
      <c r="N691" s="51">
        <f t="shared" si="328"/>
        <v>0</v>
      </c>
      <c r="O691" s="51">
        <f t="shared" si="328"/>
        <v>0</v>
      </c>
      <c r="P691" s="28" t="s">
        <v>18</v>
      </c>
      <c r="Q691" s="52" t="str">
        <f>$Q$12</f>
        <v>Joao</v>
      </c>
      <c r="R691" s="51">
        <v>1</v>
      </c>
      <c r="S691" s="51">
        <v>1</v>
      </c>
      <c r="T691" s="51">
        <v>1</v>
      </c>
      <c r="U691" s="51">
        <v>1</v>
      </c>
      <c r="V691" s="51">
        <v>1</v>
      </c>
      <c r="W691" s="51">
        <v>1</v>
      </c>
      <c r="X691" s="51">
        <v>1</v>
      </c>
      <c r="Y691" s="51">
        <v>1</v>
      </c>
      <c r="Z691" s="51">
        <v>1</v>
      </c>
      <c r="AA691" s="51">
        <v>1</v>
      </c>
      <c r="AB691" s="51">
        <v>1</v>
      </c>
      <c r="AC691" s="51">
        <v>1</v>
      </c>
    </row>
    <row r="692" spans="2:29" ht="15.6" x14ac:dyDescent="0.55000000000000004">
      <c r="B692" s="1"/>
      <c r="C692" s="57" t="str">
        <f>$Q$13</f>
        <v>Maxime</v>
      </c>
      <c r="D692" s="51">
        <f t="shared" ref="D692:O692" si="329">C229+D229</f>
        <v>0</v>
      </c>
      <c r="E692" s="51">
        <f t="shared" si="329"/>
        <v>0</v>
      </c>
      <c r="F692" s="51">
        <f t="shared" si="329"/>
        <v>0</v>
      </c>
      <c r="G692" s="51">
        <f t="shared" si="329"/>
        <v>0</v>
      </c>
      <c r="H692" s="51">
        <f t="shared" si="329"/>
        <v>0</v>
      </c>
      <c r="I692" s="51">
        <f t="shared" si="329"/>
        <v>0</v>
      </c>
      <c r="J692" s="51">
        <f t="shared" si="329"/>
        <v>0</v>
      </c>
      <c r="K692" s="51">
        <f t="shared" si="329"/>
        <v>0</v>
      </c>
      <c r="L692" s="51">
        <f t="shared" si="329"/>
        <v>0</v>
      </c>
      <c r="M692" s="51">
        <f t="shared" si="329"/>
        <v>0</v>
      </c>
      <c r="N692" s="51">
        <f t="shared" si="329"/>
        <v>0</v>
      </c>
      <c r="O692" s="51">
        <f t="shared" si="329"/>
        <v>0</v>
      </c>
      <c r="P692" s="28" t="s">
        <v>18</v>
      </c>
      <c r="Q692" s="57" t="str">
        <f>$Q$13</f>
        <v>Maxime</v>
      </c>
      <c r="R692" s="51">
        <v>1</v>
      </c>
      <c r="S692" s="51">
        <v>1</v>
      </c>
      <c r="T692" s="51">
        <v>1</v>
      </c>
      <c r="U692" s="51">
        <v>1</v>
      </c>
      <c r="V692" s="51">
        <v>1</v>
      </c>
      <c r="W692" s="51">
        <v>1</v>
      </c>
      <c r="X692" s="51">
        <v>1</v>
      </c>
      <c r="Y692" s="51">
        <v>1</v>
      </c>
      <c r="Z692" s="51">
        <v>1</v>
      </c>
      <c r="AA692" s="51">
        <v>1</v>
      </c>
      <c r="AB692" s="51">
        <v>1</v>
      </c>
      <c r="AC692" s="51">
        <v>1</v>
      </c>
    </row>
    <row r="693" spans="2:29" ht="15.6" x14ac:dyDescent="0.55000000000000004">
      <c r="B693" s="1"/>
      <c r="C693" s="46" t="str">
        <f>$Q$14</f>
        <v>Alex</v>
      </c>
      <c r="D693" s="51">
        <f t="shared" ref="D693:O693" si="330">C230+D230</f>
        <v>1</v>
      </c>
      <c r="E693" s="51">
        <f t="shared" si="330"/>
        <v>1</v>
      </c>
      <c r="F693" s="51">
        <f t="shared" si="330"/>
        <v>0</v>
      </c>
      <c r="G693" s="51">
        <f t="shared" si="330"/>
        <v>0</v>
      </c>
      <c r="H693" s="51">
        <f t="shared" si="330"/>
        <v>0</v>
      </c>
      <c r="I693" s="51">
        <f t="shared" si="330"/>
        <v>0</v>
      </c>
      <c r="J693" s="51">
        <f t="shared" si="330"/>
        <v>0</v>
      </c>
      <c r="K693" s="51">
        <f t="shared" si="330"/>
        <v>0</v>
      </c>
      <c r="L693" s="51">
        <f t="shared" si="330"/>
        <v>0</v>
      </c>
      <c r="M693" s="51">
        <f t="shared" si="330"/>
        <v>0</v>
      </c>
      <c r="N693" s="51">
        <f t="shared" si="330"/>
        <v>0</v>
      </c>
      <c r="O693" s="51">
        <f t="shared" si="330"/>
        <v>0</v>
      </c>
      <c r="P693" s="28" t="s">
        <v>18</v>
      </c>
      <c r="Q693" s="46" t="str">
        <f>$Q$14</f>
        <v>Alex</v>
      </c>
      <c r="R693" s="51">
        <v>1</v>
      </c>
      <c r="S693" s="51">
        <v>1</v>
      </c>
      <c r="T693" s="51">
        <v>1</v>
      </c>
      <c r="U693" s="51">
        <v>1</v>
      </c>
      <c r="V693" s="51">
        <v>1</v>
      </c>
      <c r="W693" s="51">
        <v>1</v>
      </c>
      <c r="X693" s="51">
        <v>1</v>
      </c>
      <c r="Y693" s="51">
        <v>1</v>
      </c>
      <c r="Z693" s="51">
        <v>1</v>
      </c>
      <c r="AA693" s="51">
        <v>1</v>
      </c>
      <c r="AB693" s="51">
        <v>1</v>
      </c>
      <c r="AC693" s="51">
        <v>1</v>
      </c>
    </row>
    <row r="694" spans="2:29" ht="15.6" x14ac:dyDescent="0.55000000000000004">
      <c r="B694" s="1"/>
      <c r="C694" s="52" t="str">
        <f>$Q$15</f>
        <v>Alyssa</v>
      </c>
      <c r="D694" s="51">
        <f t="shared" ref="D694:O694" si="331">C231+D231</f>
        <v>0</v>
      </c>
      <c r="E694" s="51">
        <f t="shared" si="331"/>
        <v>0</v>
      </c>
      <c r="F694" s="51">
        <f t="shared" si="331"/>
        <v>0</v>
      </c>
      <c r="G694" s="51">
        <f t="shared" si="331"/>
        <v>0</v>
      </c>
      <c r="H694" s="51">
        <f t="shared" si="331"/>
        <v>0</v>
      </c>
      <c r="I694" s="51">
        <f t="shared" si="331"/>
        <v>0</v>
      </c>
      <c r="J694" s="51">
        <f t="shared" si="331"/>
        <v>0</v>
      </c>
      <c r="K694" s="51">
        <f t="shared" si="331"/>
        <v>0</v>
      </c>
      <c r="L694" s="51">
        <f t="shared" si="331"/>
        <v>0</v>
      </c>
      <c r="M694" s="51">
        <f t="shared" si="331"/>
        <v>0</v>
      </c>
      <c r="N694" s="51">
        <f t="shared" si="331"/>
        <v>0</v>
      </c>
      <c r="O694" s="51">
        <f t="shared" si="331"/>
        <v>0</v>
      </c>
      <c r="P694" s="28" t="s">
        <v>18</v>
      </c>
      <c r="Q694" s="52" t="str">
        <f>$Q$15</f>
        <v>Alyssa</v>
      </c>
      <c r="R694" s="51">
        <v>1</v>
      </c>
      <c r="S694" s="51">
        <v>1</v>
      </c>
      <c r="T694" s="51">
        <v>1</v>
      </c>
      <c r="U694" s="51">
        <v>1</v>
      </c>
      <c r="V694" s="51">
        <v>1</v>
      </c>
      <c r="W694" s="51">
        <v>1</v>
      </c>
      <c r="X694" s="51">
        <v>1</v>
      </c>
      <c r="Y694" s="51">
        <v>1</v>
      </c>
      <c r="Z694" s="51">
        <v>1</v>
      </c>
      <c r="AA694" s="51">
        <v>1</v>
      </c>
      <c r="AB694" s="51">
        <v>1</v>
      </c>
      <c r="AC694" s="51">
        <v>1</v>
      </c>
    </row>
    <row r="695" spans="2:29" ht="15.6" x14ac:dyDescent="0.55000000000000004">
      <c r="B695" s="1"/>
      <c r="C695" s="52" t="str">
        <f>$Q$16</f>
        <v>Amanda</v>
      </c>
      <c r="D695" s="51">
        <f t="shared" ref="D695:O695" si="332">C232+D232</f>
        <v>0</v>
      </c>
      <c r="E695" s="51">
        <f t="shared" si="332"/>
        <v>0</v>
      </c>
      <c r="F695" s="51">
        <f t="shared" si="332"/>
        <v>0</v>
      </c>
      <c r="G695" s="51">
        <f t="shared" si="332"/>
        <v>0</v>
      </c>
      <c r="H695" s="51">
        <f t="shared" si="332"/>
        <v>0</v>
      </c>
      <c r="I695" s="51">
        <f t="shared" si="332"/>
        <v>0</v>
      </c>
      <c r="J695" s="51">
        <f t="shared" si="332"/>
        <v>0</v>
      </c>
      <c r="K695" s="51">
        <f t="shared" si="332"/>
        <v>0</v>
      </c>
      <c r="L695" s="51">
        <f t="shared" si="332"/>
        <v>0</v>
      </c>
      <c r="M695" s="51">
        <f t="shared" si="332"/>
        <v>0</v>
      </c>
      <c r="N695" s="51">
        <f t="shared" si="332"/>
        <v>0</v>
      </c>
      <c r="O695" s="51">
        <f t="shared" si="332"/>
        <v>0</v>
      </c>
      <c r="P695" s="28" t="s">
        <v>18</v>
      </c>
      <c r="Q695" s="52" t="str">
        <f>$Q$16</f>
        <v>Amanda</v>
      </c>
      <c r="R695" s="51">
        <v>1</v>
      </c>
      <c r="S695" s="51">
        <v>1</v>
      </c>
      <c r="T695" s="51">
        <v>1</v>
      </c>
      <c r="U695" s="51">
        <v>1</v>
      </c>
      <c r="V695" s="51">
        <v>1</v>
      </c>
      <c r="W695" s="51">
        <v>1</v>
      </c>
      <c r="X695" s="51">
        <v>1</v>
      </c>
      <c r="Y695" s="51">
        <v>1</v>
      </c>
      <c r="Z695" s="51">
        <v>1</v>
      </c>
      <c r="AA695" s="51">
        <v>1</v>
      </c>
      <c r="AB695" s="51">
        <v>1</v>
      </c>
      <c r="AC695" s="51">
        <v>1</v>
      </c>
    </row>
    <row r="696" spans="2:29" ht="15.6" x14ac:dyDescent="0.55000000000000004">
      <c r="B696" s="1"/>
      <c r="C696" s="52" t="str">
        <f>$Q$17</f>
        <v>Antoine</v>
      </c>
      <c r="D696" s="51">
        <f t="shared" ref="D696:O696" si="333">C233+D233</f>
        <v>0</v>
      </c>
      <c r="E696" s="51">
        <f t="shared" si="333"/>
        <v>0</v>
      </c>
      <c r="F696" s="51">
        <f t="shared" si="333"/>
        <v>0</v>
      </c>
      <c r="G696" s="51">
        <f t="shared" si="333"/>
        <v>1</v>
      </c>
      <c r="H696" s="51">
        <f t="shared" si="333"/>
        <v>1</v>
      </c>
      <c r="I696" s="51">
        <f t="shared" si="333"/>
        <v>0</v>
      </c>
      <c r="J696" s="51">
        <f t="shared" si="333"/>
        <v>0</v>
      </c>
      <c r="K696" s="51">
        <f t="shared" si="333"/>
        <v>0</v>
      </c>
      <c r="L696" s="51">
        <f t="shared" si="333"/>
        <v>0</v>
      </c>
      <c r="M696" s="51">
        <f t="shared" si="333"/>
        <v>0</v>
      </c>
      <c r="N696" s="51">
        <f t="shared" si="333"/>
        <v>0</v>
      </c>
      <c r="O696" s="51">
        <f t="shared" si="333"/>
        <v>0</v>
      </c>
      <c r="P696" s="28" t="s">
        <v>18</v>
      </c>
      <c r="Q696" s="52" t="str">
        <f>$Q$17</f>
        <v>Antoine</v>
      </c>
      <c r="R696" s="51">
        <v>1</v>
      </c>
      <c r="S696" s="51">
        <v>1</v>
      </c>
      <c r="T696" s="51">
        <v>1</v>
      </c>
      <c r="U696" s="51">
        <v>1</v>
      </c>
      <c r="V696" s="51">
        <v>1</v>
      </c>
      <c r="W696" s="51">
        <v>1</v>
      </c>
      <c r="X696" s="51">
        <v>1</v>
      </c>
      <c r="Y696" s="51">
        <v>1</v>
      </c>
      <c r="Z696" s="51">
        <v>1</v>
      </c>
      <c r="AA696" s="51">
        <v>1</v>
      </c>
      <c r="AB696" s="51">
        <v>1</v>
      </c>
      <c r="AC696" s="51">
        <v>1</v>
      </c>
    </row>
    <row r="697" spans="2:29" ht="15.6" x14ac:dyDescent="0.55000000000000004">
      <c r="B697" s="1"/>
      <c r="C697" s="52" t="str">
        <f>$Q$18</f>
        <v>Beatriz</v>
      </c>
      <c r="D697" s="51">
        <f t="shared" ref="D697:O697" si="334">C234+D234</f>
        <v>0</v>
      </c>
      <c r="E697" s="51">
        <f t="shared" si="334"/>
        <v>0</v>
      </c>
      <c r="F697" s="51">
        <f t="shared" si="334"/>
        <v>0</v>
      </c>
      <c r="G697" s="51">
        <f t="shared" si="334"/>
        <v>0</v>
      </c>
      <c r="H697" s="51">
        <f t="shared" si="334"/>
        <v>0</v>
      </c>
      <c r="I697" s="51">
        <f t="shared" si="334"/>
        <v>0</v>
      </c>
      <c r="J697" s="51">
        <f t="shared" si="334"/>
        <v>0</v>
      </c>
      <c r="K697" s="51">
        <f t="shared" si="334"/>
        <v>0</v>
      </c>
      <c r="L697" s="51">
        <f t="shared" si="334"/>
        <v>0</v>
      </c>
      <c r="M697" s="51">
        <f t="shared" si="334"/>
        <v>0</v>
      </c>
      <c r="N697" s="51">
        <f t="shared" si="334"/>
        <v>0</v>
      </c>
      <c r="O697" s="51">
        <f t="shared" si="334"/>
        <v>0</v>
      </c>
      <c r="P697" s="28" t="s">
        <v>18</v>
      </c>
      <c r="Q697" s="52" t="str">
        <f>$Q$18</f>
        <v>Beatriz</v>
      </c>
      <c r="R697" s="51">
        <v>1</v>
      </c>
      <c r="S697" s="51">
        <v>1</v>
      </c>
      <c r="T697" s="51">
        <v>1</v>
      </c>
      <c r="U697" s="51">
        <v>1</v>
      </c>
      <c r="V697" s="51">
        <v>1</v>
      </c>
      <c r="W697" s="51">
        <v>1</v>
      </c>
      <c r="X697" s="51">
        <v>1</v>
      </c>
      <c r="Y697" s="51">
        <v>1</v>
      </c>
      <c r="Z697" s="51">
        <v>1</v>
      </c>
      <c r="AA697" s="51">
        <v>1</v>
      </c>
      <c r="AB697" s="51">
        <v>1</v>
      </c>
      <c r="AC697" s="51">
        <v>1</v>
      </c>
    </row>
    <row r="698" spans="2:29" ht="15.6" x14ac:dyDescent="0.55000000000000004">
      <c r="B698" s="1"/>
      <c r="C698" s="52" t="str">
        <f>$Q$19</f>
        <v>Charelle</v>
      </c>
      <c r="D698" s="51">
        <f t="shared" ref="D698:O698" si="335">C235+D235</f>
        <v>0</v>
      </c>
      <c r="E698" s="51">
        <f t="shared" si="335"/>
        <v>0</v>
      </c>
      <c r="F698" s="51">
        <f t="shared" si="335"/>
        <v>0</v>
      </c>
      <c r="G698" s="51">
        <f t="shared" si="335"/>
        <v>0</v>
      </c>
      <c r="H698" s="51">
        <f t="shared" si="335"/>
        <v>1</v>
      </c>
      <c r="I698" s="51">
        <f t="shared" si="335"/>
        <v>1</v>
      </c>
      <c r="J698" s="51">
        <f t="shared" si="335"/>
        <v>0</v>
      </c>
      <c r="K698" s="51">
        <f t="shared" si="335"/>
        <v>0</v>
      </c>
      <c r="L698" s="51">
        <f t="shared" si="335"/>
        <v>0</v>
      </c>
      <c r="M698" s="51">
        <f t="shared" si="335"/>
        <v>0</v>
      </c>
      <c r="N698" s="51">
        <f t="shared" si="335"/>
        <v>0</v>
      </c>
      <c r="O698" s="51">
        <f t="shared" si="335"/>
        <v>0</v>
      </c>
      <c r="P698" s="28" t="s">
        <v>18</v>
      </c>
      <c r="Q698" s="52" t="str">
        <f>$Q$19</f>
        <v>Charelle</v>
      </c>
      <c r="R698" s="51">
        <v>1</v>
      </c>
      <c r="S698" s="51">
        <v>1</v>
      </c>
      <c r="T698" s="51">
        <v>1</v>
      </c>
      <c r="U698" s="51">
        <v>1</v>
      </c>
      <c r="V698" s="51">
        <v>1</v>
      </c>
      <c r="W698" s="51">
        <v>1</v>
      </c>
      <c r="X698" s="51">
        <v>1</v>
      </c>
      <c r="Y698" s="51">
        <v>1</v>
      </c>
      <c r="Z698" s="51">
        <v>1</v>
      </c>
      <c r="AA698" s="51">
        <v>1</v>
      </c>
      <c r="AB698" s="51">
        <v>1</v>
      </c>
      <c r="AC698" s="51">
        <v>1</v>
      </c>
    </row>
    <row r="699" spans="2:29" ht="15.6" x14ac:dyDescent="0.55000000000000004">
      <c r="B699" s="1"/>
      <c r="C699" s="52" t="str">
        <f>$Q$20</f>
        <v>Dimitri</v>
      </c>
      <c r="D699" s="51">
        <f t="shared" ref="D699:O699" si="336">C236+D236</f>
        <v>0</v>
      </c>
      <c r="E699" s="51">
        <f t="shared" si="336"/>
        <v>0</v>
      </c>
      <c r="F699" s="51">
        <f t="shared" si="336"/>
        <v>0</v>
      </c>
      <c r="G699" s="51">
        <f t="shared" si="336"/>
        <v>0</v>
      </c>
      <c r="H699" s="51">
        <f t="shared" si="336"/>
        <v>0</v>
      </c>
      <c r="I699" s="51">
        <f t="shared" si="336"/>
        <v>0</v>
      </c>
      <c r="J699" s="51">
        <f t="shared" si="336"/>
        <v>0</v>
      </c>
      <c r="K699" s="51">
        <f t="shared" si="336"/>
        <v>0</v>
      </c>
      <c r="L699" s="51">
        <f t="shared" si="336"/>
        <v>1</v>
      </c>
      <c r="M699" s="51">
        <f t="shared" si="336"/>
        <v>1</v>
      </c>
      <c r="N699" s="51">
        <f t="shared" si="336"/>
        <v>0</v>
      </c>
      <c r="O699" s="51">
        <f t="shared" si="336"/>
        <v>0</v>
      </c>
      <c r="P699" s="28" t="s">
        <v>18</v>
      </c>
      <c r="Q699" s="52" t="str">
        <f>$Q$20</f>
        <v>Dimitri</v>
      </c>
      <c r="R699" s="51">
        <v>1</v>
      </c>
      <c r="S699" s="51">
        <v>1</v>
      </c>
      <c r="T699" s="51">
        <v>1</v>
      </c>
      <c r="U699" s="51">
        <v>1</v>
      </c>
      <c r="V699" s="51">
        <v>1</v>
      </c>
      <c r="W699" s="51">
        <v>1</v>
      </c>
      <c r="X699" s="51">
        <v>1</v>
      </c>
      <c r="Y699" s="51">
        <v>1</v>
      </c>
      <c r="Z699" s="51">
        <v>1</v>
      </c>
      <c r="AA699" s="51">
        <v>1</v>
      </c>
      <c r="AB699" s="51">
        <v>1</v>
      </c>
      <c r="AC699" s="51">
        <v>1</v>
      </c>
    </row>
    <row r="700" spans="2:29" ht="15.6" x14ac:dyDescent="0.55000000000000004">
      <c r="B700" s="1"/>
      <c r="C700" s="52" t="str">
        <f>$Q$21</f>
        <v>Marina</v>
      </c>
      <c r="D700" s="51">
        <f t="shared" ref="D700:O700" si="337">C237+D237</f>
        <v>0</v>
      </c>
      <c r="E700" s="51">
        <f t="shared" si="337"/>
        <v>0</v>
      </c>
      <c r="F700" s="51">
        <f t="shared" si="337"/>
        <v>0</v>
      </c>
      <c r="G700" s="51">
        <f t="shared" si="337"/>
        <v>0</v>
      </c>
      <c r="H700" s="51">
        <f t="shared" si="337"/>
        <v>0</v>
      </c>
      <c r="I700" s="51">
        <f t="shared" si="337"/>
        <v>0</v>
      </c>
      <c r="J700" s="51">
        <f t="shared" si="337"/>
        <v>0</v>
      </c>
      <c r="K700" s="51">
        <f t="shared" si="337"/>
        <v>0</v>
      </c>
      <c r="L700" s="51">
        <f t="shared" si="337"/>
        <v>0</v>
      </c>
      <c r="M700" s="51">
        <f t="shared" si="337"/>
        <v>0</v>
      </c>
      <c r="N700" s="51">
        <f t="shared" si="337"/>
        <v>0</v>
      </c>
      <c r="O700" s="51">
        <f t="shared" si="337"/>
        <v>0</v>
      </c>
      <c r="P700" s="28" t="s">
        <v>18</v>
      </c>
      <c r="Q700" s="52" t="str">
        <f>$Q$21</f>
        <v>Marina</v>
      </c>
      <c r="R700" s="51">
        <v>1</v>
      </c>
      <c r="S700" s="51">
        <v>1</v>
      </c>
      <c r="T700" s="51">
        <v>1</v>
      </c>
      <c r="U700" s="51">
        <v>1</v>
      </c>
      <c r="V700" s="51">
        <v>1</v>
      </c>
      <c r="W700" s="51">
        <v>1</v>
      </c>
      <c r="X700" s="51">
        <v>1</v>
      </c>
      <c r="Y700" s="51">
        <v>1</v>
      </c>
      <c r="Z700" s="51">
        <v>1</v>
      </c>
      <c r="AA700" s="51">
        <v>1</v>
      </c>
      <c r="AB700" s="51">
        <v>1</v>
      </c>
      <c r="AC700" s="51">
        <v>1</v>
      </c>
    </row>
    <row r="701" spans="2:29" ht="15.6" x14ac:dyDescent="0.55000000000000004">
      <c r="B701" s="1"/>
      <c r="C701" s="52" t="str">
        <f>$Q$22</f>
        <v>Michel</v>
      </c>
      <c r="D701" s="51">
        <f t="shared" ref="D701:O701" si="338">C238+D238</f>
        <v>0</v>
      </c>
      <c r="E701" s="51">
        <f t="shared" si="338"/>
        <v>0</v>
      </c>
      <c r="F701" s="51">
        <f t="shared" si="338"/>
        <v>0</v>
      </c>
      <c r="G701" s="51">
        <f t="shared" si="338"/>
        <v>0</v>
      </c>
      <c r="H701" s="51">
        <f t="shared" si="338"/>
        <v>0</v>
      </c>
      <c r="I701" s="51">
        <f t="shared" si="338"/>
        <v>0</v>
      </c>
      <c r="J701" s="51">
        <f t="shared" si="338"/>
        <v>0</v>
      </c>
      <c r="K701" s="51">
        <f t="shared" si="338"/>
        <v>0</v>
      </c>
      <c r="L701" s="51">
        <f t="shared" si="338"/>
        <v>0</v>
      </c>
      <c r="M701" s="51">
        <f t="shared" si="338"/>
        <v>0</v>
      </c>
      <c r="N701" s="51">
        <f t="shared" si="338"/>
        <v>0</v>
      </c>
      <c r="O701" s="51">
        <f t="shared" si="338"/>
        <v>0</v>
      </c>
      <c r="P701" s="28" t="s">
        <v>18</v>
      </c>
      <c r="Q701" s="52" t="str">
        <f>$Q$22</f>
        <v>Michel</v>
      </c>
      <c r="R701" s="51">
        <v>1</v>
      </c>
      <c r="S701" s="51">
        <v>1</v>
      </c>
      <c r="T701" s="51">
        <v>1</v>
      </c>
      <c r="U701" s="51">
        <v>1</v>
      </c>
      <c r="V701" s="51">
        <v>1</v>
      </c>
      <c r="W701" s="51">
        <v>1</v>
      </c>
      <c r="X701" s="51">
        <v>1</v>
      </c>
      <c r="Y701" s="51">
        <v>1</v>
      </c>
      <c r="Z701" s="51">
        <v>1</v>
      </c>
      <c r="AA701" s="51">
        <v>1</v>
      </c>
      <c r="AB701" s="51">
        <v>1</v>
      </c>
      <c r="AC701" s="51">
        <v>1</v>
      </c>
    </row>
    <row r="702" spans="2:29" ht="15.6" x14ac:dyDescent="0.55000000000000004">
      <c r="B702" s="1"/>
      <c r="C702" s="52" t="str">
        <f>$Q$23</f>
        <v>Nour</v>
      </c>
      <c r="D702" s="51">
        <f t="shared" ref="D702:O702" si="339">C239+D239</f>
        <v>0</v>
      </c>
      <c r="E702" s="51">
        <f t="shared" si="339"/>
        <v>0</v>
      </c>
      <c r="F702" s="51">
        <f t="shared" si="339"/>
        <v>0</v>
      </c>
      <c r="G702" s="51">
        <f t="shared" si="339"/>
        <v>0</v>
      </c>
      <c r="H702" s="51">
        <f t="shared" si="339"/>
        <v>0</v>
      </c>
      <c r="I702" s="51">
        <f t="shared" si="339"/>
        <v>0</v>
      </c>
      <c r="J702" s="51">
        <f t="shared" si="339"/>
        <v>0</v>
      </c>
      <c r="K702" s="51">
        <f t="shared" si="339"/>
        <v>0</v>
      </c>
      <c r="L702" s="51">
        <f t="shared" si="339"/>
        <v>0</v>
      </c>
      <c r="M702" s="51">
        <f t="shared" si="339"/>
        <v>0</v>
      </c>
      <c r="N702" s="51">
        <f t="shared" si="339"/>
        <v>0</v>
      </c>
      <c r="O702" s="51">
        <f t="shared" si="339"/>
        <v>0</v>
      </c>
      <c r="P702" s="28" t="s">
        <v>18</v>
      </c>
      <c r="Q702" s="52" t="str">
        <f>$Q$23</f>
        <v>Nour</v>
      </c>
      <c r="R702" s="51">
        <v>1</v>
      </c>
      <c r="S702" s="51">
        <v>1</v>
      </c>
      <c r="T702" s="51">
        <v>1</v>
      </c>
      <c r="U702" s="51">
        <v>1</v>
      </c>
      <c r="V702" s="51">
        <v>1</v>
      </c>
      <c r="W702" s="51">
        <v>1</v>
      </c>
      <c r="X702" s="51">
        <v>1</v>
      </c>
      <c r="Y702" s="51">
        <v>1</v>
      </c>
      <c r="Z702" s="51">
        <v>1</v>
      </c>
      <c r="AA702" s="51">
        <v>1</v>
      </c>
      <c r="AB702" s="51">
        <v>1</v>
      </c>
      <c r="AC702" s="51">
        <v>1</v>
      </c>
    </row>
    <row r="703" spans="2:29" ht="15.6" x14ac:dyDescent="0.55000000000000004">
      <c r="B703" s="1"/>
      <c r="C703" s="52" t="str">
        <f>$Q$24</f>
        <v>Samuel</v>
      </c>
      <c r="D703" s="51">
        <f t="shared" ref="D703:O703" si="340">C240+D240</f>
        <v>0</v>
      </c>
      <c r="E703" s="51">
        <f t="shared" si="340"/>
        <v>0</v>
      </c>
      <c r="F703" s="51">
        <f t="shared" si="340"/>
        <v>0</v>
      </c>
      <c r="G703" s="51">
        <f t="shared" si="340"/>
        <v>0</v>
      </c>
      <c r="H703" s="51">
        <f t="shared" si="340"/>
        <v>0</v>
      </c>
      <c r="I703" s="51">
        <f t="shared" si="340"/>
        <v>0</v>
      </c>
      <c r="J703" s="51">
        <f t="shared" si="340"/>
        <v>0</v>
      </c>
      <c r="K703" s="51">
        <f t="shared" si="340"/>
        <v>0</v>
      </c>
      <c r="L703" s="51">
        <f t="shared" si="340"/>
        <v>0</v>
      </c>
      <c r="M703" s="51">
        <f t="shared" si="340"/>
        <v>0</v>
      </c>
      <c r="N703" s="51">
        <f t="shared" si="340"/>
        <v>0</v>
      </c>
      <c r="O703" s="51">
        <f t="shared" si="340"/>
        <v>0</v>
      </c>
      <c r="P703" s="28" t="s">
        <v>18</v>
      </c>
      <c r="Q703" s="52" t="str">
        <f>$Q$24</f>
        <v>Samuel</v>
      </c>
      <c r="R703" s="51">
        <v>1</v>
      </c>
      <c r="S703" s="51">
        <v>1</v>
      </c>
      <c r="T703" s="51">
        <v>1</v>
      </c>
      <c r="U703" s="51">
        <v>1</v>
      </c>
      <c r="V703" s="51">
        <v>1</v>
      </c>
      <c r="W703" s="51">
        <v>1</v>
      </c>
      <c r="X703" s="51">
        <v>1</v>
      </c>
      <c r="Y703" s="51">
        <v>1</v>
      </c>
      <c r="Z703" s="51">
        <v>1</v>
      </c>
      <c r="AA703" s="51">
        <v>1</v>
      </c>
      <c r="AB703" s="51">
        <v>1</v>
      </c>
      <c r="AC703" s="51">
        <v>1</v>
      </c>
    </row>
    <row r="704" spans="2:29" ht="15.6" x14ac:dyDescent="0.55000000000000004">
      <c r="B704" s="1"/>
      <c r="C704" s="52" t="str">
        <f>$Q$25</f>
        <v>Yassin</v>
      </c>
      <c r="D704" s="51">
        <f t="shared" ref="D704:O704" si="341">C241+D241</f>
        <v>0</v>
      </c>
      <c r="E704" s="51">
        <f t="shared" si="341"/>
        <v>0</v>
      </c>
      <c r="F704" s="51">
        <f t="shared" si="341"/>
        <v>0</v>
      </c>
      <c r="G704" s="51">
        <f t="shared" si="341"/>
        <v>0</v>
      </c>
      <c r="H704" s="51">
        <f t="shared" si="341"/>
        <v>0</v>
      </c>
      <c r="I704" s="51">
        <f t="shared" si="341"/>
        <v>0</v>
      </c>
      <c r="J704" s="51">
        <f t="shared" si="341"/>
        <v>0</v>
      </c>
      <c r="K704" s="51">
        <f t="shared" si="341"/>
        <v>1</v>
      </c>
      <c r="L704" s="51">
        <f t="shared" si="341"/>
        <v>1</v>
      </c>
      <c r="M704" s="51">
        <f t="shared" si="341"/>
        <v>0</v>
      </c>
      <c r="N704" s="51">
        <f t="shared" si="341"/>
        <v>0</v>
      </c>
      <c r="O704" s="51">
        <f t="shared" si="341"/>
        <v>0</v>
      </c>
      <c r="P704" s="28" t="s">
        <v>18</v>
      </c>
      <c r="Q704" s="52" t="str">
        <f>$Q$25</f>
        <v>Yassin</v>
      </c>
      <c r="R704" s="51">
        <v>1</v>
      </c>
      <c r="S704" s="51">
        <v>1</v>
      </c>
      <c r="T704" s="51">
        <v>1</v>
      </c>
      <c r="U704" s="51">
        <v>1</v>
      </c>
      <c r="V704" s="51">
        <v>1</v>
      </c>
      <c r="W704" s="51">
        <v>1</v>
      </c>
      <c r="X704" s="51">
        <v>1</v>
      </c>
      <c r="Y704" s="51">
        <v>1</v>
      </c>
      <c r="Z704" s="51">
        <v>1</v>
      </c>
      <c r="AA704" s="51">
        <v>1</v>
      </c>
      <c r="AB704" s="51">
        <v>1</v>
      </c>
      <c r="AC704" s="51">
        <v>1</v>
      </c>
    </row>
    <row r="705" spans="2:29" ht="15.6" x14ac:dyDescent="0.55000000000000004">
      <c r="B705" s="1"/>
      <c r="C705" s="52" t="str">
        <f>$Q$26</f>
        <v>Kamar</v>
      </c>
      <c r="D705" s="51">
        <f t="shared" ref="D705:O705" si="342">C242+D242</f>
        <v>0</v>
      </c>
      <c r="E705" s="51">
        <f t="shared" si="342"/>
        <v>1</v>
      </c>
      <c r="F705" s="51">
        <f t="shared" si="342"/>
        <v>1</v>
      </c>
      <c r="G705" s="51">
        <f t="shared" si="342"/>
        <v>0</v>
      </c>
      <c r="H705" s="51">
        <f t="shared" si="342"/>
        <v>0</v>
      </c>
      <c r="I705" s="51">
        <f t="shared" si="342"/>
        <v>0</v>
      </c>
      <c r="J705" s="51">
        <f t="shared" si="342"/>
        <v>0</v>
      </c>
      <c r="K705" s="51">
        <f t="shared" si="342"/>
        <v>0</v>
      </c>
      <c r="L705" s="51">
        <f t="shared" si="342"/>
        <v>0</v>
      </c>
      <c r="M705" s="51">
        <f t="shared" si="342"/>
        <v>0</v>
      </c>
      <c r="N705" s="51">
        <f t="shared" si="342"/>
        <v>0</v>
      </c>
      <c r="O705" s="51">
        <f t="shared" si="342"/>
        <v>0</v>
      </c>
      <c r="P705" s="28" t="s">
        <v>18</v>
      </c>
      <c r="Q705" s="52" t="str">
        <f>$Q$26</f>
        <v>Kamar</v>
      </c>
      <c r="R705" s="51">
        <v>1</v>
      </c>
      <c r="S705" s="51">
        <v>1</v>
      </c>
      <c r="T705" s="51">
        <v>1</v>
      </c>
      <c r="U705" s="51">
        <v>1</v>
      </c>
      <c r="V705" s="51">
        <v>1</v>
      </c>
      <c r="W705" s="51">
        <v>1</v>
      </c>
      <c r="X705" s="51">
        <v>1</v>
      </c>
      <c r="Y705" s="51">
        <v>1</v>
      </c>
      <c r="Z705" s="51">
        <v>1</v>
      </c>
      <c r="AA705" s="51">
        <v>1</v>
      </c>
      <c r="AB705" s="51">
        <v>1</v>
      </c>
      <c r="AC705" s="51">
        <v>1</v>
      </c>
    </row>
    <row r="706" spans="2:29" x14ac:dyDescent="0.55000000000000004">
      <c r="B706" s="1"/>
      <c r="C706" s="16"/>
    </row>
    <row r="707" spans="2:29" x14ac:dyDescent="0.55000000000000004">
      <c r="B707" s="1"/>
      <c r="C707" s="16"/>
    </row>
    <row r="708" spans="2:29" x14ac:dyDescent="0.55000000000000004">
      <c r="B708" s="1"/>
      <c r="C708" s="16" t="s">
        <v>88</v>
      </c>
      <c r="D708" s="1" t="s">
        <v>70</v>
      </c>
      <c r="E708" s="1" t="s">
        <v>71</v>
      </c>
      <c r="F708" s="1" t="s">
        <v>72</v>
      </c>
      <c r="G708" s="1" t="s">
        <v>73</v>
      </c>
      <c r="H708" s="1" t="s">
        <v>74</v>
      </c>
      <c r="I708" s="1" t="s">
        <v>75</v>
      </c>
      <c r="J708" s="1" t="s">
        <v>76</v>
      </c>
      <c r="K708" s="1" t="s">
        <v>77</v>
      </c>
      <c r="L708" s="1" t="s">
        <v>78</v>
      </c>
      <c r="M708" s="1" t="s">
        <v>79</v>
      </c>
      <c r="N708" s="1" t="s">
        <v>80</v>
      </c>
      <c r="O708" s="1" t="s">
        <v>81</v>
      </c>
      <c r="Q708" s="16" t="s">
        <v>88</v>
      </c>
      <c r="R708" s="1" t="s">
        <v>70</v>
      </c>
      <c r="S708" s="1" t="s">
        <v>71</v>
      </c>
      <c r="T708" s="1" t="s">
        <v>72</v>
      </c>
      <c r="U708" s="1" t="s">
        <v>73</v>
      </c>
      <c r="V708" s="1" t="s">
        <v>74</v>
      </c>
      <c r="W708" s="1" t="s">
        <v>75</v>
      </c>
      <c r="X708" s="1" t="s">
        <v>76</v>
      </c>
      <c r="Y708" s="1" t="s">
        <v>77</v>
      </c>
      <c r="Z708" s="1" t="s">
        <v>78</v>
      </c>
      <c r="AA708" s="1" t="s">
        <v>79</v>
      </c>
      <c r="AB708" s="1" t="s">
        <v>80</v>
      </c>
      <c r="AC708" s="1" t="s">
        <v>81</v>
      </c>
    </row>
    <row r="709" spans="2:29" ht="15.6" x14ac:dyDescent="0.55000000000000004">
      <c r="B709" s="1"/>
      <c r="C709" s="46" t="str">
        <f>$Q$3</f>
        <v>Jennifer</v>
      </c>
      <c r="D709" s="51">
        <f t="shared" ref="D709:O709" si="343">C246+D246</f>
        <v>0</v>
      </c>
      <c r="E709" s="51">
        <f t="shared" si="343"/>
        <v>0</v>
      </c>
      <c r="F709" s="51">
        <f t="shared" si="343"/>
        <v>0</v>
      </c>
      <c r="G709" s="51">
        <f t="shared" si="343"/>
        <v>0</v>
      </c>
      <c r="H709" s="51">
        <f t="shared" si="343"/>
        <v>0</v>
      </c>
      <c r="I709" s="51">
        <f t="shared" si="343"/>
        <v>0</v>
      </c>
      <c r="J709" s="51">
        <f t="shared" si="343"/>
        <v>0</v>
      </c>
      <c r="K709" s="51">
        <f t="shared" si="343"/>
        <v>0</v>
      </c>
      <c r="L709" s="51">
        <f t="shared" si="343"/>
        <v>0</v>
      </c>
      <c r="M709" s="51">
        <f t="shared" si="343"/>
        <v>0</v>
      </c>
      <c r="N709" s="51">
        <f t="shared" si="343"/>
        <v>1</v>
      </c>
      <c r="O709" s="51">
        <f t="shared" si="343"/>
        <v>2</v>
      </c>
      <c r="P709" s="28" t="s">
        <v>18</v>
      </c>
      <c r="Q709" s="46" t="str">
        <f>$Q$3</f>
        <v>Jennifer</v>
      </c>
      <c r="R709" s="51">
        <v>1</v>
      </c>
      <c r="S709" s="51">
        <v>1</v>
      </c>
      <c r="T709" s="51">
        <v>1</v>
      </c>
      <c r="U709" s="51">
        <v>1</v>
      </c>
      <c r="V709" s="51">
        <v>1</v>
      </c>
      <c r="W709" s="51">
        <v>1</v>
      </c>
      <c r="X709" s="51">
        <v>1</v>
      </c>
      <c r="Y709" s="51">
        <v>1</v>
      </c>
      <c r="Z709" s="51">
        <v>1</v>
      </c>
      <c r="AA709" s="51">
        <v>1</v>
      </c>
      <c r="AB709" s="51">
        <v>1</v>
      </c>
      <c r="AC709" s="51">
        <v>1</v>
      </c>
    </row>
    <row r="710" spans="2:29" ht="15.6" x14ac:dyDescent="0.55000000000000004">
      <c r="B710" s="1"/>
      <c r="C710" s="52" t="str">
        <f>$Q$4</f>
        <v>Galileo</v>
      </c>
      <c r="D710" s="51">
        <f t="shared" ref="D710:O710" si="344">C247+D247</f>
        <v>0</v>
      </c>
      <c r="E710" s="51">
        <f t="shared" si="344"/>
        <v>0</v>
      </c>
      <c r="F710" s="51">
        <f t="shared" si="344"/>
        <v>0</v>
      </c>
      <c r="G710" s="51">
        <f t="shared" si="344"/>
        <v>0</v>
      </c>
      <c r="H710" s="51">
        <f t="shared" si="344"/>
        <v>0</v>
      </c>
      <c r="I710" s="51">
        <f t="shared" si="344"/>
        <v>0</v>
      </c>
      <c r="J710" s="51">
        <f t="shared" si="344"/>
        <v>0</v>
      </c>
      <c r="K710" s="51">
        <f t="shared" si="344"/>
        <v>0</v>
      </c>
      <c r="L710" s="51">
        <f t="shared" si="344"/>
        <v>0</v>
      </c>
      <c r="M710" s="51">
        <f t="shared" si="344"/>
        <v>0</v>
      </c>
      <c r="N710" s="51">
        <f t="shared" si="344"/>
        <v>0</v>
      </c>
      <c r="O710" s="51">
        <f t="shared" si="344"/>
        <v>1</v>
      </c>
      <c r="P710" s="28" t="s">
        <v>18</v>
      </c>
      <c r="Q710" s="52" t="str">
        <f>$Q$4</f>
        <v>Galileo</v>
      </c>
      <c r="R710" s="51">
        <v>1</v>
      </c>
      <c r="S710" s="51">
        <v>1</v>
      </c>
      <c r="T710" s="51">
        <v>1</v>
      </c>
      <c r="U710" s="51">
        <v>1</v>
      </c>
      <c r="V710" s="51">
        <v>1</v>
      </c>
      <c r="W710" s="51">
        <v>1</v>
      </c>
      <c r="X710" s="51">
        <v>1</v>
      </c>
      <c r="Y710" s="51">
        <v>1</v>
      </c>
      <c r="Z710" s="51">
        <v>1</v>
      </c>
      <c r="AA710" s="51">
        <v>1</v>
      </c>
      <c r="AB710" s="51">
        <v>1</v>
      </c>
      <c r="AC710" s="51">
        <v>1</v>
      </c>
    </row>
    <row r="711" spans="2:29" ht="15.6" x14ac:dyDescent="0.55000000000000004">
      <c r="B711" s="1"/>
      <c r="C711" s="52" t="str">
        <f>$Q$5</f>
        <v>Óscar</v>
      </c>
      <c r="D711" s="51">
        <f t="shared" ref="D711:O711" si="345">C248+D248</f>
        <v>0</v>
      </c>
      <c r="E711" s="51">
        <f t="shared" si="345"/>
        <v>0</v>
      </c>
      <c r="F711" s="51">
        <f t="shared" si="345"/>
        <v>0</v>
      </c>
      <c r="G711" s="51">
        <f t="shared" si="345"/>
        <v>0</v>
      </c>
      <c r="H711" s="51">
        <f t="shared" si="345"/>
        <v>0</v>
      </c>
      <c r="I711" s="51">
        <f t="shared" si="345"/>
        <v>0</v>
      </c>
      <c r="J711" s="51">
        <f t="shared" si="345"/>
        <v>0</v>
      </c>
      <c r="K711" s="51">
        <f t="shared" si="345"/>
        <v>0</v>
      </c>
      <c r="L711" s="51">
        <f t="shared" si="345"/>
        <v>0</v>
      </c>
      <c r="M711" s="51">
        <f t="shared" si="345"/>
        <v>0</v>
      </c>
      <c r="N711" s="51">
        <f t="shared" si="345"/>
        <v>0</v>
      </c>
      <c r="O711" s="51">
        <f t="shared" si="345"/>
        <v>1</v>
      </c>
      <c r="P711" s="28" t="s">
        <v>18</v>
      </c>
      <c r="Q711" s="52" t="str">
        <f>$Q$5</f>
        <v>Óscar</v>
      </c>
      <c r="R711" s="51">
        <v>1</v>
      </c>
      <c r="S711" s="51">
        <v>1</v>
      </c>
      <c r="T711" s="51">
        <v>1</v>
      </c>
      <c r="U711" s="51">
        <v>1</v>
      </c>
      <c r="V711" s="51">
        <v>1</v>
      </c>
      <c r="W711" s="51">
        <v>1</v>
      </c>
      <c r="X711" s="51">
        <v>1</v>
      </c>
      <c r="Y711" s="51">
        <v>1</v>
      </c>
      <c r="Z711" s="51">
        <v>1</v>
      </c>
      <c r="AA711" s="51">
        <v>1</v>
      </c>
      <c r="AB711" s="51">
        <v>1</v>
      </c>
      <c r="AC711" s="51">
        <v>1</v>
      </c>
    </row>
    <row r="712" spans="2:29" ht="15.6" x14ac:dyDescent="0.55000000000000004">
      <c r="B712" s="1"/>
      <c r="C712" s="52" t="str">
        <f>$Q$6</f>
        <v>Sebastián</v>
      </c>
      <c r="D712" s="51">
        <f t="shared" ref="D712:O712" si="346">C249+D249</f>
        <v>0</v>
      </c>
      <c r="E712" s="51">
        <f t="shared" si="346"/>
        <v>0</v>
      </c>
      <c r="F712" s="51">
        <f t="shared" si="346"/>
        <v>0</v>
      </c>
      <c r="G712" s="51">
        <f t="shared" si="346"/>
        <v>0</v>
      </c>
      <c r="H712" s="51">
        <f t="shared" si="346"/>
        <v>0</v>
      </c>
      <c r="I712" s="51">
        <f t="shared" si="346"/>
        <v>0</v>
      </c>
      <c r="J712" s="51">
        <f t="shared" si="346"/>
        <v>0</v>
      </c>
      <c r="K712" s="51">
        <f t="shared" si="346"/>
        <v>0</v>
      </c>
      <c r="L712" s="51">
        <f t="shared" si="346"/>
        <v>0</v>
      </c>
      <c r="M712" s="51">
        <f t="shared" si="346"/>
        <v>0</v>
      </c>
      <c r="N712" s="51">
        <f t="shared" si="346"/>
        <v>1</v>
      </c>
      <c r="O712" s="51">
        <f t="shared" si="346"/>
        <v>1</v>
      </c>
      <c r="P712" s="28" t="s">
        <v>18</v>
      </c>
      <c r="Q712" s="52" t="str">
        <f>$Q$6</f>
        <v>Sebastián</v>
      </c>
      <c r="R712" s="51">
        <v>1</v>
      </c>
      <c r="S712" s="51">
        <v>1</v>
      </c>
      <c r="T712" s="51">
        <v>1</v>
      </c>
      <c r="U712" s="51">
        <v>1</v>
      </c>
      <c r="V712" s="51">
        <v>1</v>
      </c>
      <c r="W712" s="51">
        <v>1</v>
      </c>
      <c r="X712" s="51">
        <v>1</v>
      </c>
      <c r="Y712" s="51">
        <v>1</v>
      </c>
      <c r="Z712" s="51">
        <v>1</v>
      </c>
      <c r="AA712" s="51">
        <v>1</v>
      </c>
      <c r="AB712" s="51">
        <v>1</v>
      </c>
      <c r="AC712" s="51">
        <v>1</v>
      </c>
    </row>
    <row r="713" spans="2:29" ht="15.6" x14ac:dyDescent="0.55000000000000004">
      <c r="B713" s="1"/>
      <c r="C713" s="52" t="str">
        <f>$Q$7</f>
        <v>Marcos</v>
      </c>
      <c r="D713" s="51">
        <f t="shared" ref="D713:O713" si="347">C250+D250</f>
        <v>0</v>
      </c>
      <c r="E713" s="51">
        <f t="shared" si="347"/>
        <v>0</v>
      </c>
      <c r="F713" s="51">
        <f t="shared" si="347"/>
        <v>0</v>
      </c>
      <c r="G713" s="51">
        <f t="shared" si="347"/>
        <v>0</v>
      </c>
      <c r="H713" s="51">
        <f t="shared" si="347"/>
        <v>0</v>
      </c>
      <c r="I713" s="51">
        <f t="shared" si="347"/>
        <v>0</v>
      </c>
      <c r="J713" s="51">
        <f t="shared" si="347"/>
        <v>0</v>
      </c>
      <c r="K713" s="51">
        <f t="shared" si="347"/>
        <v>0</v>
      </c>
      <c r="L713" s="51">
        <f t="shared" si="347"/>
        <v>0</v>
      </c>
      <c r="M713" s="51">
        <f t="shared" si="347"/>
        <v>0</v>
      </c>
      <c r="N713" s="51">
        <f t="shared" si="347"/>
        <v>0</v>
      </c>
      <c r="O713" s="51">
        <f t="shared" si="347"/>
        <v>0</v>
      </c>
      <c r="P713" s="28" t="s">
        <v>18</v>
      </c>
      <c r="Q713" s="52" t="str">
        <f>$Q$7</f>
        <v>Marcos</v>
      </c>
      <c r="R713" s="51">
        <v>1</v>
      </c>
      <c r="S713" s="51">
        <v>1</v>
      </c>
      <c r="T713" s="51">
        <v>1</v>
      </c>
      <c r="U713" s="51">
        <v>1</v>
      </c>
      <c r="V713" s="51">
        <v>1</v>
      </c>
      <c r="W713" s="51">
        <v>1</v>
      </c>
      <c r="X713" s="51">
        <v>1</v>
      </c>
      <c r="Y713" s="51">
        <v>1</v>
      </c>
      <c r="Z713" s="51">
        <v>1</v>
      </c>
      <c r="AA713" s="51">
        <v>1</v>
      </c>
      <c r="AB713" s="51">
        <v>1</v>
      </c>
      <c r="AC713" s="51">
        <v>1</v>
      </c>
    </row>
    <row r="714" spans="2:29" ht="15.6" x14ac:dyDescent="0.55000000000000004">
      <c r="B714" s="1"/>
      <c r="C714" s="52" t="str">
        <f>$Q$8</f>
        <v>Weixin</v>
      </c>
      <c r="D714" s="51">
        <f t="shared" ref="D714:O714" si="348">C251+D251</f>
        <v>0</v>
      </c>
      <c r="E714" s="51">
        <f t="shared" si="348"/>
        <v>0</v>
      </c>
      <c r="F714" s="51">
        <f t="shared" si="348"/>
        <v>0</v>
      </c>
      <c r="G714" s="51">
        <f t="shared" si="348"/>
        <v>0</v>
      </c>
      <c r="H714" s="51">
        <f t="shared" si="348"/>
        <v>0</v>
      </c>
      <c r="I714" s="51">
        <f t="shared" si="348"/>
        <v>0</v>
      </c>
      <c r="J714" s="51">
        <f t="shared" si="348"/>
        <v>0</v>
      </c>
      <c r="K714" s="51">
        <f t="shared" si="348"/>
        <v>0</v>
      </c>
      <c r="L714" s="51">
        <f t="shared" si="348"/>
        <v>0</v>
      </c>
      <c r="M714" s="51">
        <f t="shared" si="348"/>
        <v>0</v>
      </c>
      <c r="N714" s="51">
        <f t="shared" si="348"/>
        <v>1</v>
      </c>
      <c r="O714" s="51">
        <f t="shared" si="348"/>
        <v>1</v>
      </c>
      <c r="P714" s="28" t="s">
        <v>18</v>
      </c>
      <c r="Q714" s="52" t="str">
        <f>$Q$8</f>
        <v>Weixin</v>
      </c>
      <c r="R714" s="51">
        <v>1</v>
      </c>
      <c r="S714" s="51">
        <v>1</v>
      </c>
      <c r="T714" s="51">
        <v>1</v>
      </c>
      <c r="U714" s="51">
        <v>1</v>
      </c>
      <c r="V714" s="51">
        <v>1</v>
      </c>
      <c r="W714" s="51">
        <v>1</v>
      </c>
      <c r="X714" s="51">
        <v>1</v>
      </c>
      <c r="Y714" s="51">
        <v>1</v>
      </c>
      <c r="Z714" s="51">
        <v>1</v>
      </c>
      <c r="AA714" s="51">
        <v>1</v>
      </c>
      <c r="AB714" s="51">
        <v>1</v>
      </c>
      <c r="AC714" s="51">
        <v>1</v>
      </c>
    </row>
    <row r="715" spans="2:29" ht="15.6" x14ac:dyDescent="0.55000000000000004">
      <c r="B715" s="1"/>
      <c r="C715" s="52" t="str">
        <f>$Q$9</f>
        <v>Benjamin</v>
      </c>
      <c r="D715" s="51">
        <f t="shared" ref="D715:O715" si="349">C252+D252</f>
        <v>0</v>
      </c>
      <c r="E715" s="51">
        <f t="shared" si="349"/>
        <v>0</v>
      </c>
      <c r="F715" s="51">
        <f t="shared" si="349"/>
        <v>0</v>
      </c>
      <c r="G715" s="51">
        <f t="shared" si="349"/>
        <v>0</v>
      </c>
      <c r="H715" s="51">
        <f t="shared" si="349"/>
        <v>0</v>
      </c>
      <c r="I715" s="51">
        <f t="shared" si="349"/>
        <v>0</v>
      </c>
      <c r="J715" s="51">
        <f t="shared" si="349"/>
        <v>0</v>
      </c>
      <c r="K715" s="51">
        <f t="shared" si="349"/>
        <v>0</v>
      </c>
      <c r="L715" s="51">
        <f t="shared" si="349"/>
        <v>0</v>
      </c>
      <c r="M715" s="51">
        <f t="shared" si="349"/>
        <v>0</v>
      </c>
      <c r="N715" s="51">
        <f t="shared" si="349"/>
        <v>0</v>
      </c>
      <c r="O715" s="51">
        <f t="shared" si="349"/>
        <v>0</v>
      </c>
      <c r="P715" s="28" t="s">
        <v>18</v>
      </c>
      <c r="Q715" s="52" t="str">
        <f>$Q$9</f>
        <v>Benjamin</v>
      </c>
      <c r="R715" s="51">
        <v>1</v>
      </c>
      <c r="S715" s="51">
        <v>1</v>
      </c>
      <c r="T715" s="51">
        <v>1</v>
      </c>
      <c r="U715" s="51">
        <v>1</v>
      </c>
      <c r="V715" s="51">
        <v>1</v>
      </c>
      <c r="W715" s="51">
        <v>1</v>
      </c>
      <c r="X715" s="51">
        <v>1</v>
      </c>
      <c r="Y715" s="51">
        <v>1</v>
      </c>
      <c r="Z715" s="51">
        <v>1</v>
      </c>
      <c r="AA715" s="51">
        <v>1</v>
      </c>
      <c r="AB715" s="51">
        <v>1</v>
      </c>
      <c r="AC715" s="51">
        <v>1</v>
      </c>
    </row>
    <row r="716" spans="2:29" ht="15.6" x14ac:dyDescent="0.55000000000000004">
      <c r="B716" s="1"/>
      <c r="C716" s="52" t="str">
        <f>$Q$10</f>
        <v>Joelle</v>
      </c>
      <c r="D716" s="51">
        <f t="shared" ref="D716:O716" si="350">C253+D253</f>
        <v>0</v>
      </c>
      <c r="E716" s="51">
        <f t="shared" si="350"/>
        <v>0</v>
      </c>
      <c r="F716" s="51">
        <f t="shared" si="350"/>
        <v>0</v>
      </c>
      <c r="G716" s="51">
        <f t="shared" si="350"/>
        <v>0</v>
      </c>
      <c r="H716" s="51">
        <f t="shared" si="350"/>
        <v>0</v>
      </c>
      <c r="I716" s="51">
        <f t="shared" si="350"/>
        <v>0</v>
      </c>
      <c r="J716" s="51">
        <f t="shared" si="350"/>
        <v>0</v>
      </c>
      <c r="K716" s="51">
        <f t="shared" si="350"/>
        <v>0</v>
      </c>
      <c r="L716" s="51">
        <f t="shared" si="350"/>
        <v>0</v>
      </c>
      <c r="M716" s="51">
        <f t="shared" si="350"/>
        <v>0</v>
      </c>
      <c r="N716" s="51">
        <f t="shared" si="350"/>
        <v>0</v>
      </c>
      <c r="O716" s="51">
        <f t="shared" si="350"/>
        <v>1</v>
      </c>
      <c r="P716" s="28" t="s">
        <v>18</v>
      </c>
      <c r="Q716" s="52" t="str">
        <f>$Q$10</f>
        <v>Joelle</v>
      </c>
      <c r="R716" s="51">
        <v>1</v>
      </c>
      <c r="S716" s="51">
        <v>1</v>
      </c>
      <c r="T716" s="51">
        <v>1</v>
      </c>
      <c r="U716" s="51">
        <v>1</v>
      </c>
      <c r="V716" s="51">
        <v>1</v>
      </c>
      <c r="W716" s="51">
        <v>1</v>
      </c>
      <c r="X716" s="51">
        <v>1</v>
      </c>
      <c r="Y716" s="51">
        <v>1</v>
      </c>
      <c r="Z716" s="51">
        <v>1</v>
      </c>
      <c r="AA716" s="51">
        <v>1</v>
      </c>
      <c r="AB716" s="51">
        <v>1</v>
      </c>
      <c r="AC716" s="51">
        <v>1</v>
      </c>
    </row>
    <row r="717" spans="2:29" ht="15.6" x14ac:dyDescent="0.55000000000000004">
      <c r="B717" s="1"/>
      <c r="C717" s="52" t="str">
        <f>$Q$11</f>
        <v>Alexia</v>
      </c>
      <c r="D717" s="51">
        <f t="shared" ref="D717:O717" si="351">C254+D254</f>
        <v>0</v>
      </c>
      <c r="E717" s="51">
        <f t="shared" si="351"/>
        <v>0</v>
      </c>
      <c r="F717" s="51">
        <f t="shared" si="351"/>
        <v>0</v>
      </c>
      <c r="G717" s="51">
        <f t="shared" si="351"/>
        <v>0</v>
      </c>
      <c r="H717" s="51">
        <f t="shared" si="351"/>
        <v>0</v>
      </c>
      <c r="I717" s="51">
        <f t="shared" si="351"/>
        <v>0</v>
      </c>
      <c r="J717" s="51">
        <f t="shared" si="351"/>
        <v>0</v>
      </c>
      <c r="K717" s="51">
        <f t="shared" si="351"/>
        <v>0</v>
      </c>
      <c r="L717" s="51">
        <f t="shared" si="351"/>
        <v>0</v>
      </c>
      <c r="M717" s="51">
        <f t="shared" si="351"/>
        <v>0</v>
      </c>
      <c r="N717" s="51">
        <f t="shared" si="351"/>
        <v>0</v>
      </c>
      <c r="O717" s="51">
        <f t="shared" si="351"/>
        <v>1</v>
      </c>
      <c r="P717" s="28" t="s">
        <v>18</v>
      </c>
      <c r="Q717" s="52" t="str">
        <f>$Q$11</f>
        <v>Alexia</v>
      </c>
      <c r="R717" s="51">
        <v>1</v>
      </c>
      <c r="S717" s="51">
        <v>1</v>
      </c>
      <c r="T717" s="51">
        <v>1</v>
      </c>
      <c r="U717" s="51">
        <v>1</v>
      </c>
      <c r="V717" s="51">
        <v>1</v>
      </c>
      <c r="W717" s="51">
        <v>1</v>
      </c>
      <c r="X717" s="51">
        <v>1</v>
      </c>
      <c r="Y717" s="51">
        <v>1</v>
      </c>
      <c r="Z717" s="51">
        <v>1</v>
      </c>
      <c r="AA717" s="51">
        <v>1</v>
      </c>
      <c r="AB717" s="51">
        <v>1</v>
      </c>
      <c r="AC717" s="51">
        <v>1</v>
      </c>
    </row>
    <row r="718" spans="2:29" ht="15.6" x14ac:dyDescent="0.55000000000000004">
      <c r="B718" s="1"/>
      <c r="C718" s="52" t="str">
        <f>$Q$12</f>
        <v>Joao</v>
      </c>
      <c r="D718" s="51">
        <f t="shared" ref="D718:O718" si="352">C255+D255</f>
        <v>0</v>
      </c>
      <c r="E718" s="51">
        <f t="shared" si="352"/>
        <v>0</v>
      </c>
      <c r="F718" s="51">
        <f t="shared" si="352"/>
        <v>0</v>
      </c>
      <c r="G718" s="51">
        <f t="shared" si="352"/>
        <v>0</v>
      </c>
      <c r="H718" s="51">
        <f t="shared" si="352"/>
        <v>0</v>
      </c>
      <c r="I718" s="51">
        <f t="shared" si="352"/>
        <v>0</v>
      </c>
      <c r="J718" s="51">
        <f t="shared" si="352"/>
        <v>0</v>
      </c>
      <c r="K718" s="51">
        <f t="shared" si="352"/>
        <v>0</v>
      </c>
      <c r="L718" s="51">
        <f t="shared" si="352"/>
        <v>0</v>
      </c>
      <c r="M718" s="51">
        <f t="shared" si="352"/>
        <v>0</v>
      </c>
      <c r="N718" s="51">
        <f t="shared" si="352"/>
        <v>1</v>
      </c>
      <c r="O718" s="51">
        <f t="shared" si="352"/>
        <v>1</v>
      </c>
      <c r="P718" s="28" t="s">
        <v>18</v>
      </c>
      <c r="Q718" s="52" t="str">
        <f>$Q$12</f>
        <v>Joao</v>
      </c>
      <c r="R718" s="51">
        <v>1</v>
      </c>
      <c r="S718" s="51">
        <v>1</v>
      </c>
      <c r="T718" s="51">
        <v>1</v>
      </c>
      <c r="U718" s="51">
        <v>1</v>
      </c>
      <c r="V718" s="51">
        <v>1</v>
      </c>
      <c r="W718" s="51">
        <v>1</v>
      </c>
      <c r="X718" s="51">
        <v>1</v>
      </c>
      <c r="Y718" s="51">
        <v>1</v>
      </c>
      <c r="Z718" s="51">
        <v>1</v>
      </c>
      <c r="AA718" s="51">
        <v>1</v>
      </c>
      <c r="AB718" s="51">
        <v>1</v>
      </c>
      <c r="AC718" s="51">
        <v>1</v>
      </c>
    </row>
    <row r="719" spans="2:29" ht="15.6" x14ac:dyDescent="0.55000000000000004">
      <c r="B719" s="1"/>
      <c r="C719" s="57" t="str">
        <f>$Q$13</f>
        <v>Maxime</v>
      </c>
      <c r="D719" s="51">
        <f t="shared" ref="D719:O719" si="353">C256+D256</f>
        <v>0</v>
      </c>
      <c r="E719" s="51">
        <f t="shared" si="353"/>
        <v>0</v>
      </c>
      <c r="F719" s="51">
        <f t="shared" si="353"/>
        <v>0</v>
      </c>
      <c r="G719" s="51">
        <f t="shared" si="353"/>
        <v>0</v>
      </c>
      <c r="H719" s="51">
        <f t="shared" si="353"/>
        <v>0</v>
      </c>
      <c r="I719" s="51">
        <f t="shared" si="353"/>
        <v>0</v>
      </c>
      <c r="J719" s="51">
        <f t="shared" si="353"/>
        <v>0</v>
      </c>
      <c r="K719" s="51">
        <f t="shared" si="353"/>
        <v>0</v>
      </c>
      <c r="L719" s="51">
        <f t="shared" si="353"/>
        <v>0</v>
      </c>
      <c r="M719" s="51">
        <f t="shared" si="353"/>
        <v>0</v>
      </c>
      <c r="N719" s="51">
        <f t="shared" si="353"/>
        <v>0</v>
      </c>
      <c r="O719" s="51">
        <f t="shared" si="353"/>
        <v>0</v>
      </c>
      <c r="P719" s="28" t="s">
        <v>18</v>
      </c>
      <c r="Q719" s="57" t="str">
        <f>$Q$13</f>
        <v>Maxime</v>
      </c>
      <c r="R719" s="51">
        <v>1</v>
      </c>
      <c r="S719" s="51">
        <v>1</v>
      </c>
      <c r="T719" s="51">
        <v>1</v>
      </c>
      <c r="U719" s="51">
        <v>1</v>
      </c>
      <c r="V719" s="51">
        <v>1</v>
      </c>
      <c r="W719" s="51">
        <v>1</v>
      </c>
      <c r="X719" s="51">
        <v>1</v>
      </c>
      <c r="Y719" s="51">
        <v>1</v>
      </c>
      <c r="Z719" s="51">
        <v>1</v>
      </c>
      <c r="AA719" s="51">
        <v>1</v>
      </c>
      <c r="AB719" s="51">
        <v>1</v>
      </c>
      <c r="AC719" s="51">
        <v>1</v>
      </c>
    </row>
    <row r="720" spans="2:29" ht="15.6" x14ac:dyDescent="0.55000000000000004">
      <c r="B720" s="1"/>
      <c r="C720" s="46" t="str">
        <f>$Q$14</f>
        <v>Alex</v>
      </c>
      <c r="D720" s="51">
        <f t="shared" ref="D720:O720" si="354">C257+D257</f>
        <v>0</v>
      </c>
      <c r="E720" s="51">
        <f t="shared" si="354"/>
        <v>0</v>
      </c>
      <c r="F720" s="51">
        <f t="shared" si="354"/>
        <v>0</v>
      </c>
      <c r="G720" s="51">
        <f t="shared" si="354"/>
        <v>0</v>
      </c>
      <c r="H720" s="51">
        <f t="shared" si="354"/>
        <v>0</v>
      </c>
      <c r="I720" s="51">
        <f t="shared" si="354"/>
        <v>0</v>
      </c>
      <c r="J720" s="51">
        <f t="shared" si="354"/>
        <v>0</v>
      </c>
      <c r="K720" s="51">
        <f t="shared" si="354"/>
        <v>0</v>
      </c>
      <c r="L720" s="51">
        <f t="shared" si="354"/>
        <v>0</v>
      </c>
      <c r="M720" s="51">
        <f t="shared" si="354"/>
        <v>0</v>
      </c>
      <c r="N720" s="51">
        <f t="shared" si="354"/>
        <v>0</v>
      </c>
      <c r="O720" s="51">
        <f t="shared" si="354"/>
        <v>1</v>
      </c>
      <c r="P720" s="28" t="s">
        <v>18</v>
      </c>
      <c r="Q720" s="46" t="str">
        <f>$Q$14</f>
        <v>Alex</v>
      </c>
      <c r="R720" s="51">
        <v>1</v>
      </c>
      <c r="S720" s="51">
        <v>1</v>
      </c>
      <c r="T720" s="51">
        <v>1</v>
      </c>
      <c r="U720" s="51">
        <v>1</v>
      </c>
      <c r="V720" s="51">
        <v>1</v>
      </c>
      <c r="W720" s="51">
        <v>1</v>
      </c>
      <c r="X720" s="51">
        <v>1</v>
      </c>
      <c r="Y720" s="51">
        <v>1</v>
      </c>
      <c r="Z720" s="51">
        <v>1</v>
      </c>
      <c r="AA720" s="51">
        <v>1</v>
      </c>
      <c r="AB720" s="51">
        <v>1</v>
      </c>
      <c r="AC720" s="51">
        <v>1</v>
      </c>
    </row>
    <row r="721" spans="2:29" ht="15.6" x14ac:dyDescent="0.55000000000000004">
      <c r="B721" s="1"/>
      <c r="C721" s="52" t="str">
        <f>$Q$15</f>
        <v>Alyssa</v>
      </c>
      <c r="D721" s="51">
        <f t="shared" ref="D721:O721" si="355">C258+D258</f>
        <v>0</v>
      </c>
      <c r="E721" s="51">
        <f t="shared" si="355"/>
        <v>0</v>
      </c>
      <c r="F721" s="51">
        <f t="shared" si="355"/>
        <v>0</v>
      </c>
      <c r="G721" s="51">
        <f t="shared" si="355"/>
        <v>0</v>
      </c>
      <c r="H721" s="51">
        <f t="shared" si="355"/>
        <v>0</v>
      </c>
      <c r="I721" s="51">
        <f t="shared" si="355"/>
        <v>0</v>
      </c>
      <c r="J721" s="51">
        <f t="shared" si="355"/>
        <v>0</v>
      </c>
      <c r="K721" s="51">
        <f t="shared" si="355"/>
        <v>0</v>
      </c>
      <c r="L721" s="51">
        <f t="shared" si="355"/>
        <v>0</v>
      </c>
      <c r="M721" s="51">
        <f t="shared" si="355"/>
        <v>0</v>
      </c>
      <c r="N721" s="51">
        <f t="shared" si="355"/>
        <v>1</v>
      </c>
      <c r="O721" s="51">
        <f t="shared" si="355"/>
        <v>2</v>
      </c>
      <c r="P721" s="28" t="s">
        <v>18</v>
      </c>
      <c r="Q721" s="52" t="str">
        <f>$Q$15</f>
        <v>Alyssa</v>
      </c>
      <c r="R721" s="51">
        <v>1</v>
      </c>
      <c r="S721" s="51">
        <v>1</v>
      </c>
      <c r="T721" s="51">
        <v>1</v>
      </c>
      <c r="U721" s="51">
        <v>1</v>
      </c>
      <c r="V721" s="51">
        <v>1</v>
      </c>
      <c r="W721" s="51">
        <v>1</v>
      </c>
      <c r="X721" s="51">
        <v>1</v>
      </c>
      <c r="Y721" s="51">
        <v>1</v>
      </c>
      <c r="Z721" s="51">
        <v>1</v>
      </c>
      <c r="AA721" s="51">
        <v>1</v>
      </c>
      <c r="AB721" s="51">
        <v>1</v>
      </c>
      <c r="AC721" s="51">
        <v>1</v>
      </c>
    </row>
    <row r="722" spans="2:29" ht="15.6" x14ac:dyDescent="0.55000000000000004">
      <c r="B722" s="1"/>
      <c r="C722" s="52" t="str">
        <f>$Q$16</f>
        <v>Amanda</v>
      </c>
      <c r="D722" s="51">
        <f t="shared" ref="D722:O722" si="356">C259+D259</f>
        <v>0</v>
      </c>
      <c r="E722" s="51">
        <f t="shared" si="356"/>
        <v>0</v>
      </c>
      <c r="F722" s="51">
        <f t="shared" si="356"/>
        <v>0</v>
      </c>
      <c r="G722" s="51">
        <f t="shared" si="356"/>
        <v>0</v>
      </c>
      <c r="H722" s="51">
        <f t="shared" si="356"/>
        <v>0</v>
      </c>
      <c r="I722" s="51">
        <f t="shared" si="356"/>
        <v>0</v>
      </c>
      <c r="J722" s="51">
        <f t="shared" si="356"/>
        <v>0</v>
      </c>
      <c r="K722" s="51">
        <f t="shared" si="356"/>
        <v>0</v>
      </c>
      <c r="L722" s="51">
        <f t="shared" si="356"/>
        <v>0</v>
      </c>
      <c r="M722" s="51">
        <f t="shared" si="356"/>
        <v>0</v>
      </c>
      <c r="N722" s="51">
        <f t="shared" si="356"/>
        <v>0</v>
      </c>
      <c r="O722" s="51">
        <f t="shared" si="356"/>
        <v>1</v>
      </c>
      <c r="P722" s="28" t="s">
        <v>18</v>
      </c>
      <c r="Q722" s="52" t="str">
        <f>$Q$16</f>
        <v>Amanda</v>
      </c>
      <c r="R722" s="51">
        <v>1</v>
      </c>
      <c r="S722" s="51">
        <v>1</v>
      </c>
      <c r="T722" s="51">
        <v>1</v>
      </c>
      <c r="U722" s="51">
        <v>1</v>
      </c>
      <c r="V722" s="51">
        <v>1</v>
      </c>
      <c r="W722" s="51">
        <v>1</v>
      </c>
      <c r="X722" s="51">
        <v>1</v>
      </c>
      <c r="Y722" s="51">
        <v>1</v>
      </c>
      <c r="Z722" s="51">
        <v>1</v>
      </c>
      <c r="AA722" s="51">
        <v>1</v>
      </c>
      <c r="AB722" s="51">
        <v>1</v>
      </c>
      <c r="AC722" s="51">
        <v>1</v>
      </c>
    </row>
    <row r="723" spans="2:29" ht="15.6" x14ac:dyDescent="0.55000000000000004">
      <c r="B723" s="1"/>
      <c r="C723" s="52" t="str">
        <f>$Q$17</f>
        <v>Antoine</v>
      </c>
      <c r="D723" s="51">
        <f t="shared" ref="D723:O723" si="357">C260+D260</f>
        <v>0</v>
      </c>
      <c r="E723" s="51">
        <f t="shared" si="357"/>
        <v>0</v>
      </c>
      <c r="F723" s="51">
        <f t="shared" si="357"/>
        <v>0</v>
      </c>
      <c r="G723" s="51">
        <f t="shared" si="357"/>
        <v>0</v>
      </c>
      <c r="H723" s="51">
        <f t="shared" si="357"/>
        <v>0</v>
      </c>
      <c r="I723" s="51">
        <f t="shared" si="357"/>
        <v>0</v>
      </c>
      <c r="J723" s="51">
        <f t="shared" si="357"/>
        <v>0</v>
      </c>
      <c r="K723" s="51">
        <f t="shared" si="357"/>
        <v>0</v>
      </c>
      <c r="L723" s="51">
        <f t="shared" si="357"/>
        <v>0</v>
      </c>
      <c r="M723" s="51">
        <f t="shared" si="357"/>
        <v>0</v>
      </c>
      <c r="N723" s="51">
        <f t="shared" si="357"/>
        <v>1</v>
      </c>
      <c r="O723" s="51">
        <f t="shared" si="357"/>
        <v>1</v>
      </c>
      <c r="P723" s="28" t="s">
        <v>18</v>
      </c>
      <c r="Q723" s="52" t="str">
        <f>$Q$17</f>
        <v>Antoine</v>
      </c>
      <c r="R723" s="51">
        <v>1</v>
      </c>
      <c r="S723" s="51">
        <v>1</v>
      </c>
      <c r="T723" s="51">
        <v>1</v>
      </c>
      <c r="U723" s="51">
        <v>1</v>
      </c>
      <c r="V723" s="51">
        <v>1</v>
      </c>
      <c r="W723" s="51">
        <v>1</v>
      </c>
      <c r="X723" s="51">
        <v>1</v>
      </c>
      <c r="Y723" s="51">
        <v>1</v>
      </c>
      <c r="Z723" s="51">
        <v>1</v>
      </c>
      <c r="AA723" s="51">
        <v>1</v>
      </c>
      <c r="AB723" s="51">
        <v>1</v>
      </c>
      <c r="AC723" s="51">
        <v>1</v>
      </c>
    </row>
    <row r="724" spans="2:29" ht="15.6" x14ac:dyDescent="0.55000000000000004">
      <c r="B724" s="1"/>
      <c r="C724" s="52" t="str">
        <f>$Q$18</f>
        <v>Beatriz</v>
      </c>
      <c r="D724" s="51">
        <f t="shared" ref="D724:O724" si="358">C261+D261</f>
        <v>0</v>
      </c>
      <c r="E724" s="51">
        <f t="shared" si="358"/>
        <v>0</v>
      </c>
      <c r="F724" s="51">
        <f t="shared" si="358"/>
        <v>0</v>
      </c>
      <c r="G724" s="51">
        <f t="shared" si="358"/>
        <v>0</v>
      </c>
      <c r="H724" s="51">
        <f t="shared" si="358"/>
        <v>0</v>
      </c>
      <c r="I724" s="51">
        <f t="shared" si="358"/>
        <v>0</v>
      </c>
      <c r="J724" s="51">
        <f t="shared" si="358"/>
        <v>0</v>
      </c>
      <c r="K724" s="51">
        <f t="shared" si="358"/>
        <v>0</v>
      </c>
      <c r="L724" s="51">
        <f t="shared" si="358"/>
        <v>0</v>
      </c>
      <c r="M724" s="51">
        <f t="shared" si="358"/>
        <v>0</v>
      </c>
      <c r="N724" s="51">
        <f t="shared" si="358"/>
        <v>1</v>
      </c>
      <c r="O724" s="51">
        <f t="shared" si="358"/>
        <v>2</v>
      </c>
      <c r="P724" s="28" t="s">
        <v>18</v>
      </c>
      <c r="Q724" s="52" t="str">
        <f>$Q$18</f>
        <v>Beatriz</v>
      </c>
      <c r="R724" s="51">
        <v>1</v>
      </c>
      <c r="S724" s="51">
        <v>1</v>
      </c>
      <c r="T724" s="51">
        <v>1</v>
      </c>
      <c r="U724" s="51">
        <v>1</v>
      </c>
      <c r="V724" s="51">
        <v>1</v>
      </c>
      <c r="W724" s="51">
        <v>1</v>
      </c>
      <c r="X724" s="51">
        <v>1</v>
      </c>
      <c r="Y724" s="51">
        <v>1</v>
      </c>
      <c r="Z724" s="51">
        <v>1</v>
      </c>
      <c r="AA724" s="51">
        <v>1</v>
      </c>
      <c r="AB724" s="51">
        <v>1</v>
      </c>
      <c r="AC724" s="51">
        <v>1</v>
      </c>
    </row>
    <row r="725" spans="2:29" ht="15.6" x14ac:dyDescent="0.55000000000000004">
      <c r="B725" s="1"/>
      <c r="C725" s="52" t="str">
        <f>$Q$19</f>
        <v>Charelle</v>
      </c>
      <c r="D725" s="51">
        <f t="shared" ref="D725:O725" si="359">C262+D262</f>
        <v>0</v>
      </c>
      <c r="E725" s="51">
        <f t="shared" si="359"/>
        <v>0</v>
      </c>
      <c r="F725" s="51">
        <f t="shared" si="359"/>
        <v>0</v>
      </c>
      <c r="G725" s="51">
        <f t="shared" si="359"/>
        <v>0</v>
      </c>
      <c r="H725" s="51">
        <f t="shared" si="359"/>
        <v>0</v>
      </c>
      <c r="I725" s="51">
        <f t="shared" si="359"/>
        <v>0</v>
      </c>
      <c r="J725" s="51">
        <f t="shared" si="359"/>
        <v>0</v>
      </c>
      <c r="K725" s="51">
        <f t="shared" si="359"/>
        <v>0</v>
      </c>
      <c r="L725" s="51">
        <f t="shared" si="359"/>
        <v>0</v>
      </c>
      <c r="M725" s="51">
        <f t="shared" si="359"/>
        <v>0</v>
      </c>
      <c r="N725" s="51">
        <f t="shared" si="359"/>
        <v>0</v>
      </c>
      <c r="O725" s="51">
        <f t="shared" si="359"/>
        <v>0</v>
      </c>
      <c r="P725" s="28" t="s">
        <v>18</v>
      </c>
      <c r="Q725" s="52" t="str">
        <f>$Q$19</f>
        <v>Charelle</v>
      </c>
      <c r="R725" s="51">
        <v>1</v>
      </c>
      <c r="S725" s="51">
        <v>1</v>
      </c>
      <c r="T725" s="51">
        <v>1</v>
      </c>
      <c r="U725" s="51">
        <v>1</v>
      </c>
      <c r="V725" s="51">
        <v>1</v>
      </c>
      <c r="W725" s="51">
        <v>1</v>
      </c>
      <c r="X725" s="51">
        <v>1</v>
      </c>
      <c r="Y725" s="51">
        <v>1</v>
      </c>
      <c r="Z725" s="51">
        <v>1</v>
      </c>
      <c r="AA725" s="51">
        <v>1</v>
      </c>
      <c r="AB725" s="51">
        <v>1</v>
      </c>
      <c r="AC725" s="51">
        <v>1</v>
      </c>
    </row>
    <row r="726" spans="2:29" ht="15.6" x14ac:dyDescent="0.55000000000000004">
      <c r="B726" s="1"/>
      <c r="C726" s="52" t="str">
        <f>$Q$20</f>
        <v>Dimitri</v>
      </c>
      <c r="D726" s="51">
        <f t="shared" ref="D726:O726" si="360">C263+D263</f>
        <v>0</v>
      </c>
      <c r="E726" s="51">
        <f t="shared" si="360"/>
        <v>0</v>
      </c>
      <c r="F726" s="51">
        <f t="shared" si="360"/>
        <v>0</v>
      </c>
      <c r="G726" s="51">
        <f t="shared" si="360"/>
        <v>0</v>
      </c>
      <c r="H726" s="51">
        <f t="shared" si="360"/>
        <v>0</v>
      </c>
      <c r="I726" s="51">
        <f t="shared" si="360"/>
        <v>0</v>
      </c>
      <c r="J726" s="51">
        <f t="shared" si="360"/>
        <v>0</v>
      </c>
      <c r="K726" s="51">
        <f t="shared" si="360"/>
        <v>0</v>
      </c>
      <c r="L726" s="51">
        <f t="shared" si="360"/>
        <v>0</v>
      </c>
      <c r="M726" s="51">
        <f t="shared" si="360"/>
        <v>0</v>
      </c>
      <c r="N726" s="51">
        <f t="shared" si="360"/>
        <v>1</v>
      </c>
      <c r="O726" s="51">
        <f t="shared" si="360"/>
        <v>1</v>
      </c>
      <c r="P726" s="28" t="s">
        <v>18</v>
      </c>
      <c r="Q726" s="52" t="str">
        <f>$Q$20</f>
        <v>Dimitri</v>
      </c>
      <c r="R726" s="51">
        <v>1</v>
      </c>
      <c r="S726" s="51">
        <v>1</v>
      </c>
      <c r="T726" s="51">
        <v>1</v>
      </c>
      <c r="U726" s="51">
        <v>1</v>
      </c>
      <c r="V726" s="51">
        <v>1</v>
      </c>
      <c r="W726" s="51">
        <v>1</v>
      </c>
      <c r="X726" s="51">
        <v>1</v>
      </c>
      <c r="Y726" s="51">
        <v>1</v>
      </c>
      <c r="Z726" s="51">
        <v>1</v>
      </c>
      <c r="AA726" s="51">
        <v>1</v>
      </c>
      <c r="AB726" s="51">
        <v>1</v>
      </c>
      <c r="AC726" s="51">
        <v>1</v>
      </c>
    </row>
    <row r="727" spans="2:29" ht="15.6" x14ac:dyDescent="0.55000000000000004">
      <c r="B727" s="1"/>
      <c r="C727" s="52" t="str">
        <f>$Q$21</f>
        <v>Marina</v>
      </c>
      <c r="D727" s="51">
        <f t="shared" ref="D727:O727" si="361">C264+D264</f>
        <v>0</v>
      </c>
      <c r="E727" s="51">
        <f t="shared" si="361"/>
        <v>0</v>
      </c>
      <c r="F727" s="51">
        <f t="shared" si="361"/>
        <v>0</v>
      </c>
      <c r="G727" s="51">
        <f t="shared" si="361"/>
        <v>0</v>
      </c>
      <c r="H727" s="51">
        <f t="shared" si="361"/>
        <v>0</v>
      </c>
      <c r="I727" s="51">
        <f t="shared" si="361"/>
        <v>0</v>
      </c>
      <c r="J727" s="51">
        <f t="shared" si="361"/>
        <v>0</v>
      </c>
      <c r="K727" s="51">
        <f t="shared" si="361"/>
        <v>0</v>
      </c>
      <c r="L727" s="51">
        <f t="shared" si="361"/>
        <v>0</v>
      </c>
      <c r="M727" s="51">
        <f t="shared" si="361"/>
        <v>0</v>
      </c>
      <c r="N727" s="51">
        <f t="shared" si="361"/>
        <v>0</v>
      </c>
      <c r="O727" s="51">
        <f t="shared" si="361"/>
        <v>0</v>
      </c>
      <c r="P727" s="28" t="s">
        <v>18</v>
      </c>
      <c r="Q727" s="52" t="str">
        <f>$Q$21</f>
        <v>Marina</v>
      </c>
      <c r="R727" s="51">
        <v>1</v>
      </c>
      <c r="S727" s="51">
        <v>1</v>
      </c>
      <c r="T727" s="51">
        <v>1</v>
      </c>
      <c r="U727" s="51">
        <v>1</v>
      </c>
      <c r="V727" s="51">
        <v>1</v>
      </c>
      <c r="W727" s="51">
        <v>1</v>
      </c>
      <c r="X727" s="51">
        <v>1</v>
      </c>
      <c r="Y727" s="51">
        <v>1</v>
      </c>
      <c r="Z727" s="51">
        <v>1</v>
      </c>
      <c r="AA727" s="51">
        <v>1</v>
      </c>
      <c r="AB727" s="51">
        <v>1</v>
      </c>
      <c r="AC727" s="51">
        <v>1</v>
      </c>
    </row>
    <row r="728" spans="2:29" ht="15.6" x14ac:dyDescent="0.55000000000000004">
      <c r="B728" s="1"/>
      <c r="C728" s="52" t="str">
        <f>$Q$22</f>
        <v>Michel</v>
      </c>
      <c r="D728" s="51">
        <f t="shared" ref="D728:O728" si="362">C265+D265</f>
        <v>0</v>
      </c>
      <c r="E728" s="51">
        <f t="shared" si="362"/>
        <v>0</v>
      </c>
      <c r="F728" s="51">
        <f t="shared" si="362"/>
        <v>0</v>
      </c>
      <c r="G728" s="51">
        <f t="shared" si="362"/>
        <v>0</v>
      </c>
      <c r="H728" s="51">
        <f t="shared" si="362"/>
        <v>0</v>
      </c>
      <c r="I728" s="51">
        <f t="shared" si="362"/>
        <v>0</v>
      </c>
      <c r="J728" s="51">
        <f t="shared" si="362"/>
        <v>0</v>
      </c>
      <c r="K728" s="51">
        <f t="shared" si="362"/>
        <v>0</v>
      </c>
      <c r="L728" s="51">
        <f t="shared" si="362"/>
        <v>0</v>
      </c>
      <c r="M728" s="51">
        <f t="shared" si="362"/>
        <v>0</v>
      </c>
      <c r="N728" s="51">
        <f t="shared" si="362"/>
        <v>1</v>
      </c>
      <c r="O728" s="51">
        <f t="shared" si="362"/>
        <v>2</v>
      </c>
      <c r="P728" s="28" t="s">
        <v>18</v>
      </c>
      <c r="Q728" s="52" t="str">
        <f>$Q$22</f>
        <v>Michel</v>
      </c>
      <c r="R728" s="51">
        <v>1</v>
      </c>
      <c r="S728" s="51">
        <v>1</v>
      </c>
      <c r="T728" s="51">
        <v>1</v>
      </c>
      <c r="U728" s="51">
        <v>1</v>
      </c>
      <c r="V728" s="51">
        <v>1</v>
      </c>
      <c r="W728" s="51">
        <v>1</v>
      </c>
      <c r="X728" s="51">
        <v>1</v>
      </c>
      <c r="Y728" s="51">
        <v>1</v>
      </c>
      <c r="Z728" s="51">
        <v>1</v>
      </c>
      <c r="AA728" s="51">
        <v>1</v>
      </c>
      <c r="AB728" s="51">
        <v>1</v>
      </c>
      <c r="AC728" s="51">
        <v>1</v>
      </c>
    </row>
    <row r="729" spans="2:29" ht="15.6" x14ac:dyDescent="0.55000000000000004">
      <c r="B729" s="1"/>
      <c r="C729" s="52" t="str">
        <f>$Q$23</f>
        <v>Nour</v>
      </c>
      <c r="D729" s="51">
        <f t="shared" ref="D729:O729" si="363">C266+D266</f>
        <v>0</v>
      </c>
      <c r="E729" s="51">
        <f t="shared" si="363"/>
        <v>0</v>
      </c>
      <c r="F729" s="51">
        <f t="shared" si="363"/>
        <v>0</v>
      </c>
      <c r="G729" s="51">
        <f t="shared" si="363"/>
        <v>0</v>
      </c>
      <c r="H729" s="51">
        <f t="shared" si="363"/>
        <v>0</v>
      </c>
      <c r="I729" s="51">
        <f t="shared" si="363"/>
        <v>0</v>
      </c>
      <c r="J729" s="51">
        <f t="shared" si="363"/>
        <v>0</v>
      </c>
      <c r="K729" s="51">
        <f t="shared" si="363"/>
        <v>0</v>
      </c>
      <c r="L729" s="51">
        <f t="shared" si="363"/>
        <v>0</v>
      </c>
      <c r="M729" s="51">
        <f t="shared" si="363"/>
        <v>0</v>
      </c>
      <c r="N729" s="51">
        <f t="shared" si="363"/>
        <v>1</v>
      </c>
      <c r="O729" s="51">
        <f t="shared" si="363"/>
        <v>2</v>
      </c>
      <c r="P729" s="28" t="s">
        <v>18</v>
      </c>
      <c r="Q729" s="52" t="str">
        <f>$Q$23</f>
        <v>Nour</v>
      </c>
      <c r="R729" s="51">
        <v>1</v>
      </c>
      <c r="S729" s="51">
        <v>1</v>
      </c>
      <c r="T729" s="51">
        <v>1</v>
      </c>
      <c r="U729" s="51">
        <v>1</v>
      </c>
      <c r="V729" s="51">
        <v>1</v>
      </c>
      <c r="W729" s="51">
        <v>1</v>
      </c>
      <c r="X729" s="51">
        <v>1</v>
      </c>
      <c r="Y729" s="51">
        <v>1</v>
      </c>
      <c r="Z729" s="51">
        <v>1</v>
      </c>
      <c r="AA729" s="51">
        <v>1</v>
      </c>
      <c r="AB729" s="51">
        <v>1</v>
      </c>
      <c r="AC729" s="51">
        <v>1</v>
      </c>
    </row>
    <row r="730" spans="2:29" ht="15.6" x14ac:dyDescent="0.55000000000000004">
      <c r="B730" s="1"/>
      <c r="C730" s="52" t="str">
        <f>$Q$24</f>
        <v>Samuel</v>
      </c>
      <c r="D730" s="51">
        <f t="shared" ref="D730:O730" si="364">C267+D267</f>
        <v>0</v>
      </c>
      <c r="E730" s="51">
        <f t="shared" si="364"/>
        <v>0</v>
      </c>
      <c r="F730" s="51">
        <f t="shared" si="364"/>
        <v>0</v>
      </c>
      <c r="G730" s="51">
        <f t="shared" si="364"/>
        <v>0</v>
      </c>
      <c r="H730" s="51">
        <f t="shared" si="364"/>
        <v>0</v>
      </c>
      <c r="I730" s="51">
        <f t="shared" si="364"/>
        <v>0</v>
      </c>
      <c r="J730" s="51">
        <f t="shared" si="364"/>
        <v>0</v>
      </c>
      <c r="K730" s="51">
        <f t="shared" si="364"/>
        <v>0</v>
      </c>
      <c r="L730" s="51">
        <f t="shared" si="364"/>
        <v>0</v>
      </c>
      <c r="M730" s="51">
        <f t="shared" si="364"/>
        <v>0</v>
      </c>
      <c r="N730" s="51">
        <f t="shared" si="364"/>
        <v>0</v>
      </c>
      <c r="O730" s="51">
        <f t="shared" si="364"/>
        <v>1</v>
      </c>
      <c r="P730" s="28" t="s">
        <v>18</v>
      </c>
      <c r="Q730" s="52" t="str">
        <f>$Q$24</f>
        <v>Samuel</v>
      </c>
      <c r="R730" s="51">
        <v>1</v>
      </c>
      <c r="S730" s="51">
        <v>1</v>
      </c>
      <c r="T730" s="51">
        <v>1</v>
      </c>
      <c r="U730" s="51">
        <v>1</v>
      </c>
      <c r="V730" s="51">
        <v>1</v>
      </c>
      <c r="W730" s="51">
        <v>1</v>
      </c>
      <c r="X730" s="51">
        <v>1</v>
      </c>
      <c r="Y730" s="51">
        <v>1</v>
      </c>
      <c r="Z730" s="51">
        <v>1</v>
      </c>
      <c r="AA730" s="51">
        <v>1</v>
      </c>
      <c r="AB730" s="51">
        <v>1</v>
      </c>
      <c r="AC730" s="51">
        <v>1</v>
      </c>
    </row>
    <row r="731" spans="2:29" ht="15.6" x14ac:dyDescent="0.55000000000000004">
      <c r="B731" s="1"/>
      <c r="C731" s="52" t="str">
        <f>$Q$25</f>
        <v>Yassin</v>
      </c>
      <c r="D731" s="51">
        <f t="shared" ref="D731:O731" si="365">C268+D268</f>
        <v>0</v>
      </c>
      <c r="E731" s="51">
        <f t="shared" si="365"/>
        <v>0</v>
      </c>
      <c r="F731" s="51">
        <f t="shared" si="365"/>
        <v>0</v>
      </c>
      <c r="G731" s="51">
        <f t="shared" si="365"/>
        <v>0</v>
      </c>
      <c r="H731" s="51">
        <f t="shared" si="365"/>
        <v>0</v>
      </c>
      <c r="I731" s="51">
        <f t="shared" si="365"/>
        <v>0</v>
      </c>
      <c r="J731" s="51">
        <f t="shared" si="365"/>
        <v>0</v>
      </c>
      <c r="K731" s="51">
        <f t="shared" si="365"/>
        <v>0</v>
      </c>
      <c r="L731" s="51">
        <f t="shared" si="365"/>
        <v>0</v>
      </c>
      <c r="M731" s="51">
        <f t="shared" si="365"/>
        <v>0</v>
      </c>
      <c r="N731" s="51">
        <f t="shared" si="365"/>
        <v>1</v>
      </c>
      <c r="O731" s="51">
        <f t="shared" si="365"/>
        <v>1</v>
      </c>
      <c r="P731" s="28" t="s">
        <v>18</v>
      </c>
      <c r="Q731" s="52" t="str">
        <f>$Q$25</f>
        <v>Yassin</v>
      </c>
      <c r="R731" s="51">
        <v>1</v>
      </c>
      <c r="S731" s="51">
        <v>1</v>
      </c>
      <c r="T731" s="51">
        <v>1</v>
      </c>
      <c r="U731" s="51">
        <v>1</v>
      </c>
      <c r="V731" s="51">
        <v>1</v>
      </c>
      <c r="W731" s="51">
        <v>1</v>
      </c>
      <c r="X731" s="51">
        <v>1</v>
      </c>
      <c r="Y731" s="51">
        <v>1</v>
      </c>
      <c r="Z731" s="51">
        <v>1</v>
      </c>
      <c r="AA731" s="51">
        <v>1</v>
      </c>
      <c r="AB731" s="51">
        <v>1</v>
      </c>
      <c r="AC731" s="51">
        <v>1</v>
      </c>
    </row>
    <row r="732" spans="2:29" ht="15.6" x14ac:dyDescent="0.55000000000000004">
      <c r="B732" s="1"/>
      <c r="C732" s="52" t="str">
        <f>$Q$26</f>
        <v>Kamar</v>
      </c>
      <c r="D732" s="51">
        <f t="shared" ref="D732:O732" si="366">C269+D269</f>
        <v>0</v>
      </c>
      <c r="E732" s="51">
        <f t="shared" si="366"/>
        <v>0</v>
      </c>
      <c r="F732" s="51">
        <f t="shared" si="366"/>
        <v>0</v>
      </c>
      <c r="G732" s="51">
        <f t="shared" si="366"/>
        <v>0</v>
      </c>
      <c r="H732" s="51">
        <f t="shared" si="366"/>
        <v>0</v>
      </c>
      <c r="I732" s="51">
        <f t="shared" si="366"/>
        <v>0</v>
      </c>
      <c r="J732" s="51">
        <f t="shared" si="366"/>
        <v>0</v>
      </c>
      <c r="K732" s="51">
        <f t="shared" si="366"/>
        <v>0</v>
      </c>
      <c r="L732" s="51">
        <f t="shared" si="366"/>
        <v>0</v>
      </c>
      <c r="M732" s="51">
        <f t="shared" si="366"/>
        <v>0</v>
      </c>
      <c r="N732" s="51">
        <f t="shared" si="366"/>
        <v>1</v>
      </c>
      <c r="O732" s="51">
        <f t="shared" si="366"/>
        <v>1</v>
      </c>
      <c r="P732" s="28" t="s">
        <v>18</v>
      </c>
      <c r="Q732" s="52" t="str">
        <f>$Q$26</f>
        <v>Kamar</v>
      </c>
      <c r="R732" s="51">
        <v>1</v>
      </c>
      <c r="S732" s="51">
        <v>1</v>
      </c>
      <c r="T732" s="51">
        <v>1</v>
      </c>
      <c r="U732" s="51">
        <v>1</v>
      </c>
      <c r="V732" s="51">
        <v>1</v>
      </c>
      <c r="W732" s="51">
        <v>1</v>
      </c>
      <c r="X732" s="51">
        <v>1</v>
      </c>
      <c r="Y732" s="51">
        <v>1</v>
      </c>
      <c r="Z732" s="51">
        <v>1</v>
      </c>
      <c r="AA732" s="51">
        <v>1</v>
      </c>
      <c r="AB732" s="51">
        <v>1</v>
      </c>
      <c r="AC732" s="51">
        <v>1</v>
      </c>
    </row>
    <row r="733" spans="2:29" x14ac:dyDescent="0.55000000000000004">
      <c r="B733" s="1"/>
      <c r="C733" s="16"/>
    </row>
    <row r="734" spans="2:29" x14ac:dyDescent="0.55000000000000004">
      <c r="B734" s="1"/>
      <c r="C734" s="16"/>
    </row>
    <row r="735" spans="2:29" x14ac:dyDescent="0.55000000000000004">
      <c r="B735" s="1"/>
      <c r="C735" s="16" t="s">
        <v>89</v>
      </c>
      <c r="D735" s="1" t="s">
        <v>70</v>
      </c>
      <c r="E735" s="1" t="s">
        <v>71</v>
      </c>
      <c r="F735" s="1" t="s">
        <v>72</v>
      </c>
      <c r="G735" s="1" t="s">
        <v>73</v>
      </c>
      <c r="H735" s="1" t="s">
        <v>74</v>
      </c>
      <c r="I735" s="1" t="s">
        <v>75</v>
      </c>
      <c r="J735" s="1" t="s">
        <v>76</v>
      </c>
      <c r="K735" s="1" t="s">
        <v>77</v>
      </c>
      <c r="L735" s="1" t="s">
        <v>78</v>
      </c>
      <c r="M735" s="1" t="s">
        <v>79</v>
      </c>
      <c r="N735" s="1" t="s">
        <v>80</v>
      </c>
      <c r="O735" s="1" t="s">
        <v>81</v>
      </c>
      <c r="Q735" s="16" t="s">
        <v>89</v>
      </c>
      <c r="R735" s="1" t="s">
        <v>70</v>
      </c>
      <c r="S735" s="1" t="s">
        <v>71</v>
      </c>
      <c r="T735" s="1" t="s">
        <v>72</v>
      </c>
      <c r="U735" s="1" t="s">
        <v>73</v>
      </c>
      <c r="V735" s="1" t="s">
        <v>74</v>
      </c>
      <c r="W735" s="1" t="s">
        <v>75</v>
      </c>
      <c r="X735" s="1" t="s">
        <v>76</v>
      </c>
      <c r="Y735" s="1" t="s">
        <v>77</v>
      </c>
      <c r="Z735" s="1" t="s">
        <v>78</v>
      </c>
      <c r="AA735" s="1" t="s">
        <v>79</v>
      </c>
      <c r="AB735" s="1" t="s">
        <v>80</v>
      </c>
      <c r="AC735" s="1" t="s">
        <v>81</v>
      </c>
    </row>
    <row r="736" spans="2:29" ht="15.6" x14ac:dyDescent="0.55000000000000004">
      <c r="B736" s="1"/>
      <c r="C736" s="46" t="str">
        <f>$Q$3</f>
        <v>Jennifer</v>
      </c>
      <c r="D736" s="51">
        <f t="shared" ref="D736:O736" si="367">C273+D273</f>
        <v>0</v>
      </c>
      <c r="E736" s="51">
        <f t="shared" si="367"/>
        <v>0</v>
      </c>
      <c r="F736" s="51">
        <f t="shared" si="367"/>
        <v>0</v>
      </c>
      <c r="G736" s="51">
        <f t="shared" si="367"/>
        <v>0</v>
      </c>
      <c r="H736" s="51">
        <f t="shared" si="367"/>
        <v>0</v>
      </c>
      <c r="I736" s="51">
        <f t="shared" si="367"/>
        <v>0</v>
      </c>
      <c r="J736" s="51">
        <f t="shared" si="367"/>
        <v>0</v>
      </c>
      <c r="K736" s="51">
        <f t="shared" si="367"/>
        <v>0</v>
      </c>
      <c r="L736" s="51">
        <f t="shared" si="367"/>
        <v>1</v>
      </c>
      <c r="M736" s="51">
        <f t="shared" si="367"/>
        <v>1</v>
      </c>
      <c r="N736" s="51">
        <f t="shared" si="367"/>
        <v>0</v>
      </c>
      <c r="O736" s="51">
        <f t="shared" si="367"/>
        <v>0</v>
      </c>
      <c r="P736" s="28" t="s">
        <v>18</v>
      </c>
      <c r="Q736" s="46" t="str">
        <f>$Q$3</f>
        <v>Jennifer</v>
      </c>
      <c r="R736" s="51">
        <v>1</v>
      </c>
      <c r="S736" s="51">
        <v>1</v>
      </c>
      <c r="T736" s="51">
        <v>1</v>
      </c>
      <c r="U736" s="51">
        <v>1</v>
      </c>
      <c r="V736" s="51">
        <v>1</v>
      </c>
      <c r="W736" s="51">
        <v>1</v>
      </c>
      <c r="X736" s="51">
        <v>1</v>
      </c>
      <c r="Y736" s="51">
        <v>1</v>
      </c>
      <c r="Z736" s="51">
        <v>1</v>
      </c>
      <c r="AA736" s="51">
        <v>1</v>
      </c>
      <c r="AB736" s="51">
        <v>1</v>
      </c>
      <c r="AC736" s="51">
        <v>1</v>
      </c>
    </row>
    <row r="737" spans="2:29" ht="15.6" x14ac:dyDescent="0.55000000000000004">
      <c r="B737" s="1"/>
      <c r="C737" s="52" t="str">
        <f>$Q$4</f>
        <v>Galileo</v>
      </c>
      <c r="D737" s="51">
        <f t="shared" ref="D737:O737" si="368">C274+D274</f>
        <v>0</v>
      </c>
      <c r="E737" s="51">
        <f t="shared" si="368"/>
        <v>0</v>
      </c>
      <c r="F737" s="51">
        <f t="shared" si="368"/>
        <v>0</v>
      </c>
      <c r="G737" s="51">
        <f t="shared" si="368"/>
        <v>0</v>
      </c>
      <c r="H737" s="51">
        <f t="shared" si="368"/>
        <v>0</v>
      </c>
      <c r="I737" s="51">
        <f t="shared" si="368"/>
        <v>0</v>
      </c>
      <c r="J737" s="51">
        <f t="shared" si="368"/>
        <v>0</v>
      </c>
      <c r="K737" s="51">
        <f t="shared" si="368"/>
        <v>0</v>
      </c>
      <c r="L737" s="51">
        <f t="shared" si="368"/>
        <v>0</v>
      </c>
      <c r="M737" s="51">
        <f t="shared" si="368"/>
        <v>0</v>
      </c>
      <c r="N737" s="51">
        <f t="shared" si="368"/>
        <v>0</v>
      </c>
      <c r="O737" s="51">
        <f t="shared" si="368"/>
        <v>0</v>
      </c>
      <c r="P737" s="28" t="s">
        <v>18</v>
      </c>
      <c r="Q737" s="52" t="str">
        <f>$Q$4</f>
        <v>Galileo</v>
      </c>
      <c r="R737" s="51">
        <v>1</v>
      </c>
      <c r="S737" s="51">
        <v>1</v>
      </c>
      <c r="T737" s="51">
        <v>1</v>
      </c>
      <c r="U737" s="51">
        <v>1</v>
      </c>
      <c r="V737" s="51">
        <v>1</v>
      </c>
      <c r="W737" s="51">
        <v>1</v>
      </c>
      <c r="X737" s="51">
        <v>1</v>
      </c>
      <c r="Y737" s="51">
        <v>1</v>
      </c>
      <c r="Z737" s="51">
        <v>1</v>
      </c>
      <c r="AA737" s="51">
        <v>1</v>
      </c>
      <c r="AB737" s="51">
        <v>1</v>
      </c>
      <c r="AC737" s="51">
        <v>1</v>
      </c>
    </row>
    <row r="738" spans="2:29" ht="15.6" x14ac:dyDescent="0.55000000000000004">
      <c r="B738" s="1"/>
      <c r="C738" s="52" t="str">
        <f>$Q$5</f>
        <v>Óscar</v>
      </c>
      <c r="D738" s="51">
        <f t="shared" ref="D738:O738" si="369">C275+D275</f>
        <v>0</v>
      </c>
      <c r="E738" s="51">
        <f t="shared" si="369"/>
        <v>0</v>
      </c>
      <c r="F738" s="51">
        <f t="shared" si="369"/>
        <v>0</v>
      </c>
      <c r="G738" s="51">
        <f t="shared" si="369"/>
        <v>0</v>
      </c>
      <c r="H738" s="51">
        <f t="shared" si="369"/>
        <v>0</v>
      </c>
      <c r="I738" s="51">
        <f t="shared" si="369"/>
        <v>0</v>
      </c>
      <c r="J738" s="51">
        <f t="shared" si="369"/>
        <v>0</v>
      </c>
      <c r="K738" s="51">
        <f t="shared" si="369"/>
        <v>0</v>
      </c>
      <c r="L738" s="51">
        <f t="shared" si="369"/>
        <v>0</v>
      </c>
      <c r="M738" s="51">
        <f t="shared" si="369"/>
        <v>0</v>
      </c>
      <c r="N738" s="51">
        <f t="shared" si="369"/>
        <v>0</v>
      </c>
      <c r="O738" s="51">
        <f t="shared" si="369"/>
        <v>0</v>
      </c>
      <c r="P738" s="28" t="s">
        <v>18</v>
      </c>
      <c r="Q738" s="52" t="str">
        <f>$Q$5</f>
        <v>Óscar</v>
      </c>
      <c r="R738" s="51">
        <v>1</v>
      </c>
      <c r="S738" s="51">
        <v>1</v>
      </c>
      <c r="T738" s="51">
        <v>1</v>
      </c>
      <c r="U738" s="51">
        <v>1</v>
      </c>
      <c r="V738" s="51">
        <v>1</v>
      </c>
      <c r="W738" s="51">
        <v>1</v>
      </c>
      <c r="X738" s="51">
        <v>1</v>
      </c>
      <c r="Y738" s="51">
        <v>1</v>
      </c>
      <c r="Z738" s="51">
        <v>1</v>
      </c>
      <c r="AA738" s="51">
        <v>1</v>
      </c>
      <c r="AB738" s="51">
        <v>1</v>
      </c>
      <c r="AC738" s="51">
        <v>1</v>
      </c>
    </row>
    <row r="739" spans="2:29" ht="15.6" x14ac:dyDescent="0.55000000000000004">
      <c r="B739" s="1"/>
      <c r="C739" s="52" t="str">
        <f>$Q$6</f>
        <v>Sebastián</v>
      </c>
      <c r="D739" s="51">
        <f t="shared" ref="D739:O739" si="370">C276+D276</f>
        <v>0</v>
      </c>
      <c r="E739" s="51">
        <f t="shared" si="370"/>
        <v>0</v>
      </c>
      <c r="F739" s="51">
        <f t="shared" si="370"/>
        <v>0</v>
      </c>
      <c r="G739" s="51">
        <f t="shared" si="370"/>
        <v>1</v>
      </c>
      <c r="H739" s="51">
        <f t="shared" si="370"/>
        <v>1</v>
      </c>
      <c r="I739" s="51">
        <f t="shared" si="370"/>
        <v>0</v>
      </c>
      <c r="J739" s="51">
        <f t="shared" si="370"/>
        <v>0</v>
      </c>
      <c r="K739" s="51">
        <f t="shared" si="370"/>
        <v>0</v>
      </c>
      <c r="L739" s="51">
        <f t="shared" si="370"/>
        <v>0</v>
      </c>
      <c r="M739" s="51">
        <f t="shared" si="370"/>
        <v>0</v>
      </c>
      <c r="N739" s="51">
        <f t="shared" si="370"/>
        <v>0</v>
      </c>
      <c r="O739" s="51">
        <f t="shared" si="370"/>
        <v>0</v>
      </c>
      <c r="P739" s="28" t="s">
        <v>18</v>
      </c>
      <c r="Q739" s="52" t="str">
        <f>$Q$6</f>
        <v>Sebastián</v>
      </c>
      <c r="R739" s="51">
        <v>1</v>
      </c>
      <c r="S739" s="51">
        <v>1</v>
      </c>
      <c r="T739" s="51">
        <v>1</v>
      </c>
      <c r="U739" s="51">
        <v>1</v>
      </c>
      <c r="V739" s="51">
        <v>1</v>
      </c>
      <c r="W739" s="51">
        <v>1</v>
      </c>
      <c r="X739" s="51">
        <v>1</v>
      </c>
      <c r="Y739" s="51">
        <v>1</v>
      </c>
      <c r="Z739" s="51">
        <v>1</v>
      </c>
      <c r="AA739" s="51">
        <v>1</v>
      </c>
      <c r="AB739" s="51">
        <v>1</v>
      </c>
      <c r="AC739" s="51">
        <v>1</v>
      </c>
    </row>
    <row r="740" spans="2:29" ht="15.6" x14ac:dyDescent="0.55000000000000004">
      <c r="B740" s="1"/>
      <c r="C740" s="52" t="str">
        <f>$Q$7</f>
        <v>Marcos</v>
      </c>
      <c r="D740" s="51">
        <f t="shared" ref="D740:O740" si="371">C277+D277</f>
        <v>0</v>
      </c>
      <c r="E740" s="51">
        <f t="shared" si="371"/>
        <v>0</v>
      </c>
      <c r="F740" s="51">
        <f t="shared" si="371"/>
        <v>0</v>
      </c>
      <c r="G740" s="51">
        <f t="shared" si="371"/>
        <v>0</v>
      </c>
      <c r="H740" s="51">
        <f t="shared" si="371"/>
        <v>0</v>
      </c>
      <c r="I740" s="51">
        <f t="shared" si="371"/>
        <v>1</v>
      </c>
      <c r="J740" s="51">
        <f t="shared" si="371"/>
        <v>1</v>
      </c>
      <c r="K740" s="51">
        <f t="shared" si="371"/>
        <v>0</v>
      </c>
      <c r="L740" s="51">
        <f t="shared" si="371"/>
        <v>0</v>
      </c>
      <c r="M740" s="51">
        <f t="shared" si="371"/>
        <v>0</v>
      </c>
      <c r="N740" s="51">
        <f t="shared" si="371"/>
        <v>0</v>
      </c>
      <c r="O740" s="51">
        <f t="shared" si="371"/>
        <v>0</v>
      </c>
      <c r="P740" s="28" t="s">
        <v>18</v>
      </c>
      <c r="Q740" s="52" t="str">
        <f>$Q$7</f>
        <v>Marcos</v>
      </c>
      <c r="R740" s="51">
        <v>1</v>
      </c>
      <c r="S740" s="51">
        <v>1</v>
      </c>
      <c r="T740" s="51">
        <v>1</v>
      </c>
      <c r="U740" s="51">
        <v>1</v>
      </c>
      <c r="V740" s="51">
        <v>1</v>
      </c>
      <c r="W740" s="51">
        <v>1</v>
      </c>
      <c r="X740" s="51">
        <v>1</v>
      </c>
      <c r="Y740" s="51">
        <v>1</v>
      </c>
      <c r="Z740" s="51">
        <v>1</v>
      </c>
      <c r="AA740" s="51">
        <v>1</v>
      </c>
      <c r="AB740" s="51">
        <v>1</v>
      </c>
      <c r="AC740" s="51">
        <v>1</v>
      </c>
    </row>
    <row r="741" spans="2:29" ht="15.6" x14ac:dyDescent="0.55000000000000004">
      <c r="B741" s="1"/>
      <c r="C741" s="52" t="str">
        <f>$Q$8</f>
        <v>Weixin</v>
      </c>
      <c r="D741" s="51">
        <f t="shared" ref="D741:O741" si="372">C278+D278</f>
        <v>0</v>
      </c>
      <c r="E741" s="51">
        <f t="shared" si="372"/>
        <v>0</v>
      </c>
      <c r="F741" s="51">
        <f t="shared" si="372"/>
        <v>0</v>
      </c>
      <c r="G741" s="51">
        <f t="shared" si="372"/>
        <v>0</v>
      </c>
      <c r="H741" s="51">
        <f t="shared" si="372"/>
        <v>0</v>
      </c>
      <c r="I741" s="51">
        <f t="shared" si="372"/>
        <v>0</v>
      </c>
      <c r="J741" s="51">
        <f t="shared" si="372"/>
        <v>0</v>
      </c>
      <c r="K741" s="51">
        <f t="shared" si="372"/>
        <v>0</v>
      </c>
      <c r="L741" s="51">
        <f t="shared" si="372"/>
        <v>0</v>
      </c>
      <c r="M741" s="51">
        <f t="shared" si="372"/>
        <v>0</v>
      </c>
      <c r="N741" s="51">
        <f t="shared" si="372"/>
        <v>0</v>
      </c>
      <c r="O741" s="51">
        <f t="shared" si="372"/>
        <v>0</v>
      </c>
      <c r="P741" s="28" t="s">
        <v>18</v>
      </c>
      <c r="Q741" s="52" t="str">
        <f>$Q$8</f>
        <v>Weixin</v>
      </c>
      <c r="R741" s="51">
        <v>1</v>
      </c>
      <c r="S741" s="51">
        <v>1</v>
      </c>
      <c r="T741" s="51">
        <v>1</v>
      </c>
      <c r="U741" s="51">
        <v>1</v>
      </c>
      <c r="V741" s="51">
        <v>1</v>
      </c>
      <c r="W741" s="51">
        <v>1</v>
      </c>
      <c r="X741" s="51">
        <v>1</v>
      </c>
      <c r="Y741" s="51">
        <v>1</v>
      </c>
      <c r="Z741" s="51">
        <v>1</v>
      </c>
      <c r="AA741" s="51">
        <v>1</v>
      </c>
      <c r="AB741" s="51">
        <v>1</v>
      </c>
      <c r="AC741" s="51">
        <v>1</v>
      </c>
    </row>
    <row r="742" spans="2:29" ht="15.6" x14ac:dyDescent="0.55000000000000004">
      <c r="B742" s="1"/>
      <c r="C742" s="52" t="str">
        <f>$Q$9</f>
        <v>Benjamin</v>
      </c>
      <c r="D742" s="51">
        <f t="shared" ref="D742:O742" si="373">C279+D279</f>
        <v>0</v>
      </c>
      <c r="E742" s="51">
        <f t="shared" si="373"/>
        <v>0</v>
      </c>
      <c r="F742" s="51">
        <f t="shared" si="373"/>
        <v>0</v>
      </c>
      <c r="G742" s="51">
        <f t="shared" si="373"/>
        <v>0</v>
      </c>
      <c r="H742" s="51">
        <f t="shared" si="373"/>
        <v>0</v>
      </c>
      <c r="I742" s="51">
        <f t="shared" si="373"/>
        <v>0</v>
      </c>
      <c r="J742" s="51">
        <f t="shared" si="373"/>
        <v>1</v>
      </c>
      <c r="K742" s="51">
        <f t="shared" si="373"/>
        <v>1</v>
      </c>
      <c r="L742" s="51">
        <f t="shared" si="373"/>
        <v>0</v>
      </c>
      <c r="M742" s="51">
        <f t="shared" si="373"/>
        <v>0</v>
      </c>
      <c r="N742" s="51">
        <f t="shared" si="373"/>
        <v>0</v>
      </c>
      <c r="O742" s="51">
        <f t="shared" si="373"/>
        <v>0</v>
      </c>
      <c r="P742" s="28" t="s">
        <v>18</v>
      </c>
      <c r="Q742" s="52" t="str">
        <f>$Q$9</f>
        <v>Benjamin</v>
      </c>
      <c r="R742" s="51">
        <v>1</v>
      </c>
      <c r="S742" s="51">
        <v>1</v>
      </c>
      <c r="T742" s="51">
        <v>1</v>
      </c>
      <c r="U742" s="51">
        <v>1</v>
      </c>
      <c r="V742" s="51">
        <v>1</v>
      </c>
      <c r="W742" s="51">
        <v>1</v>
      </c>
      <c r="X742" s="51">
        <v>1</v>
      </c>
      <c r="Y742" s="51">
        <v>1</v>
      </c>
      <c r="Z742" s="51">
        <v>1</v>
      </c>
      <c r="AA742" s="51">
        <v>1</v>
      </c>
      <c r="AB742" s="51">
        <v>1</v>
      </c>
      <c r="AC742" s="51">
        <v>1</v>
      </c>
    </row>
    <row r="743" spans="2:29" ht="15.6" x14ac:dyDescent="0.55000000000000004">
      <c r="B743" s="1"/>
      <c r="C743" s="52" t="str">
        <f>$Q$10</f>
        <v>Joelle</v>
      </c>
      <c r="D743" s="51">
        <f t="shared" ref="D743:O743" si="374">C280+D280</f>
        <v>0</v>
      </c>
      <c r="E743" s="51">
        <f t="shared" si="374"/>
        <v>0</v>
      </c>
      <c r="F743" s="51">
        <f t="shared" si="374"/>
        <v>0</v>
      </c>
      <c r="G743" s="51">
        <f t="shared" si="374"/>
        <v>0</v>
      </c>
      <c r="H743" s="51">
        <f t="shared" si="374"/>
        <v>0</v>
      </c>
      <c r="I743" s="51">
        <f t="shared" si="374"/>
        <v>0</v>
      </c>
      <c r="J743" s="51">
        <f t="shared" si="374"/>
        <v>0</v>
      </c>
      <c r="K743" s="51">
        <f t="shared" si="374"/>
        <v>0</v>
      </c>
      <c r="L743" s="51">
        <f t="shared" si="374"/>
        <v>0</v>
      </c>
      <c r="M743" s="51">
        <f t="shared" si="374"/>
        <v>0</v>
      </c>
      <c r="N743" s="51">
        <f t="shared" si="374"/>
        <v>0</v>
      </c>
      <c r="O743" s="51">
        <f t="shared" si="374"/>
        <v>0</v>
      </c>
      <c r="P743" s="28" t="s">
        <v>18</v>
      </c>
      <c r="Q743" s="52" t="str">
        <f>$Q$10</f>
        <v>Joelle</v>
      </c>
      <c r="R743" s="51">
        <v>1</v>
      </c>
      <c r="S743" s="51">
        <v>1</v>
      </c>
      <c r="T743" s="51">
        <v>1</v>
      </c>
      <c r="U743" s="51">
        <v>1</v>
      </c>
      <c r="V743" s="51">
        <v>1</v>
      </c>
      <c r="W743" s="51">
        <v>1</v>
      </c>
      <c r="X743" s="51">
        <v>1</v>
      </c>
      <c r="Y743" s="51">
        <v>1</v>
      </c>
      <c r="Z743" s="51">
        <v>1</v>
      </c>
      <c r="AA743" s="51">
        <v>1</v>
      </c>
      <c r="AB743" s="51">
        <v>1</v>
      </c>
      <c r="AC743" s="51">
        <v>1</v>
      </c>
    </row>
    <row r="744" spans="2:29" ht="15.6" x14ac:dyDescent="0.55000000000000004">
      <c r="B744" s="1"/>
      <c r="C744" s="52" t="str">
        <f>$Q$11</f>
        <v>Alexia</v>
      </c>
      <c r="D744" s="51">
        <f t="shared" ref="D744:O744" si="375">C281+D281</f>
        <v>0</v>
      </c>
      <c r="E744" s="51">
        <f t="shared" si="375"/>
        <v>0</v>
      </c>
      <c r="F744" s="51">
        <f t="shared" si="375"/>
        <v>0</v>
      </c>
      <c r="G744" s="51">
        <f t="shared" si="375"/>
        <v>0</v>
      </c>
      <c r="H744" s="51">
        <f t="shared" si="375"/>
        <v>0</v>
      </c>
      <c r="I744" s="51">
        <f t="shared" si="375"/>
        <v>0</v>
      </c>
      <c r="J744" s="51">
        <f t="shared" si="375"/>
        <v>0</v>
      </c>
      <c r="K744" s="51">
        <f t="shared" si="375"/>
        <v>0</v>
      </c>
      <c r="L744" s="51">
        <f t="shared" si="375"/>
        <v>0</v>
      </c>
      <c r="M744" s="51">
        <f t="shared" si="375"/>
        <v>0</v>
      </c>
      <c r="N744" s="51">
        <f t="shared" si="375"/>
        <v>0</v>
      </c>
      <c r="O744" s="51">
        <f t="shared" si="375"/>
        <v>0</v>
      </c>
      <c r="P744" s="28" t="s">
        <v>18</v>
      </c>
      <c r="Q744" s="52" t="str">
        <f>$Q$11</f>
        <v>Alexia</v>
      </c>
      <c r="R744" s="51">
        <v>1</v>
      </c>
      <c r="S744" s="51">
        <v>1</v>
      </c>
      <c r="T744" s="51">
        <v>1</v>
      </c>
      <c r="U744" s="51">
        <v>1</v>
      </c>
      <c r="V744" s="51">
        <v>1</v>
      </c>
      <c r="W744" s="51">
        <v>1</v>
      </c>
      <c r="X744" s="51">
        <v>1</v>
      </c>
      <c r="Y744" s="51">
        <v>1</v>
      </c>
      <c r="Z744" s="51">
        <v>1</v>
      </c>
      <c r="AA744" s="51">
        <v>1</v>
      </c>
      <c r="AB744" s="51">
        <v>1</v>
      </c>
      <c r="AC744" s="51">
        <v>1</v>
      </c>
    </row>
    <row r="745" spans="2:29" ht="15.6" x14ac:dyDescent="0.55000000000000004">
      <c r="B745" s="1"/>
      <c r="C745" s="52" t="str">
        <f>$Q$12</f>
        <v>Joao</v>
      </c>
      <c r="D745" s="51">
        <f t="shared" ref="D745:O745" si="376">C282+D282</f>
        <v>0</v>
      </c>
      <c r="E745" s="51">
        <f t="shared" si="376"/>
        <v>0</v>
      </c>
      <c r="F745" s="51">
        <f t="shared" si="376"/>
        <v>0</v>
      </c>
      <c r="G745" s="51">
        <f t="shared" si="376"/>
        <v>0</v>
      </c>
      <c r="H745" s="51">
        <f t="shared" si="376"/>
        <v>0</v>
      </c>
      <c r="I745" s="51">
        <f t="shared" si="376"/>
        <v>0</v>
      </c>
      <c r="J745" s="51">
        <f t="shared" si="376"/>
        <v>0</v>
      </c>
      <c r="K745" s="51">
        <f t="shared" si="376"/>
        <v>0</v>
      </c>
      <c r="L745" s="51">
        <f t="shared" si="376"/>
        <v>0</v>
      </c>
      <c r="M745" s="51">
        <f t="shared" si="376"/>
        <v>0</v>
      </c>
      <c r="N745" s="51">
        <f t="shared" si="376"/>
        <v>0</v>
      </c>
      <c r="O745" s="51">
        <f t="shared" si="376"/>
        <v>0</v>
      </c>
      <c r="P745" s="28" t="s">
        <v>18</v>
      </c>
      <c r="Q745" s="52" t="str">
        <f>$Q$12</f>
        <v>Joao</v>
      </c>
      <c r="R745" s="51">
        <v>1</v>
      </c>
      <c r="S745" s="51">
        <v>1</v>
      </c>
      <c r="T745" s="51">
        <v>1</v>
      </c>
      <c r="U745" s="51">
        <v>1</v>
      </c>
      <c r="V745" s="51">
        <v>1</v>
      </c>
      <c r="W745" s="51">
        <v>1</v>
      </c>
      <c r="X745" s="51">
        <v>1</v>
      </c>
      <c r="Y745" s="51">
        <v>1</v>
      </c>
      <c r="Z745" s="51">
        <v>1</v>
      </c>
      <c r="AA745" s="51">
        <v>1</v>
      </c>
      <c r="AB745" s="51">
        <v>1</v>
      </c>
      <c r="AC745" s="51">
        <v>1</v>
      </c>
    </row>
    <row r="746" spans="2:29" ht="15.6" x14ac:dyDescent="0.55000000000000004">
      <c r="B746" s="1"/>
      <c r="C746" s="57" t="str">
        <f>$Q$13</f>
        <v>Maxime</v>
      </c>
      <c r="D746" s="51">
        <f t="shared" ref="D746:O746" si="377">C283+D283</f>
        <v>0</v>
      </c>
      <c r="E746" s="51">
        <f t="shared" si="377"/>
        <v>0</v>
      </c>
      <c r="F746" s="51">
        <f t="shared" si="377"/>
        <v>1</v>
      </c>
      <c r="G746" s="51">
        <f t="shared" si="377"/>
        <v>1</v>
      </c>
      <c r="H746" s="51">
        <f t="shared" si="377"/>
        <v>0</v>
      </c>
      <c r="I746" s="51">
        <f t="shared" si="377"/>
        <v>0</v>
      </c>
      <c r="J746" s="51">
        <f t="shared" si="377"/>
        <v>0</v>
      </c>
      <c r="K746" s="51">
        <f t="shared" si="377"/>
        <v>0</v>
      </c>
      <c r="L746" s="51">
        <f t="shared" si="377"/>
        <v>0</v>
      </c>
      <c r="M746" s="51">
        <f t="shared" si="377"/>
        <v>0</v>
      </c>
      <c r="N746" s="51">
        <f t="shared" si="377"/>
        <v>0</v>
      </c>
      <c r="O746" s="51">
        <f t="shared" si="377"/>
        <v>0</v>
      </c>
      <c r="P746" s="28" t="s">
        <v>18</v>
      </c>
      <c r="Q746" s="57" t="str">
        <f>$Q$13</f>
        <v>Maxime</v>
      </c>
      <c r="R746" s="51">
        <v>1</v>
      </c>
      <c r="S746" s="51">
        <v>1</v>
      </c>
      <c r="T746" s="51">
        <v>1</v>
      </c>
      <c r="U746" s="51">
        <v>1</v>
      </c>
      <c r="V746" s="51">
        <v>1</v>
      </c>
      <c r="W746" s="51">
        <v>1</v>
      </c>
      <c r="X746" s="51">
        <v>1</v>
      </c>
      <c r="Y746" s="51">
        <v>1</v>
      </c>
      <c r="Z746" s="51">
        <v>1</v>
      </c>
      <c r="AA746" s="51">
        <v>1</v>
      </c>
      <c r="AB746" s="51">
        <v>1</v>
      </c>
      <c r="AC746" s="51">
        <v>1</v>
      </c>
    </row>
    <row r="747" spans="2:29" ht="15.6" x14ac:dyDescent="0.55000000000000004">
      <c r="B747" s="1"/>
      <c r="C747" s="46" t="str">
        <f>$Q$14</f>
        <v>Alex</v>
      </c>
      <c r="D747" s="51">
        <f t="shared" ref="D747:O747" si="378">C284+D284</f>
        <v>0</v>
      </c>
      <c r="E747" s="51">
        <f t="shared" si="378"/>
        <v>0</v>
      </c>
      <c r="F747" s="51">
        <f t="shared" si="378"/>
        <v>0</v>
      </c>
      <c r="G747" s="51">
        <f t="shared" si="378"/>
        <v>0</v>
      </c>
      <c r="H747" s="51">
        <f t="shared" si="378"/>
        <v>1</v>
      </c>
      <c r="I747" s="51">
        <f t="shared" si="378"/>
        <v>1</v>
      </c>
      <c r="J747" s="51">
        <f t="shared" si="378"/>
        <v>0</v>
      </c>
      <c r="K747" s="51">
        <f t="shared" si="378"/>
        <v>0</v>
      </c>
      <c r="L747" s="51">
        <f t="shared" si="378"/>
        <v>0</v>
      </c>
      <c r="M747" s="51">
        <f t="shared" si="378"/>
        <v>0</v>
      </c>
      <c r="N747" s="51">
        <f t="shared" si="378"/>
        <v>0</v>
      </c>
      <c r="O747" s="51">
        <f t="shared" si="378"/>
        <v>0</v>
      </c>
      <c r="P747" s="28" t="s">
        <v>18</v>
      </c>
      <c r="Q747" s="46" t="str">
        <f>$Q$14</f>
        <v>Alex</v>
      </c>
      <c r="R747" s="51">
        <v>1</v>
      </c>
      <c r="S747" s="51">
        <v>1</v>
      </c>
      <c r="T747" s="51">
        <v>1</v>
      </c>
      <c r="U747" s="51">
        <v>1</v>
      </c>
      <c r="V747" s="51">
        <v>1</v>
      </c>
      <c r="W747" s="51">
        <v>1</v>
      </c>
      <c r="X747" s="51">
        <v>1</v>
      </c>
      <c r="Y747" s="51">
        <v>1</v>
      </c>
      <c r="Z747" s="51">
        <v>1</v>
      </c>
      <c r="AA747" s="51">
        <v>1</v>
      </c>
      <c r="AB747" s="51">
        <v>1</v>
      </c>
      <c r="AC747" s="51">
        <v>1</v>
      </c>
    </row>
    <row r="748" spans="2:29" ht="15.6" x14ac:dyDescent="0.55000000000000004">
      <c r="B748" s="1"/>
      <c r="C748" s="52" t="str">
        <f>$Q$15</f>
        <v>Alyssa</v>
      </c>
      <c r="D748" s="51">
        <f t="shared" ref="D748:O748" si="379">C285+D285</f>
        <v>0</v>
      </c>
      <c r="E748" s="51">
        <f t="shared" si="379"/>
        <v>0</v>
      </c>
      <c r="F748" s="51">
        <f t="shared" si="379"/>
        <v>0</v>
      </c>
      <c r="G748" s="51">
        <f t="shared" si="379"/>
        <v>0</v>
      </c>
      <c r="H748" s="51">
        <f t="shared" si="379"/>
        <v>0</v>
      </c>
      <c r="I748" s="51">
        <f t="shared" si="379"/>
        <v>0</v>
      </c>
      <c r="J748" s="51">
        <f t="shared" si="379"/>
        <v>0</v>
      </c>
      <c r="K748" s="51">
        <f t="shared" si="379"/>
        <v>0</v>
      </c>
      <c r="L748" s="51">
        <f t="shared" si="379"/>
        <v>0</v>
      </c>
      <c r="M748" s="51">
        <f t="shared" si="379"/>
        <v>0</v>
      </c>
      <c r="N748" s="51">
        <f t="shared" si="379"/>
        <v>0</v>
      </c>
      <c r="O748" s="51">
        <f t="shared" si="379"/>
        <v>0</v>
      </c>
      <c r="P748" s="28" t="s">
        <v>18</v>
      </c>
      <c r="Q748" s="52" t="str">
        <f>$Q$15</f>
        <v>Alyssa</v>
      </c>
      <c r="R748" s="51">
        <v>1</v>
      </c>
      <c r="S748" s="51">
        <v>1</v>
      </c>
      <c r="T748" s="51">
        <v>1</v>
      </c>
      <c r="U748" s="51">
        <v>1</v>
      </c>
      <c r="V748" s="51">
        <v>1</v>
      </c>
      <c r="W748" s="51">
        <v>1</v>
      </c>
      <c r="X748" s="51">
        <v>1</v>
      </c>
      <c r="Y748" s="51">
        <v>1</v>
      </c>
      <c r="Z748" s="51">
        <v>1</v>
      </c>
      <c r="AA748" s="51">
        <v>1</v>
      </c>
      <c r="AB748" s="51">
        <v>1</v>
      </c>
      <c r="AC748" s="51">
        <v>1</v>
      </c>
    </row>
    <row r="749" spans="2:29" ht="15.6" x14ac:dyDescent="0.55000000000000004">
      <c r="B749" s="1"/>
      <c r="C749" s="52" t="str">
        <f>$Q$16</f>
        <v>Amanda</v>
      </c>
      <c r="D749" s="51">
        <f t="shared" ref="D749:O749" si="380">C286+D286</f>
        <v>0</v>
      </c>
      <c r="E749" s="51">
        <f t="shared" si="380"/>
        <v>0</v>
      </c>
      <c r="F749" s="51">
        <f t="shared" si="380"/>
        <v>0</v>
      </c>
      <c r="G749" s="51">
        <f t="shared" si="380"/>
        <v>0</v>
      </c>
      <c r="H749" s="51">
        <f t="shared" si="380"/>
        <v>0</v>
      </c>
      <c r="I749" s="51">
        <f t="shared" si="380"/>
        <v>0</v>
      </c>
      <c r="J749" s="51">
        <f t="shared" si="380"/>
        <v>0</v>
      </c>
      <c r="K749" s="51">
        <f t="shared" si="380"/>
        <v>0</v>
      </c>
      <c r="L749" s="51">
        <f t="shared" si="380"/>
        <v>0</v>
      </c>
      <c r="M749" s="51">
        <f t="shared" si="380"/>
        <v>0</v>
      </c>
      <c r="N749" s="51">
        <f t="shared" si="380"/>
        <v>0</v>
      </c>
      <c r="O749" s="51">
        <f t="shared" si="380"/>
        <v>0</v>
      </c>
      <c r="P749" s="28" t="s">
        <v>18</v>
      </c>
      <c r="Q749" s="52" t="str">
        <f>$Q$16</f>
        <v>Amanda</v>
      </c>
      <c r="R749" s="51">
        <v>1</v>
      </c>
      <c r="S749" s="51">
        <v>1</v>
      </c>
      <c r="T749" s="51">
        <v>1</v>
      </c>
      <c r="U749" s="51">
        <v>1</v>
      </c>
      <c r="V749" s="51">
        <v>1</v>
      </c>
      <c r="W749" s="51">
        <v>1</v>
      </c>
      <c r="X749" s="51">
        <v>1</v>
      </c>
      <c r="Y749" s="51">
        <v>1</v>
      </c>
      <c r="Z749" s="51">
        <v>1</v>
      </c>
      <c r="AA749" s="51">
        <v>1</v>
      </c>
      <c r="AB749" s="51">
        <v>1</v>
      </c>
      <c r="AC749" s="51">
        <v>1</v>
      </c>
    </row>
    <row r="750" spans="2:29" ht="15.6" x14ac:dyDescent="0.55000000000000004">
      <c r="B750" s="1"/>
      <c r="C750" s="52" t="str">
        <f>$Q$17</f>
        <v>Antoine</v>
      </c>
      <c r="D750" s="51">
        <f t="shared" ref="D750:O750" si="381">C287+D287</f>
        <v>0</v>
      </c>
      <c r="E750" s="51">
        <f t="shared" si="381"/>
        <v>0</v>
      </c>
      <c r="F750" s="51">
        <f t="shared" si="381"/>
        <v>0</v>
      </c>
      <c r="G750" s="51">
        <f t="shared" si="381"/>
        <v>0</v>
      </c>
      <c r="H750" s="51">
        <f t="shared" si="381"/>
        <v>0</v>
      </c>
      <c r="I750" s="51">
        <f t="shared" si="381"/>
        <v>0</v>
      </c>
      <c r="J750" s="51">
        <f t="shared" si="381"/>
        <v>0</v>
      </c>
      <c r="K750" s="51">
        <f t="shared" si="381"/>
        <v>0</v>
      </c>
      <c r="L750" s="51">
        <f t="shared" si="381"/>
        <v>0</v>
      </c>
      <c r="M750" s="51">
        <f t="shared" si="381"/>
        <v>1</v>
      </c>
      <c r="N750" s="51">
        <f t="shared" si="381"/>
        <v>1</v>
      </c>
      <c r="O750" s="51">
        <f t="shared" si="381"/>
        <v>0</v>
      </c>
      <c r="P750" s="28" t="s">
        <v>18</v>
      </c>
      <c r="Q750" s="52" t="str">
        <f>$Q$17</f>
        <v>Antoine</v>
      </c>
      <c r="R750" s="51">
        <v>1</v>
      </c>
      <c r="S750" s="51">
        <v>1</v>
      </c>
      <c r="T750" s="51">
        <v>1</v>
      </c>
      <c r="U750" s="51">
        <v>1</v>
      </c>
      <c r="V750" s="51">
        <v>1</v>
      </c>
      <c r="W750" s="51">
        <v>1</v>
      </c>
      <c r="X750" s="51">
        <v>1</v>
      </c>
      <c r="Y750" s="51">
        <v>1</v>
      </c>
      <c r="Z750" s="51">
        <v>1</v>
      </c>
      <c r="AA750" s="51">
        <v>1</v>
      </c>
      <c r="AB750" s="51">
        <v>1</v>
      </c>
      <c r="AC750" s="51">
        <v>1</v>
      </c>
    </row>
    <row r="751" spans="2:29" ht="15.6" x14ac:dyDescent="0.55000000000000004">
      <c r="B751" s="1"/>
      <c r="C751" s="52" t="str">
        <f>$Q$18</f>
        <v>Beatriz</v>
      </c>
      <c r="D751" s="51">
        <f t="shared" ref="D751:O751" si="382">C288+D288</f>
        <v>0</v>
      </c>
      <c r="E751" s="51">
        <f t="shared" si="382"/>
        <v>0</v>
      </c>
      <c r="F751" s="51">
        <f t="shared" si="382"/>
        <v>0</v>
      </c>
      <c r="G751" s="51">
        <f t="shared" si="382"/>
        <v>0</v>
      </c>
      <c r="H751" s="51">
        <f t="shared" si="382"/>
        <v>0</v>
      </c>
      <c r="I751" s="51">
        <f t="shared" si="382"/>
        <v>0</v>
      </c>
      <c r="J751" s="51">
        <f t="shared" si="382"/>
        <v>0</v>
      </c>
      <c r="K751" s="51">
        <f t="shared" si="382"/>
        <v>0</v>
      </c>
      <c r="L751" s="51">
        <f t="shared" si="382"/>
        <v>0</v>
      </c>
      <c r="M751" s="51">
        <f t="shared" si="382"/>
        <v>0</v>
      </c>
      <c r="N751" s="51">
        <f t="shared" si="382"/>
        <v>0</v>
      </c>
      <c r="O751" s="51">
        <f t="shared" si="382"/>
        <v>0</v>
      </c>
      <c r="P751" s="28" t="s">
        <v>18</v>
      </c>
      <c r="Q751" s="52" t="str">
        <f>$Q$18</f>
        <v>Beatriz</v>
      </c>
      <c r="R751" s="51">
        <v>1</v>
      </c>
      <c r="S751" s="51">
        <v>1</v>
      </c>
      <c r="T751" s="51">
        <v>1</v>
      </c>
      <c r="U751" s="51">
        <v>1</v>
      </c>
      <c r="V751" s="51">
        <v>1</v>
      </c>
      <c r="W751" s="51">
        <v>1</v>
      </c>
      <c r="X751" s="51">
        <v>1</v>
      </c>
      <c r="Y751" s="51">
        <v>1</v>
      </c>
      <c r="Z751" s="51">
        <v>1</v>
      </c>
      <c r="AA751" s="51">
        <v>1</v>
      </c>
      <c r="AB751" s="51">
        <v>1</v>
      </c>
      <c r="AC751" s="51">
        <v>1</v>
      </c>
    </row>
    <row r="752" spans="2:29" ht="15.6" x14ac:dyDescent="0.55000000000000004">
      <c r="B752" s="1"/>
      <c r="C752" s="52" t="str">
        <f>$Q$19</f>
        <v>Charelle</v>
      </c>
      <c r="D752" s="51">
        <f t="shared" ref="D752:O752" si="383">C289+D289</f>
        <v>1</v>
      </c>
      <c r="E752" s="51">
        <f t="shared" si="383"/>
        <v>1</v>
      </c>
      <c r="F752" s="51">
        <f t="shared" si="383"/>
        <v>0</v>
      </c>
      <c r="G752" s="51">
        <f t="shared" si="383"/>
        <v>0</v>
      </c>
      <c r="H752" s="51">
        <f t="shared" si="383"/>
        <v>0</v>
      </c>
      <c r="I752" s="51">
        <f t="shared" si="383"/>
        <v>0</v>
      </c>
      <c r="J752" s="51">
        <f t="shared" si="383"/>
        <v>0</v>
      </c>
      <c r="K752" s="51">
        <f t="shared" si="383"/>
        <v>0</v>
      </c>
      <c r="L752" s="51">
        <f t="shared" si="383"/>
        <v>0</v>
      </c>
      <c r="M752" s="51">
        <f t="shared" si="383"/>
        <v>0</v>
      </c>
      <c r="N752" s="51">
        <f t="shared" si="383"/>
        <v>0</v>
      </c>
      <c r="O752" s="51">
        <f t="shared" si="383"/>
        <v>0</v>
      </c>
      <c r="P752" s="28" t="s">
        <v>18</v>
      </c>
      <c r="Q752" s="52" t="str">
        <f>$Q$19</f>
        <v>Charelle</v>
      </c>
      <c r="R752" s="51">
        <v>1</v>
      </c>
      <c r="S752" s="51">
        <v>1</v>
      </c>
      <c r="T752" s="51">
        <v>1</v>
      </c>
      <c r="U752" s="51">
        <v>1</v>
      </c>
      <c r="V752" s="51">
        <v>1</v>
      </c>
      <c r="W752" s="51">
        <v>1</v>
      </c>
      <c r="X752" s="51">
        <v>1</v>
      </c>
      <c r="Y752" s="51">
        <v>1</v>
      </c>
      <c r="Z752" s="51">
        <v>1</v>
      </c>
      <c r="AA752" s="51">
        <v>1</v>
      </c>
      <c r="AB752" s="51">
        <v>1</v>
      </c>
      <c r="AC752" s="51">
        <v>1</v>
      </c>
    </row>
    <row r="753" spans="2:29" ht="15.6" x14ac:dyDescent="0.55000000000000004">
      <c r="B753" s="1"/>
      <c r="C753" s="52" t="str">
        <f>$Q$20</f>
        <v>Dimitri</v>
      </c>
      <c r="D753" s="51">
        <f t="shared" ref="D753:O753" si="384">C290+D290</f>
        <v>0</v>
      </c>
      <c r="E753" s="51">
        <f t="shared" si="384"/>
        <v>0</v>
      </c>
      <c r="F753" s="51">
        <f t="shared" si="384"/>
        <v>0</v>
      </c>
      <c r="G753" s="51">
        <f t="shared" si="384"/>
        <v>0</v>
      </c>
      <c r="H753" s="51">
        <f t="shared" si="384"/>
        <v>0</v>
      </c>
      <c r="I753" s="51">
        <f t="shared" si="384"/>
        <v>0</v>
      </c>
      <c r="J753" s="51">
        <f t="shared" si="384"/>
        <v>0</v>
      </c>
      <c r="K753" s="51">
        <f t="shared" si="384"/>
        <v>0</v>
      </c>
      <c r="L753" s="51">
        <f t="shared" si="384"/>
        <v>0</v>
      </c>
      <c r="M753" s="51">
        <f t="shared" si="384"/>
        <v>0</v>
      </c>
      <c r="N753" s="51">
        <f t="shared" si="384"/>
        <v>0</v>
      </c>
      <c r="O753" s="51">
        <f t="shared" si="384"/>
        <v>0</v>
      </c>
      <c r="P753" s="28" t="s">
        <v>18</v>
      </c>
      <c r="Q753" s="52" t="str">
        <f>$Q$20</f>
        <v>Dimitri</v>
      </c>
      <c r="R753" s="51">
        <v>1</v>
      </c>
      <c r="S753" s="51">
        <v>1</v>
      </c>
      <c r="T753" s="51">
        <v>1</v>
      </c>
      <c r="U753" s="51">
        <v>1</v>
      </c>
      <c r="V753" s="51">
        <v>1</v>
      </c>
      <c r="W753" s="51">
        <v>1</v>
      </c>
      <c r="X753" s="51">
        <v>1</v>
      </c>
      <c r="Y753" s="51">
        <v>1</v>
      </c>
      <c r="Z753" s="51">
        <v>1</v>
      </c>
      <c r="AA753" s="51">
        <v>1</v>
      </c>
      <c r="AB753" s="51">
        <v>1</v>
      </c>
      <c r="AC753" s="51">
        <v>1</v>
      </c>
    </row>
    <row r="754" spans="2:29" ht="15.6" x14ac:dyDescent="0.55000000000000004">
      <c r="B754" s="1"/>
      <c r="C754" s="52" t="str">
        <f>$Q$21</f>
        <v>Marina</v>
      </c>
      <c r="D754" s="51">
        <f t="shared" ref="D754:O754" si="385">C291+D291</f>
        <v>0</v>
      </c>
      <c r="E754" s="51">
        <f t="shared" si="385"/>
        <v>1</v>
      </c>
      <c r="F754" s="51">
        <f t="shared" si="385"/>
        <v>1</v>
      </c>
      <c r="G754" s="51">
        <f t="shared" si="385"/>
        <v>0</v>
      </c>
      <c r="H754" s="51">
        <f t="shared" si="385"/>
        <v>0</v>
      </c>
      <c r="I754" s="51">
        <f t="shared" si="385"/>
        <v>0</v>
      </c>
      <c r="J754" s="51">
        <f t="shared" si="385"/>
        <v>0</v>
      </c>
      <c r="K754" s="51">
        <f t="shared" si="385"/>
        <v>0</v>
      </c>
      <c r="L754" s="51">
        <f t="shared" si="385"/>
        <v>0</v>
      </c>
      <c r="M754" s="51">
        <f t="shared" si="385"/>
        <v>0</v>
      </c>
      <c r="N754" s="51">
        <f t="shared" si="385"/>
        <v>0</v>
      </c>
      <c r="O754" s="51">
        <f t="shared" si="385"/>
        <v>0</v>
      </c>
      <c r="P754" s="28" t="s">
        <v>18</v>
      </c>
      <c r="Q754" s="52" t="str">
        <f>$Q$21</f>
        <v>Marina</v>
      </c>
      <c r="R754" s="51">
        <v>1</v>
      </c>
      <c r="S754" s="51">
        <v>1</v>
      </c>
      <c r="T754" s="51">
        <v>1</v>
      </c>
      <c r="U754" s="51">
        <v>1</v>
      </c>
      <c r="V754" s="51">
        <v>1</v>
      </c>
      <c r="W754" s="51">
        <v>1</v>
      </c>
      <c r="X754" s="51">
        <v>1</v>
      </c>
      <c r="Y754" s="51">
        <v>1</v>
      </c>
      <c r="Z754" s="51">
        <v>1</v>
      </c>
      <c r="AA754" s="51">
        <v>1</v>
      </c>
      <c r="AB754" s="51">
        <v>1</v>
      </c>
      <c r="AC754" s="51">
        <v>1</v>
      </c>
    </row>
    <row r="755" spans="2:29" ht="15.6" x14ac:dyDescent="0.55000000000000004">
      <c r="B755" s="1"/>
      <c r="C755" s="52" t="str">
        <f>$Q$22</f>
        <v>Michel</v>
      </c>
      <c r="D755" s="51">
        <f t="shared" ref="D755:O755" si="386">C292+D292</f>
        <v>0</v>
      </c>
      <c r="E755" s="51">
        <f t="shared" si="386"/>
        <v>0</v>
      </c>
      <c r="F755" s="51">
        <f t="shared" si="386"/>
        <v>0</v>
      </c>
      <c r="G755" s="51">
        <f t="shared" si="386"/>
        <v>0</v>
      </c>
      <c r="H755" s="51">
        <f t="shared" si="386"/>
        <v>0</v>
      </c>
      <c r="I755" s="51">
        <f t="shared" si="386"/>
        <v>0</v>
      </c>
      <c r="J755" s="51">
        <f t="shared" si="386"/>
        <v>0</v>
      </c>
      <c r="K755" s="51">
        <f t="shared" si="386"/>
        <v>0</v>
      </c>
      <c r="L755" s="51">
        <f t="shared" si="386"/>
        <v>0</v>
      </c>
      <c r="M755" s="51">
        <f t="shared" si="386"/>
        <v>0</v>
      </c>
      <c r="N755" s="51">
        <f t="shared" si="386"/>
        <v>0</v>
      </c>
      <c r="O755" s="51">
        <f t="shared" si="386"/>
        <v>0</v>
      </c>
      <c r="P755" s="28" t="s">
        <v>18</v>
      </c>
      <c r="Q755" s="52" t="str">
        <f>$Q$22</f>
        <v>Michel</v>
      </c>
      <c r="R755" s="51">
        <v>1</v>
      </c>
      <c r="S755" s="51">
        <v>1</v>
      </c>
      <c r="T755" s="51">
        <v>1</v>
      </c>
      <c r="U755" s="51">
        <v>1</v>
      </c>
      <c r="V755" s="51">
        <v>1</v>
      </c>
      <c r="W755" s="51">
        <v>1</v>
      </c>
      <c r="X755" s="51">
        <v>1</v>
      </c>
      <c r="Y755" s="51">
        <v>1</v>
      </c>
      <c r="Z755" s="51">
        <v>1</v>
      </c>
      <c r="AA755" s="51">
        <v>1</v>
      </c>
      <c r="AB755" s="51">
        <v>1</v>
      </c>
      <c r="AC755" s="51">
        <v>1</v>
      </c>
    </row>
    <row r="756" spans="2:29" ht="15.6" x14ac:dyDescent="0.55000000000000004">
      <c r="B756" s="1"/>
      <c r="C756" s="52" t="str">
        <f>$Q$23</f>
        <v>Nour</v>
      </c>
      <c r="D756" s="51">
        <f t="shared" ref="D756:O756" si="387">C293+D293</f>
        <v>0</v>
      </c>
      <c r="E756" s="51">
        <f t="shared" si="387"/>
        <v>0</v>
      </c>
      <c r="F756" s="51">
        <f t="shared" si="387"/>
        <v>0</v>
      </c>
      <c r="G756" s="51">
        <f t="shared" si="387"/>
        <v>0</v>
      </c>
      <c r="H756" s="51">
        <f t="shared" si="387"/>
        <v>0</v>
      </c>
      <c r="I756" s="51">
        <f t="shared" si="387"/>
        <v>0</v>
      </c>
      <c r="J756" s="51">
        <f t="shared" si="387"/>
        <v>0</v>
      </c>
      <c r="K756" s="51">
        <f t="shared" si="387"/>
        <v>0</v>
      </c>
      <c r="L756" s="51">
        <f t="shared" si="387"/>
        <v>0</v>
      </c>
      <c r="M756" s="51">
        <f t="shared" si="387"/>
        <v>0</v>
      </c>
      <c r="N756" s="51">
        <f t="shared" si="387"/>
        <v>0</v>
      </c>
      <c r="O756" s="51">
        <f t="shared" si="387"/>
        <v>0</v>
      </c>
      <c r="P756" s="28" t="s">
        <v>18</v>
      </c>
      <c r="Q756" s="52" t="str">
        <f>$Q$23</f>
        <v>Nour</v>
      </c>
      <c r="R756" s="51">
        <v>1</v>
      </c>
      <c r="S756" s="51">
        <v>1</v>
      </c>
      <c r="T756" s="51">
        <v>1</v>
      </c>
      <c r="U756" s="51">
        <v>1</v>
      </c>
      <c r="V756" s="51">
        <v>1</v>
      </c>
      <c r="W756" s="51">
        <v>1</v>
      </c>
      <c r="X756" s="51">
        <v>1</v>
      </c>
      <c r="Y756" s="51">
        <v>1</v>
      </c>
      <c r="Z756" s="51">
        <v>1</v>
      </c>
      <c r="AA756" s="51">
        <v>1</v>
      </c>
      <c r="AB756" s="51">
        <v>1</v>
      </c>
      <c r="AC756" s="51">
        <v>1</v>
      </c>
    </row>
    <row r="757" spans="2:29" ht="15.6" x14ac:dyDescent="0.55000000000000004">
      <c r="B757" s="1"/>
      <c r="C757" s="52" t="str">
        <f>$Q$24</f>
        <v>Samuel</v>
      </c>
      <c r="D757" s="51">
        <f t="shared" ref="D757:O757" si="388">C294+D294</f>
        <v>0</v>
      </c>
      <c r="E757" s="51">
        <f t="shared" si="388"/>
        <v>0</v>
      </c>
      <c r="F757" s="51">
        <f t="shared" si="388"/>
        <v>0</v>
      </c>
      <c r="G757" s="51">
        <f t="shared" si="388"/>
        <v>0</v>
      </c>
      <c r="H757" s="51">
        <f t="shared" si="388"/>
        <v>0</v>
      </c>
      <c r="I757" s="51">
        <f t="shared" si="388"/>
        <v>0</v>
      </c>
      <c r="J757" s="51">
        <f t="shared" si="388"/>
        <v>0</v>
      </c>
      <c r="K757" s="51">
        <f t="shared" si="388"/>
        <v>0</v>
      </c>
      <c r="L757" s="51">
        <f t="shared" si="388"/>
        <v>0</v>
      </c>
      <c r="M757" s="51">
        <f t="shared" si="388"/>
        <v>0</v>
      </c>
      <c r="N757" s="51">
        <f t="shared" si="388"/>
        <v>0</v>
      </c>
      <c r="O757" s="51">
        <f t="shared" si="388"/>
        <v>0</v>
      </c>
      <c r="P757" s="28" t="s">
        <v>18</v>
      </c>
      <c r="Q757" s="52" t="str">
        <f>$Q$24</f>
        <v>Samuel</v>
      </c>
      <c r="R757" s="51">
        <v>1</v>
      </c>
      <c r="S757" s="51">
        <v>1</v>
      </c>
      <c r="T757" s="51">
        <v>1</v>
      </c>
      <c r="U757" s="51">
        <v>1</v>
      </c>
      <c r="V757" s="51">
        <v>1</v>
      </c>
      <c r="W757" s="51">
        <v>1</v>
      </c>
      <c r="X757" s="51">
        <v>1</v>
      </c>
      <c r="Y757" s="51">
        <v>1</v>
      </c>
      <c r="Z757" s="51">
        <v>1</v>
      </c>
      <c r="AA757" s="51">
        <v>1</v>
      </c>
      <c r="AB757" s="51">
        <v>1</v>
      </c>
      <c r="AC757" s="51">
        <v>1</v>
      </c>
    </row>
    <row r="758" spans="2:29" ht="15.6" x14ac:dyDescent="0.55000000000000004">
      <c r="B758" s="1"/>
      <c r="C758" s="52" t="str">
        <f>$Q$25</f>
        <v>Yassin</v>
      </c>
      <c r="D758" s="51">
        <f t="shared" ref="D758:O758" si="389">C295+D295</f>
        <v>0</v>
      </c>
      <c r="E758" s="51">
        <f t="shared" si="389"/>
        <v>0</v>
      </c>
      <c r="F758" s="51">
        <f t="shared" si="389"/>
        <v>0</v>
      </c>
      <c r="G758" s="51">
        <f t="shared" si="389"/>
        <v>0</v>
      </c>
      <c r="H758" s="51">
        <f t="shared" si="389"/>
        <v>0</v>
      </c>
      <c r="I758" s="51">
        <f t="shared" si="389"/>
        <v>0</v>
      </c>
      <c r="J758" s="51">
        <f t="shared" si="389"/>
        <v>0</v>
      </c>
      <c r="K758" s="51">
        <f t="shared" si="389"/>
        <v>0</v>
      </c>
      <c r="L758" s="51">
        <f t="shared" si="389"/>
        <v>0</v>
      </c>
      <c r="M758" s="51">
        <f t="shared" si="389"/>
        <v>0</v>
      </c>
      <c r="N758" s="51">
        <f t="shared" si="389"/>
        <v>0</v>
      </c>
      <c r="O758" s="51">
        <f t="shared" si="389"/>
        <v>0</v>
      </c>
      <c r="P758" s="28" t="s">
        <v>18</v>
      </c>
      <c r="Q758" s="52" t="str">
        <f>$Q$25</f>
        <v>Yassin</v>
      </c>
      <c r="R758" s="51">
        <v>1</v>
      </c>
      <c r="S758" s="51">
        <v>1</v>
      </c>
      <c r="T758" s="51">
        <v>1</v>
      </c>
      <c r="U758" s="51">
        <v>1</v>
      </c>
      <c r="V758" s="51">
        <v>1</v>
      </c>
      <c r="W758" s="51">
        <v>1</v>
      </c>
      <c r="X758" s="51">
        <v>1</v>
      </c>
      <c r="Y758" s="51">
        <v>1</v>
      </c>
      <c r="Z758" s="51">
        <v>1</v>
      </c>
      <c r="AA758" s="51">
        <v>1</v>
      </c>
      <c r="AB758" s="51">
        <v>1</v>
      </c>
      <c r="AC758" s="51">
        <v>1</v>
      </c>
    </row>
    <row r="759" spans="2:29" ht="15.6" x14ac:dyDescent="0.55000000000000004">
      <c r="B759" s="1"/>
      <c r="C759" s="52" t="str">
        <f>$Q$26</f>
        <v>Kamar</v>
      </c>
      <c r="D759" s="51">
        <f t="shared" ref="D759:O759" si="390">C296+D296</f>
        <v>0</v>
      </c>
      <c r="E759" s="51">
        <f t="shared" si="390"/>
        <v>0</v>
      </c>
      <c r="F759" s="51">
        <f t="shared" si="390"/>
        <v>0</v>
      </c>
      <c r="G759" s="51">
        <f t="shared" si="390"/>
        <v>0</v>
      </c>
      <c r="H759" s="51">
        <f t="shared" si="390"/>
        <v>0</v>
      </c>
      <c r="I759" s="51">
        <f t="shared" si="390"/>
        <v>0</v>
      </c>
      <c r="J759" s="51">
        <f t="shared" si="390"/>
        <v>0</v>
      </c>
      <c r="K759" s="51">
        <f t="shared" si="390"/>
        <v>1</v>
      </c>
      <c r="L759" s="51">
        <f t="shared" si="390"/>
        <v>1</v>
      </c>
      <c r="M759" s="51">
        <f t="shared" si="390"/>
        <v>0</v>
      </c>
      <c r="N759" s="51">
        <f t="shared" si="390"/>
        <v>0</v>
      </c>
      <c r="O759" s="51">
        <f t="shared" si="390"/>
        <v>0</v>
      </c>
      <c r="P759" s="28" t="s">
        <v>18</v>
      </c>
      <c r="Q759" s="52" t="str">
        <f>$Q$26</f>
        <v>Kamar</v>
      </c>
      <c r="R759" s="51">
        <v>1</v>
      </c>
      <c r="S759" s="51">
        <v>1</v>
      </c>
      <c r="T759" s="51">
        <v>1</v>
      </c>
      <c r="U759" s="51">
        <v>1</v>
      </c>
      <c r="V759" s="51">
        <v>1</v>
      </c>
      <c r="W759" s="51">
        <v>1</v>
      </c>
      <c r="X759" s="51">
        <v>1</v>
      </c>
      <c r="Y759" s="51">
        <v>1</v>
      </c>
      <c r="Z759" s="51">
        <v>1</v>
      </c>
      <c r="AA759" s="51">
        <v>1</v>
      </c>
      <c r="AB759" s="51">
        <v>1</v>
      </c>
      <c r="AC759" s="51">
        <v>1</v>
      </c>
    </row>
  </sheetData>
  <mergeCells count="3">
    <mergeCell ref="R1:AD1"/>
    <mergeCell ref="Q34:AD34"/>
    <mergeCell ref="Q55:AC55"/>
  </mergeCells>
  <conditionalFormatting sqref="C3:O26">
    <cfRule type="cellIs" dxfId="40" priority="154" operator="equal">
      <formula>1</formula>
    </cfRule>
    <cfRule type="cellIs" dxfId="39" priority="142" operator="equal">
      <formula>0</formula>
    </cfRule>
  </conditionalFormatting>
  <conditionalFormatting sqref="C30:O53">
    <cfRule type="cellIs" dxfId="38" priority="22" operator="equal">
      <formula>0</formula>
    </cfRule>
    <cfRule type="cellIs" dxfId="37" priority="23" operator="equal">
      <formula>1</formula>
    </cfRule>
  </conditionalFormatting>
  <conditionalFormatting sqref="C57:O80">
    <cfRule type="cellIs" dxfId="36" priority="20" operator="equal">
      <formula>0</formula>
    </cfRule>
    <cfRule type="cellIs" dxfId="35" priority="21" operator="equal">
      <formula>1</formula>
    </cfRule>
  </conditionalFormatting>
  <conditionalFormatting sqref="C84:O107">
    <cfRule type="cellIs" dxfId="34" priority="18" operator="equal">
      <formula>0</formula>
    </cfRule>
    <cfRule type="cellIs" dxfId="33" priority="19" operator="equal">
      <formula>1</formula>
    </cfRule>
  </conditionalFormatting>
  <conditionalFormatting sqref="C111:O134">
    <cfRule type="cellIs" dxfId="32" priority="16" operator="equal">
      <formula>0</formula>
    </cfRule>
    <cfRule type="cellIs" dxfId="31" priority="17" operator="equal">
      <formula>1</formula>
    </cfRule>
  </conditionalFormatting>
  <conditionalFormatting sqref="C138:O161">
    <cfRule type="cellIs" dxfId="30" priority="14" operator="equal">
      <formula>0</formula>
    </cfRule>
    <cfRule type="cellIs" dxfId="29" priority="15" operator="equal">
      <formula>1</formula>
    </cfRule>
  </conditionalFormatting>
  <conditionalFormatting sqref="C165:O188">
    <cfRule type="cellIs" dxfId="28" priority="12" operator="equal">
      <formula>0</formula>
    </cfRule>
    <cfRule type="cellIs" dxfId="27" priority="13" operator="equal">
      <formula>1</formula>
    </cfRule>
  </conditionalFormatting>
  <conditionalFormatting sqref="C192:O215">
    <cfRule type="cellIs" dxfId="26" priority="10" operator="equal">
      <formula>0</formula>
    </cfRule>
    <cfRule type="cellIs" dxfId="25" priority="11" operator="equal">
      <formula>1</formula>
    </cfRule>
  </conditionalFormatting>
  <conditionalFormatting sqref="C219:O242">
    <cfRule type="cellIs" dxfId="24" priority="8" operator="equal">
      <formula>0</formula>
    </cfRule>
    <cfRule type="cellIs" dxfId="23" priority="9" operator="equal">
      <formula>1</formula>
    </cfRule>
  </conditionalFormatting>
  <conditionalFormatting sqref="C246:O269">
    <cfRule type="cellIs" dxfId="22" priority="6" operator="equal">
      <formula>0</formula>
    </cfRule>
    <cfRule type="cellIs" dxfId="21" priority="7" operator="equal">
      <formula>1</formula>
    </cfRule>
  </conditionalFormatting>
  <conditionalFormatting sqref="C273:O296">
    <cfRule type="cellIs" dxfId="20" priority="4" operator="equal">
      <formula>0</formula>
    </cfRule>
    <cfRule type="cellIs" dxfId="19" priority="5" operator="equal">
      <formula>1</formula>
    </cfRule>
  </conditionalFormatting>
  <conditionalFormatting sqref="C300:O323">
    <cfRule type="cellIs" dxfId="18" priority="3" operator="equal">
      <formula>1</formula>
    </cfRule>
    <cfRule type="cellIs" dxfId="17" priority="2" operator="equal">
      <formula>0</formula>
    </cfRule>
  </conditionalFormatting>
  <conditionalFormatting sqref="R57:AC80">
    <cfRule type="cellIs" dxfId="16" priority="70" operator="equal">
      <formula>0</formula>
    </cfRule>
    <cfRule type="cellIs" dxfId="15" priority="71" operator="equal">
      <formula>1</formula>
    </cfRule>
  </conditionalFormatting>
  <conditionalFormatting sqref="R3:AD26">
    <cfRule type="cellIs" dxfId="14" priority="94" operator="equal">
      <formula>0</formula>
    </cfRule>
    <cfRule type="cellIs" dxfId="13" priority="95" operator="equal">
      <formula>1</formula>
    </cfRule>
  </conditionalFormatting>
  <conditionalFormatting sqref="R36:AD46">
    <cfRule type="colorScale" priority="171">
      <colorScale>
        <cfvo type="min"/>
        <cfvo type="percentile" val="10"/>
        <cfvo type="max"/>
        <color theme="3" tint="0.89999084444715716"/>
        <color theme="3" tint="0.89999084444715716"/>
        <color theme="3" tint="0.749992370372631"/>
      </colorScale>
    </cfRule>
    <cfRule type="expression" dxfId="12" priority="169">
      <formula>R$27&lt;R$47</formula>
    </cfRule>
    <cfRule type="cellIs" dxfId="11" priority="170" operator="equal">
      <formula>0</formula>
    </cfRule>
  </conditionalFormatting>
  <conditionalFormatting sqref="AJ3:AV26">
    <cfRule type="cellIs" dxfId="10" priority="155" operator="equal">
      <formula>"Volante"</formula>
    </cfRule>
    <cfRule type="cellIs" dxfId="9" priority="156" operator="equal">
      <formula>"Tidying"</formula>
    </cfRule>
    <cfRule type="cellIs" dxfId="8" priority="157" operator="equal">
      <formula>"Çapèse"</formula>
    </cfRule>
    <cfRule type="cellIs" dxfId="7" priority="159" operator="equal">
      <formula>"Toilets"</formula>
    </cfRule>
    <cfRule type="cellIs" dxfId="6" priority="160" operator="equal">
      <formula>"Homing"</formula>
    </cfRule>
    <cfRule type="cellIs" dxfId="5" priority="161" operator="equal">
      <formula>"Rez"</formula>
    </cfRule>
    <cfRule type="cellIs" dxfId="4" priority="162" operator="equal">
      <formula>"C-mix"</formula>
    </cfRule>
    <cfRule type="cellIs" dxfId="3" priority="158" operator="equal">
      <formula>"Level"</formula>
    </cfRule>
    <cfRule type="cellIs" dxfId="2" priority="164" operator="equal">
      <formula>"Entry"</formula>
    </cfRule>
    <cfRule type="cellIs" dxfId="1" priority="165" operator="equal">
      <formula>"Setup"</formula>
    </cfRule>
    <cfRule type="cellIs" dxfId="0" priority="163" operator="equal">
      <formula>"Bar"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D400-C8DB-462E-979F-F45DBB4FD335}">
  <sheetPr codeName="Hoja1"/>
  <dimension ref="B1:L77"/>
  <sheetViews>
    <sheetView topLeftCell="A6" zoomScale="70" zoomScaleNormal="70" workbookViewId="0">
      <selection activeCell="L42" sqref="L41:L42"/>
    </sheetView>
  </sheetViews>
  <sheetFormatPr baseColWidth="10" defaultColWidth="11.41796875" defaultRowHeight="14.4" x14ac:dyDescent="0.55000000000000004"/>
  <cols>
    <col min="1" max="16384" width="11.41796875" style="1"/>
  </cols>
  <sheetData>
    <row r="1" spans="2:12" s="23" customFormat="1" ht="18.3" x14ac:dyDescent="0.55000000000000004">
      <c r="B1" s="23" t="s">
        <v>14</v>
      </c>
      <c r="G1" s="23" t="s">
        <v>15</v>
      </c>
    </row>
    <row r="3" spans="2:12" x14ac:dyDescent="0.55000000000000004">
      <c r="B3" s="2" t="s">
        <v>6</v>
      </c>
      <c r="C3" s="3"/>
      <c r="D3" s="3"/>
      <c r="E3" s="4"/>
      <c r="G3" s="2" t="s">
        <v>8</v>
      </c>
      <c r="H3" s="3"/>
      <c r="I3" s="3"/>
      <c r="J3" s="4"/>
      <c r="K3" s="17" t="s">
        <v>12</v>
      </c>
      <c r="L3" s="17" t="s">
        <v>13</v>
      </c>
    </row>
    <row r="4" spans="2:12" x14ac:dyDescent="0.55000000000000004">
      <c r="B4" s="5"/>
      <c r="C4" s="1" t="s">
        <v>3</v>
      </c>
      <c r="D4" s="1" t="s">
        <v>4</v>
      </c>
      <c r="E4" s="6" t="s">
        <v>5</v>
      </c>
      <c r="G4" s="5"/>
      <c r="H4" s="1" t="s">
        <v>3</v>
      </c>
      <c r="I4" s="1" t="s">
        <v>4</v>
      </c>
      <c r="J4" s="6" t="s">
        <v>5</v>
      </c>
      <c r="K4" s="18"/>
      <c r="L4" s="18"/>
    </row>
    <row r="5" spans="2:12" x14ac:dyDescent="0.55000000000000004">
      <c r="B5" s="5" t="s">
        <v>0</v>
      </c>
      <c r="C5" s="7">
        <v>0</v>
      </c>
      <c r="D5" s="7">
        <v>0</v>
      </c>
      <c r="E5" s="8">
        <v>1</v>
      </c>
      <c r="G5" s="5" t="s">
        <v>0</v>
      </c>
      <c r="H5" s="12">
        <v>1</v>
      </c>
      <c r="I5" s="12">
        <v>1</v>
      </c>
      <c r="J5" s="13">
        <v>1</v>
      </c>
      <c r="K5" s="19">
        <f>SUM(H5:J5)</f>
        <v>3</v>
      </c>
      <c r="L5" s="21">
        <v>0</v>
      </c>
    </row>
    <row r="6" spans="2:12" x14ac:dyDescent="0.55000000000000004">
      <c r="B6" s="5" t="s">
        <v>1</v>
      </c>
      <c r="C6" s="7">
        <v>0</v>
      </c>
      <c r="D6" s="7">
        <v>1</v>
      </c>
      <c r="E6" s="8">
        <v>0</v>
      </c>
      <c r="G6" s="5" t="s">
        <v>1</v>
      </c>
      <c r="H6" s="12">
        <v>1</v>
      </c>
      <c r="I6" s="12">
        <v>1</v>
      </c>
      <c r="J6" s="13">
        <v>1</v>
      </c>
      <c r="K6" s="19">
        <f>SUM(H6:J6)</f>
        <v>3</v>
      </c>
      <c r="L6" s="21">
        <v>0</v>
      </c>
    </row>
    <row r="7" spans="2:12" x14ac:dyDescent="0.55000000000000004">
      <c r="B7" s="9" t="s">
        <v>2</v>
      </c>
      <c r="C7" s="10">
        <v>1</v>
      </c>
      <c r="D7" s="10">
        <v>0</v>
      </c>
      <c r="E7" s="11">
        <v>0</v>
      </c>
      <c r="G7" s="9" t="s">
        <v>2</v>
      </c>
      <c r="H7" s="14">
        <v>1</v>
      </c>
      <c r="I7" s="14">
        <v>1</v>
      </c>
      <c r="J7" s="15">
        <v>1</v>
      </c>
      <c r="K7" s="20">
        <f>SUM(H7:J7)</f>
        <v>3</v>
      </c>
      <c r="L7" s="22">
        <v>0</v>
      </c>
    </row>
    <row r="10" spans="2:12" x14ac:dyDescent="0.55000000000000004">
      <c r="B10" s="30" t="s">
        <v>22</v>
      </c>
      <c r="C10" s="3"/>
      <c r="D10" s="3"/>
      <c r="E10" s="4"/>
      <c r="G10" s="2" t="s">
        <v>9</v>
      </c>
      <c r="H10" s="3"/>
      <c r="I10" s="3"/>
      <c r="J10" s="4"/>
    </row>
    <row r="11" spans="2:12" x14ac:dyDescent="0.55000000000000004">
      <c r="B11" s="5"/>
      <c r="C11" s="1" t="s">
        <v>3</v>
      </c>
      <c r="D11" s="1" t="s">
        <v>4</v>
      </c>
      <c r="E11" s="6" t="s">
        <v>5</v>
      </c>
      <c r="G11" s="5"/>
      <c r="H11" s="1" t="s">
        <v>3</v>
      </c>
      <c r="I11" s="1" t="s">
        <v>4</v>
      </c>
      <c r="J11" s="6" t="s">
        <v>5</v>
      </c>
    </row>
    <row r="12" spans="2:12" x14ac:dyDescent="0.55000000000000004">
      <c r="B12" s="5" t="s">
        <v>0</v>
      </c>
      <c r="C12" s="7">
        <v>1</v>
      </c>
      <c r="D12" s="7">
        <v>1</v>
      </c>
      <c r="E12" s="8">
        <v>0</v>
      </c>
      <c r="G12" s="5" t="s">
        <v>6</v>
      </c>
      <c r="H12" s="12">
        <v>1</v>
      </c>
      <c r="I12" s="12">
        <v>1</v>
      </c>
      <c r="J12" s="13">
        <v>1</v>
      </c>
    </row>
    <row r="13" spans="2:12" x14ac:dyDescent="0.55000000000000004">
      <c r="B13" s="5" t="s">
        <v>1</v>
      </c>
      <c r="C13" s="7">
        <v>1</v>
      </c>
      <c r="D13" s="7">
        <v>0</v>
      </c>
      <c r="E13" s="8">
        <v>1</v>
      </c>
      <c r="G13" s="9"/>
      <c r="H13" s="14"/>
      <c r="I13" s="14"/>
      <c r="J13" s="15"/>
      <c r="K13" s="35" t="s">
        <v>31</v>
      </c>
    </row>
    <row r="14" spans="2:12" x14ac:dyDescent="0.55000000000000004">
      <c r="B14" s="9" t="s">
        <v>2</v>
      </c>
      <c r="C14" s="10">
        <v>0</v>
      </c>
      <c r="D14" s="10">
        <v>1</v>
      </c>
      <c r="E14" s="11">
        <v>1</v>
      </c>
    </row>
    <row r="15" spans="2:12" x14ac:dyDescent="0.55000000000000004">
      <c r="G15" s="2" t="s">
        <v>10</v>
      </c>
      <c r="H15" s="3"/>
      <c r="I15" s="4"/>
    </row>
    <row r="16" spans="2:12" x14ac:dyDescent="0.55000000000000004">
      <c r="B16" s="29" t="s">
        <v>28</v>
      </c>
      <c r="C16" s="33">
        <v>0.66666666666666696</v>
      </c>
      <c r="G16" s="5"/>
      <c r="H16" s="1" t="s">
        <v>6</v>
      </c>
      <c r="I16" s="6" t="s">
        <v>22</v>
      </c>
    </row>
    <row r="17" spans="2:10" x14ac:dyDescent="0.55000000000000004">
      <c r="G17" s="5" t="s">
        <v>0</v>
      </c>
      <c r="H17" s="12">
        <v>1</v>
      </c>
      <c r="I17" s="13">
        <v>1</v>
      </c>
    </row>
    <row r="18" spans="2:10" x14ac:dyDescent="0.55000000000000004">
      <c r="G18" s="5" t="s">
        <v>1</v>
      </c>
      <c r="H18" s="12">
        <v>1</v>
      </c>
      <c r="I18" s="13">
        <v>1</v>
      </c>
    </row>
    <row r="19" spans="2:10" x14ac:dyDescent="0.55000000000000004">
      <c r="G19" s="9" t="s">
        <v>2</v>
      </c>
      <c r="H19" s="14">
        <v>1</v>
      </c>
      <c r="I19" s="15">
        <v>1</v>
      </c>
      <c r="J19" s="16" t="s">
        <v>11</v>
      </c>
    </row>
    <row r="21" spans="2:10" x14ac:dyDescent="0.55000000000000004">
      <c r="G21" s="16" t="s">
        <v>23</v>
      </c>
    </row>
    <row r="22" spans="2:10" ht="18.3" x14ac:dyDescent="0.55000000000000004">
      <c r="B22" s="23" t="s">
        <v>16</v>
      </c>
    </row>
    <row r="24" spans="2:10" x14ac:dyDescent="0.55000000000000004">
      <c r="B24" s="16" t="s">
        <v>17</v>
      </c>
    </row>
    <row r="26" spans="2:10" x14ac:dyDescent="0.55000000000000004">
      <c r="B26" s="2"/>
      <c r="C26" s="3"/>
      <c r="D26" s="3"/>
      <c r="E26" s="4"/>
      <c r="G26" s="2"/>
      <c r="H26" s="3"/>
      <c r="I26" s="3"/>
      <c r="J26" s="4"/>
    </row>
    <row r="27" spans="2:10" x14ac:dyDescent="0.55000000000000004">
      <c r="B27" s="5"/>
      <c r="C27" s="1" t="s">
        <v>3</v>
      </c>
      <c r="D27" s="1" t="s">
        <v>4</v>
      </c>
      <c r="E27" s="6" t="s">
        <v>5</v>
      </c>
      <c r="G27" s="5"/>
      <c r="H27" s="1" t="s">
        <v>3</v>
      </c>
      <c r="I27" s="1" t="s">
        <v>4</v>
      </c>
      <c r="J27" s="6" t="s">
        <v>5</v>
      </c>
    </row>
    <row r="28" spans="2:10" x14ac:dyDescent="0.55000000000000004">
      <c r="B28" s="5" t="s">
        <v>0</v>
      </c>
      <c r="C28" s="24" t="s">
        <v>109</v>
      </c>
      <c r="D28" s="24">
        <f t="shared" ref="D28:E30" si="0">D5 +D12</f>
        <v>1</v>
      </c>
      <c r="E28" s="25">
        <f t="shared" si="0"/>
        <v>1</v>
      </c>
      <c r="F28" s="31" t="s">
        <v>20</v>
      </c>
      <c r="G28" s="5" t="s">
        <v>0</v>
      </c>
      <c r="H28" s="24">
        <f t="shared" ref="H28:J30" si="1">H5</f>
        <v>1</v>
      </c>
      <c r="I28" s="24">
        <f t="shared" si="1"/>
        <v>1</v>
      </c>
      <c r="J28" s="25">
        <f t="shared" si="1"/>
        <v>1</v>
      </c>
    </row>
    <row r="29" spans="2:10" x14ac:dyDescent="0.55000000000000004">
      <c r="B29" s="5" t="s">
        <v>1</v>
      </c>
      <c r="C29" s="24">
        <f>C6 +C13</f>
        <v>1</v>
      </c>
      <c r="D29" s="24">
        <f t="shared" si="0"/>
        <v>1</v>
      </c>
      <c r="E29" s="25">
        <f t="shared" si="0"/>
        <v>1</v>
      </c>
      <c r="F29" s="31" t="s">
        <v>20</v>
      </c>
      <c r="G29" s="5" t="s">
        <v>1</v>
      </c>
      <c r="H29" s="24">
        <f t="shared" si="1"/>
        <v>1</v>
      </c>
      <c r="I29" s="24">
        <f t="shared" si="1"/>
        <v>1</v>
      </c>
      <c r="J29" s="25">
        <f t="shared" si="1"/>
        <v>1</v>
      </c>
    </row>
    <row r="30" spans="2:10" x14ac:dyDescent="0.55000000000000004">
      <c r="B30" s="9" t="s">
        <v>2</v>
      </c>
      <c r="C30" s="26">
        <f>C7 +C14</f>
        <v>1</v>
      </c>
      <c r="D30" s="26">
        <f t="shared" si="0"/>
        <v>1</v>
      </c>
      <c r="E30" s="27">
        <f t="shared" si="0"/>
        <v>1</v>
      </c>
      <c r="F30" s="31" t="s">
        <v>20</v>
      </c>
      <c r="G30" s="9" t="s">
        <v>2</v>
      </c>
      <c r="H30" s="26">
        <f t="shared" si="1"/>
        <v>1</v>
      </c>
      <c r="I30" s="26">
        <f t="shared" si="1"/>
        <v>1</v>
      </c>
      <c r="J30" s="27">
        <f t="shared" si="1"/>
        <v>1</v>
      </c>
    </row>
    <row r="31" spans="2:10" x14ac:dyDescent="0.55000000000000004">
      <c r="F31" s="32" t="s">
        <v>27</v>
      </c>
    </row>
    <row r="32" spans="2:10" x14ac:dyDescent="0.55000000000000004">
      <c r="B32" s="16" t="s">
        <v>19</v>
      </c>
    </row>
    <row r="34" spans="2:11" x14ac:dyDescent="0.55000000000000004">
      <c r="B34" s="2"/>
      <c r="C34" s="3"/>
      <c r="D34" s="3"/>
      <c r="E34" s="4"/>
      <c r="G34" s="2"/>
      <c r="H34" s="3"/>
      <c r="I34" s="3"/>
      <c r="J34" s="4"/>
    </row>
    <row r="35" spans="2:11" x14ac:dyDescent="0.55000000000000004">
      <c r="B35" s="5"/>
      <c r="C35" s="1" t="s">
        <v>3</v>
      </c>
      <c r="D35" s="1" t="s">
        <v>4</v>
      </c>
      <c r="E35" s="6" t="s">
        <v>5</v>
      </c>
      <c r="F35" s="1" t="s">
        <v>20</v>
      </c>
      <c r="G35" s="5"/>
      <c r="H35" s="1" t="s">
        <v>3</v>
      </c>
      <c r="I35" s="1" t="s">
        <v>4</v>
      </c>
      <c r="J35" s="6" t="s">
        <v>5</v>
      </c>
    </row>
    <row r="36" spans="2:11" x14ac:dyDescent="0.55000000000000004">
      <c r="B36" s="5" t="s">
        <v>6</v>
      </c>
      <c r="C36" s="24">
        <f>SUM(C5:C7)</f>
        <v>1</v>
      </c>
      <c r="D36" s="24">
        <f>SUM(D5:D7)</f>
        <v>1</v>
      </c>
      <c r="E36" s="25">
        <f>SUM(E5:E7)</f>
        <v>1</v>
      </c>
      <c r="F36" s="1" t="s">
        <v>20</v>
      </c>
      <c r="G36" s="5" t="s">
        <v>6</v>
      </c>
      <c r="H36" s="24">
        <f>H12</f>
        <v>1</v>
      </c>
      <c r="I36" s="24">
        <f>I12</f>
        <v>1</v>
      </c>
      <c r="J36" s="25">
        <f>J12</f>
        <v>1</v>
      </c>
    </row>
    <row r="37" spans="2:11" x14ac:dyDescent="0.55000000000000004">
      <c r="B37" s="9"/>
      <c r="C37" s="26"/>
      <c r="D37" s="26"/>
      <c r="E37" s="27"/>
      <c r="G37" s="9"/>
      <c r="H37" s="26"/>
      <c r="I37" s="26"/>
      <c r="J37" s="27"/>
      <c r="K37" s="35" t="s">
        <v>31</v>
      </c>
    </row>
    <row r="39" spans="2:11" x14ac:dyDescent="0.55000000000000004">
      <c r="B39" s="16" t="s">
        <v>21</v>
      </c>
    </row>
    <row r="41" spans="2:11" x14ac:dyDescent="0.55000000000000004">
      <c r="B41" s="2"/>
      <c r="C41" s="3"/>
      <c r="D41" s="4"/>
      <c r="F41" s="2"/>
      <c r="G41" s="3"/>
      <c r="H41" s="4"/>
    </row>
    <row r="42" spans="2:11" x14ac:dyDescent="0.55000000000000004">
      <c r="B42" s="5"/>
      <c r="C42" s="1" t="s">
        <v>6</v>
      </c>
      <c r="D42" s="6" t="s">
        <v>7</v>
      </c>
      <c r="F42" s="5"/>
      <c r="G42" s="1" t="s">
        <v>6</v>
      </c>
      <c r="H42" s="6" t="s">
        <v>7</v>
      </c>
    </row>
    <row r="43" spans="2:11" x14ac:dyDescent="0.55000000000000004">
      <c r="B43" s="5" t="s">
        <v>0</v>
      </c>
      <c r="C43" s="24">
        <f>SUM(C5:E5)</f>
        <v>1</v>
      </c>
      <c r="D43" s="25">
        <f>SUM(C12:E12)</f>
        <v>2</v>
      </c>
      <c r="E43" s="28" t="s">
        <v>18</v>
      </c>
      <c r="F43" s="5" t="s">
        <v>0</v>
      </c>
      <c r="G43" s="24">
        <f t="shared" ref="G43:H45" si="2">$K5*H17</f>
        <v>3</v>
      </c>
      <c r="H43" s="25">
        <f t="shared" si="2"/>
        <v>3</v>
      </c>
    </row>
    <row r="44" spans="2:11" x14ac:dyDescent="0.55000000000000004">
      <c r="B44" s="5" t="s">
        <v>1</v>
      </c>
      <c r="C44" s="24">
        <f>SUM(C6:E6)</f>
        <v>1</v>
      </c>
      <c r="D44" s="25">
        <f>SUM(C13:E13)</f>
        <v>2</v>
      </c>
      <c r="E44" s="28" t="s">
        <v>18</v>
      </c>
      <c r="F44" s="5" t="s">
        <v>1</v>
      </c>
      <c r="G44" s="24">
        <f t="shared" si="2"/>
        <v>3</v>
      </c>
      <c r="H44" s="25">
        <f t="shared" si="2"/>
        <v>3</v>
      </c>
    </row>
    <row r="45" spans="2:11" x14ac:dyDescent="0.55000000000000004">
      <c r="B45" s="9" t="s">
        <v>2</v>
      </c>
      <c r="C45" s="26">
        <f>SUM(C7:E7)</f>
        <v>1</v>
      </c>
      <c r="D45" s="27">
        <f>SUM(C14:E14)</f>
        <v>2</v>
      </c>
      <c r="E45" s="28" t="s">
        <v>18</v>
      </c>
      <c r="F45" s="9" t="s">
        <v>2</v>
      </c>
      <c r="G45" s="26">
        <f t="shared" si="2"/>
        <v>3</v>
      </c>
      <c r="H45" s="27">
        <f t="shared" si="2"/>
        <v>3</v>
      </c>
    </row>
    <row r="47" spans="2:11" x14ac:dyDescent="0.55000000000000004">
      <c r="B47" s="16" t="s">
        <v>24</v>
      </c>
    </row>
    <row r="49" spans="2:6" x14ac:dyDescent="0.55000000000000004">
      <c r="B49" s="2"/>
      <c r="C49" s="4"/>
      <c r="E49" s="2"/>
      <c r="F49" s="4"/>
    </row>
    <row r="50" spans="2:6" x14ac:dyDescent="0.55000000000000004">
      <c r="B50" s="5"/>
      <c r="C50" s="6"/>
      <c r="E50" s="5"/>
      <c r="F50" s="6"/>
    </row>
    <row r="51" spans="2:6" x14ac:dyDescent="0.55000000000000004">
      <c r="B51" s="5" t="s">
        <v>0</v>
      </c>
      <c r="C51" s="25">
        <f>SUM(C5:E5)</f>
        <v>1</v>
      </c>
      <c r="D51" s="28" t="s">
        <v>26</v>
      </c>
      <c r="E51" s="5" t="s">
        <v>0</v>
      </c>
      <c r="F51" s="25">
        <f>L5</f>
        <v>0</v>
      </c>
    </row>
    <row r="52" spans="2:6" x14ac:dyDescent="0.55000000000000004">
      <c r="B52" s="5" t="s">
        <v>1</v>
      </c>
      <c r="C52" s="25">
        <f>SUM(C6:E6)</f>
        <v>1</v>
      </c>
      <c r="D52" s="28" t="s">
        <v>26</v>
      </c>
      <c r="E52" s="5" t="s">
        <v>1</v>
      </c>
      <c r="F52" s="25">
        <f>L6</f>
        <v>0</v>
      </c>
    </row>
    <row r="53" spans="2:6" x14ac:dyDescent="0.55000000000000004">
      <c r="B53" s="9" t="s">
        <v>2</v>
      </c>
      <c r="C53" s="27">
        <f>SUM(C7:E7)</f>
        <v>1</v>
      </c>
      <c r="D53" s="28" t="s">
        <v>26</v>
      </c>
      <c r="E53" s="9" t="s">
        <v>2</v>
      </c>
      <c r="F53" s="27">
        <f>L7</f>
        <v>0</v>
      </c>
    </row>
    <row r="54" spans="2:6" x14ac:dyDescent="0.55000000000000004">
      <c r="C54" s="1" t="s">
        <v>25</v>
      </c>
    </row>
    <row r="56" spans="2:6" x14ac:dyDescent="0.55000000000000004">
      <c r="B56" s="1" t="s">
        <v>29</v>
      </c>
    </row>
    <row r="58" spans="2:6" x14ac:dyDescent="0.55000000000000004">
      <c r="B58" s="2"/>
      <c r="C58" s="4"/>
      <c r="E58" s="17"/>
    </row>
    <row r="59" spans="2:6" x14ac:dyDescent="0.55000000000000004">
      <c r="B59" s="5"/>
      <c r="C59" s="6"/>
      <c r="E59" s="18"/>
    </row>
    <row r="60" spans="2:6" x14ac:dyDescent="0.55000000000000004">
      <c r="B60" s="5" t="s">
        <v>0</v>
      </c>
      <c r="C60" s="25">
        <f>SUM(C12:E12)/K5</f>
        <v>0.66666666666666663</v>
      </c>
      <c r="D60" s="28" t="s">
        <v>18</v>
      </c>
      <c r="E60" s="19">
        <f>$C$16</f>
        <v>0.66666666666666696</v>
      </c>
    </row>
    <row r="61" spans="2:6" x14ac:dyDescent="0.55000000000000004">
      <c r="B61" s="5" t="s">
        <v>1</v>
      </c>
      <c r="C61" s="25">
        <f>SUM(C13:E13)/K6</f>
        <v>0.66666666666666663</v>
      </c>
      <c r="D61" s="28" t="s">
        <v>18</v>
      </c>
      <c r="E61" s="19">
        <f>$C$16</f>
        <v>0.66666666666666696</v>
      </c>
    </row>
    <row r="62" spans="2:6" x14ac:dyDescent="0.55000000000000004">
      <c r="B62" s="9" t="s">
        <v>2</v>
      </c>
      <c r="C62" s="27">
        <f>SUM(C14:E14)/K7</f>
        <v>0.66666666666666663</v>
      </c>
      <c r="D62" s="28" t="s">
        <v>18</v>
      </c>
      <c r="E62" s="20">
        <f>$C$16</f>
        <v>0.66666666666666696</v>
      </c>
    </row>
    <row r="65" spans="2:8" x14ac:dyDescent="0.55000000000000004">
      <c r="B65" s="16" t="s">
        <v>34</v>
      </c>
    </row>
    <row r="67" spans="2:8" x14ac:dyDescent="0.55000000000000004">
      <c r="B67" s="2" t="s">
        <v>6</v>
      </c>
      <c r="C67" s="3"/>
      <c r="D67" s="3"/>
      <c r="F67" s="2" t="s">
        <v>6</v>
      </c>
      <c r="G67" s="3"/>
      <c r="H67" s="3"/>
    </row>
    <row r="68" spans="2:8" x14ac:dyDescent="0.55000000000000004">
      <c r="B68" s="5"/>
      <c r="C68" s="1" t="s">
        <v>32</v>
      </c>
      <c r="D68" s="1" t="s">
        <v>33</v>
      </c>
      <c r="F68" s="5"/>
      <c r="G68" s="1" t="s">
        <v>32</v>
      </c>
      <c r="H68" s="1" t="s">
        <v>33</v>
      </c>
    </row>
    <row r="69" spans="2:8" x14ac:dyDescent="0.55000000000000004">
      <c r="B69" s="5" t="s">
        <v>0</v>
      </c>
      <c r="C69" s="36">
        <f t="shared" ref="C69:D71" si="3">C5+D5</f>
        <v>0</v>
      </c>
      <c r="D69" s="36">
        <f t="shared" si="3"/>
        <v>1</v>
      </c>
      <c r="E69" s="28" t="s">
        <v>18</v>
      </c>
      <c r="F69" s="5" t="s">
        <v>0</v>
      </c>
      <c r="G69" s="36">
        <v>1</v>
      </c>
      <c r="H69" s="36">
        <v>1</v>
      </c>
    </row>
    <row r="70" spans="2:8" x14ac:dyDescent="0.55000000000000004">
      <c r="B70" s="5" t="s">
        <v>1</v>
      </c>
      <c r="C70" s="36">
        <f t="shared" si="3"/>
        <v>1</v>
      </c>
      <c r="D70" s="36">
        <f t="shared" si="3"/>
        <v>1</v>
      </c>
      <c r="E70" s="28" t="s">
        <v>18</v>
      </c>
      <c r="F70" s="5" t="s">
        <v>1</v>
      </c>
      <c r="G70" s="36">
        <v>1</v>
      </c>
      <c r="H70" s="36">
        <v>1</v>
      </c>
    </row>
    <row r="71" spans="2:8" x14ac:dyDescent="0.55000000000000004">
      <c r="B71" s="9" t="s">
        <v>2</v>
      </c>
      <c r="C71" s="36">
        <f t="shared" si="3"/>
        <v>1</v>
      </c>
      <c r="D71" s="36">
        <f t="shared" si="3"/>
        <v>0</v>
      </c>
      <c r="E71" s="28" t="s">
        <v>18</v>
      </c>
      <c r="F71" s="9" t="s">
        <v>2</v>
      </c>
      <c r="G71" s="37">
        <v>1</v>
      </c>
      <c r="H71" s="37">
        <v>1</v>
      </c>
    </row>
    <row r="75" spans="2:8" ht="18.3" x14ac:dyDescent="0.55000000000000004">
      <c r="B75" s="23" t="s">
        <v>30</v>
      </c>
    </row>
    <row r="76" spans="2:8" ht="14.7" thickBot="1" x14ac:dyDescent="0.6"/>
    <row r="77" spans="2:8" ht="14.7" thickBot="1" x14ac:dyDescent="0.6">
      <c r="B77" s="1" t="s">
        <v>13</v>
      </c>
      <c r="C77" s="34">
        <f>C16</f>
        <v>0.66666666666666696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PER</vt:lpstr>
      <vt:lpstr>STAFF PLANNING FINAL</vt:lpstr>
      <vt:lpstr>PROTO FINAL</vt:lpstr>
      <vt:lpstr>PROTO NUEVO</vt:lpstr>
      <vt:lpstr>VINCENT (OBSOLETO)</vt:lpstr>
      <vt:lpstr>PROTO VINCENT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 Giner Bosch</dc:creator>
  <cp:lastModifiedBy>Óscar Martínez Zamora</cp:lastModifiedBy>
  <dcterms:created xsi:type="dcterms:W3CDTF">2025-12-18T10:16:08Z</dcterms:created>
  <dcterms:modified xsi:type="dcterms:W3CDTF">2025-12-22T18:33:59Z</dcterms:modified>
</cp:coreProperties>
</file>